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D:\Archit\Returns\Aayush Gupta\31.03.2024\Bank\Final Bank statements\"/>
    </mc:Choice>
  </mc:AlternateContent>
  <xr:revisionPtr revIDLastSave="0" documentId="13_ncr:1_{65D3D849-017A-4EAF-A749-F6BB470E8468}" xr6:coauthVersionLast="47" xr6:coauthVersionMax="47" xr10:uidLastSave="{00000000-0000-0000-0000-000000000000}"/>
  <bookViews>
    <workbookView xWindow="-108" yWindow="-108" windowWidth="23256" windowHeight="13896" firstSheet="1" activeTab="7" xr2:uid="{00000000-000D-0000-FFFF-FFFF00000000}"/>
  </bookViews>
  <sheets>
    <sheet name="AXIS Aayush Axis Statement 1" sheetId="2" r:id="rId1"/>
    <sheet name="HDFC" sheetId="3" r:id="rId2"/>
    <sheet name="Jupiter" sheetId="7" r:id="rId3"/>
    <sheet name="Kotak_Salary" sheetId="6" r:id="rId4"/>
    <sheet name="SBI_PPF" sheetId="4" r:id="rId5"/>
    <sheet name="SBI_Savings" sheetId="5" r:id="rId6"/>
    <sheet name="Conso" sheetId="8" r:id="rId7"/>
    <sheet name="Bank Summary" sheetId="9" r:id="rId8"/>
  </sheets>
  <definedNames>
    <definedName name="_xlnm._FilterDatabase" localSheetId="0" hidden="1">'AXIS Aayush Axis Statement 1'!$A$19:$G$44</definedName>
    <definedName name="_xlnm._FilterDatabase" localSheetId="6" hidden="1">Conso!$A$3:$I$2174</definedName>
    <definedName name="_xlnm._FilterDatabase" localSheetId="1" hidden="1">HDFC!$A$21:$G$807</definedName>
    <definedName name="_xlnm._FilterDatabase" localSheetId="2" hidden="1">Jupiter!$A$16:$I$858</definedName>
    <definedName name="_xlnm._FilterDatabase" localSheetId="3" hidden="1">Kotak_Salary!$A$14:$K$25</definedName>
    <definedName name="_xlnm._FilterDatabase" localSheetId="5" hidden="1">SBI_Savings!$A$20:$G$319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1" i="9" l="1"/>
  <c r="H2181" i="8"/>
  <c r="H2177" i="8"/>
  <c r="H2178" i="8"/>
  <c r="H2179" i="8"/>
  <c r="H2180" i="8"/>
  <c r="H2176" i="8"/>
  <c r="C9" i="9"/>
  <c r="E9" i="9"/>
  <c r="E2" i="8"/>
  <c r="D2" i="8"/>
  <c r="E1" i="8"/>
  <c r="D1" i="8"/>
  <c r="C10" i="9"/>
  <c r="C11" i="9"/>
  <c r="C12" i="9"/>
  <c r="C13" i="9"/>
  <c r="C14" i="9"/>
  <c r="C15" i="9"/>
  <c r="C16" i="9"/>
  <c r="C17" i="9"/>
  <c r="C18" i="9"/>
  <c r="C19" i="9"/>
  <c r="C20" i="9"/>
  <c r="C21" i="9"/>
  <c r="C22" i="9"/>
  <c r="C23"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E10" i="9"/>
  <c r="E11" i="9"/>
  <c r="E12" i="9"/>
  <c r="E13" i="9"/>
  <c r="E14" i="9"/>
  <c r="E15" i="9"/>
  <c r="E16" i="9"/>
  <c r="E17" i="9"/>
  <c r="E18" i="9"/>
  <c r="C85" i="9" s="1"/>
  <c r="E83" i="9" s="1"/>
  <c r="E19" i="9"/>
  <c r="E20" i="9"/>
  <c r="E21" i="9"/>
  <c r="E22" i="9"/>
  <c r="E23"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K2146" i="8"/>
  <c r="K2147" i="8"/>
  <c r="K2148" i="8"/>
  <c r="K2149" i="8"/>
  <c r="K2150" i="8"/>
  <c r="K2151" i="8"/>
  <c r="K2152" i="8"/>
  <c r="K2153" i="8"/>
  <c r="K2154" i="8"/>
  <c r="K2155" i="8"/>
  <c r="K2156" i="8"/>
  <c r="K2157" i="8"/>
  <c r="K2158" i="8"/>
  <c r="K2159" i="8"/>
  <c r="K2160" i="8"/>
  <c r="K2161" i="8"/>
  <c r="K2162" i="8"/>
  <c r="K2163" i="8"/>
  <c r="K2164" i="8"/>
  <c r="K2165" i="8"/>
  <c r="K2166" i="8"/>
  <c r="K2167" i="8"/>
  <c r="K2168" i="8"/>
  <c r="K2169" i="8"/>
  <c r="K2170" i="8"/>
  <c r="K2171" i="8"/>
  <c r="K2172" i="8"/>
  <c r="K2173" i="8"/>
  <c r="K2174" i="8"/>
  <c r="K13" i="9"/>
  <c r="G62" i="9" s="1"/>
  <c r="J2024" i="8"/>
  <c r="J31" i="8"/>
  <c r="J7" i="8"/>
  <c r="J5" i="8"/>
  <c r="J4"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K2058" i="8"/>
  <c r="K2059" i="8"/>
  <c r="K2060" i="8"/>
  <c r="K2061" i="8"/>
  <c r="K2062" i="8"/>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K2096" i="8"/>
  <c r="K2097" i="8"/>
  <c r="K2098" i="8"/>
  <c r="K2099" i="8"/>
  <c r="K2100" i="8"/>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K2138" i="8"/>
  <c r="K2139" i="8"/>
  <c r="K2140" i="8"/>
  <c r="K2141" i="8"/>
  <c r="K2142" i="8"/>
  <c r="K2143" i="8"/>
  <c r="K2144" i="8"/>
  <c r="K2145" i="8"/>
  <c r="K1653" i="8"/>
  <c r="K1654" i="8"/>
  <c r="K1655" i="8"/>
  <c r="K1656" i="8"/>
  <c r="K1657" i="8"/>
  <c r="K1658" i="8"/>
  <c r="K1659" i="8"/>
  <c r="K1660" i="8"/>
  <c r="K1661" i="8"/>
  <c r="K1662"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816"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30" i="8"/>
  <c r="K6" i="8"/>
  <c r="K7" i="8"/>
  <c r="K8" i="8"/>
  <c r="K9" i="8"/>
  <c r="K10" i="8"/>
  <c r="K11" i="8"/>
  <c r="K12" i="8"/>
  <c r="K13" i="8"/>
  <c r="K14" i="8"/>
  <c r="K15" i="8"/>
  <c r="K16" i="8"/>
  <c r="K17" i="8"/>
  <c r="K18" i="8"/>
  <c r="K19" i="8"/>
  <c r="K20" i="8"/>
  <c r="K21" i="8"/>
  <c r="K22" i="8"/>
  <c r="K23" i="8"/>
  <c r="K24" i="8"/>
  <c r="K25" i="8"/>
  <c r="K26" i="8"/>
  <c r="K27" i="8"/>
  <c r="K28" i="8"/>
  <c r="K5" i="8"/>
  <c r="J13" i="9"/>
  <c r="C7" i="9" s="1"/>
  <c r="F18" i="2"/>
  <c r="F9" i="9" l="1"/>
  <c r="C68" i="9"/>
  <c r="E68" i="9"/>
  <c r="J2" i="8"/>
  <c r="C64" i="9"/>
  <c r="E62" i="9" s="1"/>
  <c r="E64" i="9" l="1"/>
  <c r="G63" i="9"/>
  <c r="C69" i="9" l="1"/>
  <c r="J14" i="9"/>
  <c r="E69" i="9"/>
  <c r="E70" i="9" s="1"/>
  <c r="E89" i="9" s="1"/>
  <c r="F2" i="8"/>
  <c r="J857" i="7"/>
  <c r="J856" i="7"/>
  <c r="J855" i="7"/>
  <c r="J854" i="7"/>
  <c r="J853" i="7"/>
  <c r="J852" i="7"/>
  <c r="J851" i="7"/>
  <c r="J850" i="7"/>
  <c r="J849" i="7"/>
  <c r="J848" i="7"/>
  <c r="J847" i="7"/>
  <c r="J846" i="7"/>
  <c r="J845" i="7"/>
  <c r="J844" i="7"/>
  <c r="J843" i="7"/>
  <c r="J842" i="7"/>
  <c r="J841" i="7"/>
  <c r="J840" i="7"/>
  <c r="J839" i="7"/>
  <c r="J838" i="7"/>
  <c r="J837" i="7"/>
  <c r="J836" i="7"/>
  <c r="J835" i="7"/>
  <c r="J834" i="7"/>
  <c r="J833" i="7"/>
  <c r="J832" i="7"/>
  <c r="J831" i="7"/>
  <c r="J830" i="7"/>
  <c r="J829" i="7"/>
  <c r="J828" i="7"/>
  <c r="J827" i="7"/>
  <c r="J826" i="7"/>
  <c r="J825" i="7"/>
  <c r="J824" i="7"/>
  <c r="J823" i="7"/>
  <c r="J822" i="7"/>
  <c r="J821" i="7"/>
  <c r="J820" i="7"/>
  <c r="J819" i="7"/>
  <c r="J818" i="7"/>
  <c r="J817" i="7"/>
  <c r="J816" i="7"/>
  <c r="J815" i="7"/>
  <c r="J814" i="7"/>
  <c r="J813" i="7"/>
  <c r="J812" i="7"/>
  <c r="J811" i="7"/>
  <c r="J810" i="7"/>
  <c r="J809" i="7"/>
  <c r="J808" i="7"/>
  <c r="J807" i="7"/>
  <c r="J806" i="7"/>
  <c r="J805" i="7"/>
  <c r="J804" i="7"/>
  <c r="J803" i="7"/>
  <c r="J802" i="7"/>
  <c r="J801" i="7"/>
  <c r="J800" i="7"/>
  <c r="J799" i="7"/>
  <c r="J798" i="7"/>
  <c r="J797" i="7"/>
  <c r="J796" i="7"/>
  <c r="J795" i="7"/>
  <c r="J794" i="7"/>
  <c r="J793" i="7"/>
  <c r="J792" i="7"/>
  <c r="J791" i="7"/>
  <c r="J790" i="7"/>
  <c r="J789" i="7"/>
  <c r="J788" i="7"/>
  <c r="J787" i="7"/>
  <c r="J786" i="7"/>
  <c r="J785" i="7"/>
  <c r="J784" i="7"/>
  <c r="J783" i="7"/>
  <c r="J782" i="7"/>
  <c r="J781" i="7"/>
  <c r="J780" i="7"/>
  <c r="J779" i="7"/>
  <c r="J778" i="7"/>
  <c r="J777" i="7"/>
  <c r="J776" i="7"/>
  <c r="J775" i="7"/>
  <c r="J774" i="7"/>
  <c r="J773" i="7"/>
  <c r="J772" i="7"/>
  <c r="J771" i="7"/>
  <c r="J770" i="7"/>
  <c r="J769" i="7"/>
  <c r="J768" i="7"/>
  <c r="J767" i="7"/>
  <c r="J766" i="7"/>
  <c r="J765" i="7"/>
  <c r="J764" i="7"/>
  <c r="J763" i="7"/>
  <c r="J762" i="7"/>
  <c r="J761" i="7"/>
  <c r="J760" i="7"/>
  <c r="J759" i="7"/>
  <c r="J758" i="7"/>
  <c r="J757" i="7"/>
  <c r="J756" i="7"/>
  <c r="J755" i="7"/>
  <c r="J754" i="7"/>
  <c r="J753" i="7"/>
  <c r="J752" i="7"/>
  <c r="J751" i="7"/>
  <c r="J750" i="7"/>
  <c r="J749" i="7"/>
  <c r="J748" i="7"/>
  <c r="J747" i="7"/>
  <c r="J746" i="7"/>
  <c r="J745" i="7"/>
  <c r="J744" i="7"/>
  <c r="J743" i="7"/>
  <c r="J742" i="7"/>
  <c r="J741" i="7"/>
  <c r="J740" i="7"/>
  <c r="J739" i="7"/>
  <c r="J738" i="7"/>
  <c r="J737" i="7"/>
  <c r="J736" i="7"/>
  <c r="J735" i="7"/>
  <c r="J734" i="7"/>
  <c r="J733" i="7"/>
  <c r="J732" i="7"/>
  <c r="J731" i="7"/>
  <c r="J730" i="7"/>
  <c r="J729" i="7"/>
  <c r="J728" i="7"/>
  <c r="J727" i="7"/>
  <c r="J726" i="7"/>
  <c r="J725" i="7"/>
  <c r="J724" i="7"/>
  <c r="J723" i="7"/>
  <c r="J722" i="7"/>
  <c r="J721" i="7"/>
  <c r="J720" i="7"/>
  <c r="J719" i="7"/>
  <c r="J718" i="7"/>
  <c r="J717" i="7"/>
  <c r="J716" i="7"/>
  <c r="J715" i="7"/>
  <c r="J714" i="7"/>
  <c r="J713" i="7"/>
  <c r="J712" i="7"/>
  <c r="J711" i="7"/>
  <c r="J710" i="7"/>
  <c r="J709" i="7"/>
  <c r="J708" i="7"/>
  <c r="J707" i="7"/>
  <c r="J706" i="7"/>
  <c r="J705" i="7"/>
  <c r="J704" i="7"/>
  <c r="J703" i="7"/>
  <c r="J702" i="7"/>
  <c r="J701" i="7"/>
  <c r="J700" i="7"/>
  <c r="J699" i="7"/>
  <c r="J698" i="7"/>
  <c r="J697" i="7"/>
  <c r="J696" i="7"/>
  <c r="J695" i="7"/>
  <c r="J694" i="7"/>
  <c r="J693" i="7"/>
  <c r="J692" i="7"/>
  <c r="J691" i="7"/>
  <c r="J690" i="7"/>
  <c r="J689" i="7"/>
  <c r="J688" i="7"/>
  <c r="J687" i="7"/>
  <c r="J686" i="7"/>
  <c r="J685" i="7"/>
  <c r="J684" i="7"/>
  <c r="J683" i="7"/>
  <c r="J682" i="7"/>
  <c r="J681" i="7"/>
  <c r="J680" i="7"/>
  <c r="J679" i="7"/>
  <c r="J678" i="7"/>
  <c r="J677" i="7"/>
  <c r="J676" i="7"/>
  <c r="J675" i="7"/>
  <c r="J674" i="7"/>
  <c r="J673" i="7"/>
  <c r="J672" i="7"/>
  <c r="J671" i="7"/>
  <c r="J670" i="7"/>
  <c r="J669" i="7"/>
  <c r="J668" i="7"/>
  <c r="J667" i="7"/>
  <c r="J666" i="7"/>
  <c r="J665" i="7"/>
  <c r="J664" i="7"/>
  <c r="J663" i="7"/>
  <c r="J662" i="7"/>
  <c r="J661" i="7"/>
  <c r="J660" i="7"/>
  <c r="J659" i="7"/>
  <c r="J658" i="7"/>
  <c r="J657" i="7"/>
  <c r="J656" i="7"/>
  <c r="J655" i="7"/>
  <c r="J654" i="7"/>
  <c r="J653" i="7"/>
  <c r="J652" i="7"/>
  <c r="J651" i="7"/>
  <c r="J650" i="7"/>
  <c r="J649" i="7"/>
  <c r="J648" i="7"/>
  <c r="J647" i="7"/>
  <c r="J646" i="7"/>
  <c r="J645" i="7"/>
  <c r="J644" i="7"/>
  <c r="J643" i="7"/>
  <c r="J642" i="7"/>
  <c r="J641" i="7"/>
  <c r="J640" i="7"/>
  <c r="J639" i="7"/>
  <c r="J638" i="7"/>
  <c r="J637" i="7"/>
  <c r="J636" i="7"/>
  <c r="J635" i="7"/>
  <c r="J634" i="7"/>
  <c r="J633" i="7"/>
  <c r="J632" i="7"/>
  <c r="J631" i="7"/>
  <c r="J630" i="7"/>
  <c r="J629" i="7"/>
  <c r="J628" i="7"/>
  <c r="J627" i="7"/>
  <c r="J626" i="7"/>
  <c r="J625" i="7"/>
  <c r="J624" i="7"/>
  <c r="J623" i="7"/>
  <c r="J622" i="7"/>
  <c r="J621" i="7"/>
  <c r="J620" i="7"/>
  <c r="J619" i="7"/>
  <c r="J618" i="7"/>
  <c r="J617" i="7"/>
  <c r="J616" i="7"/>
  <c r="J615" i="7"/>
  <c r="J614" i="7"/>
  <c r="J613" i="7"/>
  <c r="J612" i="7"/>
  <c r="J611" i="7"/>
  <c r="J610" i="7"/>
  <c r="J609" i="7"/>
  <c r="J608" i="7"/>
  <c r="J607" i="7"/>
  <c r="J606" i="7"/>
  <c r="J605" i="7"/>
  <c r="J604" i="7"/>
  <c r="J603" i="7"/>
  <c r="J602" i="7"/>
  <c r="J601" i="7"/>
  <c r="J600" i="7"/>
  <c r="J599" i="7"/>
  <c r="J598" i="7"/>
  <c r="J597" i="7"/>
  <c r="J596" i="7"/>
  <c r="J595" i="7"/>
  <c r="J594" i="7"/>
  <c r="J593" i="7"/>
  <c r="J592" i="7"/>
  <c r="J591" i="7"/>
  <c r="J590" i="7"/>
  <c r="J589" i="7"/>
  <c r="J588" i="7"/>
  <c r="J587" i="7"/>
  <c r="J586" i="7"/>
  <c r="J585" i="7"/>
  <c r="J584" i="7"/>
  <c r="J583" i="7"/>
  <c r="J582" i="7"/>
  <c r="J581" i="7"/>
  <c r="J580" i="7"/>
  <c r="J579" i="7"/>
  <c r="J578" i="7"/>
  <c r="J577" i="7"/>
  <c r="J576" i="7"/>
  <c r="J575" i="7"/>
  <c r="J574" i="7"/>
  <c r="J573" i="7"/>
  <c r="J572" i="7"/>
  <c r="J571" i="7"/>
  <c r="J570" i="7"/>
  <c r="J569" i="7"/>
  <c r="J568" i="7"/>
  <c r="J567" i="7"/>
  <c r="J566" i="7"/>
  <c r="J565" i="7"/>
  <c r="J564" i="7"/>
  <c r="J563" i="7"/>
  <c r="J562" i="7"/>
  <c r="J561" i="7"/>
  <c r="J560" i="7"/>
  <c r="J559" i="7"/>
  <c r="J558" i="7"/>
  <c r="J557" i="7"/>
  <c r="J556" i="7"/>
  <c r="J555" i="7"/>
  <c r="J554" i="7"/>
  <c r="J553" i="7"/>
  <c r="J552" i="7"/>
  <c r="J551" i="7"/>
  <c r="J550" i="7"/>
  <c r="J549" i="7"/>
  <c r="J548" i="7"/>
  <c r="J547" i="7"/>
  <c r="J546" i="7"/>
  <c r="J545" i="7"/>
  <c r="J544" i="7"/>
  <c r="J543" i="7"/>
  <c r="J542" i="7"/>
  <c r="J541" i="7"/>
  <c r="J540" i="7"/>
  <c r="J539" i="7"/>
  <c r="J538" i="7"/>
  <c r="J537" i="7"/>
  <c r="J536" i="7"/>
  <c r="J535" i="7"/>
  <c r="J534" i="7"/>
  <c r="J533" i="7"/>
  <c r="J532" i="7"/>
  <c r="J531" i="7"/>
  <c r="J530" i="7"/>
  <c r="J529" i="7"/>
  <c r="J528" i="7"/>
  <c r="J527" i="7"/>
  <c r="J526" i="7"/>
  <c r="J525" i="7"/>
  <c r="J524" i="7"/>
  <c r="J523" i="7"/>
  <c r="J522" i="7"/>
  <c r="J521" i="7"/>
  <c r="J520" i="7"/>
  <c r="J519" i="7"/>
  <c r="J518" i="7"/>
  <c r="J517" i="7"/>
  <c r="J516" i="7"/>
  <c r="J515" i="7"/>
  <c r="J514" i="7"/>
  <c r="J513" i="7"/>
  <c r="J512" i="7"/>
  <c r="J511" i="7"/>
  <c r="J510" i="7"/>
  <c r="J509" i="7"/>
  <c r="J508" i="7"/>
  <c r="J507" i="7"/>
  <c r="J506" i="7"/>
  <c r="J505" i="7"/>
  <c r="J504" i="7"/>
  <c r="J503" i="7"/>
  <c r="J502" i="7"/>
  <c r="J501" i="7"/>
  <c r="J500" i="7"/>
  <c r="J499" i="7"/>
  <c r="J498" i="7"/>
  <c r="J497" i="7"/>
  <c r="J496" i="7"/>
  <c r="J495" i="7"/>
  <c r="J494" i="7"/>
  <c r="J493" i="7"/>
  <c r="J492" i="7"/>
  <c r="J491" i="7"/>
  <c r="J490" i="7"/>
  <c r="J489" i="7"/>
  <c r="J488" i="7"/>
  <c r="J487" i="7"/>
  <c r="J486" i="7"/>
  <c r="J485" i="7"/>
  <c r="J484" i="7"/>
  <c r="J483" i="7"/>
  <c r="J482" i="7"/>
  <c r="J481" i="7"/>
  <c r="J480" i="7"/>
  <c r="J479" i="7"/>
  <c r="J478" i="7"/>
  <c r="J477" i="7"/>
  <c r="J476" i="7"/>
  <c r="J475" i="7"/>
  <c r="J474" i="7"/>
  <c r="J473" i="7"/>
  <c r="J472" i="7"/>
  <c r="J471" i="7"/>
  <c r="J470" i="7"/>
  <c r="J469" i="7"/>
  <c r="J468" i="7"/>
  <c r="J467" i="7"/>
  <c r="J466" i="7"/>
  <c r="J465" i="7"/>
  <c r="J464" i="7"/>
  <c r="J463" i="7"/>
  <c r="J462" i="7"/>
  <c r="J461" i="7"/>
  <c r="J460" i="7"/>
  <c r="J459" i="7"/>
  <c r="J458" i="7"/>
  <c r="J457" i="7"/>
  <c r="J456" i="7"/>
  <c r="J455" i="7"/>
  <c r="J454" i="7"/>
  <c r="J453" i="7"/>
  <c r="J452" i="7"/>
  <c r="J451" i="7"/>
  <c r="J450" i="7"/>
  <c r="J449" i="7"/>
  <c r="J448" i="7"/>
  <c r="J447" i="7"/>
  <c r="J446" i="7"/>
  <c r="J445" i="7"/>
  <c r="J444" i="7"/>
  <c r="J443" i="7"/>
  <c r="J442" i="7"/>
  <c r="J441" i="7"/>
  <c r="J440" i="7"/>
  <c r="J439" i="7"/>
  <c r="J438" i="7"/>
  <c r="J437" i="7"/>
  <c r="J436" i="7"/>
  <c r="J435" i="7"/>
  <c r="J434" i="7"/>
  <c r="J433" i="7"/>
  <c r="J432" i="7"/>
  <c r="J431" i="7"/>
  <c r="J430" i="7"/>
  <c r="J429" i="7"/>
  <c r="J428" i="7"/>
  <c r="J427" i="7"/>
  <c r="J426" i="7"/>
  <c r="J425" i="7"/>
  <c r="J424" i="7"/>
  <c r="J423" i="7"/>
  <c r="J422" i="7"/>
  <c r="J421" i="7"/>
  <c r="J420" i="7"/>
  <c r="J419" i="7"/>
  <c r="J418" i="7"/>
  <c r="J417" i="7"/>
  <c r="J416" i="7"/>
  <c r="J415" i="7"/>
  <c r="J414" i="7"/>
  <c r="J413" i="7"/>
  <c r="J412" i="7"/>
  <c r="J411" i="7"/>
  <c r="J410" i="7"/>
  <c r="J409" i="7"/>
  <c r="J408" i="7"/>
  <c r="J407" i="7"/>
  <c r="J406" i="7"/>
  <c r="J405" i="7"/>
  <c r="J404" i="7"/>
  <c r="J403" i="7"/>
  <c r="J402" i="7"/>
  <c r="J401" i="7"/>
  <c r="J400" i="7"/>
  <c r="J399" i="7"/>
  <c r="J398" i="7"/>
  <c r="J397" i="7"/>
  <c r="J396" i="7"/>
  <c r="J395" i="7"/>
  <c r="J394" i="7"/>
  <c r="J393" i="7"/>
  <c r="J392" i="7"/>
  <c r="J391" i="7"/>
  <c r="J390" i="7"/>
  <c r="J389" i="7"/>
  <c r="J388" i="7"/>
  <c r="J387" i="7"/>
  <c r="J386" i="7"/>
  <c r="J385" i="7"/>
  <c r="J384" i="7"/>
  <c r="J383" i="7"/>
  <c r="J382" i="7"/>
  <c r="J381" i="7"/>
  <c r="J380" i="7"/>
  <c r="J379" i="7"/>
  <c r="J378" i="7"/>
  <c r="J377" i="7"/>
  <c r="J376" i="7"/>
  <c r="J375" i="7"/>
  <c r="J374" i="7"/>
  <c r="J373" i="7"/>
  <c r="J372" i="7"/>
  <c r="J371" i="7"/>
  <c r="J370" i="7"/>
  <c r="J369" i="7"/>
  <c r="J368" i="7"/>
  <c r="J367" i="7"/>
  <c r="J366" i="7"/>
  <c r="J365" i="7"/>
  <c r="J364" i="7"/>
  <c r="J363" i="7"/>
  <c r="J362" i="7"/>
  <c r="J361" i="7"/>
  <c r="J360" i="7"/>
  <c r="J359" i="7"/>
  <c r="J358" i="7"/>
  <c r="J357" i="7"/>
  <c r="J356" i="7"/>
  <c r="J355" i="7"/>
  <c r="J354" i="7"/>
  <c r="J353" i="7"/>
  <c r="J352" i="7"/>
  <c r="J351" i="7"/>
  <c r="J350" i="7"/>
  <c r="J349" i="7"/>
  <c r="J348" i="7"/>
  <c r="J347" i="7"/>
  <c r="J346" i="7"/>
  <c r="J345" i="7"/>
  <c r="J344" i="7"/>
  <c r="J343" i="7"/>
  <c r="J342" i="7"/>
  <c r="J341" i="7"/>
  <c r="J340" i="7"/>
  <c r="J339" i="7"/>
  <c r="J338" i="7"/>
  <c r="J337" i="7"/>
  <c r="J336" i="7"/>
  <c r="J335" i="7"/>
  <c r="J334" i="7"/>
  <c r="J333" i="7"/>
  <c r="J332" i="7"/>
  <c r="J331" i="7"/>
  <c r="J330" i="7"/>
  <c r="J329" i="7"/>
  <c r="J328" i="7"/>
  <c r="J327" i="7"/>
  <c r="J326" i="7"/>
  <c r="J325" i="7"/>
  <c r="J324" i="7"/>
  <c r="J323" i="7"/>
  <c r="J322" i="7"/>
  <c r="J321" i="7"/>
  <c r="J320" i="7"/>
  <c r="J319" i="7"/>
  <c r="J318" i="7"/>
  <c r="J317" i="7"/>
  <c r="J316" i="7"/>
  <c r="J315" i="7"/>
  <c r="J314" i="7"/>
  <c r="J313" i="7"/>
  <c r="J312" i="7"/>
  <c r="J311" i="7"/>
  <c r="J310" i="7"/>
  <c r="J309" i="7"/>
  <c r="J308" i="7"/>
  <c r="J307" i="7"/>
  <c r="J306" i="7"/>
  <c r="J305" i="7"/>
  <c r="J304" i="7"/>
  <c r="J303" i="7"/>
  <c r="J302" i="7"/>
  <c r="J301" i="7"/>
  <c r="J300" i="7"/>
  <c r="J299" i="7"/>
  <c r="J298" i="7"/>
  <c r="J297" i="7"/>
  <c r="J296" i="7"/>
  <c r="J295" i="7"/>
  <c r="J294" i="7"/>
  <c r="J293" i="7"/>
  <c r="J292" i="7"/>
  <c r="J291" i="7"/>
  <c r="J290" i="7"/>
  <c r="J289" i="7"/>
  <c r="J288" i="7"/>
  <c r="J287" i="7"/>
  <c r="J286" i="7"/>
  <c r="J285" i="7"/>
  <c r="J284" i="7"/>
  <c r="J283" i="7"/>
  <c r="J282" i="7"/>
  <c r="J281" i="7"/>
  <c r="J280" i="7"/>
  <c r="J279" i="7"/>
  <c r="J278" i="7"/>
  <c r="J277" i="7"/>
  <c r="J276" i="7"/>
  <c r="J275" i="7"/>
  <c r="J274" i="7"/>
  <c r="J273" i="7"/>
  <c r="J272" i="7"/>
  <c r="J271" i="7"/>
  <c r="J270" i="7"/>
  <c r="J269" i="7"/>
  <c r="J268" i="7"/>
  <c r="J267" i="7"/>
  <c r="J266" i="7"/>
  <c r="J265" i="7"/>
  <c r="J264" i="7"/>
  <c r="J263" i="7"/>
  <c r="J262" i="7"/>
  <c r="J261" i="7"/>
  <c r="J260" i="7"/>
  <c r="J259" i="7"/>
  <c r="J258" i="7"/>
  <c r="J257" i="7"/>
  <c r="J256" i="7"/>
  <c r="J255" i="7"/>
  <c r="J254" i="7"/>
  <c r="J253" i="7"/>
  <c r="J252" i="7"/>
  <c r="J251" i="7"/>
  <c r="J250" i="7"/>
  <c r="J249" i="7"/>
  <c r="J248" i="7"/>
  <c r="J247" i="7"/>
  <c r="J246" i="7"/>
  <c r="J245" i="7"/>
  <c r="J244" i="7"/>
  <c r="J243" i="7"/>
  <c r="J242" i="7"/>
  <c r="J241" i="7"/>
  <c r="J240" i="7"/>
  <c r="J239" i="7"/>
  <c r="J238" i="7"/>
  <c r="J237" i="7"/>
  <c r="J236" i="7"/>
  <c r="J235" i="7"/>
  <c r="J234" i="7"/>
  <c r="J233" i="7"/>
  <c r="J232" i="7"/>
  <c r="J231" i="7"/>
  <c r="J230" i="7"/>
  <c r="J229" i="7"/>
  <c r="J228" i="7"/>
  <c r="J227" i="7"/>
  <c r="J226" i="7"/>
  <c r="J225" i="7"/>
  <c r="J224" i="7"/>
  <c r="J223" i="7"/>
  <c r="J222" i="7"/>
  <c r="J221" i="7"/>
  <c r="J220" i="7"/>
  <c r="J219" i="7"/>
  <c r="J218" i="7"/>
  <c r="J217" i="7"/>
  <c r="J216" i="7"/>
  <c r="J215" i="7"/>
  <c r="J214" i="7"/>
  <c r="J213" i="7"/>
  <c r="J212" i="7"/>
  <c r="J211" i="7"/>
  <c r="J210" i="7"/>
  <c r="J209" i="7"/>
  <c r="J208" i="7"/>
  <c r="J207" i="7"/>
  <c r="J206" i="7"/>
  <c r="J205" i="7"/>
  <c r="J204" i="7"/>
  <c r="J203" i="7"/>
  <c r="J202" i="7"/>
  <c r="J201" i="7"/>
  <c r="J200" i="7"/>
  <c r="J199" i="7"/>
  <c r="J198" i="7"/>
  <c r="J197" i="7"/>
  <c r="J196" i="7"/>
  <c r="J195" i="7"/>
  <c r="J194" i="7"/>
  <c r="J193" i="7"/>
  <c r="J192" i="7"/>
  <c r="J191" i="7"/>
  <c r="J190" i="7"/>
  <c r="J189" i="7"/>
  <c r="J188" i="7"/>
  <c r="J187" i="7"/>
  <c r="J186" i="7"/>
  <c r="J185" i="7"/>
  <c r="J184" i="7"/>
  <c r="J183" i="7"/>
  <c r="J182" i="7"/>
  <c r="J181" i="7"/>
  <c r="J180" i="7"/>
  <c r="J179" i="7"/>
  <c r="J178" i="7"/>
  <c r="J177" i="7"/>
  <c r="J176" i="7"/>
  <c r="J175" i="7"/>
  <c r="J174" i="7"/>
  <c r="J173" i="7"/>
  <c r="J172" i="7"/>
  <c r="J171" i="7"/>
  <c r="J170" i="7"/>
  <c r="J169" i="7"/>
  <c r="J168" i="7"/>
  <c r="J167" i="7"/>
  <c r="J166" i="7"/>
  <c r="J165" i="7"/>
  <c r="J164" i="7"/>
  <c r="J163" i="7"/>
  <c r="J162" i="7"/>
  <c r="J161" i="7"/>
  <c r="J160" i="7"/>
  <c r="J159" i="7"/>
  <c r="J158" i="7"/>
  <c r="J157" i="7"/>
  <c r="J156" i="7"/>
  <c r="J155" i="7"/>
  <c r="J154" i="7"/>
  <c r="J153" i="7"/>
  <c r="J152" i="7"/>
  <c r="J151" i="7"/>
  <c r="J150" i="7"/>
  <c r="J149" i="7"/>
  <c r="J148" i="7"/>
  <c r="J147" i="7"/>
  <c r="J146" i="7"/>
  <c r="J145" i="7"/>
  <c r="J144" i="7"/>
  <c r="J143" i="7"/>
  <c r="J142" i="7"/>
  <c r="J141" i="7"/>
  <c r="J140" i="7"/>
  <c r="J139" i="7"/>
  <c r="J138" i="7"/>
  <c r="J137" i="7"/>
  <c r="J136" i="7"/>
  <c r="J135" i="7"/>
  <c r="J134" i="7"/>
  <c r="J133" i="7"/>
  <c r="J132" i="7"/>
  <c r="J131" i="7"/>
  <c r="J130" i="7"/>
  <c r="J129" i="7"/>
  <c r="J128" i="7"/>
  <c r="J127" i="7"/>
  <c r="J126" i="7"/>
  <c r="J125" i="7"/>
  <c r="J124" i="7"/>
  <c r="J123" i="7"/>
  <c r="J122" i="7"/>
  <c r="J121" i="7"/>
  <c r="J120" i="7"/>
  <c r="J119" i="7"/>
  <c r="J118" i="7"/>
  <c r="J117" i="7"/>
  <c r="J116" i="7"/>
  <c r="J115" i="7"/>
  <c r="J114" i="7"/>
  <c r="J113" i="7"/>
  <c r="J112" i="7"/>
  <c r="J111" i="7"/>
  <c r="J110" i="7"/>
  <c r="J109" i="7"/>
  <c r="J108" i="7"/>
  <c r="J107" i="7"/>
  <c r="J106" i="7"/>
  <c r="J105" i="7"/>
  <c r="J104" i="7"/>
  <c r="J103" i="7"/>
  <c r="J102" i="7"/>
  <c r="J101" i="7"/>
  <c r="J100" i="7"/>
  <c r="J99" i="7"/>
  <c r="J98" i="7"/>
  <c r="J97" i="7"/>
  <c r="J96" i="7"/>
  <c r="J95" i="7"/>
  <c r="J94" i="7"/>
  <c r="J93" i="7"/>
  <c r="J92" i="7"/>
  <c r="J91" i="7"/>
  <c r="J90" i="7"/>
  <c r="J89" i="7"/>
  <c r="J88" i="7"/>
  <c r="J87" i="7"/>
  <c r="J86" i="7"/>
  <c r="J85" i="7"/>
  <c r="J84" i="7"/>
  <c r="J83" i="7"/>
  <c r="J82" i="7"/>
  <c r="J81" i="7"/>
  <c r="J80" i="7"/>
  <c r="J79" i="7"/>
  <c r="J78" i="7"/>
  <c r="J77" i="7"/>
  <c r="J76" i="7"/>
  <c r="J75" i="7"/>
  <c r="J74" i="7"/>
  <c r="J73" i="7"/>
  <c r="J72" i="7"/>
  <c r="J71" i="7"/>
  <c r="J70" i="7"/>
  <c r="J69" i="7"/>
  <c r="J68" i="7"/>
  <c r="J67" i="7"/>
  <c r="J66" i="7"/>
  <c r="J65" i="7"/>
  <c r="J64" i="7"/>
  <c r="J63" i="7"/>
  <c r="J62" i="7"/>
  <c r="J61" i="7"/>
  <c r="J60" i="7"/>
  <c r="J59" i="7"/>
  <c r="J58" i="7"/>
  <c r="J57" i="7"/>
  <c r="J56" i="7"/>
  <c r="J55" i="7"/>
  <c r="J54" i="7"/>
  <c r="J53" i="7"/>
  <c r="J52" i="7"/>
  <c r="J51" i="7"/>
  <c r="J50" i="7"/>
  <c r="J49" i="7"/>
  <c r="J48" i="7"/>
  <c r="J47"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L25" i="6"/>
  <c r="I25" i="6"/>
  <c r="H25" i="6"/>
  <c r="I24" i="6"/>
  <c r="L24" i="6" s="1"/>
  <c r="H24" i="6"/>
  <c r="I23" i="6"/>
  <c r="H23" i="6"/>
  <c r="L23" i="6" s="1"/>
  <c r="I22" i="6"/>
  <c r="H22" i="6"/>
  <c r="L22" i="6" s="1"/>
  <c r="L21" i="6"/>
  <c r="I21" i="6"/>
  <c r="H21" i="6"/>
  <c r="I20" i="6"/>
  <c r="L20" i="6" s="1"/>
  <c r="H20" i="6"/>
  <c r="I19" i="6"/>
  <c r="H19" i="6"/>
  <c r="L19" i="6" s="1"/>
  <c r="I18" i="6"/>
  <c r="H18" i="6"/>
  <c r="L18" i="6" s="1"/>
  <c r="L17" i="6"/>
  <c r="I17" i="6"/>
  <c r="H17" i="6"/>
  <c r="I16" i="6"/>
  <c r="L16" i="6" s="1"/>
  <c r="H16" i="6"/>
  <c r="I15" i="6"/>
  <c r="H15" i="6"/>
  <c r="I319" i="5"/>
  <c r="I318" i="5"/>
  <c r="I317" i="5"/>
  <c r="I316" i="5"/>
  <c r="I315" i="5"/>
  <c r="I314" i="5"/>
  <c r="I313" i="5"/>
  <c r="I312" i="5"/>
  <c r="I311" i="5"/>
  <c r="I310" i="5"/>
  <c r="I309" i="5"/>
  <c r="I308" i="5"/>
  <c r="I307" i="5"/>
  <c r="I306" i="5"/>
  <c r="I305" i="5"/>
  <c r="I304" i="5"/>
  <c r="I303" i="5"/>
  <c r="I302" i="5"/>
  <c r="I301" i="5"/>
  <c r="I300" i="5"/>
  <c r="I299" i="5"/>
  <c r="I298" i="5"/>
  <c r="I297" i="5"/>
  <c r="I296" i="5"/>
  <c r="I295" i="5"/>
  <c r="I294" i="5"/>
  <c r="I293" i="5"/>
  <c r="I292" i="5"/>
  <c r="I291" i="5"/>
  <c r="I290" i="5"/>
  <c r="I289" i="5"/>
  <c r="I288" i="5"/>
  <c r="I287" i="5"/>
  <c r="I286" i="5"/>
  <c r="I285" i="5"/>
  <c r="I284" i="5"/>
  <c r="I283" i="5"/>
  <c r="I282" i="5"/>
  <c r="I281" i="5"/>
  <c r="I280" i="5"/>
  <c r="I279" i="5"/>
  <c r="I278" i="5"/>
  <c r="I277" i="5"/>
  <c r="I276" i="5"/>
  <c r="I275" i="5"/>
  <c r="I274" i="5"/>
  <c r="I273" i="5"/>
  <c r="I272" i="5"/>
  <c r="I271" i="5"/>
  <c r="I270" i="5"/>
  <c r="I269" i="5"/>
  <c r="I268" i="5"/>
  <c r="I267" i="5"/>
  <c r="I266" i="5"/>
  <c r="I265" i="5"/>
  <c r="I264" i="5"/>
  <c r="I263" i="5"/>
  <c r="I262" i="5"/>
  <c r="I261" i="5"/>
  <c r="I260" i="5"/>
  <c r="I259" i="5"/>
  <c r="I258" i="5"/>
  <c r="I257" i="5"/>
  <c r="I256" i="5"/>
  <c r="I255" i="5"/>
  <c r="I254" i="5"/>
  <c r="I253" i="5"/>
  <c r="I252" i="5"/>
  <c r="I251" i="5"/>
  <c r="I250" i="5"/>
  <c r="I249" i="5"/>
  <c r="I248" i="5"/>
  <c r="I247" i="5"/>
  <c r="I246" i="5"/>
  <c r="I245" i="5"/>
  <c r="I244" i="5"/>
  <c r="I243" i="5"/>
  <c r="I242" i="5"/>
  <c r="I241" i="5"/>
  <c r="I240" i="5"/>
  <c r="I239" i="5"/>
  <c r="I238" i="5"/>
  <c r="I237" i="5"/>
  <c r="I236" i="5"/>
  <c r="I235" i="5"/>
  <c r="I234" i="5"/>
  <c r="I233" i="5"/>
  <c r="I232" i="5"/>
  <c r="I231" i="5"/>
  <c r="I230" i="5"/>
  <c r="I229" i="5"/>
  <c r="I228" i="5"/>
  <c r="I227" i="5"/>
  <c r="I226" i="5"/>
  <c r="I225" i="5"/>
  <c r="I224" i="5"/>
  <c r="I223" i="5"/>
  <c r="I222" i="5"/>
  <c r="I221" i="5"/>
  <c r="I220" i="5"/>
  <c r="I219" i="5"/>
  <c r="I218" i="5"/>
  <c r="I217" i="5"/>
  <c r="I216" i="5"/>
  <c r="I215" i="5"/>
  <c r="I214" i="5"/>
  <c r="I213" i="5"/>
  <c r="I212" i="5"/>
  <c r="I211" i="5"/>
  <c r="I210" i="5"/>
  <c r="I209" i="5"/>
  <c r="I208" i="5"/>
  <c r="I207" i="5"/>
  <c r="I206" i="5"/>
  <c r="I205" i="5"/>
  <c r="I204" i="5"/>
  <c r="I203" i="5"/>
  <c r="I202" i="5"/>
  <c r="I201" i="5"/>
  <c r="I200" i="5"/>
  <c r="I199" i="5"/>
  <c r="I198" i="5"/>
  <c r="I197" i="5"/>
  <c r="I196" i="5"/>
  <c r="I195" i="5"/>
  <c r="I194" i="5"/>
  <c r="I193" i="5"/>
  <c r="I192" i="5"/>
  <c r="I191" i="5"/>
  <c r="I190" i="5"/>
  <c r="I189" i="5"/>
  <c r="I188" i="5"/>
  <c r="I187" i="5"/>
  <c r="I186" i="5"/>
  <c r="I185" i="5"/>
  <c r="I184" i="5"/>
  <c r="I183" i="5"/>
  <c r="I182" i="5"/>
  <c r="I181" i="5"/>
  <c r="I180" i="5"/>
  <c r="I179" i="5"/>
  <c r="I178" i="5"/>
  <c r="I177" i="5"/>
  <c r="I176" i="5"/>
  <c r="I175" i="5"/>
  <c r="I174" i="5"/>
  <c r="I173" i="5"/>
  <c r="I172" i="5"/>
  <c r="I171" i="5"/>
  <c r="I170" i="5"/>
  <c r="I169" i="5"/>
  <c r="I168" i="5"/>
  <c r="I167" i="5"/>
  <c r="I166" i="5"/>
  <c r="I165" i="5"/>
  <c r="I164" i="5"/>
  <c r="I163" i="5"/>
  <c r="I162" i="5"/>
  <c r="I161" i="5"/>
  <c r="I160" i="5"/>
  <c r="I159" i="5"/>
  <c r="I158" i="5"/>
  <c r="I157" i="5"/>
  <c r="I156" i="5"/>
  <c r="I155" i="5"/>
  <c r="I154" i="5"/>
  <c r="I153" i="5"/>
  <c r="I152" i="5"/>
  <c r="I151" i="5"/>
  <c r="I150" i="5"/>
  <c r="I149" i="5"/>
  <c r="I148" i="5"/>
  <c r="I147" i="5"/>
  <c r="I146" i="5"/>
  <c r="I145" i="5"/>
  <c r="I144" i="5"/>
  <c r="I143" i="5"/>
  <c r="I142" i="5"/>
  <c r="I141" i="5"/>
  <c r="I140" i="5"/>
  <c r="I139" i="5"/>
  <c r="I138" i="5"/>
  <c r="I137" i="5"/>
  <c r="I136" i="5"/>
  <c r="I135" i="5"/>
  <c r="I134" i="5"/>
  <c r="I133" i="5"/>
  <c r="I132" i="5"/>
  <c r="I131" i="5"/>
  <c r="I130" i="5"/>
  <c r="I129" i="5"/>
  <c r="I128" i="5"/>
  <c r="I127" i="5"/>
  <c r="I126" i="5"/>
  <c r="I125" i="5"/>
  <c r="I124" i="5"/>
  <c r="I123" i="5"/>
  <c r="I122" i="5"/>
  <c r="I121" i="5"/>
  <c r="I120" i="5"/>
  <c r="I119" i="5"/>
  <c r="I118" i="5"/>
  <c r="I117" i="5"/>
  <c r="I116" i="5"/>
  <c r="I115" i="5"/>
  <c r="I114" i="5"/>
  <c r="I113" i="5"/>
  <c r="I112" i="5"/>
  <c r="I111" i="5"/>
  <c r="I110" i="5"/>
  <c r="I109" i="5"/>
  <c r="I108" i="5"/>
  <c r="I107" i="5"/>
  <c r="I106" i="5"/>
  <c r="I105" i="5"/>
  <c r="I104" i="5"/>
  <c r="I103" i="5"/>
  <c r="I102" i="5"/>
  <c r="I101" i="5"/>
  <c r="I100" i="5"/>
  <c r="I99" i="5"/>
  <c r="I98" i="5"/>
  <c r="I97" i="5"/>
  <c r="I96" i="5"/>
  <c r="I95" i="5"/>
  <c r="I94" i="5"/>
  <c r="I93" i="5"/>
  <c r="I92" i="5"/>
  <c r="I91" i="5"/>
  <c r="I90" i="5"/>
  <c r="I89" i="5"/>
  <c r="I88" i="5"/>
  <c r="I87" i="5"/>
  <c r="I86" i="5"/>
  <c r="I85" i="5"/>
  <c r="I84" i="5"/>
  <c r="I83" i="5"/>
  <c r="I82" i="5"/>
  <c r="I81" i="5"/>
  <c r="I80" i="5"/>
  <c r="I79" i="5"/>
  <c r="I78" i="5"/>
  <c r="I77" i="5"/>
  <c r="I76" i="5"/>
  <c r="I75" i="5"/>
  <c r="I74" i="5"/>
  <c r="I73" i="5"/>
  <c r="I72" i="5"/>
  <c r="I71" i="5"/>
  <c r="I70" i="5"/>
  <c r="I69" i="5"/>
  <c r="I68" i="5"/>
  <c r="I67" i="5"/>
  <c r="I66" i="5"/>
  <c r="I65" i="5"/>
  <c r="I64" i="5"/>
  <c r="I63" i="5"/>
  <c r="I62" i="5"/>
  <c r="I61" i="5"/>
  <c r="I60" i="5"/>
  <c r="I59" i="5"/>
  <c r="I58" i="5"/>
  <c r="I57" i="5"/>
  <c r="I56" i="5"/>
  <c r="I55" i="5"/>
  <c r="I54" i="5"/>
  <c r="I53" i="5"/>
  <c r="I52" i="5"/>
  <c r="I51" i="5"/>
  <c r="I50" i="5"/>
  <c r="I49" i="5"/>
  <c r="I48" i="5"/>
  <c r="I47" i="5"/>
  <c r="I46" i="5"/>
  <c r="I45" i="5"/>
  <c r="I44" i="5"/>
  <c r="I43" i="5"/>
  <c r="I42" i="5"/>
  <c r="I41" i="5"/>
  <c r="I40" i="5"/>
  <c r="I39" i="5"/>
  <c r="I38" i="5"/>
  <c r="I37" i="5"/>
  <c r="I36" i="5"/>
  <c r="I35" i="5"/>
  <c r="I34" i="5"/>
  <c r="I33" i="5"/>
  <c r="I32" i="5"/>
  <c r="I31" i="5"/>
  <c r="I30" i="5"/>
  <c r="I29" i="5"/>
  <c r="I28" i="5"/>
  <c r="I27" i="5"/>
  <c r="I26" i="5"/>
  <c r="I25" i="5"/>
  <c r="I24" i="5"/>
  <c r="I23" i="5"/>
  <c r="I22" i="5"/>
  <c r="I807" i="3"/>
  <c r="I806" i="3"/>
  <c r="I805" i="3"/>
  <c r="I804" i="3"/>
  <c r="I803" i="3"/>
  <c r="I802" i="3"/>
  <c r="I801" i="3"/>
  <c r="I800" i="3"/>
  <c r="I799" i="3"/>
  <c r="I798" i="3"/>
  <c r="I797" i="3"/>
  <c r="I796" i="3"/>
  <c r="I795" i="3"/>
  <c r="I794" i="3"/>
  <c r="I793" i="3"/>
  <c r="I792" i="3"/>
  <c r="I791" i="3"/>
  <c r="I790" i="3"/>
  <c r="I789" i="3"/>
  <c r="I788" i="3"/>
  <c r="I787" i="3"/>
  <c r="I786" i="3"/>
  <c r="I785" i="3"/>
  <c r="I784" i="3"/>
  <c r="I783" i="3"/>
  <c r="I782" i="3"/>
  <c r="I781" i="3"/>
  <c r="I780" i="3"/>
  <c r="I779" i="3"/>
  <c r="I778" i="3"/>
  <c r="I777" i="3"/>
  <c r="I776" i="3"/>
  <c r="I775" i="3"/>
  <c r="I774" i="3"/>
  <c r="I773" i="3"/>
  <c r="I772" i="3"/>
  <c r="I771" i="3"/>
  <c r="I770" i="3"/>
  <c r="I769" i="3"/>
  <c r="I768" i="3"/>
  <c r="I767" i="3"/>
  <c r="I766" i="3"/>
  <c r="I765" i="3"/>
  <c r="I764" i="3"/>
  <c r="I763" i="3"/>
  <c r="I762" i="3"/>
  <c r="I761" i="3"/>
  <c r="I760" i="3"/>
  <c r="I759" i="3"/>
  <c r="I758" i="3"/>
  <c r="I757" i="3"/>
  <c r="I756" i="3"/>
  <c r="I755" i="3"/>
  <c r="I754" i="3"/>
  <c r="I753" i="3"/>
  <c r="I752" i="3"/>
  <c r="I751" i="3"/>
  <c r="I750" i="3"/>
  <c r="I749" i="3"/>
  <c r="I748" i="3"/>
  <c r="I747" i="3"/>
  <c r="I746" i="3"/>
  <c r="I745" i="3"/>
  <c r="I744" i="3"/>
  <c r="I743" i="3"/>
  <c r="I742" i="3"/>
  <c r="I741" i="3"/>
  <c r="I740" i="3"/>
  <c r="I739" i="3"/>
  <c r="I738" i="3"/>
  <c r="I737" i="3"/>
  <c r="I736" i="3"/>
  <c r="I735" i="3"/>
  <c r="I734" i="3"/>
  <c r="I733" i="3"/>
  <c r="I732" i="3"/>
  <c r="I731" i="3"/>
  <c r="I730" i="3"/>
  <c r="I729" i="3"/>
  <c r="I728" i="3"/>
  <c r="I727" i="3"/>
  <c r="I726" i="3"/>
  <c r="I725" i="3"/>
  <c r="I724" i="3"/>
  <c r="I723" i="3"/>
  <c r="I722" i="3"/>
  <c r="I721" i="3"/>
  <c r="I720" i="3"/>
  <c r="I719" i="3"/>
  <c r="I718" i="3"/>
  <c r="I717" i="3"/>
  <c r="I716" i="3"/>
  <c r="I715" i="3"/>
  <c r="I714" i="3"/>
  <c r="I713" i="3"/>
  <c r="I712" i="3"/>
  <c r="I711" i="3"/>
  <c r="I710" i="3"/>
  <c r="I709" i="3"/>
  <c r="I708" i="3"/>
  <c r="I707" i="3"/>
  <c r="I706" i="3"/>
  <c r="I705" i="3"/>
  <c r="I704" i="3"/>
  <c r="I703" i="3"/>
  <c r="I702" i="3"/>
  <c r="I701" i="3"/>
  <c r="I700" i="3"/>
  <c r="I699" i="3"/>
  <c r="I698" i="3"/>
  <c r="I697" i="3"/>
  <c r="I696" i="3"/>
  <c r="I695" i="3"/>
  <c r="I694" i="3"/>
  <c r="I693" i="3"/>
  <c r="I692" i="3"/>
  <c r="I691" i="3"/>
  <c r="I690" i="3"/>
  <c r="I689" i="3"/>
  <c r="I688" i="3"/>
  <c r="I687" i="3"/>
  <c r="I686" i="3"/>
  <c r="I685" i="3"/>
  <c r="I684" i="3"/>
  <c r="I683" i="3"/>
  <c r="I682" i="3"/>
  <c r="I681" i="3"/>
  <c r="I680" i="3"/>
  <c r="I679" i="3"/>
  <c r="I678" i="3"/>
  <c r="I677" i="3"/>
  <c r="I676" i="3"/>
  <c r="I675" i="3"/>
  <c r="I674" i="3"/>
  <c r="I673" i="3"/>
  <c r="I672" i="3"/>
  <c r="I671" i="3"/>
  <c r="I670" i="3"/>
  <c r="I669" i="3"/>
  <c r="I668" i="3"/>
  <c r="I667" i="3"/>
  <c r="I666" i="3"/>
  <c r="I665" i="3"/>
  <c r="I664" i="3"/>
  <c r="I663" i="3"/>
  <c r="I662" i="3"/>
  <c r="I661" i="3"/>
  <c r="I660" i="3"/>
  <c r="I659" i="3"/>
  <c r="I658" i="3"/>
  <c r="I657" i="3"/>
  <c r="I656" i="3"/>
  <c r="I655" i="3"/>
  <c r="I654" i="3"/>
  <c r="I653" i="3"/>
  <c r="I652" i="3"/>
  <c r="I651" i="3"/>
  <c r="I650" i="3"/>
  <c r="I649" i="3"/>
  <c r="I648" i="3"/>
  <c r="I647" i="3"/>
  <c r="I646" i="3"/>
  <c r="I645" i="3"/>
  <c r="I644" i="3"/>
  <c r="I643" i="3"/>
  <c r="I642" i="3"/>
  <c r="I641" i="3"/>
  <c r="I640" i="3"/>
  <c r="I639" i="3"/>
  <c r="I638" i="3"/>
  <c r="I637" i="3"/>
  <c r="I636" i="3"/>
  <c r="I635" i="3"/>
  <c r="I634" i="3"/>
  <c r="I633" i="3"/>
  <c r="I632" i="3"/>
  <c r="I631" i="3"/>
  <c r="I630" i="3"/>
  <c r="I629" i="3"/>
  <c r="I628" i="3"/>
  <c r="I627" i="3"/>
  <c r="I626" i="3"/>
  <c r="I625" i="3"/>
  <c r="I624" i="3"/>
  <c r="I623" i="3"/>
  <c r="I622" i="3"/>
  <c r="I621" i="3"/>
  <c r="I620" i="3"/>
  <c r="I619" i="3"/>
  <c r="I618" i="3"/>
  <c r="I617" i="3"/>
  <c r="I616" i="3"/>
  <c r="I615" i="3"/>
  <c r="I614" i="3"/>
  <c r="I613" i="3"/>
  <c r="I612" i="3"/>
  <c r="I611" i="3"/>
  <c r="I610" i="3"/>
  <c r="I609" i="3"/>
  <c r="I608" i="3"/>
  <c r="I607" i="3"/>
  <c r="I606" i="3"/>
  <c r="I605" i="3"/>
  <c r="I604" i="3"/>
  <c r="I603" i="3"/>
  <c r="I602" i="3"/>
  <c r="I601" i="3"/>
  <c r="I600" i="3"/>
  <c r="I599" i="3"/>
  <c r="I598" i="3"/>
  <c r="I597" i="3"/>
  <c r="I596" i="3"/>
  <c r="I595" i="3"/>
  <c r="I594" i="3"/>
  <c r="I593" i="3"/>
  <c r="I592" i="3"/>
  <c r="I591" i="3"/>
  <c r="I590" i="3"/>
  <c r="I589" i="3"/>
  <c r="I588" i="3"/>
  <c r="I587" i="3"/>
  <c r="I586" i="3"/>
  <c r="I585" i="3"/>
  <c r="I584" i="3"/>
  <c r="I583" i="3"/>
  <c r="I582" i="3"/>
  <c r="I581" i="3"/>
  <c r="I580" i="3"/>
  <c r="I579" i="3"/>
  <c r="I578" i="3"/>
  <c r="I577" i="3"/>
  <c r="I576" i="3"/>
  <c r="I575" i="3"/>
  <c r="I574" i="3"/>
  <c r="I573" i="3"/>
  <c r="I572" i="3"/>
  <c r="I571" i="3"/>
  <c r="I570" i="3"/>
  <c r="I569" i="3"/>
  <c r="I568" i="3"/>
  <c r="I567" i="3"/>
  <c r="I566" i="3"/>
  <c r="I565" i="3"/>
  <c r="I564" i="3"/>
  <c r="I563" i="3"/>
  <c r="I562" i="3"/>
  <c r="I561" i="3"/>
  <c r="I560" i="3"/>
  <c r="I559" i="3"/>
  <c r="I558" i="3"/>
  <c r="I557" i="3"/>
  <c r="I556" i="3"/>
  <c r="I555" i="3"/>
  <c r="I554" i="3"/>
  <c r="I553" i="3"/>
  <c r="I552" i="3"/>
  <c r="I551" i="3"/>
  <c r="I550" i="3"/>
  <c r="I549" i="3"/>
  <c r="I548" i="3"/>
  <c r="I547" i="3"/>
  <c r="I546" i="3"/>
  <c r="I545" i="3"/>
  <c r="I544" i="3"/>
  <c r="I543" i="3"/>
  <c r="I542" i="3"/>
  <c r="I541" i="3"/>
  <c r="I540" i="3"/>
  <c r="I539" i="3"/>
  <c r="I538" i="3"/>
  <c r="I537" i="3"/>
  <c r="I536" i="3"/>
  <c r="I535" i="3"/>
  <c r="I534" i="3"/>
  <c r="I533" i="3"/>
  <c r="I532" i="3"/>
  <c r="I531" i="3"/>
  <c r="I530" i="3"/>
  <c r="I529" i="3"/>
  <c r="I528" i="3"/>
  <c r="I527" i="3"/>
  <c r="I526" i="3"/>
  <c r="I525" i="3"/>
  <c r="I524" i="3"/>
  <c r="I523" i="3"/>
  <c r="I522" i="3"/>
  <c r="I521" i="3"/>
  <c r="I520" i="3"/>
  <c r="I519" i="3"/>
  <c r="I518" i="3"/>
  <c r="I517" i="3"/>
  <c r="I516" i="3"/>
  <c r="I515" i="3"/>
  <c r="I514" i="3"/>
  <c r="I513" i="3"/>
  <c r="I512" i="3"/>
  <c r="I511" i="3"/>
  <c r="I510" i="3"/>
  <c r="I509" i="3"/>
  <c r="I508" i="3"/>
  <c r="I507" i="3"/>
  <c r="I506" i="3"/>
  <c r="I505" i="3"/>
  <c r="I504" i="3"/>
  <c r="I503" i="3"/>
  <c r="I502" i="3"/>
  <c r="I501" i="3"/>
  <c r="I500" i="3"/>
  <c r="I499" i="3"/>
  <c r="I498" i="3"/>
  <c r="I497" i="3"/>
  <c r="I496" i="3"/>
  <c r="I495" i="3"/>
  <c r="I494" i="3"/>
  <c r="I493" i="3"/>
  <c r="I492" i="3"/>
  <c r="I491" i="3"/>
  <c r="I490" i="3"/>
  <c r="I489" i="3"/>
  <c r="I488" i="3"/>
  <c r="I487" i="3"/>
  <c r="I486" i="3"/>
  <c r="I485" i="3"/>
  <c r="I484" i="3"/>
  <c r="I483" i="3"/>
  <c r="I482" i="3"/>
  <c r="I481" i="3"/>
  <c r="I480" i="3"/>
  <c r="I479" i="3"/>
  <c r="I478" i="3"/>
  <c r="I477" i="3"/>
  <c r="I476" i="3"/>
  <c r="I475" i="3"/>
  <c r="I474" i="3"/>
  <c r="I473" i="3"/>
  <c r="I472" i="3"/>
  <c r="I471" i="3"/>
  <c r="I470" i="3"/>
  <c r="I469" i="3"/>
  <c r="I468" i="3"/>
  <c r="I467" i="3"/>
  <c r="I466" i="3"/>
  <c r="I465" i="3"/>
  <c r="I464" i="3"/>
  <c r="I463" i="3"/>
  <c r="I462" i="3"/>
  <c r="I461" i="3"/>
  <c r="I460" i="3"/>
  <c r="I459" i="3"/>
  <c r="I458" i="3"/>
  <c r="I457" i="3"/>
  <c r="I456" i="3"/>
  <c r="I455" i="3"/>
  <c r="I454" i="3"/>
  <c r="I453" i="3"/>
  <c r="I452" i="3"/>
  <c r="I451" i="3"/>
  <c r="I450" i="3"/>
  <c r="I449" i="3"/>
  <c r="I448" i="3"/>
  <c r="I447" i="3"/>
  <c r="I446" i="3"/>
  <c r="I445" i="3"/>
  <c r="I444" i="3"/>
  <c r="I443" i="3"/>
  <c r="I442" i="3"/>
  <c r="I441" i="3"/>
  <c r="I440" i="3"/>
  <c r="I439" i="3"/>
  <c r="I438" i="3"/>
  <c r="I437" i="3"/>
  <c r="I436" i="3"/>
  <c r="I435" i="3"/>
  <c r="I434" i="3"/>
  <c r="I433" i="3"/>
  <c r="I432" i="3"/>
  <c r="I431" i="3"/>
  <c r="I430" i="3"/>
  <c r="I429" i="3"/>
  <c r="I428" i="3"/>
  <c r="I427" i="3"/>
  <c r="I426" i="3"/>
  <c r="I425" i="3"/>
  <c r="I424" i="3"/>
  <c r="I423" i="3"/>
  <c r="I422" i="3"/>
  <c r="I421" i="3"/>
  <c r="I420" i="3"/>
  <c r="I419" i="3"/>
  <c r="I418" i="3"/>
  <c r="I417" i="3"/>
  <c r="I416" i="3"/>
  <c r="I415" i="3"/>
  <c r="I414" i="3"/>
  <c r="I413" i="3"/>
  <c r="I412" i="3"/>
  <c r="I411" i="3"/>
  <c r="I410" i="3"/>
  <c r="I409" i="3"/>
  <c r="I408" i="3"/>
  <c r="I407" i="3"/>
  <c r="I406" i="3"/>
  <c r="I405" i="3"/>
  <c r="I404" i="3"/>
  <c r="I403" i="3"/>
  <c r="I402" i="3"/>
  <c r="I401" i="3"/>
  <c r="I400" i="3"/>
  <c r="I399" i="3"/>
  <c r="I398" i="3"/>
  <c r="I397" i="3"/>
  <c r="I396" i="3"/>
  <c r="I395" i="3"/>
  <c r="I394" i="3"/>
  <c r="I393" i="3"/>
  <c r="I392" i="3"/>
  <c r="I391" i="3"/>
  <c r="I390" i="3"/>
  <c r="I389" i="3"/>
  <c r="I388" i="3"/>
  <c r="I387" i="3"/>
  <c r="I386" i="3"/>
  <c r="I385" i="3"/>
  <c r="I384" i="3"/>
  <c r="I383" i="3"/>
  <c r="I382" i="3"/>
  <c r="I381" i="3"/>
  <c r="I380" i="3"/>
  <c r="I379" i="3"/>
  <c r="I378" i="3"/>
  <c r="I377" i="3"/>
  <c r="I376" i="3"/>
  <c r="I375" i="3"/>
  <c r="I374" i="3"/>
  <c r="I373" i="3"/>
  <c r="I372" i="3"/>
  <c r="I371" i="3"/>
  <c r="I370" i="3"/>
  <c r="I369" i="3"/>
  <c r="I368" i="3"/>
  <c r="I367" i="3"/>
  <c r="I366" i="3"/>
  <c r="I365" i="3"/>
  <c r="I364" i="3"/>
  <c r="I363" i="3"/>
  <c r="I362" i="3"/>
  <c r="I361" i="3"/>
  <c r="I360" i="3"/>
  <c r="I359" i="3"/>
  <c r="I358" i="3"/>
  <c r="I357" i="3"/>
  <c r="I356" i="3"/>
  <c r="I355" i="3"/>
  <c r="I354" i="3"/>
  <c r="I353" i="3"/>
  <c r="I352" i="3"/>
  <c r="I351" i="3"/>
  <c r="I350" i="3"/>
  <c r="I349" i="3"/>
  <c r="I348" i="3"/>
  <c r="I347" i="3"/>
  <c r="I346" i="3"/>
  <c r="I345" i="3"/>
  <c r="I344" i="3"/>
  <c r="I343" i="3"/>
  <c r="I342" i="3"/>
  <c r="I341" i="3"/>
  <c r="I340" i="3"/>
  <c r="I339" i="3"/>
  <c r="I338" i="3"/>
  <c r="I337" i="3"/>
  <c r="I336" i="3"/>
  <c r="I335" i="3"/>
  <c r="I334" i="3"/>
  <c r="I333" i="3"/>
  <c r="I332" i="3"/>
  <c r="I331" i="3"/>
  <c r="I330" i="3"/>
  <c r="I329" i="3"/>
  <c r="I328" i="3"/>
  <c r="I327" i="3"/>
  <c r="I326" i="3"/>
  <c r="I325" i="3"/>
  <c r="I324" i="3"/>
  <c r="I323" i="3"/>
  <c r="I322" i="3"/>
  <c r="I321" i="3"/>
  <c r="I320" i="3"/>
  <c r="I319" i="3"/>
  <c r="I318" i="3"/>
  <c r="I317" i="3"/>
  <c r="I316" i="3"/>
  <c r="I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I278" i="3"/>
  <c r="I277" i="3"/>
  <c r="I276" i="3"/>
  <c r="I275" i="3"/>
  <c r="I274" i="3"/>
  <c r="I273" i="3"/>
  <c r="I272" i="3"/>
  <c r="I271" i="3"/>
  <c r="I270" i="3"/>
  <c r="I269" i="3"/>
  <c r="I268" i="3"/>
  <c r="I267" i="3"/>
  <c r="I266" i="3"/>
  <c r="I265" i="3"/>
  <c r="I264" i="3"/>
  <c r="I263" i="3"/>
  <c r="I262" i="3"/>
  <c r="I261" i="3"/>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44" i="2"/>
  <c r="I43" i="2"/>
  <c r="I42" i="2"/>
  <c r="I41" i="2"/>
  <c r="I40" i="2"/>
  <c r="I39" i="2"/>
  <c r="I38" i="2"/>
  <c r="I37" i="2"/>
  <c r="I36" i="2"/>
  <c r="I35" i="2"/>
  <c r="I34" i="2"/>
  <c r="I33" i="2"/>
  <c r="I32" i="2"/>
  <c r="I31" i="2"/>
  <c r="I30" i="2"/>
  <c r="I29" i="2"/>
  <c r="I28" i="2"/>
  <c r="I27" i="2"/>
  <c r="I26" i="2"/>
  <c r="I25" i="2"/>
  <c r="I24" i="2"/>
  <c r="I23" i="2"/>
  <c r="I22" i="2"/>
  <c r="I21" i="2"/>
  <c r="E85" i="9"/>
  <c r="C70" i="9" l="1"/>
  <c r="C89" i="9" s="1"/>
</calcChain>
</file>

<file path=xl/sharedStrings.xml><?xml version="1.0" encoding="utf-8"?>
<sst xmlns="http://schemas.openxmlformats.org/spreadsheetml/2006/main" count="13095" uniqueCount="2690">
  <si>
    <t>Name :- AAYUSH KUMAR GUPTA</t>
  </si>
  <si>
    <t>Joint Holder :- -</t>
  </si>
  <si>
    <t>AJAY KUMAR GUPTA</t>
  </si>
  <si>
    <t>FLAT NO - D-07  ISHWAR PARADISE</t>
  </si>
  <si>
    <t>NASHIK-422011</t>
  </si>
  <si>
    <t>MAHARASHTRA-INDIA</t>
  </si>
  <si>
    <t>Currency :- INR</t>
  </si>
  <si>
    <t>Customer ID :- 857324165</t>
  </si>
  <si>
    <t>IFSC Code :- UTIB0002656</t>
  </si>
  <si>
    <t>MICR Code :- 422211010</t>
  </si>
  <si>
    <t xml:space="preserve">Nominee Registered :- Y                                                                                                   </t>
  </si>
  <si>
    <t>Registered Mobile No :- XXXXXX5259</t>
  </si>
  <si>
    <t xml:space="preserve">Registered Email ID :- </t>
  </si>
  <si>
    <t>PAN :- BRGPG8066G</t>
  </si>
  <si>
    <t>CKYC NUMBER :- NA</t>
  </si>
  <si>
    <t>Statement of Account No - 915010020334307 for the period (From : 01-04-2023 To : 31-03-2024)</t>
  </si>
  <si>
    <t>Tran Date</t>
  </si>
  <si>
    <t>CHQNO</t>
  </si>
  <si>
    <t>PARTICULARS</t>
  </si>
  <si>
    <t>DR</t>
  </si>
  <si>
    <t>CR</t>
  </si>
  <si>
    <t>BAL</t>
  </si>
  <si>
    <t>SOL</t>
  </si>
  <si>
    <t>-</t>
  </si>
  <si>
    <t>NEFT/N091232397833081/AAYUSH KU/HDFC BANK/Transfe</t>
  </si>
  <si>
    <t>Dr Card Charges ISSUE 4616XXXXXXXX8177</t>
  </si>
  <si>
    <t>NBSM/12858585/IRCTC(RAZORPAY)/</t>
  </si>
  <si>
    <t>ICONN REF/12858585/RAZORPAY/DT.25-05-2023</t>
  </si>
  <si>
    <t>INB/NEFT/AXIR231562638106/Aayush K/HDFC BA/Borrow</t>
  </si>
  <si>
    <t>INB/IFT/Ajay Kumar Gupta/TPARTY TRANSFER</t>
  </si>
  <si>
    <t>INB/IFT/AJAY KUMAR GUPTA/TPARTY TRANSFER</t>
  </si>
  <si>
    <t>ECOM PUR/MAKEMYTRIP IN/01126521471/140623/09:39</t>
  </si>
  <si>
    <t>915010020334307:Int.Pd:01-04-2023 to 30-06-2023</t>
  </si>
  <si>
    <t>GST @18% on Charge</t>
  </si>
  <si>
    <t>Consolidated Charges for A/c</t>
  </si>
  <si>
    <t>UPI/P2M/321834491026/BharatPe /YesBank_Y/Pay to</t>
  </si>
  <si>
    <t>UPI/P2M/321834593338/ATUL GARG/Paytm Pay/UPI</t>
  </si>
  <si>
    <t>UPI/P2M/321834818560/Mr JITEND/Paytm Pay/UPI</t>
  </si>
  <si>
    <t>UPI/P2A/321836516129/ADARSH NA/HDFC BANK/UPI</t>
  </si>
  <si>
    <t>UPI/P2A/321842744773/ARCHIT GU/Axis Bank/UPI</t>
  </si>
  <si>
    <t>UPI/P2A/321948620399/Archit  G/State Ban/UPI</t>
  </si>
  <si>
    <t>UPI/P2A/322159589854/SUSHIL KU/India Pos/UPI</t>
  </si>
  <si>
    <t>UPI/P2M/322597908496/H L DHATR/Yes Bank /tyre</t>
  </si>
  <si>
    <t>915010020334307:Int.Pd:01-07-2023 to 30-09-2023</t>
  </si>
  <si>
    <t>SMS Alerts Chrgs Incl GST</t>
  </si>
  <si>
    <t>NEFT/IR/AXOIR33099676704/Aayush Kumar Gupta/HDFC BANK/Transfer fom Aayush Axis</t>
  </si>
  <si>
    <t>915010020334307:Int.Pd:01-10-2023 to 31-12-2023</t>
  </si>
  <si>
    <t>SB:915010020334307:Int.Pd:01-01-2024 to 31-03-2024</t>
  </si>
  <si>
    <t>Charge breakup of Axis Account No :915010020334307 for the period (From : 01-04-2023  To : 31-03-2024)</t>
  </si>
  <si>
    <t>Period</t>
  </si>
  <si>
    <t>Recover Date</t>
  </si>
  <si>
    <t>Charge Type</t>
  </si>
  <si>
    <t>Total(RS).</t>
  </si>
  <si>
    <t>Charges(RS).</t>
  </si>
  <si>
    <t>SMS Alert Fee</t>
  </si>
  <si>
    <t>1. The 'charges' in the above statement indicate the net chargeable amount for the month. However the actual charge debited to the account might have elements of past unrecoverd charge also.</t>
  </si>
  <si>
    <t>2. The chargeable amount is exclusive of Goods and Serivce Tax.</t>
  </si>
  <si>
    <t xml:space="preserve">Unless the constituent notifies the bank immediately of any discrepancy found by him/her in this statement of Account, it will be taken that he/she has found the account correct. </t>
  </si>
  <si>
    <t xml:space="preserve">The closing balance as shown/displayed includes not only the credit balance and / or overdraft limit, but also funds which are under clearing. </t>
  </si>
  <si>
    <t xml:space="preserve">It excludes the amount marked as lien, if any. Hence the closing balance displayed may not be the effective available balance. For any further clarifications, please contact the Branch. </t>
  </si>
  <si>
    <t xml:space="preserve">We would like to reiterate that, as a policy, Axis Bank does not ask you to part with/disclose/revalidate of your iConnect passord,login id and debit card number through emails OR phone call </t>
  </si>
  <si>
    <t xml:space="preserve">Further, we would like to reiterate that Axis Bank shall not be liable for any losses arising from you sharing/disclosing of your login id, password and debit card number to anyone. Please co-operate by forwarding all such suspicious/spam emails, if received by you, to customer.service@axisbank.com </t>
  </si>
  <si>
    <t xml:space="preserve">With effect from 1st August 2016, the replacement charges for Debit card and ATM card applicable on Current accounts have been revised. To know more about the applicable charges,please visit www.axisbank.com </t>
  </si>
  <si>
    <t>Deposit Insurance and Credit Guarantee Corporation (DICGC) insurance cover is applicable in all Bank's deposits, such as savings, current, fixed, recurring etc.* up to maximum amount of Rs 5 Lakh including principal &amp;interest both* (*for exceptions and details please refer http://www.dicgc.org.in/ )</t>
  </si>
  <si>
    <t>In compliance with regulatory guidelines, the non-CTS cheque books attached to the accounts would be destroyed in banks core banking System. Thus, Non CTS cheques will not be valid for CASH, Clearing and Transfer transactions</t>
  </si>
  <si>
    <t>REGISTERED OFFICE - AXIS BANK LTD,TRISHUL,Opp. Samartheswar Temple, Near Law Garden, Ellisbridge,    Ahmedabad . 380006.</t>
  </si>
  <si>
    <t>BRANCH ADDRESS - AXIS BANK LTD, BODHALE NAGAR NAS MH, GROUND FLOOR, SHOP NO 8, SUYOJIT ARCADE,NASHIK,  PUNE ROAD, BODHALE NAGAR,  422011,  NASHIK,  MAHARASHTRA, INDIA, TEL:0253-2414245  FAX:_x000D_
This is a system generated output and requires no signature."</t>
  </si>
  <si>
    <t xml:space="preserve">Legend : </t>
  </si>
  <si>
    <t xml:space="preserve"> ICONN </t>
  </si>
  <si>
    <t xml:space="preserve"> Transaction trough Internet Banking </t>
  </si>
  <si>
    <t xml:space="preserve">VMT-ICON </t>
  </si>
  <si>
    <t xml:space="preserve"> Visa Money Transfer through Internet Banking </t>
  </si>
  <si>
    <t xml:space="preserve">AUTOSWEEP </t>
  </si>
  <si>
    <t xml:space="preserve"> Transfer to linked fixed deposit </t>
  </si>
  <si>
    <t xml:space="preserve">REV SWEEP </t>
  </si>
  <si>
    <t xml:space="preserve"> Interest on Linked fixed Deposit </t>
  </si>
  <si>
    <t xml:space="preserve">SWEEP TRF </t>
  </si>
  <si>
    <t xml:space="preserve"> Transfer from Linked Fixed Deposit / Account </t>
  </si>
  <si>
    <t xml:space="preserve">VMT </t>
  </si>
  <si>
    <t xml:space="preserve"> Visa Money Transfer through ATM </t>
  </si>
  <si>
    <t xml:space="preserve">CWDR </t>
  </si>
  <si>
    <t xml:space="preserve"> Cash Withdrawal through ATM </t>
  </si>
  <si>
    <t xml:space="preserve">PUR </t>
  </si>
  <si>
    <t xml:space="preserve"> POS purchase </t>
  </si>
  <si>
    <t xml:space="preserve">TIP/ SCG </t>
  </si>
  <si>
    <t xml:space="preserve"> Surcharge on usage of debit card at pumps/railway ticket purchase or hotel tips </t>
  </si>
  <si>
    <t xml:space="preserve">RATE.DIFF </t>
  </si>
  <si>
    <t xml:space="preserve"> Difference in rates on usage of card internationally </t>
  </si>
  <si>
    <t xml:space="preserve">CLG </t>
  </si>
  <si>
    <t xml:space="preserve"> Cheque Clearing Transaction </t>
  </si>
  <si>
    <t xml:space="preserve">EDC </t>
  </si>
  <si>
    <t xml:space="preserve"> Credit transaction through EDC Machine </t>
  </si>
  <si>
    <t xml:space="preserve">SETU </t>
  </si>
  <si>
    <t xml:space="preserve"> Seamless electronic fund transfer through AXIS Bank </t>
  </si>
  <si>
    <t xml:space="preserve">Int.pd </t>
  </si>
  <si>
    <t xml:space="preserve"> Interest paid to customer </t>
  </si>
  <si>
    <t xml:space="preserve">Int.Coll </t>
  </si>
  <si>
    <t xml:space="preserve"> Interest collected from the customer </t>
  </si>
  <si>
    <t>HDFC BANK Ltd.                                      Page No .:   1                                          Statement of accounts</t>
  </si>
  <si>
    <t>Account Branch :NASHIK ROAD</t>
  </si>
  <si>
    <t>MR.     AAYUSH KUMAR GUPTA</t>
  </si>
  <si>
    <t>Address :SHOP NO 3,</t>
  </si>
  <si>
    <t>FLAT NO-D-07 ISHWAR PARADISE</t>
  </si>
  <si>
    <t>MITHILA APARTMENTS,</t>
  </si>
  <si>
    <t>ASHOKA MARG BEHIND FAME</t>
  </si>
  <si>
    <t>BYTCO POINT,NASHIK ROAD</t>
  </si>
  <si>
    <t>THEATRE ASHOKA MARG,NASHIK</t>
  </si>
  <si>
    <t>City :NASHIK</t>
  </si>
  <si>
    <t>NASHIK 422011</t>
  </si>
  <si>
    <t>State :MAHARASHTRA</t>
  </si>
  <si>
    <t>Phone no. :18002026161</t>
  </si>
  <si>
    <t>Email :</t>
  </si>
  <si>
    <t>JOINT HOLDERS :</t>
  </si>
  <si>
    <t>OD Limit :0   Currency :INR</t>
  </si>
  <si>
    <t>Cust ID :65298402</t>
  </si>
  <si>
    <t>Nomination  :  Registered</t>
  </si>
  <si>
    <t>Account No :50100128155413   VRM POTENTIAL</t>
  </si>
  <si>
    <t>Statement From  :  01/04/2023         To  :  31/03/2024</t>
  </si>
  <si>
    <t>A/C Open Date :08/10/2015</t>
  </si>
  <si>
    <t>Account Status :Regular</t>
  </si>
  <si>
    <t>RTGS/NEFT IFSC :HDFC0000456   MICR :422240003</t>
  </si>
  <si>
    <t>********************************************************************************************************************************************************************************************</t>
  </si>
  <si>
    <t>Date</t>
  </si>
  <si>
    <t>Narration</t>
  </si>
  <si>
    <t>Chq./Ref.No.</t>
  </si>
  <si>
    <t>Value Dt</t>
  </si>
  <si>
    <t>Withdrawal Amt.</t>
  </si>
  <si>
    <t>Deposit Amt.</t>
  </si>
  <si>
    <t>Closing Balance</t>
  </si>
  <si>
    <t>NEFT DR-UTIB0002656-AAYUSH KUMAR GUPTA-NETBANK, MUM-N091232397833081-TRANSFER FROM HDFC</t>
  </si>
  <si>
    <t>N091232397833081</t>
  </si>
  <si>
    <t>NEFT CR-UTIB0000115-JINDAL SAW LIMITED-AAYUSH KUMAR GUPTA-AXISCN0231261220</t>
  </si>
  <si>
    <t>AXISCN0231261220</t>
  </si>
  <si>
    <t>NET PI TO HSL SEC A/C 2554606-00602340029427</t>
  </si>
  <si>
    <t>0000000399867464</t>
  </si>
  <si>
    <t>NET PO FROM HSL A/C 2554606-00602340029427</t>
  </si>
  <si>
    <t>0000000399979610</t>
  </si>
  <si>
    <t>0000000400386064</t>
  </si>
  <si>
    <t>0000000400620092</t>
  </si>
  <si>
    <t>0000000400730659</t>
  </si>
  <si>
    <t>00602300000434-021333684</t>
  </si>
  <si>
    <t>0000304077582285</t>
  </si>
  <si>
    <t>0000000401078570</t>
  </si>
  <si>
    <t>0000000401189359</t>
  </si>
  <si>
    <t>0000000401415591</t>
  </si>
  <si>
    <t>0000000401522488</t>
  </si>
  <si>
    <t>0000000401746881</t>
  </si>
  <si>
    <t>0000000401852472</t>
  </si>
  <si>
    <t>DEPOSITORY CHARGES MAR23 - 52812428</t>
  </si>
  <si>
    <t>000000000000000</t>
  </si>
  <si>
    <t>0000000402064043</t>
  </si>
  <si>
    <t>0000000402179298</t>
  </si>
  <si>
    <t>50100542230922-TPT-BORROW FROM AAYUSH-ARCHIT GUPTA</t>
  </si>
  <si>
    <t>0000000340652822</t>
  </si>
  <si>
    <t>NET PAYIN TO BSE MF A/C -57500000389146- FROM A/C -50100128155413- UCC -2554606-57500000389146</t>
  </si>
  <si>
    <t>0000000402366626</t>
  </si>
  <si>
    <t>0000000402463270</t>
  </si>
  <si>
    <t>0000000402652721</t>
  </si>
  <si>
    <t>01671000085930-TPT-MONEY RETURNED TO AAYUSH-AJAY KUMAR GUPTA</t>
  </si>
  <si>
    <t>0000000246549390</t>
  </si>
  <si>
    <t>0000000402898317</t>
  </si>
  <si>
    <t>0000000402996357</t>
  </si>
  <si>
    <t>0000000403233396</t>
  </si>
  <si>
    <t>0000000403355107</t>
  </si>
  <si>
    <t>0000000403671610</t>
  </si>
  <si>
    <t>ATW-652166XXXXXX8920-CHBDL001-NASHIK</t>
  </si>
  <si>
    <t>0000000000003019</t>
  </si>
  <si>
    <t>0000000404004771</t>
  </si>
  <si>
    <t>0000000404232805</t>
  </si>
  <si>
    <t>0000000404337813</t>
  </si>
  <si>
    <t>0000000404507370</t>
  </si>
  <si>
    <t>0000000404523814</t>
  </si>
  <si>
    <t>0000000404585647</t>
  </si>
  <si>
    <t>0000000404680161</t>
  </si>
  <si>
    <t>0000000404739805</t>
  </si>
  <si>
    <t>0000000404992876</t>
  </si>
  <si>
    <t>0000000405222919</t>
  </si>
  <si>
    <t>0000000405321479</t>
  </si>
  <si>
    <t>0000000405562924</t>
  </si>
  <si>
    <t>0000000405606841</t>
  </si>
  <si>
    <t>0000000405635367</t>
  </si>
  <si>
    <t>0000000405953251</t>
  </si>
  <si>
    <t>0000000406080540</t>
  </si>
  <si>
    <t>0000000406250363</t>
  </si>
  <si>
    <t>0000000406306487</t>
  </si>
  <si>
    <t>0000000406474501</t>
  </si>
  <si>
    <t>0000000406585247</t>
  </si>
  <si>
    <t>0000000406690737</t>
  </si>
  <si>
    <t>0000000406758943</t>
  </si>
  <si>
    <t>0000000407004401</t>
  </si>
  <si>
    <t>0000000407341878</t>
  </si>
  <si>
    <t>0000000407478003</t>
  </si>
  <si>
    <t>50100542230922-TPT-MNY RTRN TO AAYUSH-ARCHIT GUPTA</t>
  </si>
  <si>
    <t>0000000206516745</t>
  </si>
  <si>
    <t>0000000407862830</t>
  </si>
  <si>
    <t>00602300000434-021882388</t>
  </si>
  <si>
    <t>0000305080489089</t>
  </si>
  <si>
    <t>0000000407948602</t>
  </si>
  <si>
    <t>0000000408127832</t>
  </si>
  <si>
    <t>0000000408304092</t>
  </si>
  <si>
    <t>01671000060094-TPT-MNY RTRN TO AAYUSH-SUNITA GUPTA</t>
  </si>
  <si>
    <t>0000000209413278</t>
  </si>
  <si>
    <t>0000000408410264</t>
  </si>
  <si>
    <t>0000000408567888</t>
  </si>
  <si>
    <t>NET PAYIN TO NSE MF A/C -00990610005906- FROM A/C -50100128155413- UCC -2554606-00990610005906</t>
  </si>
  <si>
    <t>0000000408716232</t>
  </si>
  <si>
    <t>0000000408757944</t>
  </si>
  <si>
    <t>0000000408811748</t>
  </si>
  <si>
    <t>0000000408866988</t>
  </si>
  <si>
    <t>0000000409126323</t>
  </si>
  <si>
    <t>0000000409181809</t>
  </si>
  <si>
    <t>JANMAR23 INSTAALERTCHG 30 SMS 220323-MIR2413016129235</t>
  </si>
  <si>
    <t>MIR2413016129235</t>
  </si>
  <si>
    <t>0000000409291492</t>
  </si>
  <si>
    <t>0000000409609065</t>
  </si>
  <si>
    <t>0000000409715412</t>
  </si>
  <si>
    <t>0000000410023903</t>
  </si>
  <si>
    <t>0000000410075712</t>
  </si>
  <si>
    <t>0000000410187661</t>
  </si>
  <si>
    <t>0000000410532457</t>
  </si>
  <si>
    <t>0000000410593900</t>
  </si>
  <si>
    <t>0000000410627223</t>
  </si>
  <si>
    <t>0000000410759234</t>
  </si>
  <si>
    <t>0000000410786389</t>
  </si>
  <si>
    <t>DEPOSITORY CHARGES APR23 - 52812428</t>
  </si>
  <si>
    <t>0000000410944688</t>
  </si>
  <si>
    <t>0000000411047533</t>
  </si>
  <si>
    <t>0000000411170852</t>
  </si>
  <si>
    <t>0000000411209357</t>
  </si>
  <si>
    <t>ACH C- ORACLEFINANCIALSER-00000000000000</t>
  </si>
  <si>
    <t>0000007018948138</t>
  </si>
  <si>
    <t>0000000411367958</t>
  </si>
  <si>
    <t>0000000411416238</t>
  </si>
  <si>
    <t>0000000411484496</t>
  </si>
  <si>
    <t>0000000411589436</t>
  </si>
  <si>
    <t>0000000411631699</t>
  </si>
  <si>
    <t>0000000411784697</t>
  </si>
  <si>
    <t>0000000411894102</t>
  </si>
  <si>
    <t>ACH C- SANOFIINDI DIV PYMT-71PR230518059</t>
  </si>
  <si>
    <t>0000001784311260</t>
  </si>
  <si>
    <t>0000000412269129</t>
  </si>
  <si>
    <t>01671000085930-TPT-BORROW FROM AAYUSH-AJAY KUMAR GUPTA</t>
  </si>
  <si>
    <t>0000000352560173</t>
  </si>
  <si>
    <t>0000000412383967</t>
  </si>
  <si>
    <t>0000000412400171</t>
  </si>
  <si>
    <t>0000000412443027</t>
  </si>
  <si>
    <t>0000000412566358</t>
  </si>
  <si>
    <t>0000000412667803</t>
  </si>
  <si>
    <t>0000000412836900</t>
  </si>
  <si>
    <t>0000000412895548</t>
  </si>
  <si>
    <t>0000000412996168</t>
  </si>
  <si>
    <t>0000000413149556</t>
  </si>
  <si>
    <t>0000000413265245</t>
  </si>
  <si>
    <t>0000000413320073</t>
  </si>
  <si>
    <t>0000000413395983</t>
  </si>
  <si>
    <t>0000000413453891</t>
  </si>
  <si>
    <t>0000000413589363</t>
  </si>
  <si>
    <t>0000000413612485</t>
  </si>
  <si>
    <t>0000000413766698</t>
  </si>
  <si>
    <t>0000000413876002</t>
  </si>
  <si>
    <t>0000000414170271</t>
  </si>
  <si>
    <t>0000000414343930</t>
  </si>
  <si>
    <t>0000000414659264</t>
  </si>
  <si>
    <t>0000000414781920</t>
  </si>
  <si>
    <t>0000000415058842</t>
  </si>
  <si>
    <t>0000000415177335</t>
  </si>
  <si>
    <t>0000000415529071</t>
  </si>
  <si>
    <t>0000000415550126</t>
  </si>
  <si>
    <t>0000000415651103</t>
  </si>
  <si>
    <t>0000000415983942</t>
  </si>
  <si>
    <t>0000000416105094</t>
  </si>
  <si>
    <t>0000000416522059</t>
  </si>
  <si>
    <t>0000000416646298</t>
  </si>
  <si>
    <t>NEFT CR-UTIB0002656-AAYUSH KUMAR GUPTA-AAYUSH KUMAR GUPTA-AXIR231562638106</t>
  </si>
  <si>
    <t>AXIR231562638106</t>
  </si>
  <si>
    <t>0000000416976129</t>
  </si>
  <si>
    <t>0000000417110912</t>
  </si>
  <si>
    <t>0000000417279713</t>
  </si>
  <si>
    <t>0000000417437116</t>
  </si>
  <si>
    <t>00602300000434-022297043</t>
  </si>
  <si>
    <t>0000306073476781</t>
  </si>
  <si>
    <t>0000000417549430</t>
  </si>
  <si>
    <t>0000000417734696</t>
  </si>
  <si>
    <t>0000000417901355</t>
  </si>
  <si>
    <t>0000000418046757</t>
  </si>
  <si>
    <t>0000000418359988</t>
  </si>
  <si>
    <t>01671000085930-TPT-MONY RTRN TO AAYUSH-AJAY KUMAR GUPTA</t>
  </si>
  <si>
    <t>0000000214609310</t>
  </si>
  <si>
    <t>0000000418491490</t>
  </si>
  <si>
    <t>0000000418790074</t>
  </si>
  <si>
    <t>0000000418896963</t>
  </si>
  <si>
    <t>0000000418991770</t>
  </si>
  <si>
    <t>0000000419041445</t>
  </si>
  <si>
    <t>0000000419170959</t>
  </si>
  <si>
    <t>0000000419236744</t>
  </si>
  <si>
    <t>0000000419424391</t>
  </si>
  <si>
    <t>0000000419531895</t>
  </si>
  <si>
    <t>0000000419852792</t>
  </si>
  <si>
    <t>0000000419889782</t>
  </si>
  <si>
    <t>ACH C- STATE BANK OF INDIA-2207855</t>
  </si>
  <si>
    <t>0000002499156184</t>
  </si>
  <si>
    <t>0000000419984100</t>
  </si>
  <si>
    <t>0000000420105853</t>
  </si>
  <si>
    <t>0000000420164098</t>
  </si>
  <si>
    <t>0000000420276841</t>
  </si>
  <si>
    <t>0000000420337299</t>
  </si>
  <si>
    <t>0000000420483220</t>
  </si>
  <si>
    <t>DEPOSITORY CHARGES MAY23 - 52812428</t>
  </si>
  <si>
    <t>0000000420820818</t>
  </si>
  <si>
    <t>ACH C- IIL FINAL 2022 23-114305</t>
  </si>
  <si>
    <t>0000002607076453</t>
  </si>
  <si>
    <t>0000000420926097</t>
  </si>
  <si>
    <t>0000000421070179</t>
  </si>
  <si>
    <t>0000000421113525</t>
  </si>
  <si>
    <t>0000000421307767</t>
  </si>
  <si>
    <t>0000000421447083</t>
  </si>
  <si>
    <t>0000000421582307</t>
  </si>
  <si>
    <t>0000000421631189</t>
  </si>
  <si>
    <t>0000000421823505</t>
  </si>
  <si>
    <t>0000000421926470</t>
  </si>
  <si>
    <t>0000000422064425</t>
  </si>
  <si>
    <t>0000000422114159</t>
  </si>
  <si>
    <t>0000000422287077</t>
  </si>
  <si>
    <t>0000000422374151</t>
  </si>
  <si>
    <t>0000000422397796</t>
  </si>
  <si>
    <t>0000000422539416</t>
  </si>
  <si>
    <t>0000000422577528</t>
  </si>
  <si>
    <t>0000000422731203</t>
  </si>
  <si>
    <t>0000000422859113</t>
  </si>
  <si>
    <t>0000000423189462</t>
  </si>
  <si>
    <t>0000000423332891</t>
  </si>
  <si>
    <t>0000000423629052</t>
  </si>
  <si>
    <t>0000000423728383</t>
  </si>
  <si>
    <t>0000000423837880</t>
  </si>
  <si>
    <t>01671000085930-TPT-BORROW FROM AKG-AJAY KUMAR GUPTA</t>
  </si>
  <si>
    <t>0000000379386192</t>
  </si>
  <si>
    <t>0000000424186057</t>
  </si>
  <si>
    <t>HDFC ASSET DIV 22 2300000000000002699441</t>
  </si>
  <si>
    <t>0000231778767366</t>
  </si>
  <si>
    <t>0000000424297051</t>
  </si>
  <si>
    <t>0000000424624946</t>
  </si>
  <si>
    <t>0000000424746985</t>
  </si>
  <si>
    <t>0000000425074683</t>
  </si>
  <si>
    <t>CREDIT INTEREST CAPITALISED</t>
  </si>
  <si>
    <t>0000000425185692</t>
  </si>
  <si>
    <t>0000000425643083</t>
  </si>
  <si>
    <t>ACH C- TCS FINDIV 030723-1808047</t>
  </si>
  <si>
    <t>0000002954151336</t>
  </si>
  <si>
    <t>ACH C- INFOSYS LIMITED-35114396</t>
  </si>
  <si>
    <t>0000002909404863</t>
  </si>
  <si>
    <t>0000000425712968</t>
  </si>
  <si>
    <t>0000000425764997</t>
  </si>
  <si>
    <t>0000000425811881</t>
  </si>
  <si>
    <t>0000000426265053</t>
  </si>
  <si>
    <t>0000000426399763</t>
  </si>
  <si>
    <t>0000000426507800</t>
  </si>
  <si>
    <t>0000000426507801</t>
  </si>
  <si>
    <t>01671000085930-TPT-RETRUN FROM AAYUSH-AJAY KUMAR GUPTA</t>
  </si>
  <si>
    <t>0000000419378611</t>
  </si>
  <si>
    <t>0000000426692846</t>
  </si>
  <si>
    <t>0000000426769791</t>
  </si>
  <si>
    <t>0000000426813934</t>
  </si>
  <si>
    <t>0000000426965812</t>
  </si>
  <si>
    <t>0000000427004508</t>
  </si>
  <si>
    <t>0000000427292989</t>
  </si>
  <si>
    <t>0000000427664789</t>
  </si>
  <si>
    <t>00602300000434-022673417</t>
  </si>
  <si>
    <t>0000307077755984</t>
  </si>
  <si>
    <t>0000000427793164</t>
  </si>
  <si>
    <t>0000000428237393</t>
  </si>
  <si>
    <t>0000000428390107</t>
  </si>
  <si>
    <t>0000000428688317</t>
  </si>
  <si>
    <t>0000000428757433</t>
  </si>
  <si>
    <t>0000000428824400</t>
  </si>
  <si>
    <t>0000000428868082</t>
  </si>
  <si>
    <t>0000000428988590</t>
  </si>
  <si>
    <t>0000000429037098</t>
  </si>
  <si>
    <t>0000000429202941</t>
  </si>
  <si>
    <t>0000000429304496</t>
  </si>
  <si>
    <t>0000000429345877</t>
  </si>
  <si>
    <t>0000000429696587</t>
  </si>
  <si>
    <t>0000000429833164</t>
  </si>
  <si>
    <t>0000000430118794</t>
  </si>
  <si>
    <t>0000000430163949</t>
  </si>
  <si>
    <t>0000000430277881</t>
  </si>
  <si>
    <t>0000000430612383</t>
  </si>
  <si>
    <t>0000000430704708</t>
  </si>
  <si>
    <t>0000000430837118</t>
  </si>
  <si>
    <t>0000000431029697</t>
  </si>
  <si>
    <t>0000000431201029</t>
  </si>
  <si>
    <t>DEPOSITORY CHARGES JUN23 - 52812428</t>
  </si>
  <si>
    <t>APRJUN23 INSTAALERTCHG 30 SMS 220523-MIR2419958622424</t>
  </si>
  <si>
    <t>MIR2419958622424</t>
  </si>
  <si>
    <t>0000000431347927</t>
  </si>
  <si>
    <t>0000000431595289</t>
  </si>
  <si>
    <t>ACH C- BOB DIVDND FY2022-23-9608629</t>
  </si>
  <si>
    <t>0000003558278672</t>
  </si>
  <si>
    <t>0000000431651063</t>
  </si>
  <si>
    <t>0000000431698145</t>
  </si>
  <si>
    <t>0000000431759213</t>
  </si>
  <si>
    <t>0000000431945263</t>
  </si>
  <si>
    <t>0000000431969977</t>
  </si>
  <si>
    <t>0000000432087885</t>
  </si>
  <si>
    <t>0000000432328175</t>
  </si>
  <si>
    <t>0000000432337700</t>
  </si>
  <si>
    <t>ACH C- ALUFLUORIDE LIMITED-7556</t>
  </si>
  <si>
    <t>0000003615635303</t>
  </si>
  <si>
    <t>0000000432464769</t>
  </si>
  <si>
    <t>84964259/HDFCLIFEULIP</t>
  </si>
  <si>
    <t>0002320322920809</t>
  </si>
  <si>
    <t>ACH C- LTIMINDTREE FNL22 23-391050</t>
  </si>
  <si>
    <t>0000003651311998</t>
  </si>
  <si>
    <t>0000000432760542</t>
  </si>
  <si>
    <t>0000000432906418</t>
  </si>
  <si>
    <t>UPI-AJAY KUMAR GUPTA-AJAYGUPTANEL@YBL-HDFC0000167-357202875221-BORROW FROM AJAY</t>
  </si>
  <si>
    <t>0000357202875221</t>
  </si>
  <si>
    <t>0000000433097818</t>
  </si>
  <si>
    <t>0000000433176610</t>
  </si>
  <si>
    <t>01671000085930-TPT-MONEY RETURNED-AJAY KUMAR GUPTA</t>
  </si>
  <si>
    <t>0000000101391184</t>
  </si>
  <si>
    <t>0000000433311841</t>
  </si>
  <si>
    <t>0000000433549172</t>
  </si>
  <si>
    <t>0000000433686174</t>
  </si>
  <si>
    <t>ACH C- IDBI BANK LIMITED-13351311</t>
  </si>
  <si>
    <t>0000003638347512</t>
  </si>
  <si>
    <t>0000000434078429</t>
  </si>
  <si>
    <t>0000000434339050</t>
  </si>
  <si>
    <t>0000000434455804</t>
  </si>
  <si>
    <t>0000000434716588</t>
  </si>
  <si>
    <t>0000000434847368</t>
  </si>
  <si>
    <t>0000000435132695</t>
  </si>
  <si>
    <t>0000000435277948</t>
  </si>
  <si>
    <t>0000000435345178</t>
  </si>
  <si>
    <t>0000000435699909</t>
  </si>
  <si>
    <t>0000000435983244</t>
  </si>
  <si>
    <t>0000000436263052</t>
  </si>
  <si>
    <t>0000000436508988</t>
  </si>
  <si>
    <t>0000000436652647</t>
  </si>
  <si>
    <t>01671000085930-TPT-BORW FROM AJAY-AJAY KUMAR GUPTA</t>
  </si>
  <si>
    <t>0000000246111258</t>
  </si>
  <si>
    <t>0000000436860564</t>
  </si>
  <si>
    <t>UPI-AJAY KUMAR GUPTA-AJAYGUPTANEL@YBL-HDFC0000167-358542458244-BORROW FROM AKG</t>
  </si>
  <si>
    <t>0000358542458244</t>
  </si>
  <si>
    <t>0000000437015024</t>
  </si>
  <si>
    <t>ACH C- MAHINDRA &amp; MAHINDRA-40494263</t>
  </si>
  <si>
    <t>0000004261634433</t>
  </si>
  <si>
    <t>ACH C- TCS1STINTDIV070823-1772629</t>
  </si>
  <si>
    <t>0000004276696480</t>
  </si>
  <si>
    <t>00602300000434-023090899</t>
  </si>
  <si>
    <t>0000308072555992</t>
  </si>
  <si>
    <t>01671000085930-TPT-BORROW FROM AJAY-AJAY KUMAR GUPTA</t>
  </si>
  <si>
    <t>0000000155895867</t>
  </si>
  <si>
    <t>0000000437149919</t>
  </si>
  <si>
    <t>0000000437225003</t>
  </si>
  <si>
    <t>0000000437416555</t>
  </si>
  <si>
    <t>ALEMBIC PHA DIV22 2300000000000000017339</t>
  </si>
  <si>
    <t>0000232190018217</t>
  </si>
  <si>
    <t>0000000437563749</t>
  </si>
  <si>
    <t>0000000437813804</t>
  </si>
  <si>
    <t>0000000437941390</t>
  </si>
  <si>
    <t>0000000438240164</t>
  </si>
  <si>
    <t>0000000438380114</t>
  </si>
  <si>
    <t>0000000438579583</t>
  </si>
  <si>
    <t>0000000438653615</t>
  </si>
  <si>
    <t>0000000438785584</t>
  </si>
  <si>
    <t>1108486372 HDFC BANK DIVIDEND 2022-2023</t>
  </si>
  <si>
    <t>0000110823122514</t>
  </si>
  <si>
    <t>0000000439008880</t>
  </si>
  <si>
    <t>0000000439087975</t>
  </si>
  <si>
    <t>0000000439245920</t>
  </si>
  <si>
    <t>0000000439440609</t>
  </si>
  <si>
    <t>0000000439538950</t>
  </si>
  <si>
    <t>0000000439871613</t>
  </si>
  <si>
    <t>0000000440021445</t>
  </si>
  <si>
    <t>0000000440090517</t>
  </si>
  <si>
    <t>0000000440304719</t>
  </si>
  <si>
    <t>DEPOSITORY CHARGES JUL23 - 52812428</t>
  </si>
  <si>
    <t>0000000440458462</t>
  </si>
  <si>
    <t>0000000440746354</t>
  </si>
  <si>
    <t>0000000440903675</t>
  </si>
  <si>
    <t>0000000441195793</t>
  </si>
  <si>
    <t>0000000441321510</t>
  </si>
  <si>
    <t>0000000441585027</t>
  </si>
  <si>
    <t>0000000441609985</t>
  </si>
  <si>
    <t>0000000441666920</t>
  </si>
  <si>
    <t>0000000441732080</t>
  </si>
  <si>
    <t>0000000219090699</t>
  </si>
  <si>
    <t>0000000441939511</t>
  </si>
  <si>
    <t>0000000442001502</t>
  </si>
  <si>
    <t>0000000442139637</t>
  </si>
  <si>
    <t>0000000442343008</t>
  </si>
  <si>
    <t>0000000442405520</t>
  </si>
  <si>
    <t>0000000442576450</t>
  </si>
  <si>
    <t>0000000442938276</t>
  </si>
  <si>
    <t>ACH C- RELIANCE INDUSTRIES-232932001</t>
  </si>
  <si>
    <t>0000004928593648</t>
  </si>
  <si>
    <t>NET PO FROM HSL A/C 2554606-50200085415108</t>
  </si>
  <si>
    <t>0000000443188114</t>
  </si>
  <si>
    <t>0000000443329520</t>
  </si>
  <si>
    <t>AEROFLEXG/2400024022124775-50200036338720</t>
  </si>
  <si>
    <t>0000000406778677</t>
  </si>
  <si>
    <t>0000000443570310</t>
  </si>
  <si>
    <t>0000000443705023</t>
  </si>
  <si>
    <t>01671000085930-TPT-FROM AKG-AJAY KUMAR GUPTA</t>
  </si>
  <si>
    <t>0000000246853897</t>
  </si>
  <si>
    <t>0000000443832423</t>
  </si>
  <si>
    <t>0000000444059719</t>
  </si>
  <si>
    <t>0000000444239928</t>
  </si>
  <si>
    <t>0000000444532295</t>
  </si>
  <si>
    <t>ACH C- LIFE INSURANCE CORPO-7028328</t>
  </si>
  <si>
    <t>0000004829520831</t>
  </si>
  <si>
    <t>ACH C- ICICI BANK LTD.-5894416</t>
  </si>
  <si>
    <t>0000005017514010</t>
  </si>
  <si>
    <t>ACH C- NGLFINECHEMLIMITE-0000IN301549528</t>
  </si>
  <si>
    <t>0000007062470244</t>
  </si>
  <si>
    <t>0000000444699660</t>
  </si>
  <si>
    <t>0000000445158486</t>
  </si>
  <si>
    <t>ACH C- DIVISLABORATORIES-000000000000030</t>
  </si>
  <si>
    <t>0000007066994247</t>
  </si>
  <si>
    <t>0000000445480746</t>
  </si>
  <si>
    <t>0000000445668824</t>
  </si>
  <si>
    <t>INFO EDGE DIV22 2300000000000000038172</t>
  </si>
  <si>
    <t>0000232475321837</t>
  </si>
  <si>
    <t>ACH C- BHARAT PETROLEUM COR-BPCLIN301549</t>
  </si>
  <si>
    <t>0000005071732950</t>
  </si>
  <si>
    <t>0000000445953755</t>
  </si>
  <si>
    <t>0000000446101600</t>
  </si>
  <si>
    <t>0000000446256007</t>
  </si>
  <si>
    <t>0000000446516292</t>
  </si>
  <si>
    <t>ACH C- INDIANENERGYEXCHAN-00000000000005</t>
  </si>
  <si>
    <t>0000007173635250</t>
  </si>
  <si>
    <t>00602300000434-023562798</t>
  </si>
  <si>
    <t>0000309078182222</t>
  </si>
  <si>
    <t>0000000446792665</t>
  </si>
  <si>
    <t>0000000446933380</t>
  </si>
  <si>
    <t>0000000447205575</t>
  </si>
  <si>
    <t>0000000447314572</t>
  </si>
  <si>
    <t>0000000447444530</t>
  </si>
  <si>
    <t>ISAQMC-JAN-MAR23-417944 310723-MIR2425184892270</t>
  </si>
  <si>
    <t>MIR2425184892270</t>
  </si>
  <si>
    <t>0000000447524535</t>
  </si>
  <si>
    <t>0000000447598176</t>
  </si>
  <si>
    <t>0000000447626853</t>
  </si>
  <si>
    <t>0000000447888197</t>
  </si>
  <si>
    <t>0000000448011995</t>
  </si>
  <si>
    <t>0000000448105318</t>
  </si>
  <si>
    <t>0000000410810213</t>
  </si>
  <si>
    <t>0000000448384431</t>
  </si>
  <si>
    <t>0000000448514122</t>
  </si>
  <si>
    <t>0000000448712606</t>
  </si>
  <si>
    <t>0000000448772252</t>
  </si>
  <si>
    <t>0000000448909899</t>
  </si>
  <si>
    <t>0000000449097549</t>
  </si>
  <si>
    <t>ATW-652166XXXXXX8920-S1ANMN04-NASHIK</t>
  </si>
  <si>
    <t>0000000000009912</t>
  </si>
  <si>
    <t>0000000449382786</t>
  </si>
  <si>
    <t>0000000449573083</t>
  </si>
  <si>
    <t>DEPOSITORY CHARGES AUG23 - 52812428</t>
  </si>
  <si>
    <t>0000000449717053</t>
  </si>
  <si>
    <t>0000000449858140</t>
  </si>
  <si>
    <t>0000000450001205</t>
  </si>
  <si>
    <t>0000000450116852</t>
  </si>
  <si>
    <t>0000000450190827</t>
  </si>
  <si>
    <t>0000000450458070</t>
  </si>
  <si>
    <t>0000000450646400</t>
  </si>
  <si>
    <t>01671000060094-TPT-FROM AAYUSH-SUNITA GUPTA</t>
  </si>
  <si>
    <t>0000000442259920</t>
  </si>
  <si>
    <t>0000000450879713</t>
  </si>
  <si>
    <t>0000000451052598</t>
  </si>
  <si>
    <t>0000000451187549</t>
  </si>
  <si>
    <t>0000000451250593</t>
  </si>
  <si>
    <t>0000000451329829</t>
  </si>
  <si>
    <t>0000000451498485</t>
  </si>
  <si>
    <t>0000000451736852</t>
  </si>
  <si>
    <t>0000000451997133</t>
  </si>
  <si>
    <t>0000000452123977</t>
  </si>
  <si>
    <t>YHDF2090683091/BILLDKINDIANCLEARING</t>
  </si>
  <si>
    <t>0002327028554507</t>
  </si>
  <si>
    <t>0000000452258424</t>
  </si>
  <si>
    <t>0000000452409342</t>
  </si>
  <si>
    <t>0000000452536820</t>
  </si>
  <si>
    <t>0000000452610921</t>
  </si>
  <si>
    <t>0000000452686340</t>
  </si>
  <si>
    <t>JSINFRA/2400024055226136-50200036338720</t>
  </si>
  <si>
    <t>0000000406925147</t>
  </si>
  <si>
    <t>0000000452866921</t>
  </si>
  <si>
    <t>GARWARE TEC DIV22 2300000000000000007972</t>
  </si>
  <si>
    <t>0000232714176900</t>
  </si>
  <si>
    <t>0000000453081088</t>
  </si>
  <si>
    <t>MJIRQYQBRH5ISB/RAZPMAXBUPAHEALTHINS</t>
  </si>
  <si>
    <t>0002327629120600</t>
  </si>
  <si>
    <t>0000000453452419</t>
  </si>
  <si>
    <t>0000000453666328</t>
  </si>
  <si>
    <t>0000000453725692</t>
  </si>
  <si>
    <t>0000000453927536</t>
  </si>
  <si>
    <t>0000000454208285</t>
  </si>
  <si>
    <t>0000000454452140</t>
  </si>
  <si>
    <t>0000000454474841</t>
  </si>
  <si>
    <t>0000000454582859</t>
  </si>
  <si>
    <t>0000000454714397</t>
  </si>
  <si>
    <t>00602300000434-024052645</t>
  </si>
  <si>
    <t>0000310072403205</t>
  </si>
  <si>
    <t>0000000455061889</t>
  </si>
  <si>
    <t>0000000455255076</t>
  </si>
  <si>
    <t>0000000455544381</t>
  </si>
  <si>
    <t>0000000455758819</t>
  </si>
  <si>
    <t>0000000455833766</t>
  </si>
  <si>
    <t>0000000455919749</t>
  </si>
  <si>
    <t>0000000456133580</t>
  </si>
  <si>
    <t>0000000456284882</t>
  </si>
  <si>
    <t>DEPOSITORY CHARGES SEP23 - 52812428</t>
  </si>
  <si>
    <t>ACH C- POWER MECH PROJECTS-715399</t>
  </si>
  <si>
    <t>0000006414479535</t>
  </si>
  <si>
    <t>0000000456404952</t>
  </si>
  <si>
    <t>0000000456530408</t>
  </si>
  <si>
    <t>0000000456637637</t>
  </si>
  <si>
    <t>0000000456727280</t>
  </si>
  <si>
    <t>0000000456780830</t>
  </si>
  <si>
    <t>0000000457083132</t>
  </si>
  <si>
    <t>ACH C- TEXMACO RAIL &amp; ENGIN-1388123</t>
  </si>
  <si>
    <t>0000006530918789</t>
  </si>
  <si>
    <t>0000000457223504</t>
  </si>
  <si>
    <t>0000000457464696</t>
  </si>
  <si>
    <t>0000000457598817</t>
  </si>
  <si>
    <t>0000000457725062</t>
  </si>
  <si>
    <t>0000000457857495</t>
  </si>
  <si>
    <t>0000000458010512</t>
  </si>
  <si>
    <t>0000000458248864</t>
  </si>
  <si>
    <t>0000000458400705</t>
  </si>
  <si>
    <t>0000000458515842</t>
  </si>
  <si>
    <t>0000000458653511</t>
  </si>
  <si>
    <t>0000000458768595</t>
  </si>
  <si>
    <t>0000000458826031</t>
  </si>
  <si>
    <t>01671000060094-TPT-RETURN TO AAYUSH-SUNITA GUPTA</t>
  </si>
  <si>
    <t>0000000356648625</t>
  </si>
  <si>
    <t>0000000459109165</t>
  </si>
  <si>
    <t>0000000459310004</t>
  </si>
  <si>
    <t>IMPS-329711427436-TAPITS TECHNOLOGIES-ICIC-XXXXXXXX8888-HDFCLIFENB</t>
  </si>
  <si>
    <t>0000329711427436</t>
  </si>
  <si>
    <t>01671000085930-TPT-GIFT TO AAYUSH-AJAY KUMAR GUPTA</t>
  </si>
  <si>
    <t>0000000661291273</t>
  </si>
  <si>
    <t>MS3A0W4CLCQX9H/RAZPHDFCLIFEINSURANC</t>
  </si>
  <si>
    <t>0002329731172589</t>
  </si>
  <si>
    <t>0000000459441188</t>
  </si>
  <si>
    <t>0000000459598764</t>
  </si>
  <si>
    <t>0000000459726648</t>
  </si>
  <si>
    <t>0000000459775677</t>
  </si>
  <si>
    <t>0000000460024759</t>
  </si>
  <si>
    <t>0000000460213552</t>
  </si>
  <si>
    <t>0000000460487967</t>
  </si>
  <si>
    <t>0000000460584247</t>
  </si>
  <si>
    <t>0000000460721197</t>
  </si>
  <si>
    <t>ACH D- INDIAN CLEARING CORP-P25847674X05</t>
  </si>
  <si>
    <t>0000006795333205</t>
  </si>
  <si>
    <t>0000006795335397</t>
  </si>
  <si>
    <t>0000000460872159</t>
  </si>
  <si>
    <t>0000000461028126</t>
  </si>
  <si>
    <t>0000000461144827</t>
  </si>
  <si>
    <t>0000000461229344</t>
  </si>
  <si>
    <t>0000000461365849</t>
  </si>
  <si>
    <t>0000000461492336</t>
  </si>
  <si>
    <t>0000000461636407</t>
  </si>
  <si>
    <t>0000000461798751</t>
  </si>
  <si>
    <t>0000000462018478</t>
  </si>
  <si>
    <t>0000000462124852</t>
  </si>
  <si>
    <t>0000000462238404</t>
  </si>
  <si>
    <t>0000000462406032</t>
  </si>
  <si>
    <t>0000000462523201</t>
  </si>
  <si>
    <t>NEFT CR-UTIB0002656-AAYUSH KUMAR GUPTA-AAYUSH KUMAR GUPTA-AXOIR33099676704</t>
  </si>
  <si>
    <t>AXOIR33099676704</t>
  </si>
  <si>
    <t>0000000462649867</t>
  </si>
  <si>
    <t>0000000462660082</t>
  </si>
  <si>
    <t>0000000462832659</t>
  </si>
  <si>
    <t>0611104786 LTIMINDTREE LIMITED INT DIV 2</t>
  </si>
  <si>
    <t>0000061123124866</t>
  </si>
  <si>
    <t>ACH C- INFOSYS LIMITED-38356468</t>
  </si>
  <si>
    <t>0000007026608299</t>
  </si>
  <si>
    <t>0000000462920638</t>
  </si>
  <si>
    <t>0000000463072182</t>
  </si>
  <si>
    <t>0000000463246733</t>
  </si>
  <si>
    <t>ACH C- TCS2NDINTDIV071123-1911711</t>
  </si>
  <si>
    <t>0000006962985637</t>
  </si>
  <si>
    <t>0000000463309725</t>
  </si>
  <si>
    <t>00602300000434-024470371</t>
  </si>
  <si>
    <t>0000311076717944</t>
  </si>
  <si>
    <t>0000000463364058</t>
  </si>
  <si>
    <t>0000000463599308</t>
  </si>
  <si>
    <t>0000000463736783</t>
  </si>
  <si>
    <t>0000000463859853</t>
  </si>
  <si>
    <t>0000000463964969</t>
  </si>
  <si>
    <t>0000000464114886</t>
  </si>
  <si>
    <t>0000000464234597</t>
  </si>
  <si>
    <t>ISAQMC-APR-JUN23-417944 031023-MIR2431348541703</t>
  </si>
  <si>
    <t>MIR2431348541703</t>
  </si>
  <si>
    <t>JULSEP23 INSTAALERTCHG 52 SMS 031023-MIR2431348541726</t>
  </si>
  <si>
    <t>MIR2431348541726</t>
  </si>
  <si>
    <t>0000000464377073</t>
  </si>
  <si>
    <t>0000000464520315</t>
  </si>
  <si>
    <t>0000000464780823</t>
  </si>
  <si>
    <t>0000000464886758</t>
  </si>
  <si>
    <t>0000000465176424</t>
  </si>
  <si>
    <t>01671000060094-TPT-BORROW FROM AAYUSH-SUNITA GUPTA</t>
  </si>
  <si>
    <t>0000000241451617</t>
  </si>
  <si>
    <t>0000000465290310</t>
  </si>
  <si>
    <t>0000000465440884</t>
  </si>
  <si>
    <t>DEPOSITORY CHARGES OCT23 - 52812428</t>
  </si>
  <si>
    <t>0000000465580487</t>
  </si>
  <si>
    <t>0000000465824649</t>
  </si>
  <si>
    <t>01671000060094-TPT-MONEY RETURN TO AAYUSH-SUNITA GUPTA</t>
  </si>
  <si>
    <t>0000000547886248</t>
  </si>
  <si>
    <t>0000000466066745</t>
  </si>
  <si>
    <t>0000000466090484</t>
  </si>
  <si>
    <t>0000000466204136</t>
  </si>
  <si>
    <t>0000000466362530</t>
  </si>
  <si>
    <t>0000000466671851</t>
  </si>
  <si>
    <t>0000000466935494</t>
  </si>
  <si>
    <t>0000000466954477</t>
  </si>
  <si>
    <t>0000000467056442</t>
  </si>
  <si>
    <t>0000000467296388</t>
  </si>
  <si>
    <t>0000000467321009</t>
  </si>
  <si>
    <t>0000000467444534</t>
  </si>
  <si>
    <t>0000000467533314</t>
  </si>
  <si>
    <t>0000000467570713</t>
  </si>
  <si>
    <t>0000000467814380</t>
  </si>
  <si>
    <t>BIRLASOFT DIV 23 2400000000000000038702</t>
  </si>
  <si>
    <t>0000233266717959</t>
  </si>
  <si>
    <t>0000000467876604</t>
  </si>
  <si>
    <t>0000000467922716</t>
  </si>
  <si>
    <t>0000000468151053</t>
  </si>
  <si>
    <t>ACH C- MPS INT1DIV2024-WN003447CLIN30154</t>
  </si>
  <si>
    <t>0000007990578472</t>
  </si>
  <si>
    <t>0000000468297308</t>
  </si>
  <si>
    <t>0000007976432319</t>
  </si>
  <si>
    <t>0000000468604924</t>
  </si>
  <si>
    <t>0000000468864848</t>
  </si>
  <si>
    <t>0000000469010399</t>
  </si>
  <si>
    <t>INFO EDGE DIV 23 2400000000000000035206</t>
  </si>
  <si>
    <t>0000233327930425</t>
  </si>
  <si>
    <t>TATAG/2400024058112269-50200036338720</t>
  </si>
  <si>
    <t>0000000407177444</t>
  </si>
  <si>
    <t>0000000469236778</t>
  </si>
  <si>
    <t>0000000469263647</t>
  </si>
  <si>
    <t>0000008068089377</t>
  </si>
  <si>
    <t>0000000469389988</t>
  </si>
  <si>
    <t>STYLAM IND DIV22 2300000000000000006009</t>
  </si>
  <si>
    <t>0000233348425679</t>
  </si>
  <si>
    <t>0000000469543605</t>
  </si>
  <si>
    <t>0000000469857121</t>
  </si>
  <si>
    <t>ISAQMC-JUL-SEP23-417944 261023-MIR2433506603891</t>
  </si>
  <si>
    <t>MIR2433506603891</t>
  </si>
  <si>
    <t>01671000085930-TPT-BORROW FROM AAYUSH TO AKG-AJAY KUMAR GUPTA</t>
  </si>
  <si>
    <t>0000000399738223</t>
  </si>
  <si>
    <t>0000000470034943</t>
  </si>
  <si>
    <t>0000000470228870</t>
  </si>
  <si>
    <t>0000000470404128</t>
  </si>
  <si>
    <t>0000000470501993</t>
  </si>
  <si>
    <t>0000000470552832</t>
  </si>
  <si>
    <t>0000000470861877</t>
  </si>
  <si>
    <t>ATW-652166XXXXXX7402-S1ANMN04-NASHIK</t>
  </si>
  <si>
    <t>0000000000007680</t>
  </si>
  <si>
    <t>0000000471023214</t>
  </si>
  <si>
    <t>0000000471164284</t>
  </si>
  <si>
    <t>0000000471284712</t>
  </si>
  <si>
    <t>0000000471458687</t>
  </si>
  <si>
    <t>0000000471607853</t>
  </si>
  <si>
    <t>FT- ADITYA BSLMF-POOL RED A/C - BIRLA MF-RED-DC-F NO.  1040257989- 16</t>
  </si>
  <si>
    <t>0000000508316072</t>
  </si>
  <si>
    <t>0000000471737942</t>
  </si>
  <si>
    <t>YHDF2165733280/BILLDKINDIANCLEARING</t>
  </si>
  <si>
    <t>0002334135667698</t>
  </si>
  <si>
    <t>ACH C- POWER FINANCE CORPOR-12156202</t>
  </si>
  <si>
    <t>0000008349801515</t>
  </si>
  <si>
    <t>00602300000434-024929018</t>
  </si>
  <si>
    <t>0000312073084366</t>
  </si>
  <si>
    <t>0000000471906737</t>
  </si>
  <si>
    <t>0000000472177992</t>
  </si>
  <si>
    <t>DEPOSITORY CHARGES NOV23 - 52812428</t>
  </si>
  <si>
    <t>0000000472361797</t>
  </si>
  <si>
    <t>0000000472720682</t>
  </si>
  <si>
    <t>UPI-AJAY KUMAR GUPTA-AJAYGUPTANEL@AXL-HDFC0000167-371131486874-TRANSFER FROM AAYU</t>
  </si>
  <si>
    <t>0000371131486874</t>
  </si>
  <si>
    <t>0000000473063224</t>
  </si>
  <si>
    <t>0000000473087245</t>
  </si>
  <si>
    <t>UPI-AJAY KUMAR GUPTA-AJAYGUPTANEL@YBL-HDFC0000167-371248964667-RETURNED TO AAYUSH</t>
  </si>
  <si>
    <t>0000371248964667</t>
  </si>
  <si>
    <t>0000000473206037</t>
  </si>
  <si>
    <t>0000000473387884</t>
  </si>
  <si>
    <t>0000000473533593</t>
  </si>
  <si>
    <t>0000000473642390</t>
  </si>
  <si>
    <t>0000000473809710</t>
  </si>
  <si>
    <t>01671000085930-TPT-TRANSFER FROM AJAY HDFC-AJAY KUMAR GUPTA</t>
  </si>
  <si>
    <t>0000000350320214</t>
  </si>
  <si>
    <t>0000000474064670</t>
  </si>
  <si>
    <t>01671000085930-TPT-FROM HDFC AKG-AJAY KUMAR GUPTA</t>
  </si>
  <si>
    <t>0000000353788029</t>
  </si>
  <si>
    <t>0000000474220571</t>
  </si>
  <si>
    <t>0000000474362870</t>
  </si>
  <si>
    <t>0000000474504051</t>
  </si>
  <si>
    <t>0000000762824930</t>
  </si>
  <si>
    <t>0000000474779537</t>
  </si>
  <si>
    <t>0000000474965024</t>
  </si>
  <si>
    <t>0000000475240023</t>
  </si>
  <si>
    <t>0000000475384792</t>
  </si>
  <si>
    <t>0000000475649263</t>
  </si>
  <si>
    <t>0000000475670286</t>
  </si>
  <si>
    <t>0000000475790271</t>
  </si>
  <si>
    <t>0000000476135115</t>
  </si>
  <si>
    <t>0000000476151579</t>
  </si>
  <si>
    <t>0000000476292448</t>
  </si>
  <si>
    <t>0000000476431559</t>
  </si>
  <si>
    <t>0000000476709095</t>
  </si>
  <si>
    <t>0000000476835565</t>
  </si>
  <si>
    <t>0000000477186573</t>
  </si>
  <si>
    <t>0000000477340133</t>
  </si>
  <si>
    <t>0000000477597932</t>
  </si>
  <si>
    <t>0000000477744263</t>
  </si>
  <si>
    <t>ACH D- TP ACH INDIANESIGN-1322787437</t>
  </si>
  <si>
    <t>0000008905687513</t>
  </si>
  <si>
    <t>0000000478002383</t>
  </si>
  <si>
    <t>0000000478288317</t>
  </si>
  <si>
    <t>0000000478413971</t>
  </si>
  <si>
    <t>0000000478578118</t>
  </si>
  <si>
    <t>01671000060094-TPT-MONEY RETURNED FROM AAYUSH TO SUNITA-SUNITA GUPTA</t>
  </si>
  <si>
    <t>0000000314565761</t>
  </si>
  <si>
    <t>ACH D- TP ACH INDIANESIGN-1325427826</t>
  </si>
  <si>
    <t>0000008979329207</t>
  </si>
  <si>
    <t>0000000478919237</t>
  </si>
  <si>
    <t>0000000479096520</t>
  </si>
  <si>
    <t>0000000479359348</t>
  </si>
  <si>
    <t>01671000060094-TPT-BORROW FROM SUNITA TO AAYUSH-SUNITA GUPTA</t>
  </si>
  <si>
    <t>0000000121852334</t>
  </si>
  <si>
    <t>0000000479522255</t>
  </si>
  <si>
    <t>0000000479800546</t>
  </si>
  <si>
    <t>0000000479963225</t>
  </si>
  <si>
    <t>0000000480248337</t>
  </si>
  <si>
    <t>0000000480532279</t>
  </si>
  <si>
    <t>0000000480843159</t>
  </si>
  <si>
    <t>00602300000434-025399570</t>
  </si>
  <si>
    <t>0000401083570231</t>
  </si>
  <si>
    <t>0000000481367127</t>
  </si>
  <si>
    <t>0000000481542941</t>
  </si>
  <si>
    <t>0000000481644045</t>
  </si>
  <si>
    <t>0000000481971200</t>
  </si>
  <si>
    <t>0000000481992059</t>
  </si>
  <si>
    <t>0000000482163796</t>
  </si>
  <si>
    <t>0000000482326754</t>
  </si>
  <si>
    <t>0000000482476600</t>
  </si>
  <si>
    <t>0000000482614428</t>
  </si>
  <si>
    <t>DEPOSITORY CHARGES DEC23 - 52812428</t>
  </si>
  <si>
    <t>0000000482779377</t>
  </si>
  <si>
    <t>0000000482911491</t>
  </si>
  <si>
    <t>0000000482935582</t>
  </si>
  <si>
    <t>0000000483068767</t>
  </si>
  <si>
    <t>0000000483232991</t>
  </si>
  <si>
    <t>0000000483499892</t>
  </si>
  <si>
    <t>0000000483700742</t>
  </si>
  <si>
    <t>0000000483880631</t>
  </si>
  <si>
    <t>0000000484015725</t>
  </si>
  <si>
    <t>0000000484176504</t>
  </si>
  <si>
    <t>0000000484351024</t>
  </si>
  <si>
    <t>0000000484617157</t>
  </si>
  <si>
    <t>0000000484868036</t>
  </si>
  <si>
    <t>0000000485032850</t>
  </si>
  <si>
    <t>0000000485166715</t>
  </si>
  <si>
    <t>0000000485368995</t>
  </si>
  <si>
    <t>0000000485671917</t>
  </si>
  <si>
    <t>0000000485701510</t>
  </si>
  <si>
    <t>0000000485862487</t>
  </si>
  <si>
    <t>0000000485927124</t>
  </si>
  <si>
    <t>0000000486122449</t>
  </si>
  <si>
    <t>OCTDEC23 INSTAALERTCHG 27 SMS 050124-MIR2401935428412</t>
  </si>
  <si>
    <t>MIR2401935428412</t>
  </si>
  <si>
    <t>0000000486249249</t>
  </si>
  <si>
    <t>0000000486358679</t>
  </si>
  <si>
    <t>0000000486598654</t>
  </si>
  <si>
    <t>0000000486873257</t>
  </si>
  <si>
    <t>0000000487173033</t>
  </si>
  <si>
    <t>0000000487473509</t>
  </si>
  <si>
    <t>0000000487619615</t>
  </si>
  <si>
    <t>0000000487808035</t>
  </si>
  <si>
    <t>01671000060094-TPT-MONEY RETURNED BY AAYUSH TO SUNITA-SUNITA GUPTA</t>
  </si>
  <si>
    <t>0000000618740593</t>
  </si>
  <si>
    <t>ACH D- TP ACH INDIANESIGN-1346368480</t>
  </si>
  <si>
    <t>0000009809927850</t>
  </si>
  <si>
    <t>0000000488176629</t>
  </si>
  <si>
    <t>0000000488510488</t>
  </si>
  <si>
    <t>ACH D- TP ACH INDIANESIGN-1349137374</t>
  </si>
  <si>
    <t>0000009834809464</t>
  </si>
  <si>
    <t>ISAQMC-OCT-DEC23-417944 250124-MIR2403065287373</t>
  </si>
  <si>
    <t>MIR2403065287373</t>
  </si>
  <si>
    <t>DEBIT CARD ANNUAL FEE-JAN-2024 190124-MIR2403064274725</t>
  </si>
  <si>
    <t>MIR2403064274725</t>
  </si>
  <si>
    <t>0000000488659769</t>
  </si>
  <si>
    <t>0000000489025036</t>
  </si>
  <si>
    <t>0000000489157497</t>
  </si>
  <si>
    <t>0000000489501854</t>
  </si>
  <si>
    <t>0000000489530404</t>
  </si>
  <si>
    <t>0000000489694139</t>
  </si>
  <si>
    <t>0000000489890964</t>
  </si>
  <si>
    <t>0000000489944868</t>
  </si>
  <si>
    <t>0000000490233454</t>
  </si>
  <si>
    <t>0000000490482304</t>
  </si>
  <si>
    <t>0000000490688323</t>
  </si>
  <si>
    <t>ACH C- TCS3RDINTDIV050224-1765778</t>
  </si>
  <si>
    <t>0000009963701270</t>
  </si>
  <si>
    <t>0000000491268972</t>
  </si>
  <si>
    <t>0000000491424396</t>
  </si>
  <si>
    <t>0000000491630877</t>
  </si>
  <si>
    <t>0000000491783342</t>
  </si>
  <si>
    <t>0000000491809841</t>
  </si>
  <si>
    <t>0000000491957789</t>
  </si>
  <si>
    <t>00602300000434-025891325</t>
  </si>
  <si>
    <t>0000402071935708</t>
  </si>
  <si>
    <t>0000000492201709</t>
  </si>
  <si>
    <t>0000000492522137</t>
  </si>
  <si>
    <t>0000000492788095</t>
  </si>
  <si>
    <t>0000000493110178</t>
  </si>
  <si>
    <t>0000000493379334</t>
  </si>
  <si>
    <t>0000000493743356</t>
  </si>
  <si>
    <t>0000000494041038</t>
  </si>
  <si>
    <t>DEPOSITORY CHARGES JAN24 - 52812428</t>
  </si>
  <si>
    <t>0000000494603561</t>
  </si>
  <si>
    <t>0000000494628387</t>
  </si>
  <si>
    <t>0000000494743022</t>
  </si>
  <si>
    <t>0000000494966556</t>
  </si>
  <si>
    <t>0000000495265893</t>
  </si>
  <si>
    <t>ACH C- SONABLWPRECISION-0000000000000236</t>
  </si>
  <si>
    <t>0000007064668046</t>
  </si>
  <si>
    <t>0000000495565915</t>
  </si>
  <si>
    <t>0000000495708883</t>
  </si>
  <si>
    <t>0000000495892980</t>
  </si>
  <si>
    <t>0000000496159843</t>
  </si>
  <si>
    <t>0000000496450423</t>
  </si>
  <si>
    <t>0000000496483089</t>
  </si>
  <si>
    <t>0000000496643881</t>
  </si>
  <si>
    <t>0000000496947747</t>
  </si>
  <si>
    <t>0000000497094621</t>
  </si>
  <si>
    <t>0000000497275920</t>
  </si>
  <si>
    <t>0000000497547067</t>
  </si>
  <si>
    <t>ACH C- KPIT TECHNOLOGIES-3082623</t>
  </si>
  <si>
    <t>0000000655901329</t>
  </si>
  <si>
    <t>0000000497698271</t>
  </si>
  <si>
    <t>0000000497967778</t>
  </si>
  <si>
    <t>0000000498129815</t>
  </si>
  <si>
    <t>0000000498288634</t>
  </si>
  <si>
    <t>0000000498610490</t>
  </si>
  <si>
    <t>0000000498762344</t>
  </si>
  <si>
    <t>0000000498869823</t>
  </si>
  <si>
    <t>ACH C- TRIVENI TURBINE LTD-74163</t>
  </si>
  <si>
    <t>0000000842938654</t>
  </si>
  <si>
    <t>0000000499065614</t>
  </si>
  <si>
    <t>0000000499203961</t>
  </si>
  <si>
    <t>ACH D- TP ACH INDIANESIGN-1374175425</t>
  </si>
  <si>
    <t>0000000875682587</t>
  </si>
  <si>
    <t>0000000499344364</t>
  </si>
  <si>
    <t>0000000499533589</t>
  </si>
  <si>
    <t>ACH D- TP ACH INDIANESIGN-1374583428</t>
  </si>
  <si>
    <t>0000000917555035</t>
  </si>
  <si>
    <t>0000000499809526</t>
  </si>
  <si>
    <t>ACH C- POWER FINANCE CORPOR-12924441</t>
  </si>
  <si>
    <t>0000000925613897</t>
  </si>
  <si>
    <t>0000000458916628</t>
  </si>
  <si>
    <t>0000000500118242</t>
  </si>
  <si>
    <t>0000000500141677</t>
  </si>
  <si>
    <t>0000000500326156</t>
  </si>
  <si>
    <t>ACH C- APOLLO HOSP.IDIV2024-AHLIN3015495</t>
  </si>
  <si>
    <t>0000001103907062</t>
  </si>
  <si>
    <t>0000000500467386</t>
  </si>
  <si>
    <t>01671000085930-TPT-MONEY RETURNED TO AKG-AJAY KUMAR GUPTA</t>
  </si>
  <si>
    <t>0000000871002262</t>
  </si>
  <si>
    <t>01671000060094-TPT-MONEY RETURNED TO SUNITA-SUNITA GUPTA</t>
  </si>
  <si>
    <t>0000000871245627</t>
  </si>
  <si>
    <t>0000000500709716</t>
  </si>
  <si>
    <t>0000000500977375</t>
  </si>
  <si>
    <t>0000000501134260</t>
  </si>
  <si>
    <t>0000000501442635</t>
  </si>
  <si>
    <t>0000000501610267</t>
  </si>
  <si>
    <t>0000000501901862</t>
  </si>
  <si>
    <t>0000000502074901</t>
  </si>
  <si>
    <t>50200000003402   23560474 HLIC INST</t>
  </si>
  <si>
    <t>0000000502233936</t>
  </si>
  <si>
    <t>0000000502369686</t>
  </si>
  <si>
    <t>00602300000434-026424492</t>
  </si>
  <si>
    <t>0000403078196807</t>
  </si>
  <si>
    <t>0000000502520670</t>
  </si>
  <si>
    <t>UPI-AJAY KUMAR GUPTA-AJAYGUPTANEL@AXL-HDFC0000167-443693565719-TRANSFER FROM AKG</t>
  </si>
  <si>
    <t>0000443693565719</t>
  </si>
  <si>
    <t>0000000502928380</t>
  </si>
  <si>
    <t>0000000503028672</t>
  </si>
  <si>
    <t>0000000503122615</t>
  </si>
  <si>
    <t>ACH C- NATIONAL ALUMINIUM C-NAT0INT02024</t>
  </si>
  <si>
    <t>0000001538448705</t>
  </si>
  <si>
    <t>0000000503522196</t>
  </si>
  <si>
    <t>0000000503674029</t>
  </si>
  <si>
    <t>UPI-AJAY KUMAR GUPTA-AJAYGUPTANEL@AXL-HDFC0000167-443983561883-RETURN FROM AAYUSH</t>
  </si>
  <si>
    <t>0000443983561883</t>
  </si>
  <si>
    <t>UPI-AJAY KUMAR GUPTA-AJAYGUPTANEL@AXL-HDFC0000167-443973513039-MONEY RETURNED FRO</t>
  </si>
  <si>
    <t>0000443973513039</t>
  </si>
  <si>
    <t>0000000503787027</t>
  </si>
  <si>
    <t>DEPOSITORY CHARGES FEB24 - 52812428</t>
  </si>
  <si>
    <t>0000000504024743</t>
  </si>
  <si>
    <t>0000000504311400</t>
  </si>
  <si>
    <t>0000000504600598</t>
  </si>
  <si>
    <t>0000000504760202</t>
  </si>
  <si>
    <t>0000000505009089</t>
  </si>
  <si>
    <t>0000000505315342</t>
  </si>
  <si>
    <t>0000000505546822</t>
  </si>
  <si>
    <t>0000000505765080</t>
  </si>
  <si>
    <t>0000000506031496</t>
  </si>
  <si>
    <t>0000000506069481</t>
  </si>
  <si>
    <t>FT- INVESCO MF A/C - BS77 8299900 3102041601 39064245</t>
  </si>
  <si>
    <t>0000000597337921</t>
  </si>
  <si>
    <t>50200067172675-180324827807</t>
  </si>
  <si>
    <t>0000403206884145</t>
  </si>
  <si>
    <t>50200067172675-180324829044</t>
  </si>
  <si>
    <t>0000403206883125</t>
  </si>
  <si>
    <t>0000000506300684</t>
  </si>
  <si>
    <t>YHDF2276237288/BILLDKINDIANCLEARING</t>
  </si>
  <si>
    <t>0000248045842968</t>
  </si>
  <si>
    <t>50100542230922-TPT-FROM AAYUSH-ARCHIT GUPTA</t>
  </si>
  <si>
    <t>0000000250700915</t>
  </si>
  <si>
    <t>0000000250708210</t>
  </si>
  <si>
    <t>0000000250711357</t>
  </si>
  <si>
    <t>0000000506518365</t>
  </si>
  <si>
    <t>0000000506656055</t>
  </si>
  <si>
    <t>YHDF2277030583/BILLDKINDIANCLEARING</t>
  </si>
  <si>
    <t>0000248145881806</t>
  </si>
  <si>
    <t>0000000506780860</t>
  </si>
  <si>
    <t>0000000506917092</t>
  </si>
  <si>
    <t>0000000506930088</t>
  </si>
  <si>
    <t>0000000507162278</t>
  </si>
  <si>
    <t>0000000507371766</t>
  </si>
  <si>
    <t>0000000507548937</t>
  </si>
  <si>
    <t>0000000507651554</t>
  </si>
  <si>
    <t>0000000507901258</t>
  </si>
  <si>
    <t>0000000508130784</t>
  </si>
  <si>
    <t>0000000508296225</t>
  </si>
  <si>
    <t>ACH D- TP ACH INDIANESIGN-1398119554</t>
  </si>
  <si>
    <t>0000002237430600</t>
  </si>
  <si>
    <t>0000000508539163</t>
  </si>
  <si>
    <t>0000000508706826</t>
  </si>
  <si>
    <t>ACH C- POWER FINANCE CORPOR-14038345</t>
  </si>
  <si>
    <t>0000002322577079</t>
  </si>
  <si>
    <t>CBDT/BANK REFERENCE NO:N2409116805977/CIN NO:24033100292539HDFC/ONLINE</t>
  </si>
  <si>
    <t>0240331210007249</t>
  </si>
  <si>
    <t>STATEMENT SUMMARY  :-</t>
  </si>
  <si>
    <t>Opening Balance</t>
  </si>
  <si>
    <t>Debits</t>
  </si>
  <si>
    <t>Credits</t>
  </si>
  <si>
    <t>Closing Bal</t>
  </si>
  <si>
    <t>Dr Count</t>
  </si>
  <si>
    <t>Cr Count</t>
  </si>
  <si>
    <t xml:space="preserve">Account Name       :                </t>
  </si>
  <si>
    <t>Mr. AAYUSH KUMAR GUPTA</t>
  </si>
  <si>
    <t>Address            :</t>
  </si>
  <si>
    <t>FLAT NO D 07 ISHWAR PARADISE ASHOKA</t>
  </si>
  <si>
    <t xml:space="preserve">                                    </t>
  </si>
  <si>
    <t>MARG BEHIND FAME THEATRE ASHOKA MARG</t>
  </si>
  <si>
    <t>Nashik</t>
  </si>
  <si>
    <t xml:space="preserve">Date               :                </t>
  </si>
  <si>
    <t>Account Number     :</t>
  </si>
  <si>
    <t>_00000039706255133</t>
  </si>
  <si>
    <t>Account Description:</t>
  </si>
  <si>
    <t>PPF Account</t>
  </si>
  <si>
    <t>Branch             :</t>
  </si>
  <si>
    <t>SHIVAJI NAGAR, NASIK</t>
  </si>
  <si>
    <t>Drawing Power      :</t>
  </si>
  <si>
    <t>Interest Rate(% p.a.):</t>
  </si>
  <si>
    <t>Nomination Registered    :</t>
  </si>
  <si>
    <t xml:space="preserve">Yes </t>
  </si>
  <si>
    <t>Balance on 1 Apr 2023        :</t>
  </si>
  <si>
    <t>Start Date          :</t>
  </si>
  <si>
    <t>End Date            :</t>
  </si>
  <si>
    <t>open date            :</t>
  </si>
  <si>
    <t>Accumulated Interest       :</t>
  </si>
  <si>
    <t>Maturity Date            :</t>
  </si>
  <si>
    <t>Txn Date</t>
  </si>
  <si>
    <t>Value Date</t>
  </si>
  <si>
    <t>Description</t>
  </si>
  <si>
    <t>Ref No./Cheque No.</t>
  </si>
  <si>
    <t xml:space="preserve">        Debit</t>
  </si>
  <si>
    <t>Credit</t>
  </si>
  <si>
    <t>Balance</t>
  </si>
  <si>
    <t xml:space="preserve">   BY TRANSFER-INB Deposit / Investment--</t>
  </si>
  <si>
    <t>IF38973887               TRANSFER FROM 20276981227</t>
  </si>
  <si>
    <t xml:space="preserve">   CREDIT INTEREST---</t>
  </si>
  <si>
    <t>**This is a computer generated statement and does not require a signature</t>
  </si>
  <si>
    <t>_00000020276981227</t>
  </si>
  <si>
    <t>REGULAR SB CHQ-INDIVIDUALS</t>
  </si>
  <si>
    <t>MOD Balance      :</t>
  </si>
  <si>
    <t>CIF No.          :</t>
  </si>
  <si>
    <t>_88071759834</t>
  </si>
  <si>
    <t>IFS (Indian Financial System) Code         :</t>
  </si>
  <si>
    <t>SBIN0011669</t>
  </si>
  <si>
    <t>MICR (Magnetic Ink Character Recognition)  Code        :</t>
  </si>
  <si>
    <t>_422002020</t>
  </si>
  <si>
    <t xml:space="preserve">   BY TRANSFER-UPI/CR/309169418415/AYUSHI M/PUNB/nainamitta/UPI--</t>
  </si>
  <si>
    <t>TRANSFER FROM 4693130162091</t>
  </si>
  <si>
    <t xml:space="preserve">   TO TRANSFER-UPI/DR/309140926569/BANANA L/HDFC/bananaleaf/UPI--</t>
  </si>
  <si>
    <t>TRANSFER TO 4692478162093</t>
  </si>
  <si>
    <t xml:space="preserve">   TO TRANSFER-UPI/DR/309276354517/LUCKY DH/YESB/q57871899@/UPI--</t>
  </si>
  <si>
    <t>TRANSFER TO 5098091162092</t>
  </si>
  <si>
    <t xml:space="preserve">   BY TRANSFER-UPI/CR/309286549772/PRASHANT/HDFC/pkaps1997@/UPI--</t>
  </si>
  <si>
    <t>TRANSFER FROM 4695271162095</t>
  </si>
  <si>
    <t xml:space="preserve">   TO TRANSFER-UPI/DR/309274214572/PRATYAY /SBIN/7073096110/NA--</t>
  </si>
  <si>
    <t>TRANSFER TO 5098127162096</t>
  </si>
  <si>
    <t xml:space="preserve">   TO TRANSFER-UPI/DR/345885628443/WWW VODA/HDFC/vodafone1./UPI--</t>
  </si>
  <si>
    <t>TRANSFER TO 5098093162090</t>
  </si>
  <si>
    <t xml:space="preserve">   TO TRANSFER-UPI/DR/309277368845/KUNAL BH/HDFC/kunalbhard/UPI--</t>
  </si>
  <si>
    <t>TRANSFER TO 5099812162090</t>
  </si>
  <si>
    <t xml:space="preserve">   TO TRANSFER-UPI/DR/345945568018/Zerodha /HDFC/zerodhabro/08956--</t>
  </si>
  <si>
    <t>TRANSFER TO 4695788162098</t>
  </si>
  <si>
    <t xml:space="preserve">   TO TRANSFER-UPI/DR/309414339465/SEVEN SP/PYTM/paytmqr281/UPI--</t>
  </si>
  <si>
    <t>TRANSFER TO 5097637162094</t>
  </si>
  <si>
    <t xml:space="preserve">   TO TRANSFER-UPI/DR/346087812550/SEVEN SP/PYTM/paytmqr281/UPI--</t>
  </si>
  <si>
    <t>TRANSFER TO 5097617162098</t>
  </si>
  <si>
    <t xml:space="preserve">   TO TRANSFER-UPI/DR/309564429050/BANANA L/HDFC/bananaleaf/UPI--</t>
  </si>
  <si>
    <t>TRANSFER TO 4692551162099</t>
  </si>
  <si>
    <t xml:space="preserve">   TO TRANSFER-UPI/DR/309682616023/Mr  AADA/YESB/q423863729/UPI--</t>
  </si>
  <si>
    <t>TRANSFER TO 5097803162095</t>
  </si>
  <si>
    <t xml:space="preserve">   TO TRANSFER-UPI/DR/309673159840/Swiggy/UTIB/swiggyupi@/Swiggy--</t>
  </si>
  <si>
    <t>TRANSFER TO 5097808162090</t>
  </si>
  <si>
    <t xml:space="preserve">   TO TRANSFER-UPI/DR/309789529764/IRCTC CF/HDFC/irctc.cf@h/IRCTC--</t>
  </si>
  <si>
    <t>TRANSFER TO 4692595162098</t>
  </si>
  <si>
    <t xml:space="preserve">   TO TRANSFER-UPI/DR/309789705434/IRCTC CF/HDFC/irctc.cf@h/IRCTC--</t>
  </si>
  <si>
    <t>TRANSFER TO 4696934162097</t>
  </si>
  <si>
    <t xml:space="preserve">   TO TRANSFER-UPI/DR/309720030395/Mr  AADA/YESB/q143041833/UPI--</t>
  </si>
  <si>
    <t>TRANSFER TO 4696933162098</t>
  </si>
  <si>
    <t xml:space="preserve">   TO TRANSFER-UPI/DR/309790935099/IRCTC CF/HDFC/irctc.cf@h/IRCTC--</t>
  </si>
  <si>
    <t>TRANSFER TO 4696185162096</t>
  </si>
  <si>
    <t xml:space="preserve">   TO TRANSFER-UPI/DR/309732235881/BANANA L/HDFC/bananaleaf/UPI--</t>
  </si>
  <si>
    <t>TRANSFER TO 4692597162096</t>
  </si>
  <si>
    <t xml:space="preserve">   TO TRANSFER-UPI/DR/309845925383/Mr  AADA/YESB/q143041833/UPI--</t>
  </si>
  <si>
    <t>TRANSFER TO 4696969162097</t>
  </si>
  <si>
    <t xml:space="preserve">   TO TRANSFER-UPI/DR/309870836173/SEVEN SP/PYTM/paytmqr281/UPI--</t>
  </si>
  <si>
    <t>TRANSFER TO 5098011162097</t>
  </si>
  <si>
    <t xml:space="preserve">   TO TRANSFER-UPI/DR/309861185569/Raj  Rani/SBIN/lalsinghla/UPI--</t>
  </si>
  <si>
    <t>TRANSFER TO 4694361162091</t>
  </si>
  <si>
    <t xml:space="preserve">   TO TRANSFER-UPI/DR/309864621113/AJAY GUPTA/HDFC/slietajayg/UPI--</t>
  </si>
  <si>
    <t>TRANSFER TO 4694315162096</t>
  </si>
  <si>
    <t xml:space="preserve">   TO TRANSFER-UPI/DR/309973408594/JAGDISH/PYTM/7742506388/UPI--</t>
  </si>
  <si>
    <t>TRANSFER TO 5098150162096</t>
  </si>
  <si>
    <t xml:space="preserve">   TO TRANSFER-UPI/DR/309994513204/UBER IND/HDFC/uberrides@/charg--</t>
  </si>
  <si>
    <t>TRANSFER TO 4897696162090</t>
  </si>
  <si>
    <t xml:space="preserve">   BULK POSTING-C23854246658     41774260032INTERIM DIVIDEND ACCOU--</t>
  </si>
  <si>
    <t xml:space="preserve">   BY TRANSFER-UPI/CR/310198604104/IRCTC CF/HDFC/irctc.cf@h/UPI R--</t>
  </si>
  <si>
    <t>TRANSFER FROM 4897733162090</t>
  </si>
  <si>
    <t xml:space="preserve">   TO TRANSFER-UPI/DR/310294768781/S SARGUNAM/YESB/q200088506/UPI--</t>
  </si>
  <si>
    <t>TRANSFER TO 4897692162094</t>
  </si>
  <si>
    <t xml:space="preserve">   TO TRANSFER-UPI/DR/310298964851/Bharti A/HDFC/airtel.pay/UPITr--</t>
  </si>
  <si>
    <t xml:space="preserve">   TO TRANSFER-UPI/DR/310299085532/billdesk/ICIC/billdesk.p/UPI--</t>
  </si>
  <si>
    <t xml:space="preserve">   TO TRANSFER-UPI/DR/346932073976/Shankar /PYTM/paytmqr281/UPI--</t>
  </si>
  <si>
    <t>TRANSFER TO 4897693162093</t>
  </si>
  <si>
    <t xml:space="preserve">   TO TRANSFER-UPI/DR/310511348614/IRCTC Ap/PYTM/paytm-irct/Oid10--</t>
  </si>
  <si>
    <t>TRANSFER TO 4897695162091</t>
  </si>
  <si>
    <t xml:space="preserve">   TO TRANSFER-UPI/DR/347115434891/PATISSER/PYTM/paytmqr281/UPI--</t>
  </si>
  <si>
    <t xml:space="preserve">   TO TRANSFER-UPI/DR/347130328853/BHAWANI /YESB/q385374207/UPI--</t>
  </si>
  <si>
    <t xml:space="preserve">   TO TRANSFER-UPI/DR/310500511889/Fudr/ICIC/fudr.cf@ic/3187 Bli--</t>
  </si>
  <si>
    <t xml:space="preserve">   ATM WDL-ATM CASH 7132  CP JHALAWAR           JHALRAPATAN--</t>
  </si>
  <si>
    <t xml:space="preserve">   BULK POSTING-ACHCr HDFC01032000010237 VEDANTA LIMITE--</t>
  </si>
  <si>
    <t xml:space="preserve">   TO TRANSFER-UPI/DR/310875568731/gaurav v/UTIB/fcbizcxqia/UPI--</t>
  </si>
  <si>
    <t>TRANSFER TO 4897691162095</t>
  </si>
  <si>
    <t xml:space="preserve">   BY TRANSFER-UPI/CR/310863283715/GOOGLEPAY/UTIB/goog-payme/UPI--</t>
  </si>
  <si>
    <t xml:space="preserve">   BY TRANSFER-UPI/CR/310863285848/GOOGLEPAY/UTIB/goog-payme/UPI--</t>
  </si>
  <si>
    <t xml:space="preserve">   TO TRANSFER-UPI/DR/310863414173/Plaksha /utib/plakshauni/Onlin--</t>
  </si>
  <si>
    <t xml:space="preserve">   TO TRANSFER-UPI/DR/310897017239/KUNAL EA/YESB/q811125368/UPI--</t>
  </si>
  <si>
    <t xml:space="preserve">   TO TRANSFER-UPI/DR/310930088166/Shubham /SBIN/9920780107/UPI--</t>
  </si>
  <si>
    <t xml:space="preserve">   TO TRANSFER-UPI/DR/310932343001/Praful B/SBIN/q508793729/UPI--</t>
  </si>
  <si>
    <t xml:space="preserve">   TO TRANSFER-UPI/DR/310932978826/KUNAL EA/YESB/q811125368/UPI--</t>
  </si>
  <si>
    <t xml:space="preserve">   TO TRANSFER-COMM - OTHER MISC. SERVICES--</t>
  </si>
  <si>
    <t>TRANSFER TO 98353116696</t>
  </si>
  <si>
    <t xml:space="preserve">   TO TRANSFER-UPI/DR/347733861273/Zomato Ltd/PYTM/zomato-ord/Oid--</t>
  </si>
  <si>
    <t>TRANSFER TO 4897694162092</t>
  </si>
  <si>
    <t xml:space="preserve">   TO TRANSFER-UPI/DR/311214897545/khatabook/ICIC/ktb.ru6532/UPI--</t>
  </si>
  <si>
    <t xml:space="preserve">   TO TRANSFER-UPI/DR/311215008854/Om Super/PYTM/paytmqr281/UPI--</t>
  </si>
  <si>
    <t xml:space="preserve">   TO TRANSFER-UPI/DR/348124957377/Mr HAROO/YESB/q840523701/UPI--</t>
  </si>
  <si>
    <t xml:space="preserve">   TO TRANSFER-UPI/DR/311647973323/olamoney1/HDFC/olamoney1./UPI--</t>
  </si>
  <si>
    <t xml:space="preserve">   TO TRANSFER-UPI/DR/311605861496/Vodafone/PYTM/vilpremum@/UPI--</t>
  </si>
  <si>
    <t xml:space="preserve">   TO TRANSFER-UPI/DR/311672052419/MEDPLUS /PYTM/paytm-7097/UPI--</t>
  </si>
  <si>
    <t xml:space="preserve">   TO TRANSFER-UPI/DR/311707651627/VIDYA AS/YESB/q580300757/UPI--</t>
  </si>
  <si>
    <t xml:space="preserve">   BY TRANSFER-UPI/CR/311760370847/ARCHIT G/UTIB/archit4801/UPI--</t>
  </si>
  <si>
    <t>TRANSFER FROM 4897735162098</t>
  </si>
  <si>
    <t xml:space="preserve">   TO TRANSFER-UPI/DR/311713120224/ARCHIT G/UTIB/archit4801/UPI--</t>
  </si>
  <si>
    <t xml:space="preserve">   BY TRANSFER-UPI/CR/311802002996/GANESH B/HDFC/shelke49@o/UPI--</t>
  </si>
  <si>
    <t>TRANSFER FROM 4897736162097</t>
  </si>
  <si>
    <t xml:space="preserve">   TO TRANSFER-UPI/DR/311826037356/VIDYA AS/YESB/q503684025/UPI--</t>
  </si>
  <si>
    <t xml:space="preserve">   TO TRANSFER-UPI/DR/311843627938/VIDYA AS/YESB/q503684025/UPI--</t>
  </si>
  <si>
    <t xml:space="preserve">   TO TRANSFER-UPI/DR/311846413894/MANISH H/YESB/q423659019/UPI--</t>
  </si>
  <si>
    <t xml:space="preserve">   TO TRANSFER-UPI/DR/348556626391/Pawan Tr/PYTM/add-money@/Oid20--</t>
  </si>
  <si>
    <t xml:space="preserve">   TO TRANSFER-UPI/DR/312001785589/MANISH H/YESB/q423659019/UPI--</t>
  </si>
  <si>
    <t xml:space="preserve">   TO TRANSFER-UPI/DR/312122469551/SHAIKH A/BARB/q892555202/UPI--</t>
  </si>
  <si>
    <t>TRANSFER TO 4897690162095</t>
  </si>
  <si>
    <t xml:space="preserve">   TO TRANSFER-UPI/DR/349051186055/Amazon I/YESB/amazon@yap/You a--</t>
  </si>
  <si>
    <t xml:space="preserve">   TO TRANSFER-UPI/DR/312566575884/Chartere/ICIC/charteredb/Ticke--</t>
  </si>
  <si>
    <t xml:space="preserve">   TO TRANSFER-UPI/DR/312614273914/VIDYA AS/YESB/q503684025/UPI--</t>
  </si>
  <si>
    <t xml:space="preserve">   TO TRANSFER-UPI/DR/312742845901/Mr GOKUL/YESB/q641750174/UPI--</t>
  </si>
  <si>
    <t xml:space="preserve">   TO TRANSFER-UPI/DR/312748080382/SELLADUR/YESB/q908014599/UPI--</t>
  </si>
  <si>
    <t xml:space="preserve">   TO TRANSFER-UPI/DR/312748240642/VIKASH N/UTIB/gpay-11203/UPI--</t>
  </si>
  <si>
    <t xml:space="preserve">   TO TRANSFER-UPI/DR/312756449530/DEALSKAR/HDFC/dealskart./Pay v--</t>
  </si>
  <si>
    <t xml:space="preserve">   TO TRANSFER-UPI/DR/312809834902/Dealskart/ICIC/dealskart./UPI--</t>
  </si>
  <si>
    <t xml:space="preserve">   TO TRANSFER-UPI/DR/312936447271/SACHIN M/KKBK/q157094653/UPI--</t>
  </si>
  <si>
    <t xml:space="preserve">   BY TRANSFER-INB IMPS312927083932/1234567890/XX0168/Accountval--</t>
  </si>
  <si>
    <t xml:space="preserve">MAD000299902490          MAD000299902490          </t>
  </si>
  <si>
    <t xml:space="preserve">   TO TRANSFER-UPI/DR/349520104043/AMAZONPA/UTIB/amazonupi@/Reque--</t>
  </si>
  <si>
    <t xml:space="preserve">   TO TRANSFER-UPI/DR/349743575884/Zomato Ltd/PYTM/zomato-ord/Oid--</t>
  </si>
  <si>
    <t xml:space="preserve">   TO TRANSFER-UPI/DR/313314795672/BHARAT S/IOBA/8424852034/Payme--</t>
  </si>
  <si>
    <t xml:space="preserve">   TO TRANSFER-UPI/DR/313378896787/MANISH H/YESB/q423659019/UPI--</t>
  </si>
  <si>
    <t xml:space="preserve">   BY TRANSFER-UPI/CR/313471029938/DEALSKAR/HDFC/dealskart./Refun--</t>
  </si>
  <si>
    <t>TRANSFER FROM 4897738162095</t>
  </si>
  <si>
    <t xml:space="preserve">   TO TRANSFER-UPI/DR/313547141124/KUNAL EA/YESB/q811125368/UPI--</t>
  </si>
  <si>
    <t xml:space="preserve">   BY TRANSFER-UPI/CR/313699004509/TANUJA M/KKBK/tanujami10/UPI--</t>
  </si>
  <si>
    <t xml:space="preserve">   TO TRANSFER-UPI/DR/350218976885/amazon p/YESB/amazonpayg/You a--</t>
  </si>
  <si>
    <t xml:space="preserve">   BY TRANSFER-UPI/CR/313714445586/SANGAM P/SBIN/8447569696/Sent--</t>
  </si>
  <si>
    <t>TRANSFER FROM 4897734162099</t>
  </si>
  <si>
    <t xml:space="preserve">   TO TRANSFER-UPI/DR/313718027907/KUNAL EA/YESB/q811125368/UPI--</t>
  </si>
  <si>
    <t xml:space="preserve">   TO TRANSFER-UPI/DR/313829232261/KUNAL EA/YESB/q811125368/milk--</t>
  </si>
  <si>
    <t xml:space="preserve">   BULK POSTING-ACHCr NACH00000000006422 LAURUS LABS LI--</t>
  </si>
  <si>
    <t xml:space="preserve">   TO TRANSFER-UPI/DR/313851087707/The Man /YESB/themancomp/UPI--</t>
  </si>
  <si>
    <t xml:space="preserve">   TO TRANSFER-UPI/DR/313915167003/Bharatpe/ICIC/bharatpe.9/Pay T--</t>
  </si>
  <si>
    <t xml:space="preserve">   TO TRANSFER-UPI/DR/314003100568/Add Mone/PYTM/add-money@/UPI--</t>
  </si>
  <si>
    <t xml:space="preserve">   TO TRANSFER-UPI/DR/314083727068/IRCTC CF/HDFC/irctc.cf@h/IRCTC--</t>
  </si>
  <si>
    <t xml:space="preserve">   TO TRANSFER-UPI/DR/350602864629/MedPlus/YESB/MEDPLUSMAH/Paymen--</t>
  </si>
  <si>
    <t xml:space="preserve">   BY TRANSFER-UPI/CR/314003323481/SANGAM P/PYTM/sangamprav/UPI--</t>
  </si>
  <si>
    <t>TRANSFER FROM 4897737162096</t>
  </si>
  <si>
    <t xml:space="preserve">   TO TRANSFER-UPI/DR/314186708272/UBER IND/HDFC/uberrides@/charg--</t>
  </si>
  <si>
    <t xml:space="preserve">   TO TRANSFER-UPI/DR/314244285451/OLA Post/HDFC/olamoney1./UPI--</t>
  </si>
  <si>
    <t xml:space="preserve">   TO TRANSFER-UPI/DR/314585312544/Mr  AADA/YESB/q964606339/UPI--</t>
  </si>
  <si>
    <t xml:space="preserve">   TO TRANSFER-UPI/DR/314881967653/SEVEN SP/PYTM/paytmqr281/UPI--</t>
  </si>
  <si>
    <t xml:space="preserve">   BY TRANSFER-INB IMPS314909556711/7352813446/XX1167/opentxn994--</t>
  </si>
  <si>
    <t xml:space="preserve">MAD000312162118          MAD000312162118          </t>
  </si>
  <si>
    <t xml:space="preserve">   TO TRANSFER-UPI/DR/314929747278/Mr  AADA/YESB/q739730170/UPI--</t>
  </si>
  <si>
    <t xml:space="preserve">   TO TRANSFER-UPI/DR/314932994602/Vendekin/ICIC/vendekin@i/UPI--</t>
  </si>
  <si>
    <t xml:space="preserve">   TO TRANSFER-UPI/DR/315052294962/Zerodha /HDFC/zerodhabro/16100--</t>
  </si>
  <si>
    <t xml:space="preserve">   TO TRANSFER-UPI/DR/315005745609/IRCTC CF/HDFC/irctc.cf@h/IRCTC--</t>
  </si>
  <si>
    <t xml:space="preserve">   TO TRANSFER-UPI/DR/315005845994/IRCTC CF/HDFC/irctc.cf@h/IRCTC--</t>
  </si>
  <si>
    <t xml:space="preserve">   TO TRANSFER-UPI/DR/315005843853/IRCTC CF/HDFC/irctc.cf@h/IRCTC--</t>
  </si>
  <si>
    <t xml:space="preserve">   TO TRANSFER-UPI/DR/315005851838/IRCTC CF/HDFC/irctc.cf@h/IRCTC--</t>
  </si>
  <si>
    <t xml:space="preserve">   TO TRANSFER-UPI/DR/315174038513/Bharti A/HDFC/airtel.pay/UPITr--</t>
  </si>
  <si>
    <t xml:space="preserve">   TO TRANSFER-UPI/DR/315225154838/Mr  AADA/YESB/q964606339/UPI--</t>
  </si>
  <si>
    <t xml:space="preserve">   TO TRANSFER-UPI/DR/351835527439/PRANAV  /CNRB/pranavalig/kulch--</t>
  </si>
  <si>
    <t xml:space="preserve">   BY TRANSFER-UPI/CR/315415718044/IRCTC CF/HDFC/irctc.cf@h/UPI R--</t>
  </si>
  <si>
    <t xml:space="preserve">   TO TRANSFER-UPI/DR/315533591396/SEVEN SP/PYTM/paytmqr281/UPI--</t>
  </si>
  <si>
    <t xml:space="preserve">   TO TRANSFER-UPI/DR/315686538704/Mr  AADA/YESB/q739730170/UPI--</t>
  </si>
  <si>
    <t xml:space="preserve">   TO TRANSFER-UPI/DR/315691996331/Vendekin/ICIC/vendekin@i/UPI--</t>
  </si>
  <si>
    <t xml:space="preserve">   TO TRANSFER-UPI/DR/315722210284/Mr  AADA/YESB/q739730170/UPI--</t>
  </si>
  <si>
    <t xml:space="preserve">   TO TRANSFER-UPI/DR/315860809837/Mr  AADA/YESB/q739730170/UPI--</t>
  </si>
  <si>
    <t xml:space="preserve">   BY TRANSFER-NEFT*ICIC0099999*CMS3336346983*CENTRAL DEPOSITORY--</t>
  </si>
  <si>
    <t>TRANSFER FROM 4697187044302</t>
  </si>
  <si>
    <t xml:space="preserve">   TO TRANSFER-UPI/DR/315996684695/La Pino /ICIC/lapinozpiz/Onlin--</t>
  </si>
  <si>
    <t xml:space="preserve">   BY TRANSFER-UPI/CR/315985102753/PRANAV  /CNRB/pranavalig/UPI--</t>
  </si>
  <si>
    <t xml:space="preserve">   BY TRANSFER-UPI/CR/352540355915/SHASHANK/HDFC/9880498899/NA--</t>
  </si>
  <si>
    <t xml:space="preserve">   TO TRANSFER-UPI/DR/316015768349/Mr  AADA/YESB/q739730170/UPI--</t>
  </si>
  <si>
    <t xml:space="preserve">   BY TRANSFER-UPI/CR/352625454171/SHASHANK/HDFC/9880498899/NA--</t>
  </si>
  <si>
    <t xml:space="preserve">   TO TRANSFER-UPI/DR/316024513339/SEVEN SP/PYTM/paytmqr281/UPI--</t>
  </si>
  <si>
    <t xml:space="preserve">   TO TRANSFER-UPI/DR/316158166186/Mr  AADA/YESB/q964606339/UPI--</t>
  </si>
  <si>
    <t xml:space="preserve">   TO TRANSFER-UPI/DR/316202351740/Vendekin/ICIC/vendekin@i/UPI--</t>
  </si>
  <si>
    <t xml:space="preserve">   BY TRANSFER-UPI/CR/316271164767/Vendekin/ICIC/vendekin@i/vende--</t>
  </si>
  <si>
    <t xml:space="preserve">   TO TRANSFER-UPI/DR/316202758430/Mr  AADA/YESB/q964606339/UPI--</t>
  </si>
  <si>
    <t xml:space="preserve">   BULK POSTING-ACHCr ICIC04933000011905 VEDANTA LIMITE--</t>
  </si>
  <si>
    <t xml:space="preserve">   TO TRANSFER-UPI/DR/316351822248/Vendekin/ICIC/vendekin@i/UPI--</t>
  </si>
  <si>
    <t xml:space="preserve">   BY TRANSFER-UPI/CR/316374839586/Vendekin/ICIC/vendekin@i/vende--</t>
  </si>
  <si>
    <t xml:space="preserve">   TO TRANSFER-UPI/DR/316351881817/Mr  AADA/YESB/q964606339/UPI--</t>
  </si>
  <si>
    <t xml:space="preserve">   TO TRANSFER-UPI/DR/316463813881/Vendekin/ICIC/vendekin@i/UPI--</t>
  </si>
  <si>
    <t xml:space="preserve">   TO TRANSFER-UPI/DR/316486673464/Mr  AADA/YESB/q964606339/groce--</t>
  </si>
  <si>
    <t xml:space="preserve">   BY TRANSFER-UPI/CR/316567060362/MONISH K/ICIC/8296488092/Payme--</t>
  </si>
  <si>
    <t xml:space="preserve">   TO TRANSFER-UPI/DR/316521968604/MLML WINES/PYTM/paytmqr1tb/UPI--</t>
  </si>
  <si>
    <t xml:space="preserve">   BY TRANSFER-UPI/CR/316541102451/ADARSH N/HDFC/adusma02-1/UPI--</t>
  </si>
  <si>
    <t xml:space="preserve">   TO TRANSFER-UPI/DR/316524431336/TAJASVI /SBIN/tejasvisin/UPI--</t>
  </si>
  <si>
    <t xml:space="preserve">   TO TRANSFER-UPI/DR/316703476731/Vendekin/ICIC/vendekin@i/UPI--</t>
  </si>
  <si>
    <t xml:space="preserve">   TO TRANSFER-UPI/DR/316823119553/Mr  AADA/YESB/q964606339/UPI--</t>
  </si>
  <si>
    <t xml:space="preserve">   TO TRANSFER-UPI/DR/316882168944/SWIGGY/YESB/swiggy@yes/Debit M--</t>
  </si>
  <si>
    <t xml:space="preserve">   TO TRANSFER-UPI/DR/316976440157/Airtel/PYTM/paytm-6879/Airtel--</t>
  </si>
  <si>
    <t xml:space="preserve">   TO TRANSFER-UPI/DR/316980693155/BANANA L/HDFC/bananaleaf/UPI--</t>
  </si>
  <si>
    <t xml:space="preserve">   TO TRANSFER-UPI/DR/316982751716/Mr  AADA/YESB/q739730170/UPI--</t>
  </si>
  <si>
    <t xml:space="preserve">   TO TRANSFER-UPI/DR/317016348442/Mr  AADA/YESB/q739730170/UPI--</t>
  </si>
  <si>
    <t xml:space="preserve">   TO TRANSFER-UPI/DR/317020952524/Mr  AADA/YESB/q964606339/groce--</t>
  </si>
  <si>
    <t xml:space="preserve">   TO TRANSFER-INB Paytm Payments Bank LTD--</t>
  </si>
  <si>
    <t>3062114030165544977IGAPTMRLX0               TRANSF</t>
  </si>
  <si>
    <t xml:space="preserve">   TO TRANSFER-UPI/DR/317278326584/Mr  AADA/YESB/q423863729/UPI--</t>
  </si>
  <si>
    <t xml:space="preserve">   TO TRANSFER-UPI/DR/317287823112/Mr  AADA/YESB/q964606339/UPI--</t>
  </si>
  <si>
    <t xml:space="preserve">   TO TRANSFER-UPI/DR/317322294332/AMANPREE/PYTM/paytmqrn78/UPI--</t>
  </si>
  <si>
    <t xml:space="preserve">   TO TRANSFER-UPI/DR/317381933693/AAYUSH K/FDRL/9594435259/ADDMO--</t>
  </si>
  <si>
    <t xml:space="preserve">   TO TRANSFER-UPI/DR/317442373536/Mr  AADA/YESB/q964606339/groce--</t>
  </si>
  <si>
    <t xml:space="preserve">   TO TRANSFER-UPI/DR/317697275352/SHASHANK P/HDFC/9880498899/UPI--</t>
  </si>
  <si>
    <t xml:space="preserve">   TO TRANSFER-UPI/DR/317697330759/SEVEN SP/PYTM/paytmqr281/UPI--</t>
  </si>
  <si>
    <t xml:space="preserve">   TO TRANSFER-UPI/DR/354217681522/Vi/PYTM/vilpremum@/UPI--</t>
  </si>
  <si>
    <t xml:space="preserve">   TO TRANSFER-UPI/DR/317765827066/Vendekin/ICIC/vendekin@i/UPI--</t>
  </si>
  <si>
    <t xml:space="preserve">   TO TRANSFER-UPI/DR/317878909672/Mr  AADA/YESB/q739730170/UPI--</t>
  </si>
  <si>
    <t xml:space="preserve">   TO TRANSFER-UPI/DR/317895169831/Mr  AADA/YESB/q739730170/UPI--</t>
  </si>
  <si>
    <t xml:space="preserve">   TO TRANSFER-UPI/DR/317916606073/SEVEN SP/PYTM/paytmqr281/UPI--</t>
  </si>
  <si>
    <t xml:space="preserve">   BY TRANSFER-UPI/CR/317968678553/GAURAV S/KKBK/gauravsing/UPI--</t>
  </si>
  <si>
    <t xml:space="preserve">   TO TRANSFER-UPI/DR/317932368474/Vendekin/ICIC/vendekin@i/UPI--</t>
  </si>
  <si>
    <t xml:space="preserve">   TO TRANSFER-UPI/DR/318041657131/SEVEN SP/PYTM/paytmqr281/UPI--</t>
  </si>
  <si>
    <t xml:space="preserve">   TO TRANSFER-UPI/DR/318048750928/Mr  AADA/YESB/q739730170/UPI--</t>
  </si>
  <si>
    <t xml:space="preserve">   TO TRANSFER-UPI/DR/318210431133/Mr  AADA/YESB/q964606339/UPI--</t>
  </si>
  <si>
    <t xml:space="preserve">   TO TRANSFER-UPI/DR/318215794065/Vendekin/ICIC/vendekin@i/UPI--</t>
  </si>
  <si>
    <t xml:space="preserve">   BY TRANSFER-UPI/CR/318221579807/Vendekin/ICIC/vendekin@i/vende--</t>
  </si>
  <si>
    <t xml:space="preserve">   TO TRANSFER-UPI/DR/318215841765/Vendekin/ICIC/vendekin@i/UPI--</t>
  </si>
  <si>
    <t xml:space="preserve">   BY TRANSFER-UPI/CR/318221585103/Vendekin/ICIC/vendekin@i/vende--</t>
  </si>
  <si>
    <t xml:space="preserve">   TO TRANSFER-UPI/DR/318232705458/Vendekin/ICIC/vendekin@i/UPI--</t>
  </si>
  <si>
    <t xml:space="preserve">   TO TRANSFER-UPI/DR/318227210384/Vendekin/ICIC/vendekin@i/UPI--</t>
  </si>
  <si>
    <t xml:space="preserve">   TO TRANSFER-UPI/DR/318342378569/Vendekin/ICIC/vendekin@i/UPI--</t>
  </si>
  <si>
    <t xml:space="preserve">   TO TRANSFER-UPI/DR/318359964641/SEVEN SP/PYTM/paytmqr281/UPI--</t>
  </si>
  <si>
    <t xml:space="preserve">   BY TRANSFER-FUD TR FR JSW STEEL LTD--</t>
  </si>
  <si>
    <t xml:space="preserve">TRANSFER FROM 11083986061                         </t>
  </si>
  <si>
    <t xml:space="preserve">   TO TRANSFER-UPI/DR/318497563455/Mr  AADA/YESB/q739730170/UPI--</t>
  </si>
  <si>
    <t xml:space="preserve">   TO TRANSFER-UPI/DR/318500074285/Vendekin/ICIC/vendekin@i/UPI--</t>
  </si>
  <si>
    <t xml:space="preserve">   TO TRANSFER-UPI/DR/318513180895/Vendekin/ICIC/vendekin@i/UPI--</t>
  </si>
  <si>
    <t xml:space="preserve">   TO TRANSFER-UPI/DR/318531421683/SWIGGY/ICIC/upiswiggy@/Payment--</t>
  </si>
  <si>
    <t xml:space="preserve">   TO TRANSFER-UPI/DR/355281447295/SEVEN SP/PYTM/paytmqr281/UPI--</t>
  </si>
  <si>
    <t xml:space="preserve">   TO TRANSFER-UPI/DR/318633751449/SWIGGY/ICIC/upiswiggy@/Payment--</t>
  </si>
  <si>
    <t xml:space="preserve">   TO TRANSFER-UPI/DR/355242955542/Mr  AADA/YESB/q739730170/UPI--</t>
  </si>
  <si>
    <t xml:space="preserve">   BY TRANSFER-NEFT*YESB0000001*YESB31864353562*ZERODHA BROKING L--</t>
  </si>
  <si>
    <t>TRANSFER FROM 4697245044307</t>
  </si>
  <si>
    <t xml:space="preserve">   TO TRANSFER-UPI/DR/318607271205/Vendekin/ICIC/vendekin@i/UPI--</t>
  </si>
  <si>
    <t xml:space="preserve">   TO TRANSFER-UPI/DR/318780111144/SEVEN SP/PYTM/paytmqr281/UPI--</t>
  </si>
  <si>
    <t xml:space="preserve">   TO TRANSFER-UPI/DR/318771888243/mohdjave/UTIB/mohdjaved6/UPI--</t>
  </si>
  <si>
    <t xml:space="preserve">   TO TRANSFER-UPI/DR/355364795490/Raja Singh/PYTM/paytmqr166/rai--</t>
  </si>
  <si>
    <t xml:space="preserve">   TO TRANSFER-UPI/DR/318792838816/Mr JAGTA/CBIN/jagtarchan/UPI--</t>
  </si>
  <si>
    <t xml:space="preserve">   BY TRANSFER-UPI/CR/355341498822/SHASHANK/HDFC/9880498899/Sent--</t>
  </si>
  <si>
    <t xml:space="preserve">   TO TRANSFER-UPI/DR/355489401799/Vendekin/ICIC/vendekin@i/UPI--</t>
  </si>
  <si>
    <t xml:space="preserve">   BULK POSTING-ACHCr SBIN03975000029599 SAGAR CEMENTS--</t>
  </si>
  <si>
    <t xml:space="preserve">   TO TRANSFER-UPI/DR/318805688671/SEVEN SP/PYTM/paytmqr281/UPI--</t>
  </si>
  <si>
    <t xml:space="preserve">   TO TRANSFER-UPI/DR/318830429927/SEVEN SP/PYTM/paytmqr281/UPI--</t>
  </si>
  <si>
    <t xml:space="preserve">   TO TRANSFER-UPI/DR/318859119082/Mr  AADA/YESB/q739730170/UPI--</t>
  </si>
  <si>
    <t xml:space="preserve">   TO TRANSFER-UPI/DR/318828567938/Vendekin/ICIC/vendekin@i/UPI--</t>
  </si>
  <si>
    <t xml:space="preserve">   TO TRANSFER-UPI/DR/318929616938/Vendekin/ICIC/vendekin@i/UPI--</t>
  </si>
  <si>
    <t xml:space="preserve">   TO TRANSFER-UPI/DR/319077070635/HARSH BI/BKID/harshbin06/UPI--</t>
  </si>
  <si>
    <t xml:space="preserve">   TO TRANSFER-UPI/DR/319077214945/PRANAV  /CNRB/pranavalig/UPI--</t>
  </si>
  <si>
    <t xml:space="preserve">   TO TRANSFER-UPI/DR/319039993372/SEVEN SP/PYTM/paytmqr281/UPI--</t>
  </si>
  <si>
    <t xml:space="preserve">   TO TRANSFER-UPI/DR/319120422999/Vendekin/ICIC/vendekin@i/UPI--</t>
  </si>
  <si>
    <t xml:space="preserve">   BY TRANSFER-UPI/CR/319147053909/Vendekin/ICIC/vendekin@i/vende--</t>
  </si>
  <si>
    <t>TRANSFER FROM 4897732162091</t>
  </si>
  <si>
    <t xml:space="preserve">   TO TRANSFER-UPI/DR/319120475889/Vendekin/ICIC/vendekin@i/UPI--</t>
  </si>
  <si>
    <t xml:space="preserve">   BY TRANSFER-UPI/CR/319147056718/Vendekin/ICIC/vendekin@i/vende--</t>
  </si>
  <si>
    <t xml:space="preserve">   TO TRANSFER-UPI/DR/355843225547/Vendekin/ICIC/vendekin@i/UPI--</t>
  </si>
  <si>
    <t xml:space="preserve">   BY TRANSFER-UPI/CR/319248370432/Vendekin/ICIC/vendekin@i/vende--</t>
  </si>
  <si>
    <t xml:space="preserve">   TO TRANSFER-UPI/DR/319258953660/SEVEN SP/PYTM/paytmqr281/UPI--</t>
  </si>
  <si>
    <t xml:space="preserve">   TO TRANSFER-UPI/DR/319382308169/SEVEN SP/PYTM/paytmqr281/UPI--</t>
  </si>
  <si>
    <t xml:space="preserve">   TO TRANSFER-UPI/DR/319399294182/Mr  AADA/YESB/q423863729/UPI--</t>
  </si>
  <si>
    <t xml:space="preserve">   TO TRANSFER-UPI/DR/319434338456/Mr  AADA/YESB/q964606339/UPI--</t>
  </si>
  <si>
    <t xml:space="preserve">   BY TRANSFER-UPI/CR/319446314350/TIRTHA T/UBIN/9938240112/Sent--</t>
  </si>
  <si>
    <t xml:space="preserve">   TO TRANSFER-UPI/DR/319556457121/VISHAL K/PSIB/khanvishal/UPI--</t>
  </si>
  <si>
    <t xml:space="preserve">   TO TRANSFER-UPI/DR/319563994886/Mr  AADA/YESB/q739730170/UPI--</t>
  </si>
  <si>
    <t xml:space="preserve">   TO TRANSFER-UPI/DR/319573997616/Mr  AADA/YESB/q739730170/UPI--</t>
  </si>
  <si>
    <t xml:space="preserve">   TO TRANSFER-UPI/DR/319580930153/JUZHAR S/PYTM/9592001871/UPI--</t>
  </si>
  <si>
    <t xml:space="preserve">   TO TRANSFER-UPI/DR/356157752953/Vendekin/ICIC/vendekin@i/UPI--</t>
  </si>
  <si>
    <t xml:space="preserve">   TO TRANSFER-UPI/DR/319583282509/PRANAV  /CNRB/pranavalig/UPI--</t>
  </si>
  <si>
    <t xml:space="preserve">   TO TRANSFER-UPI/DR/319652188652/Vendekin/ICIC/vendekin@i/UPI--</t>
  </si>
  <si>
    <t xml:space="preserve">   TO TRANSFER-UPI/DR/319613752833/PAWAN VE/BARB/johnverma1/UPI--</t>
  </si>
  <si>
    <t xml:space="preserve">   TO TRANSFER-UPI/DR/356209104098/pankaj98/PUNB/pankaj9878/UPI--</t>
  </si>
  <si>
    <t xml:space="preserve">   TO TRANSFER-UPI/DR/356387998807/98804988/HDFC/9880498899/UPI--</t>
  </si>
  <si>
    <t xml:space="preserve">   TO TRANSFER-UPI/DR/356309400717/K PRAMOD/HDFC/kpramodkri/UPI--</t>
  </si>
  <si>
    <t xml:space="preserve">   TO TRANSFER-UPI/DR/319745421204/SEVEN SP/PYTM/paytmqr281/UPI--</t>
  </si>
  <si>
    <t xml:space="preserve">   TO TRANSFER-UPI/DR/356313525417/SEVEN SP/PYTM/paytmqr281/UPI--</t>
  </si>
  <si>
    <t xml:space="preserve">   TO TRANSFER-UPI/DR/356392452966/K PRAMOD/HDFC/kpramodkri/UPI--</t>
  </si>
  <si>
    <t xml:space="preserve">   BY TRANSFER-UPI/CR/319753948919/GOOGLEPAY/UTIB/goog-payme/UPI--</t>
  </si>
  <si>
    <t xml:space="preserve">   TO TRANSFER-UPI/DR/319717153589/ANIL KAP/KKBK/paytmqr281/UPI--</t>
  </si>
  <si>
    <t xml:space="preserve">   TO TRANSFER-UPI/DR/319836036755/Vendekin/ICIC/vendekin@i/UPI--</t>
  </si>
  <si>
    <t xml:space="preserve">   TO TRANSFER-UPI/DR/319848949633/Vendekin/ICIC/vendekin@i/UPI--</t>
  </si>
  <si>
    <t xml:space="preserve">   TO TRANSFER-UPI/DR/319854376167/Mr  AADA/YESB/q739730170/UPI--</t>
  </si>
  <si>
    <t xml:space="preserve">   TO TRANSFER-UPI/DR/319969935288/PAWANDEE/YESB/bharatpe90/Pay t--</t>
  </si>
  <si>
    <t xml:space="preserve">   TO TRANSFER-UPI/DR/319980677219/LOVEPREE/SBIN/manaklovep/UPI--</t>
  </si>
  <si>
    <t xml:space="preserve">   BY TRANSFER-UPI/CR/356534588023/SHIVANSH/PUNB/6355284382/NA--</t>
  </si>
  <si>
    <t xml:space="preserve">   TO TRANSFER-UPI/DR/356537115037/SEVEN SP/PYTM/paytmqr281/UPI--</t>
  </si>
  <si>
    <t xml:space="preserve">   TO TRANSFER-UPI/DR/319982121482/Vendekin/ICIC/vendekin@i/UPI--</t>
  </si>
  <si>
    <t xml:space="preserve">   BY TRANSFER-UPI/CR/319948400384/SHASHANK/HDFC/9880498899/Sent--</t>
  </si>
  <si>
    <t xml:space="preserve">   TO TRANSFER-UPI/DR/320019966857/Mr  AADA/YESB/q739730170/UPI--</t>
  </si>
  <si>
    <t xml:space="preserve">   by debit card-OTHPG 628167      IND*LinkedIn          MUMBAI--</t>
  </si>
  <si>
    <t xml:space="preserve">   TO TRANSFER-UPI/DR/320025869820/Vendekin/ICIC/vendekin@i/UPI--</t>
  </si>
  <si>
    <t xml:space="preserve">   BY TRANSFER-UPI/CR/320072526336/Vendekin/ICIC/vendekin@i/vende--</t>
  </si>
  <si>
    <t xml:space="preserve">   TO TRANSFER-UPI/DR/320026045534/Leaf Stu/YESB/leafstudio/UPI--</t>
  </si>
  <si>
    <t xml:space="preserve">   TO TRANSFER-UPI/DR/320138502002/SEVEN SP/PYTM/paytmqr281/UPI--</t>
  </si>
  <si>
    <t xml:space="preserve">   TO TRANSFER-UPI/DR/320138812953/Vendekin/ICIC/vendekin@i/UPI--</t>
  </si>
  <si>
    <t xml:space="preserve">   BY TRANSFER-UPI/CR/320173925946/Vendekin/ICIC/vendekin@i/vende--</t>
  </si>
  <si>
    <t xml:space="preserve">   BY TRANSFER-UPI/CR/356792387965/NITISH K/SBIN/7978999722/Payme--</t>
  </si>
  <si>
    <t xml:space="preserve">   TO TRANSFER-UPI/DR/320293174995/RAJESH K/BARB/pandeyraje/UPI--</t>
  </si>
  <si>
    <t xml:space="preserve">   TO TRANSFER-UPI/DR/320319987083/UDEMY/HDFC/billdeskpg/Pay--</t>
  </si>
  <si>
    <t xml:space="preserve">   TO TRANSFER-UPI/DR/320325771366/NANDINI /YESB/q428890108/UPI--</t>
  </si>
  <si>
    <t xml:space="preserve">   TO TRANSFER-UPI/DR/320326887365/ANKUR   ./KKBK/ankurbajaj/UPI--</t>
  </si>
  <si>
    <t xml:space="preserve">   BY TRANSFER-UPI/CR/356940477067/SHASHANK/HDFC/9880498899/Sent--</t>
  </si>
  <si>
    <t xml:space="preserve">   BY TRANSFER-UPI/CR/356940631219/VYSAKH R K/UTIB/9447970836/NA--</t>
  </si>
  <si>
    <t xml:space="preserve">   TO TRANSFER-UPI/DR/320471883328/AAYUSH K/FDRL/9594435259/ADDMO--</t>
  </si>
  <si>
    <t xml:space="preserve">   TO TRANSFER-UPI/DR/320429894945/EURONETG/ICIC/euronetgpa/UPI--</t>
  </si>
  <si>
    <t xml:space="preserve">   TO TRANSFER-UPI/DR/320435208368/UDEMY/HDFC/billdeskpg/Pay--</t>
  </si>
  <si>
    <t xml:space="preserve">   TO TRANSFER-UPI/DR/320444540066/Mr  AADA/YESB/q739730170/UPI--</t>
  </si>
  <si>
    <t xml:space="preserve">   TO TRANSFER-UPI/DR/320451849429/Shashank/HDFC/9880498899/UPI--</t>
  </si>
  <si>
    <t xml:space="preserve">   TO TRANSFER-UPI/DR/320452786327/K PRAMOD/HDFC/kpramodkri/UPI--</t>
  </si>
  <si>
    <t xml:space="preserve">   TO TRANSFER-UPI/DR/320453633505/SEVEN SP/PYTM/paytmqr281/UPI--</t>
  </si>
  <si>
    <t xml:space="preserve">   TO TRANSFER-UPI/DR/320595876900/SAJAN  ./SBIN/sajankalya/UPI--</t>
  </si>
  <si>
    <t xml:space="preserve">   TO TRANSFER-UPI/DR/320596919366/OTTIMO C/PYTM/paytmqr1ez/UPI--</t>
  </si>
  <si>
    <t xml:space="preserve">   TO TRANSFER-UPI/DR/320763921231/Forbes F/PYTM/paytmqr281/UPI--</t>
  </si>
  <si>
    <t xml:space="preserve">   TO TRANSFER-UPI/DR/320824641684/WWW NAUK/HDFC/naukri.pay/UPIIn--</t>
  </si>
  <si>
    <t xml:space="preserve">   BULK POSTING-     00000011669 230723 LinkedIn\E 510 CRYSTAL--</t>
  </si>
  <si>
    <t xml:space="preserve">   BY TRANSFER-UPI/CR/320957129328/IRCTC CF/HDFC/irctc.cf@h/UPI R--</t>
  </si>
  <si>
    <t xml:space="preserve">   BY TRANSFER-UPI/CR/320957375093/IRCTC CF/HDFC/irctc.cf@h/UPI R--</t>
  </si>
  <si>
    <t xml:space="preserve">   TO TRANSFER-UPI/DR/320929705505/Vendekin/ICIC/vendekin@i/UPI--</t>
  </si>
  <si>
    <t xml:space="preserve">   TO TRANSFER-UPI/DR/357678946367/SEVEN SP/PYTM/paytmqr281/UPI--</t>
  </si>
  <si>
    <t xml:space="preserve">   BY TRANSFER-UPI/CR/321059353898/IRCTC CF/HDFC/irctc.cf@h/UPI R--</t>
  </si>
  <si>
    <t xml:space="preserve">   BY TRANSFER-UPI/CR/357737417710/VIVEK KU/SBIN/9818076031/Payme--</t>
  </si>
  <si>
    <t xml:space="preserve">   TO TRANSFER-UPI/DR/321195464326/SEVEN SP/PYTM/paytmqr281/UPI--</t>
  </si>
  <si>
    <t xml:space="preserve">   TO TRANSFER-UPI/DR/321178168433/SEVEN SP/PYTM/paytmqr281/UPI--</t>
  </si>
  <si>
    <t xml:space="preserve">   TO TRANSFER-UPI/DR/357804306519/Mr  AADA/YESB/q739730170/UPI--</t>
  </si>
  <si>
    <t xml:space="preserve">   TO TRANSFER-UPI/DR/321223588766/LOVEPREE/AUBL/lovelybhat/UPI--</t>
  </si>
  <si>
    <t xml:space="preserve">   TO TRANSFER-UPI/DR/321287516546/AAYUSH K/FDRL/9594435259/ADDMO--</t>
  </si>
  <si>
    <t xml:space="preserve">   TO TRANSFER-UPI/DR/321227436150/Param  C/SBIN/0008288006/UPI--</t>
  </si>
  <si>
    <t xml:space="preserve">   TO TRANSFER-UPI/DR/321363072206/Vendekin/ICIC/vendekin@i/UPI--</t>
  </si>
  <si>
    <t xml:space="preserve">   TO TRANSFER-UPI/DR/321442229067/Plaksha /utib/plakshauni/Onlin--</t>
  </si>
  <si>
    <t xml:space="preserve">   TO TRANSFER-UPI/DR/321479181332/98825462/UCBA/9882546237/UPI--</t>
  </si>
  <si>
    <t xml:space="preserve">   TO TRANSFER-UPI/DR/358021601389/Vendekin/ICIC/vendekin@i/UPI--</t>
  </si>
  <si>
    <t xml:space="preserve">   TO TRANSFER-UPI/DR/321512182909/PaytmUser/HDFC/9568987093/UPI--</t>
  </si>
  <si>
    <t xml:space="preserve">   TO TRANSFER-UPI/DR/358157721577/PARDEEP /UTIB/fcbizrcmqf/UPI--</t>
  </si>
  <si>
    <t xml:space="preserve">   TO TRANSFER-UPI/DR/321515506788/HARJINDE/HDFC/harjinders/UPI--</t>
  </si>
  <si>
    <t xml:space="preserve">   TO TRANSFER-UPI/DR/358164233861/Vendekin/ICIC/vendekin@i/UPI--</t>
  </si>
  <si>
    <t xml:space="preserve">   TO TRANSFER-UPI/DR/321638636562/SEVEN SP/PYTM/paytmqr281/UPI--</t>
  </si>
  <si>
    <t xml:space="preserve">   BULK POSTING-ACHCr UTIB00788000017240 KFIL FNL 2022--</t>
  </si>
  <si>
    <t xml:space="preserve">   BULK POSTING-ACHCr HDFC01208000010673 ORIENTCEMENTLT--</t>
  </si>
  <si>
    <t xml:space="preserve">   TO TRANSFER-UPI/DR/321661547406/Vendekin/ICIC/vendekin@i/UPI--</t>
  </si>
  <si>
    <t xml:space="preserve">   BY TRANSFER-UPI/CR/321618641582/Vendekin/ICIC/vendekin@i/vende--</t>
  </si>
  <si>
    <t xml:space="preserve">   TO TRANSFER-UPI/DR/321676708133/IRCTC CF/HDFC/irctc.cf@h/IRCTC--</t>
  </si>
  <si>
    <t xml:space="preserve">   BY TRANSFER-UPI/CR/321982792010/IRCTC CF/HDFC/irctc.cf@h/UPI R--</t>
  </si>
  <si>
    <t xml:space="preserve">   TO TRANSFER-UPI/DR/322079768455/SUSHIL K/IPOS/q762550979/UPI--</t>
  </si>
  <si>
    <t xml:space="preserve">   TO TRANSFER-UPI/DR/322190143328/MUTHUPAT/YESB/q840913628/UPI--</t>
  </si>
  <si>
    <t xml:space="preserve">   TO TRANSFER-UPI/DR/322190996382/Zerodha /HDFC/zerodhabro/88981--</t>
  </si>
  <si>
    <t xml:space="preserve">   TO TRANSFER-UPI/DR/358867738820/IBIBO GR/ICIC/redbus.pay/UPI--</t>
  </si>
  <si>
    <t xml:space="preserve">   BY TRANSFER-UPI/CR/358866157759/ADITI  G/SBIN/9039494395/Payme--</t>
  </si>
  <si>
    <t xml:space="preserve">   TO TRANSFER-UPI/DR/358982994448/ARAGHYOD/MAHB/anyk@mahb/UPI--</t>
  </si>
  <si>
    <t xml:space="preserve">   TO TRANSFER-UPI/DR/322526028539/HARI OM /FDRL/bharatpe.9/Pay T--</t>
  </si>
  <si>
    <t xml:space="preserve">   TO TRANSFER-UPI/DR/322500575226/REDBUS/HDFC/redbus1.pa/UPI--</t>
  </si>
  <si>
    <t xml:space="preserve">   TO TRANSFER-UPI/DR/322649034646/Krushnas/PYTM/paytmqrrqs/UPI--</t>
  </si>
  <si>
    <t xml:space="preserve">   BULK POSTING-ACHCr IBKL00249000010274 ITCLIMITED--</t>
  </si>
  <si>
    <t xml:space="preserve">   TO TRANSFER-UPI/DR/322627307930/AMOL SAN/YESB/q737575486/UPI--</t>
  </si>
  <si>
    <t xml:space="preserve">   TO TRANSFER-UPI/DR/322899850164/SUSHIL K/IPOS/q641920445/UPI--</t>
  </si>
  <si>
    <t xml:space="preserve">   TO TRANSFER-UPI/DR/322841052454/SUSHIL K/IPOS/q641920445/UPI--</t>
  </si>
  <si>
    <t xml:space="preserve">   TO TRANSFER-UPI/DR/322980455536/ARAGHYOD/MAHB/anyk@mahb/UPI--</t>
  </si>
  <si>
    <t xml:space="preserve">   TO TRANSFER-UPI/DR/322940352119/CLEARTRI/PYTM/paytm-3548/OidLB--</t>
  </si>
  <si>
    <t xml:space="preserve">   TO TRANSFER-UPI/DR/323004578780/IRCTC Ap/PYTM/paytm-irct/Oid10--</t>
  </si>
  <si>
    <t xml:space="preserve">   TO TRANSFER-UPI/DR/323020145631/UDIPI RE/PYTM/paytmqr281/UPI--</t>
  </si>
  <si>
    <t>Account Statement</t>
  </si>
  <si>
    <t>AAYUSH KUMAR GUPTA</t>
  </si>
  <si>
    <t>2 nd floor survey no 20 7</t>
  </si>
  <si>
    <t>Cust. Reln. No.</t>
  </si>
  <si>
    <t>Swamy legato</t>
  </si>
  <si>
    <t>Account No.</t>
  </si>
  <si>
    <t>Kadubisanahalli</t>
  </si>
  <si>
    <t>From 05/03/2024 To 31/03/2024</t>
  </si>
  <si>
    <t>Bengaluru</t>
  </si>
  <si>
    <t>Currency</t>
  </si>
  <si>
    <t>INR</t>
  </si>
  <si>
    <t>Karnataka</t>
  </si>
  <si>
    <t>Branch</t>
  </si>
  <si>
    <t>M G ROAD BRANCH</t>
  </si>
  <si>
    <t>India</t>
  </si>
  <si>
    <t>Nomination Regd</t>
  </si>
  <si>
    <t>N</t>
  </si>
  <si>
    <t>Nominee Name</t>
  </si>
  <si>
    <t>Joint Holder(S)</t>
  </si>
  <si>
    <t>IFSC</t>
  </si>
  <si>
    <t>KKBK0008066</t>
  </si>
  <si>
    <t>MICR</t>
  </si>
  <si>
    <t>Sl. No.</t>
  </si>
  <si>
    <t>Transaction Date</t>
  </si>
  <si>
    <t>Chq / Ref No.</t>
  </si>
  <si>
    <t>Amount</t>
  </si>
  <si>
    <t>Dr / Cr</t>
  </si>
  <si>
    <t>TRANS</t>
  </si>
  <si>
    <t>FCM-24031594KVJN</t>
  </si>
  <si>
    <t>UPI/AAYUSH KUMAR GU/407811693463/MB UPI</t>
  </si>
  <si>
    <t>UPI-407898263279</t>
  </si>
  <si>
    <t>UPI/AAYUSH KUMAR GU/407811695179/MB UPI</t>
  </si>
  <si>
    <t>UPI-407898305881</t>
  </si>
  <si>
    <t>UPI/AAYUSH KUMAR GU/407908004025/MB UPI</t>
  </si>
  <si>
    <t>UPI-407933197636</t>
  </si>
  <si>
    <t>Recd:IMPS/408307273704/CASHFREE P/KKBK/X0008/BAV</t>
  </si>
  <si>
    <t>IMPS-408307596920</t>
  </si>
  <si>
    <t>SALARYTRANS</t>
  </si>
  <si>
    <t>FCM-2403299ES9MP</t>
  </si>
  <si>
    <t>UPI/AAYUSH KUMAR GU/409021378087/MB UPI</t>
  </si>
  <si>
    <t>UPI-409009155467</t>
  </si>
  <si>
    <t>UPI/AAYUSH KUMAR GU/409021379488/MB UPI</t>
  </si>
  <si>
    <t>UPI-409009192485</t>
  </si>
  <si>
    <t>UPI/AAYUSH KUMAR GU/409021381201/MB UPI</t>
  </si>
  <si>
    <t>UPI-409009233431</t>
  </si>
  <si>
    <t>PCD/4395/GYFTR COM/7840089543310324/20:49</t>
  </si>
  <si>
    <t>Int.Pd:3649610333:01-01-2024 to 31-03-2024</t>
  </si>
  <si>
    <t>Name:</t>
  </si>
  <si>
    <t>Branch Name:</t>
  </si>
  <si>
    <t>Fintech Partnerships (Jupiter)</t>
  </si>
  <si>
    <t>Communication Address:</t>
  </si>
  <si>
    <t>D-07, Ishwar Paradise Ashoka Marg Nashik, Behind Fame Theatre, Nashik, Maharashtra, 422006</t>
  </si>
  <si>
    <t>Branch Address:</t>
  </si>
  <si>
    <t xml:space="preserve">Federal Bank Ltd, Fintech Partnerships Department Integrated Startup Complex, KSUM, HMT Colony, Kalamassery, Ernakulam Kerala 683503
    </t>
  </si>
  <si>
    <t>Address Last Update On:</t>
  </si>
  <si>
    <t>28/10/2021</t>
  </si>
  <si>
    <t>Brach Sol Id:</t>
  </si>
  <si>
    <t>7777</t>
  </si>
  <si>
    <t>Regd. Mobile Number:</t>
  </si>
  <si>
    <t>919594435259</t>
  </si>
  <si>
    <t>Account Number:</t>
  </si>
  <si>
    <t>77770101840847</t>
  </si>
  <si>
    <t>Email ID:</t>
  </si>
  <si>
    <t>aayushp4396@gmail.com</t>
  </si>
  <si>
    <t>Customer ID:</t>
  </si>
  <si>
    <t>135342130</t>
  </si>
  <si>
    <t>Scheme:</t>
  </si>
  <si>
    <t>SALARY-7777</t>
  </si>
  <si>
    <t>Account Open Date:</t>
  </si>
  <si>
    <t>Type Of Account:</t>
  </si>
  <si>
    <t>Savings</t>
  </si>
  <si>
    <t>Account Status:</t>
  </si>
  <si>
    <t>Active</t>
  </si>
  <si>
    <t>IFSC:</t>
  </si>
  <si>
    <t>FDRL0007777</t>
  </si>
  <si>
    <t>Mode Of Operation:</t>
  </si>
  <si>
    <t>Single</t>
  </si>
  <si>
    <t>MICR Code:</t>
  </si>
  <si>
    <t>682049069</t>
  </si>
  <si>
    <t>Joint Holders:</t>
  </si>
  <si>
    <t>NIL</t>
  </si>
  <si>
    <t>SWIFT Code:</t>
  </si>
  <si>
    <t>FDRLINBBIBD</t>
  </si>
  <si>
    <t>Nomination:</t>
  </si>
  <si>
    <t>Registered</t>
  </si>
  <si>
    <t>Effective Available Balance:</t>
  </si>
  <si>
    <t>1950.19</t>
  </si>
  <si>
    <t>Date of Issue:</t>
  </si>
  <si>
    <t>22/04/2024</t>
  </si>
  <si>
    <t>Currency:</t>
  </si>
  <si>
    <t xml:space="preserve"> Statement of Account for the period of 01-APR-2023 to 31-MAR-2024
</t>
  </si>
  <si>
    <t>Particulars</t>
  </si>
  <si>
    <t>Tran Type</t>
  </si>
  <si>
    <t>Cheque Details</t>
  </si>
  <si>
    <t>Withdrawals</t>
  </si>
  <si>
    <t>Deposits</t>
  </si>
  <si>
    <t>Dr/Cr</t>
  </si>
  <si>
    <t>UPIOUT/309826882296/Q143041833@ybl/Sent
via /5311</t>
  </si>
  <si>
    <t>TFR</t>
  </si>
  <si>
    <t>Dr</t>
  </si>
  <si>
    <t>UPIOUT/311268164406/paytm-61240897@paytm/S
en/5411</t>
  </si>
  <si>
    <t>UPI IN/317381933693/9594435259@jupiteraxis
/A/0000</t>
  </si>
  <si>
    <t>Cr</t>
  </si>
  <si>
    <t>UPIOUT/317381938077/playstore@axisbank/Man
da/5817</t>
  </si>
  <si>
    <t>UPI IN/320471883328/9594435259@jupiteraxis
/A/0000</t>
  </si>
  <si>
    <t>UPI IN/321287516546/9594435259@jupiteraxis
/A/0000</t>
  </si>
  <si>
    <t>UPIOUT/321287534320/paytm-69746593@paytm/S
en/5813</t>
  </si>
  <si>
    <t>UPIOUT/321289065233/paytm-69746593@paytm/S
en/5813</t>
  </si>
  <si>
    <t>UPIOUT/321290570632/0008288006214@ibl/Sent
v/0000</t>
  </si>
  <si>
    <t>UPI IN/325983918366/9594435259@jupiteraxis
/A/0000</t>
  </si>
  <si>
    <t>UPIOUT/325983946204/aayush20gupta@oksbi/Se
nt/0000</t>
  </si>
  <si>
    <t>UPIOUT/325983968688/aayush20gupta@oksbi/Se
nt/0000</t>
  </si>
  <si>
    <t>UPI IN/325984057818/9594435259@jupiteraxis
/A/0000</t>
  </si>
  <si>
    <t>UPIOUT/325984070086/aayush20gupta@oksbi/Se
nt/0000</t>
  </si>
  <si>
    <t>UPIOUT/325984092359/aayush20gupta@oksbi/Se
nt/0000</t>
  </si>
  <si>
    <t>UPIOUT/325984099503/aayush20gupta@oksbi/Se
nt/0000</t>
  </si>
  <si>
    <t>UPIOUT/325984108755/aayush20gupta@oksbi/Se
nt/0000</t>
  </si>
  <si>
    <t>UPIOUT/325984131514/aayush20gupta@oksbi/Se
nt/0000</t>
  </si>
  <si>
    <t>UPIOUT/325984141517/aayush20gupta@oksbi/Se
nt/0000</t>
  </si>
  <si>
    <t>UPIOUT/325984148205/aayush20gupta@oksbi/Se
nt/0000</t>
  </si>
  <si>
    <t>UPIOUT/325984156059/aayush20gupta@oksbi/Se
nt/0000</t>
  </si>
  <si>
    <t>UPIOUT/325984177608/aayush20gupta@oksbi/Se
nt/0000</t>
  </si>
  <si>
    <t>UPIOUT/325984184014/aayush20gupta@oksbi/Se
nt/0000</t>
  </si>
  <si>
    <t>UPIOUT/325984190985/aayush20gupta@oksbi/Se
nt/0000</t>
  </si>
  <si>
    <t>UPIOUT/325984197954/aayush20gupta@oksbi/Se
nt/0000</t>
  </si>
  <si>
    <t>UPIOUT/325984204616/aayush20gupta@oksbi/Se
nt/0000</t>
  </si>
  <si>
    <t>UPIOUT/325984246568/aayush20gupta@oksbi/Se
nt/0000</t>
  </si>
  <si>
    <t>UPIOUT/326016087025/aayush20gupta@oksbi/Se
nt/0000</t>
  </si>
  <si>
    <t>UPIOUT/326360743545/Q037540648@ybl/Sent
via /5912</t>
  </si>
  <si>
    <t>UPIOUT/326360819605/paytmqr2810050501019ut
hb/5411</t>
  </si>
  <si>
    <t>UPIOUT/326360885479/Q233653707@ybl/Sent
via /5814</t>
  </si>
  <si>
    <t>UPIOUT/327347525145/aayush20gupta@oksbi/Se
nt/0000</t>
  </si>
  <si>
    <t>UPI IN/327347976871/9594435259@jupiteraxis
/A/0000</t>
  </si>
  <si>
    <t>UPIOUT/327347985091/aayush20gupta@oksbi/Se
nt/0000</t>
  </si>
  <si>
    <t>UPIOUT/327347989422/aayush20gupta@oksbi/Se
nt/0000</t>
  </si>
  <si>
    <t>UPIOUT/327347997687/aayush20gupta@oksbi/Se
nt/0000</t>
  </si>
  <si>
    <t>UPIOUT/327348005114/aayush20gupta@oksbi/Se
nt/0000</t>
  </si>
  <si>
    <t>UPIOUT/327348012148/aayush20gupta@oksbi/Se
nt/0000</t>
  </si>
  <si>
    <t>UPIOUT/327348017047/aayush20gupta@oksbi/Se
nt/0000</t>
  </si>
  <si>
    <t>UPIOUT/327348022692/aayush20gupta@oksbi/Se
nt/0000</t>
  </si>
  <si>
    <t>UPIOUT/327348027549/aayush20gupta@oksbi/Se
nt/0000</t>
  </si>
  <si>
    <t>UPIOUT/327348037249/aayush20gupta@oksbi/Se
nt/0000</t>
  </si>
  <si>
    <t>UPIOUT/327348040791/aayush20gupta@oksbi/Se
nt/0000</t>
  </si>
  <si>
    <t>UPIOUT/327348044976/aayush20gupta@oksbi/Se
nt/0000</t>
  </si>
  <si>
    <t>UPIOUT/327348049059/aayush20gupta@oksbi/Se
nt/0000</t>
  </si>
  <si>
    <t>UPIOUT/327348053384/aayush20gupta@oksbi/Se
nt/0000</t>
  </si>
  <si>
    <t>UPIOUT/327348057342/aayush20gupta@oksbi/Se
nt/0000</t>
  </si>
  <si>
    <t>UPIOUT/327348061477/aayush20gupta@oksbi/Se
nt/0000</t>
  </si>
  <si>
    <t>UPIOUT/327348078195/aayush20gupta@oksbi/Se
nt/0000</t>
  </si>
  <si>
    <t>UPIOUT/327348085266/aayush20gupta@oksbi/Se
nt/0000</t>
  </si>
  <si>
    <t>UPIOUT/327348090241/aayush20gupta@oksbi/Se
nt/0000</t>
  </si>
  <si>
    <t>UPIOUT/327488430429/BHARATPE09909220132@ye
sb/5814</t>
  </si>
  <si>
    <t>NFT/LINCOLN ELECTRI/23A300420OM40K93/BANK
OF AM</t>
  </si>
  <si>
    <t>IFN/p8VegTu5aku1oE9M Transfer to 6 Weeks
Saving Ch</t>
  </si>
  <si>
    <t>Dr. Tran for funding A/c 77770701776482</t>
  </si>
  <si>
    <t>Dr. Tran for funding A/c 77770300389653</t>
  </si>
  <si>
    <t>UPIOUT/327740919950/paytmqri4e2wzxu0x@payt
m//5814</t>
  </si>
  <si>
    <t>UPIOUT/327758951663/Q629310231@ybl/Sent
via /5451</t>
  </si>
  <si>
    <t>NFT/NEOSIEXEDDD2023100504313650042 NAVI
Mutual Fun</t>
  </si>
  <si>
    <t>IFN/NEOSIEXEDDD2023100506331862670
Transfer to sup</t>
  </si>
  <si>
    <t>NFT/NEOSIEXEDDD2023100604331742179 NAVI
Mutual Fun</t>
  </si>
  <si>
    <t>IFN/NEOSIEXEDDD2023100606335813287
Transfer to sup</t>
  </si>
  <si>
    <t>UPIOUT/327954867247/Q930032498@ybl/Sent
via /5812</t>
  </si>
  <si>
    <t>UPIOUT/328069106430/Q438491684@ybl/Sent
via /5814</t>
  </si>
  <si>
    <t>NFT/NEOSIEXEDDD2023100704342289054 NAVI
Mutual Fun</t>
  </si>
  <si>
    <t>IFN/NEOSIEXEDDD2023100706341434806
Transfer to sup</t>
  </si>
  <si>
    <t>UPIOUT/328077340513/paytmqr281005050101ba1
ua/5812</t>
  </si>
  <si>
    <t>UPIOUT/328077624233/Q267751124@ybl/Sent
via /5441</t>
  </si>
  <si>
    <t>UPIOUT/328085400948/Q269943231@ybl/Sent
via /5814</t>
  </si>
  <si>
    <t>UPIOUT/328119168987/Q444099957@ybl/Sent
via /5812</t>
  </si>
  <si>
    <t>UPIOUT/328119343414/Q521635612@ybl/Sent
via /5451</t>
  </si>
  <si>
    <t>UPIOUT/328121853835/cf.simp@icici/UPI
Intent/7322</t>
  </si>
  <si>
    <t>NFT/NEOSIEXEDDD2023100804350193992 NAVI
Mutual Fun</t>
  </si>
  <si>
    <t>IFN/NEOSIEXEDDD2023100806332963234
Transfer to sup</t>
  </si>
  <si>
    <t>UPIOUT/328129528198/paytmqr281005050101ba1
ua/5812</t>
  </si>
  <si>
    <t>UPIOUT/328149230594/Q882147483@ybl/Sent
via /5814</t>
  </si>
  <si>
    <t>UPIOUT/328258866701/Q726253442@ybl/Sent
via /5311</t>
  </si>
  <si>
    <t>NFT/NEOSIEXEDDD2023100904351642222 NAVI
Mutual Fun</t>
  </si>
  <si>
    <t>IFN/NEOSIEXEDDD2023100906330377610
Transfer to sup</t>
  </si>
  <si>
    <t>UPIOUT/328285161291/Q981404186@ybl/Sent
via /5814</t>
  </si>
  <si>
    <t>UPIOUT/328285534629/Q492641334@ybl/Sent
via /5411</t>
  </si>
  <si>
    <t>UPIOUT/364839258870/paytm-
irctcapp@paytm/Oid/4011</t>
  </si>
  <si>
    <t>UPIOUT/364833035007/paytm-
irctcapp@paytm/Oid/4011</t>
  </si>
  <si>
    <t>UPIOUT/328292669312/Q267751124@ybl/Sent
via /5441</t>
  </si>
  <si>
    <t>UPIOUT/328302153606/paytm-
irctcapp@paytm/Oid/4011</t>
  </si>
  <si>
    <t>UPIOUT/328311386904/Q521635612@ybl/Sent
via /5451</t>
  </si>
  <si>
    <t>NFT/NEOSIEXEDDD2023101004362061758 NAVI
Mutual Fun</t>
  </si>
  <si>
    <t>IFN/NEOSIEXEDDD2023101006335873990
Transfer to sup</t>
  </si>
  <si>
    <t>UPIOUT/328320608283/9011139401@ibl/Sent
via /0000</t>
  </si>
  <si>
    <t>UPIOUT/328321156237/Q423659019@ybl/Sent
via /5311</t>
  </si>
  <si>
    <t>UPIOUT/328321238606/Q97308535@ybl/Sent via
J/5411</t>
  </si>
  <si>
    <t>UPIOUT/328455016693/Q521635612@ybl/Sent
via /5451</t>
  </si>
  <si>
    <t>NFT/NEOSIEXEDDD2023101104350017880 NAVI
Mutual Fun</t>
  </si>
  <si>
    <t>IFN/NEOSIEXEDDD2023101105401245383
Transfer to pot</t>
  </si>
  <si>
    <t>IFN/NEOSIEXEDDD2023101106330220186
Transfer to sup</t>
  </si>
  <si>
    <t>FD-77770300389653 closure proceeds
credited</t>
  </si>
  <si>
    <t>FD-77770701776482 closure proceeds
credited</t>
  </si>
  <si>
    <t>IFN/EtgmrB2DD3NrpPoE Withdraw from 6 Weeks
Saving</t>
  </si>
  <si>
    <t>IFN/INBINBFT20231011032553605 Jupiter
Rewards</t>
  </si>
  <si>
    <t>NFT/NEOSIEXEDDD2023101204361934171 NAVI
Mutual Fun</t>
  </si>
  <si>
    <t>UPIOUT/328512390943/Q738150595@ybl/Sent
via /5943</t>
  </si>
  <si>
    <t>UPIOUT/328651505211/Q178744345@ybl/Sent
via /7230</t>
  </si>
  <si>
    <t>NFT/NEOSIEXEDDD2023101304362004453 NAVI
Mutual Fun</t>
  </si>
  <si>
    <t>UPIOUT/328670883824/jupiterbillpay2@fbl/BB
PS/4814</t>
  </si>
  <si>
    <t>UPIOUT/328677963842/Q521635612@ybl/Sent
via /5451</t>
  </si>
  <si>
    <t>NFT/NEOSIEXEDDD2023101404390676103 NAVI
Mutual Fun</t>
  </si>
  <si>
    <t>FT IMPS/IFI/328718945589/RZPX PVT
LTD/Jupiter</t>
  </si>
  <si>
    <t>UPI IN/328898684766/aayush20gupta@oksbi/UP
I/0000</t>
  </si>
  <si>
    <t>NFT/NEOSIEXEDDD2023101504390239932 NAVI
Mutual Fun</t>
  </si>
  <si>
    <t>UPIOUT/328847387456/olacabs.rzp@axisbank/P
ay/4121</t>
  </si>
  <si>
    <t>UPI IN/365428987264/walletmoneytobank@payt
m//0000</t>
  </si>
  <si>
    <t>UPIOUT/328865999935/uberrides@hdfcbank/Ube
rR/5960</t>
  </si>
  <si>
    <t>UPI IN/328855627204/uberrides@hdfcbank/Cha
rg/0000</t>
  </si>
  <si>
    <t>UPIOUT/328872542036/bombairajareddy2@ybl/S
en/0000</t>
  </si>
  <si>
    <t>UPIOUT/328981486926/olacabs.rzp@axisbank/P
ay/4121</t>
  </si>
  <si>
    <t>NFT/NEOSIEXEDDD2023101604385515255 NAVI
Mutual Fun</t>
  </si>
  <si>
    <t>NFT/NEOSIEXEDDD2023101704370912056 NAVI
Mutual Fun</t>
  </si>
  <si>
    <t>NFT/NEOSIEXEDDD2023101804405565392 NAVI
Mutual Fun</t>
  </si>
  <si>
    <t>UPIOUT/329179397426/uber@axisbank/charge/4
121</t>
  </si>
  <si>
    <t>UPIOUT/329180657757/7780191548@axl/Sent
via /0000</t>
  </si>
  <si>
    <t>NFT/NEOSIEXEDDD2023101904395526401 NAVI
Mutual Fun</t>
  </si>
  <si>
    <t>UPIOUT/329257126241/9396816736@ybl/Sent
via /0000</t>
  </si>
  <si>
    <t>NFT/NEOSIEXEDDD2023102112362546460 NAVI
Mutual Fun</t>
  </si>
  <si>
    <t>NFT/NEOSIEXEDDD2023102102430284576 Mirae
Asset Mut</t>
  </si>
  <si>
    <t>NFT/NEOSIEXEDDD2023102103115667953 Quant
Mutual Fu</t>
  </si>
  <si>
    <t>NFT/NEOSIEXEDDD2023102212352368958 NAVI
Mutual Fun</t>
  </si>
  <si>
    <t>NFT/NEOSIEXEDDD2023102312351055988 NAVI
Mutual Fun</t>
  </si>
  <si>
    <t>UPIOUT/329672950777/irctc.cf@hdfcbank/IRCT
C /4722</t>
  </si>
  <si>
    <t>UPIOUT/329672952148/irctc.cf@hdfcbank/IRCT
C /4722</t>
  </si>
  <si>
    <t>NFT/NEOSIEXEDDD2023102412350483123 NAVI
Mutual Fun</t>
  </si>
  <si>
    <t>NFT/NEOSIEXEDDD2023102512352494766 NAVI
Mutual Fun</t>
  </si>
  <si>
    <t>NFT/NEOSIEXEDDD2023102612353608383 NAVI
Mutual Fun</t>
  </si>
  <si>
    <t>UPIOUT/329942858809/gpay-11232400083@okbiz
ax/5411</t>
  </si>
  <si>
    <t>UPIOUT/329959835902/Q218188765@ybl/Sent
via /5411</t>
  </si>
  <si>
    <t>UPIOUT/329963181188/redbus1.DBQR.payu@indu
s//4722</t>
  </si>
  <si>
    <t>NFT/NEOSIEXEDDD2023102712350915224 NAVI
Mutual Fun</t>
  </si>
  <si>
    <t>NFT/NEOSIEXEDDD2023102710420877892 NAVI
Mutual Fun</t>
  </si>
  <si>
    <t>NFT/LINCOLN ELECTRI/23AR65620QK11X91/BANK
OF AM</t>
  </si>
  <si>
    <t>UPIOUT/330096853832/paytmqrz1tc46rqs8@payt
m//5812</t>
  </si>
  <si>
    <t>NFT/NEOSIEXEDDD2023102812351693385 NAVI
Mutual Fun</t>
  </si>
  <si>
    <t>UPIOUT/330161961236/euronetgpay.playrc@ici
ci/6540</t>
  </si>
  <si>
    <t>NFT/NEOSIEXEDDD2023102912351170029 NAVI
Mutual Fun</t>
  </si>
  <si>
    <t>UPIOUT/330280344442/rapido.rzp@icici/Recha
rg/4121</t>
  </si>
  <si>
    <t>UPIOUT/330288558124/Q614784165@ybl/Sent
via /5311</t>
  </si>
  <si>
    <t>NFT/NEOSIEXEDDD2023103012350943349 NAVI
Mutual Fun</t>
  </si>
  <si>
    <t>UPIOUT/330331022277/zeptonowcashfree@hdfcb
an/5411</t>
  </si>
  <si>
    <t>NFT/NEOSIEXEDDD2023103112351278421 NAVI
Mutual Fun</t>
  </si>
  <si>
    <t>TO ECM/330302191453/470000087086204
\Amazon</t>
  </si>
  <si>
    <t>NFT/DR REDDYS LABOR/CITIN23446568003/CITI</t>
  </si>
  <si>
    <t>NFT/NEOSIEXEDDD2023110112365375387 NAVI
Mutual Fun</t>
  </si>
  <si>
    <t>UPIOUT/330586054884/paytmqry3eyiz8yp2@payt
m//5812</t>
  </si>
  <si>
    <t>UPIOUT/330586364945/paytmqr1ox7m6rgyo@payt
m//5812</t>
  </si>
  <si>
    <t>UPIOUT/330595243238/paytmqrfmo9fujhwg@payt
m//5812</t>
  </si>
  <si>
    <t>UPIOUT/330596071626/paytmqrfmo9fujhwg@payt
m//5812</t>
  </si>
  <si>
    <t>NFT/NEOSIEXEDDD2023110212361814706 NAVI
Mutual Fun</t>
  </si>
  <si>
    <t>UPIOUT/330667461912/Q984373069@ybl/Sent
via /5814</t>
  </si>
  <si>
    <t>UPIOUT/330667736470/paytmqrfmo9fujhwg@payt
m//5812</t>
  </si>
  <si>
    <t>UPIOUT/330668791954/Q664676942@ybl/Sent
via /8999</t>
  </si>
  <si>
    <t>FT
IMPS/IFI/330621248872/CAMS/8199017149997</t>
  </si>
  <si>
    <t>NFT/NEOSIEXEDDD2023110312352497782 NAVI
Mutual Fun</t>
  </si>
  <si>
    <t>UPIOUT/330780740709/paytmqry3eyiz8yp2@payt
m//5812</t>
  </si>
  <si>
    <t>UPIOUT/330781019986/paytmqr1ox7m6rgyo@payt
m//5812</t>
  </si>
  <si>
    <t>UPIOUT/330786190449/uber@axisbank/charge/4
121</t>
  </si>
  <si>
    <t>UPIOUT/330789256870/jupiterbillpay2@fbl/BB
PS/4814</t>
  </si>
  <si>
    <t>UPIOUT/330794701468/9010397615@kotak/Sent
vi/0000</t>
  </si>
  <si>
    <t>UPIOUT/330713643429/paytmqruct2pt8f1w@payt
m//5462</t>
  </si>
  <si>
    <t>UPIOUT/330725397088/paytmqrfmo9fujhwg@payt
m//5812</t>
  </si>
  <si>
    <t>UPIOUT/330726300240/paytmqr1pmo8nvizk@payt
m//5812</t>
  </si>
  <si>
    <t>UPIOUT/330768778963/euronetgpay.playrc@ici
ci/6540</t>
  </si>
  <si>
    <t>NFT/NEOSIEXEDDD2023110412361582270 NAVI
Mutual Fun</t>
  </si>
  <si>
    <t>UPIOUT/330835730483/paytmqrfmo9fujhwg@payt
m//5812</t>
  </si>
  <si>
    <t>NFT/NEONEFTTDDD2023110404084526215 NAVI
Mutual Fun</t>
  </si>
  <si>
    <t>UPIOUT/330842147758/paytmqr5me7ey4chy@payt
m//5411</t>
  </si>
  <si>
    <t>UPIOUT/330842390729/Q614784165@ybl/Sent
via /5311</t>
  </si>
  <si>
    <t>UPIOUT/330851213069/paytmqrfmo9fujhwg@payt
m//5812</t>
  </si>
  <si>
    <t>UPIOUT/330855221836/8797652202@airtel/Pay
mo/0000</t>
  </si>
  <si>
    <t>UPIOUT/330875630315/jupiterbillpay2@fbl/BB
PS/4814</t>
  </si>
  <si>
    <t>NFT/NEOSIEXEDDD2023110512514962764 NAVI
Mutual Fun</t>
  </si>
  <si>
    <t>UPIOUT/330927069828/Q917893938@ybl/Sent
via /5814</t>
  </si>
  <si>
    <t>NFT/NEOSIEXEDDD2023110612374928984 NAVI
Mutual Fun</t>
  </si>
  <si>
    <t>NFT/NEOSIEXEDDD2023110712362153715 NAVI
Mutual Fun</t>
  </si>
  <si>
    <t>UPIOUT/331196009475/pittalkarunakar-1@okhd
fc/0000</t>
  </si>
  <si>
    <t>UPIOUT/331110542501/paytmqry3eyiz8yp2@payt
m//5812</t>
  </si>
  <si>
    <t>UPIOUT/331111354771/paytmqr1lam17volq@payt
m//5812</t>
  </si>
  <si>
    <t>NFT/NEOSIEXEDDD2023110812363765766 NAVI
Mutual Fun</t>
  </si>
  <si>
    <t>UPIOUT/331228317453/paytmqr2810050501011dp
bh/5812</t>
  </si>
  <si>
    <t>UPIOUT/331228466445/paytmqrfmo9fujhwg@payt
m//5812</t>
  </si>
  <si>
    <t>UPIOUT/331252186883/paytm-76881028@paytm/S
en/4121</t>
  </si>
  <si>
    <t>UPIOUT/331252968093/paytmqr17hgjzxr2t@payt
m//5814</t>
  </si>
  <si>
    <t>UPIOUT/331254617948/8797652202@airtel/Pay
mo/0000</t>
  </si>
  <si>
    <t>UPIOUT/367810083396/swiggy@yespay/Debit
Mone/5812</t>
  </si>
  <si>
    <t>NFT/NEOSIEXEDDD2023110912363337554 NAVI
Mutual Fun</t>
  </si>
  <si>
    <t>UPIOUT/331376399582/paytmqrfmo9fujhwg@payt
m//5812</t>
  </si>
  <si>
    <t>UPIOUT/331396767216/rapido.rzp@axisbank/Re
ch/4214</t>
  </si>
  <si>
    <t>UPIOUT/367923024587/paytm-
irctcapp@paytm/Oid/4011</t>
  </si>
  <si>
    <t>UPIOUT/331310457657/6281052278@ibl/Sent
via /0000</t>
  </si>
  <si>
    <t>NFT/NEOSIEXEDDD2023111012362651292 NAVI
Mutual Fun</t>
  </si>
  <si>
    <t>UPIOUT/331402784766/paytm-
irctcapp@paytm/Oid/4011</t>
  </si>
  <si>
    <t>NFT/NEOSIEXEDDD2023111112350979960 NAVI
Mutual Fun</t>
  </si>
  <si>
    <t>UPIOUT/331538213140/paytm-
irctcapp@paytm/Oid/4011</t>
  </si>
  <si>
    <t>UPI IN/331619684203/irctc.cf@hdfcbank/UPI
Re/0000</t>
  </si>
  <si>
    <t>NFT/NEOSIEXEDDD2023111212363920385 NAVI
Mutual Fun</t>
  </si>
  <si>
    <t>NFT/NEOSIEXEDDD2023111312352034443 NAVI
Mutual Fun</t>
  </si>
  <si>
    <t>UPIOUT/331796090152/BHARATPE.90063849287@f
bp/5814</t>
  </si>
  <si>
    <t>UPIOUT/331796150755/paytmqr281005050101jd7
t3/5812</t>
  </si>
  <si>
    <t>UPIOUT/331711717885/paytmqr2810050501011ov
td/5814</t>
  </si>
  <si>
    <t>NFT/NEOSIEXEDDD2023111412351088128 NAVI
Mutual Fun</t>
  </si>
  <si>
    <t>UPIOUT/331826207318/uber@axisbank/charge/4
121</t>
  </si>
  <si>
    <t>UPIOUT/331851486145/paytmqruct2pt8f1w@payt
m//5462</t>
  </si>
  <si>
    <t>UPIOUT/331852093335/Q614784165@ybl/Sent
via /5311</t>
  </si>
  <si>
    <t>NFT/NEOSIEXEDDD2023111512364110336 NAVI
Mutual Fun</t>
  </si>
  <si>
    <t>UPIOUT/331976133074/RIOTAAGROOFFLINE@ybl/P
ay/5046</t>
  </si>
  <si>
    <t>UPIOUT/331995905967/payzomato@hdfcbank/Sen
t /5814</t>
  </si>
  <si>
    <t>NFT/NEOSIEXEDDD2023111612351325848 NAVI
Mutual Fun</t>
  </si>
  <si>
    <t>UPIOUT/332012580913/paytmqry3eyiz8yp2@payt
m//5812</t>
  </si>
  <si>
    <t>UPIOUT/332014655702/paytm-76881028@paytm/S
en/4121</t>
  </si>
  <si>
    <t>UPIOUT/332033967903/santoshkumargarikimukk
ul/0000</t>
  </si>
  <si>
    <t>UPIOUT/332034349026/Q084270040@ybl/Sent
via /5812</t>
  </si>
  <si>
    <t>UPIOUT/332034991781/Q939019145@ybl/Sent
via /5814</t>
  </si>
  <si>
    <t>NFT/NEOSIEXEDDD2023111712362104738 NAVI
Mutual Fun</t>
  </si>
  <si>
    <t>UPIOUT/332152243692/paytmqry3eyiz8yp2@payt
m//5812</t>
  </si>
  <si>
    <t>UPIOUT/332155943817/8179140461@ybl/Sent
via /0000</t>
  </si>
  <si>
    <t>UPIOUT/332164106579/RIOTAAGROOFFLINE@ybl/P
ay/5046</t>
  </si>
  <si>
    <t>UPIOUT/332172953207/Q614784165@ybl/Sent
via /5311</t>
  </si>
  <si>
    <t>UPIOUT/332181780137/zomato-
order@paytm/Zomat/5812</t>
  </si>
  <si>
    <t>NFT/NEOSIEXEDDD2023111812352644394 NAVI
Mutual Fun</t>
  </si>
  <si>
    <t>UPIOUT/332210009464/Q092156324@ybl/Sent
via /5814</t>
  </si>
  <si>
    <t>UPIOUT/332210616891/Q092156324@ybl/Sent
via /5814</t>
  </si>
  <si>
    <t>UPIOUT/332214285798/crosswordbookstoresl.6
16/5942</t>
  </si>
  <si>
    <t>UPIOUT/332232131392/uberrides@hdfcbank/cha
rg/5960</t>
  </si>
  <si>
    <t>UPIOUT/332220728063/zeptonowcashfree@hdfcb
an/5411</t>
  </si>
  <si>
    <t>UPIOUT/332225101972/paytmqry58zxdl1zx@payt
m//5814</t>
  </si>
  <si>
    <t>UPIOUT/332230792421/paytmqr1a2plltyay@payt
m//5812</t>
  </si>
  <si>
    <t>UPIOUT/332231274369/BHARATPE90727090707@ye
sb/5814</t>
  </si>
  <si>
    <t>UPIOUT/332231635559/Q614784165@ybl/Sent
via /5311</t>
  </si>
  <si>
    <t>NFT/NEOSIEXEDDD2023111912352958631 NAVI
Mutual Fun</t>
  </si>
  <si>
    <t>UPIOUT/332346344087/paytmqruct2pt8f1w@payt
m//5462</t>
  </si>
  <si>
    <t>UPIOUT/332346610032/paytmqr1ox7m6rgyo@payt
m//5812</t>
  </si>
  <si>
    <t>NFT/NEOSIEXEDDD2023112012351458073 NAVI
Mutual Fun</t>
  </si>
  <si>
    <t>UPIOUT/332411508334/paytmqry58zxdl1zx@payt
m//5814</t>
  </si>
  <si>
    <t>UPIOUT/332411630892/paytmqrfmo9fujhwg@payt
m//5812</t>
  </si>
  <si>
    <t>UPIOUT/332420186974/paytmqr2810050501015w5
z0/5812</t>
  </si>
  <si>
    <t>UPIOUT/332420265088/Q917893938@ybl/Sent
via /5814</t>
  </si>
  <si>
    <t>NFT/NEOSIEXEDDD2023112112351466037 NAVI
Mutual Fun</t>
  </si>
  <si>
    <t>NFT/NEOSIEXEDDD2023112102390713794 Mirae
Asset Mut</t>
  </si>
  <si>
    <t>UPIOUT/332531317623/paytmqry3eyiz8yp2@payt
m//5812</t>
  </si>
  <si>
    <t>UPIOUT/332531554492/paytmqrfmo9fujhwg@payt
m//5812</t>
  </si>
  <si>
    <t>NFT/NEOSIEXEDDD2023112103091392679 Quant
Mutual Fu</t>
  </si>
  <si>
    <t>UPIOUT/332541767018/paytmqrfmo9fujhwg@payt
m//5812</t>
  </si>
  <si>
    <t>UPIOUT/332542368966/paytmqrfmo9fujhwg@payt
m//5812</t>
  </si>
  <si>
    <t>UPIOUT/332556875600/zeptonowcashfree@hdfcb
an/5411</t>
  </si>
  <si>
    <t>UPIOUT/332557795900/paytmqr2810050501015w5
z0/5812</t>
  </si>
  <si>
    <t>NFT/NEOSIEXEDDD2023112212363715976 NAVI
Mutual Fun</t>
  </si>
  <si>
    <t>UPIOUT/332673202975/paytmqr2810050501011dp
bh/5812</t>
  </si>
  <si>
    <t>UPIOUT/332673612287/paytmqrfmo9fujhwg@payt
m//5812</t>
  </si>
  <si>
    <t>UPIOUT/332676363016/paytm-76881028@paytm/S
en/4121</t>
  </si>
  <si>
    <t>UPIOUT/332686404124/RIOTAAGROOFFLINE@ybl/P
ay/5046</t>
  </si>
  <si>
    <t>UPIOUT/332698022973/paytmqr2810050501015w5
z0/5812</t>
  </si>
  <si>
    <t>UPIOUT/332625464650/swiggyupi@axisbank/Swi
gg/5814</t>
  </si>
  <si>
    <t>NFT/NEOSIEXEDDD2023112312351574656 NAVI
Mutual Fun</t>
  </si>
  <si>
    <t>UPIOUT/332720632860/paytmqry3eyiz8yp2@payt
m//5812</t>
  </si>
  <si>
    <t>UPIOUT/332720868095/paytmqrfmo9fujhwg@payt
m//5812</t>
  </si>
  <si>
    <t>UPIOUT/332743829329/uberrides@hdfcbank/cha
rg/5960</t>
  </si>
  <si>
    <t>UPIOUT/332732453913/RIOTAAGROOFFLINE@ybl/P
ay/5046</t>
  </si>
  <si>
    <t>UPIOUT/332736162562/RIOTAAGROOFFLINE@ybl/P
ay/5046</t>
  </si>
  <si>
    <t>UPIOUT/332750446891/Q843449769@ybl/Sent
via /5812</t>
  </si>
  <si>
    <t>NFT/NEOSIEXEDDD2023112412351025129 NAVI
Mutual Fun</t>
  </si>
  <si>
    <t>UPIOUT/332866539682/paytmqry3eyiz8yp2@payt
m//5812</t>
  </si>
  <si>
    <t>UPIOUT/332867026119/paytmqrfmo9fujhwg@payt
m//5812</t>
  </si>
  <si>
    <t>UPIOUT/332871427021/paytm-66490784@paytm/S
en/5411</t>
  </si>
  <si>
    <t>UPIOUT/332875271438/upiswiggy@icici/UPI/58
14</t>
  </si>
  <si>
    <t>UPIOUT/332894151724/paytmqr7an11w2eez@payt
m//5812</t>
  </si>
  <si>
    <t>NFT/NEOSIEXEDDD2023112512350897847 NAVI
Mutual Fun</t>
  </si>
  <si>
    <t>UPIOUT/332915019395/paytmqrfmo9fujhwg@payt
m//5812</t>
  </si>
  <si>
    <t>UPIOUT/332909771653/swiggyupi@axisbank/Swi
gg/5814</t>
  </si>
  <si>
    <t>UPIOUT/332943592546/paytmqr1a2plltyay@payt
m//5812</t>
  </si>
  <si>
    <t>UPIOUT/332943641751/paytmqr1jm24kbgdo@payt
m//5311</t>
  </si>
  <si>
    <t>NFT/NEOSIEXEDDD2023112612350733176 NAVI
Mutual Fun</t>
  </si>
  <si>
    <t>UPIOUT/333054386841/paytmqry3eyiz8yp2@payt
m//5812</t>
  </si>
  <si>
    <t>UPIOUT/333054918027/paytmqrfmo9fujhwg@payt
m//5812</t>
  </si>
  <si>
    <t>UPIOUT/333056049473/6301529832@ybl/Sent
via /0000</t>
  </si>
  <si>
    <t>UPIOUT/333039426165/swiggystores@icici/UPI
/5411</t>
  </si>
  <si>
    <t>UPIOUT/333078534955/paytmqr1a2plltyay@payt
m//5812</t>
  </si>
  <si>
    <t>UPIOUT/333079173326/BHARATPE90727090707@ye
sb/5814</t>
  </si>
  <si>
    <t>NFT/NEOSIEXEDDD2023112712300713213 NAVI
Mutual Fun</t>
  </si>
  <si>
    <t>UPIOUT/333186992138/Q614784165@ybl/Sent
via /5311</t>
  </si>
  <si>
    <t>UPIOUT/333187997813/paytmqrfmo9fujhwg@payt
m//5812</t>
  </si>
  <si>
    <t>UPIOUT/333190905947/paytm-76881028@paytm/S
en/4121</t>
  </si>
  <si>
    <t>UPIOUT/333121661947/eazypay.2000018932@ici
ci/5812</t>
  </si>
  <si>
    <t>UPIOUT/333121718104/BHARATPE90727090707@ye
sb/5814</t>
  </si>
  <si>
    <t>UPIOUT/333122647328/paytmqr1jm24kbgdo@payt
m//5311</t>
  </si>
  <si>
    <t>UPIOUT/333122838612/Q614784165@ybl/Sent
via /5311</t>
  </si>
  <si>
    <t>NFT/NEOSIEXEDDD2023112812301431586 NAVI
Mutual Fun</t>
  </si>
  <si>
    <t>UPIOUT/333234218723/paytmqrfmo9fujhwg@payt
m//5812</t>
  </si>
  <si>
    <t>UPIOUT/333238394836/paytm-76881028@paytm/S
en/4121</t>
  </si>
  <si>
    <t>UPIOUT/369837250589/amazonpaygrocery@apl/R
eq/5411</t>
  </si>
  <si>
    <t>UPIOUT/333261853759/paytmqr2810050501015w5
z0/5812</t>
  </si>
  <si>
    <t>UPIOUT/333262466569/BHARATPE90727090707@ye
sb/5814</t>
  </si>
  <si>
    <t>UPI
IN/333245235981/8555996347@paytm/NA/0000</t>
  </si>
  <si>
    <t>NFT/NEOSIEXEDDD2023112912300722828 NAVI
Mutual Fun</t>
  </si>
  <si>
    <t>UPIOUT/333373836794/paytmqry3eyiz8yp2@payt
m//5812</t>
  </si>
  <si>
    <t>UPIOUT/333374102210/paytmqrfmo9fujhwg@payt
m//5812</t>
  </si>
  <si>
    <t>UPIOUT/333377086297/paytmqr281005050101m7p
xx/5451</t>
  </si>
  <si>
    <t>UPIOUT/333396531080/ramanaseggem@axl/Sent
vi/0000</t>
  </si>
  <si>
    <t>UPIOUT/333399564994/paytmqr2810050501015w5
z0/5812</t>
  </si>
  <si>
    <t>UPIOUT/333399588091/BHARATPE90727090707@ye
sb/5814</t>
  </si>
  <si>
    <t>UPIOUT/333310855822/paytmqr1rtk29j3xy@payt
m//5411</t>
  </si>
  <si>
    <t>NFT/NEOSIEXEDDD2023113012300670545 NAVI
Mutual Fun</t>
  </si>
  <si>
    <t>NFT/DR REDDYS LABOR/CITIN23461192319/CITI</t>
  </si>
  <si>
    <t>UPIOUT/333419649656/paytmqry3eyiz8yp2@payt
m//5812</t>
  </si>
  <si>
    <t>UPIOUT/333419712274/paytmqrfmo9fujhwg@payt
m//5812</t>
  </si>
  <si>
    <t>UPIOUT/333471057148/jdsrinu1-3@okhdfcbank/
UP/0000</t>
  </si>
  <si>
    <t>UPIOUT/333421215953/uber@axisbank/charge/4
121</t>
  </si>
  <si>
    <t>UPIOUT/333491551840/vijaykumarbhukya99@oks
bi/0000</t>
  </si>
  <si>
    <t>NFT/NEOSIEXEDDD2023120112302472066 NAVI
Mutual Fun</t>
  </si>
  <si>
    <t>UPIOUT/333564640882/uberrides@hdfcbank/cha
rg/5960</t>
  </si>
  <si>
    <t>UPIOUT/333564892233/uberrides@hdfcbank/cha
rg/5960</t>
  </si>
  <si>
    <t>UPIOUT/333520940077/santhosh.sanga09-1@oks
bi/0000</t>
  </si>
  <si>
    <t>UPIOUT/333530363884/paytmqruct2pt8f1w@payt
m//5462</t>
  </si>
  <si>
    <t>UPIOUT/333530884713/paytmqr2810050501015w5
z0/5812</t>
  </si>
  <si>
    <t>UPIOUT/333530977180/paytmqr1jm24kbgdo@payt
m//5311</t>
  </si>
  <si>
    <t>UPIOUT/333531579508/paytmqrfmo9fujhwg@payt
m//5812</t>
  </si>
  <si>
    <t>NFT/NEOSIEXEDDD2023120212303416809 NAVI
Mutual Fun</t>
  </si>
  <si>
    <t>UPIOUT/333634763711/Q621411559@ybl/Sent
via /5441</t>
  </si>
  <si>
    <t>UPIOUT/333634793996/paytmqr1ox7m6rgyo@payt
m//5812</t>
  </si>
  <si>
    <t>UPIOUT/333635831256/paytmqrfmo9fujhwg@payt
m//5812</t>
  </si>
  <si>
    <t>UPIOUT/333635901611/gpay-11216810770@okbiz
ax/5331</t>
  </si>
  <si>
    <t>UPIOUT/333637695245/paytmqr1a2plltyay@payt
m//5812</t>
  </si>
  <si>
    <t>UPIOUT/333637758848/BHARATPE90727090707@ye
sb/5814</t>
  </si>
  <si>
    <t>UPIOUT/333637779469/Q614784165@ybl/Sent
via /5311</t>
  </si>
  <si>
    <t>NFT/NEOSIEXEDDD2023120312302093915 NAVI
Mutual Fun</t>
  </si>
  <si>
    <t>UPIOUT/333740189823/paytmqrfmo9fujhwg@payt
m//5812</t>
  </si>
  <si>
    <t>UPIOUT/333795406047/swiggy@yespay/Pay for
me/5812</t>
  </si>
  <si>
    <t>NFT/NEOSIEXEDDD2023120412301691539 NAVI
Mutual Fun</t>
  </si>
  <si>
    <t>UPIOUT/333844992771/paytmqry3eyiz8yp2@payt
m//5812</t>
  </si>
  <si>
    <t>UPIOUT/333845022027/paytmqrfmo9fujhwg@payt
m//5812</t>
  </si>
  <si>
    <t>UPIOUT/333873146038/uberrides@hdfcbank/cha
rg/5960</t>
  </si>
  <si>
    <t>UPIOUT/333848096419/paytmqr2810050501015w5
z0/5812</t>
  </si>
  <si>
    <t>UPIOUT/333848106598/Q648842547@ybl/Sent
via /5441</t>
  </si>
  <si>
    <t>NFT/NEOSIEXEDDD2023120512304167777 NAVI
Mutual Fun</t>
  </si>
  <si>
    <t>UPIOUT/333950144109/BHARATPE.90066462056@f
bp/5814</t>
  </si>
  <si>
    <t>UPIOUT/333950148089/paytmqrfmo9fujhwg@payt
m//5812</t>
  </si>
  <si>
    <t>UPIOUT/333976093552/uberrides@hdfcbank/cha
rg/5960</t>
  </si>
  <si>
    <t>UPIOUT/333953005204/paytmqr21phwr5buv@payt
m//5411</t>
  </si>
  <si>
    <t>UPIOUT/333953647539/paytmqr1a2plltyay@payt
m//5812</t>
  </si>
  <si>
    <t>UPIOUT/333953651185/BHARATPE90727090707@ye
sb/5814</t>
  </si>
  <si>
    <t>NFT/NEOSIEXEDDD2023120612304350297 NAVI
Mutual Fun</t>
  </si>
  <si>
    <t>UPIOUT/334056060188/paytmqry3eyiz8yp2@payt
m//5812</t>
  </si>
  <si>
    <t>UPIOUT/334056100325/paytmqrfmo9fujhwg@payt
m//5812</t>
  </si>
  <si>
    <t>UPIOUT/334056471414/karnasiddipogu143@ybl/
Se/0000</t>
  </si>
  <si>
    <t>UPIOUT/334059405736/paytmqr1a2plltyay@payt
m//5812</t>
  </si>
  <si>
    <t>UPIOUT/334059424593/paytmqr1rtk29j3xy@payt
m//5411</t>
  </si>
  <si>
    <t>UPIOUT/334059854247/paytmqrfmo9fujhwg@payt
m//5812</t>
  </si>
  <si>
    <t>UPIOUT/334017537261/upiswiggy@icici/UPI/58
14</t>
  </si>
  <si>
    <t>UPIOUT/334196966530/amazonupi@apl/Request
fr/5262</t>
  </si>
  <si>
    <t>NFT/NEOSIEXEDDD2023120712301671340 NAVI
Mutual Fun</t>
  </si>
  <si>
    <t>UPIOUT/334162446076/rapido.rzp@icici/Payme
nt/4121</t>
  </si>
  <si>
    <t>UPIOUT/334165088628/Q084270040@ybl/Sent
via /5812</t>
  </si>
  <si>
    <t>UPIOUT/334165140294/paytmqr1ox7m6rgyo@payt
m//5812</t>
  </si>
  <si>
    <t>NFT/NEOSIEXEDDD2023120812303654824 NAVI
Mutual Fun</t>
  </si>
  <si>
    <t>UPIOUT/334267789806/paytmqrfmo9fujhwg@payt
m//5812</t>
  </si>
  <si>
    <t>UPIOUT/334268092637/paytmqry3eyiz8yp2@payt
m//5812</t>
  </si>
  <si>
    <t>UPIOUT/334268513626/8985259112@ybl/Sent
via /0000</t>
  </si>
  <si>
    <t>UPI
IN/334218375972/8555996347@paytm/NA/0000</t>
  </si>
  <si>
    <t>UPIOUT/334269795620/jupiterbillpay2@fbl/BB
PS/4814</t>
  </si>
  <si>
    <t>UPIOUT/334270815614/ksri97671@ybl/Sent via
J/0000</t>
  </si>
  <si>
    <t>UPIOUT/334270921355/paytmqrfmo9fujhwg@payt
m//5812</t>
  </si>
  <si>
    <t>UPIOUT/334271546117/paytmqruct2pt8f1w@payt
m//5462</t>
  </si>
  <si>
    <t>UPIOUT/334271779793/rapido.rzp@icici/Payme
nt/4121</t>
  </si>
  <si>
    <t>NFT/NEOSIEXEDDD2023120912302028385 NAVI
Mutual Fun</t>
  </si>
  <si>
    <t>UPIOUT/334376404668/9381446903@ibl/Sent
via /0000</t>
  </si>
  <si>
    <t>NFT/NEOSIEXEDDD2023121012302341654 NAVI
Mutual Fun</t>
  </si>
  <si>
    <t>UPIOUT/334481895246/paytmqr2810050501018c7
c5/5411</t>
  </si>
  <si>
    <t>UPIOUT/334482050808/rapido.rzp@icici/Payme
nt/4121</t>
  </si>
  <si>
    <t>UPIOUT/334489935580/uberrides@hdfcbank/cha
rg/5960</t>
  </si>
  <si>
    <t>UPIOUT/334482690102/paytmqr1e8fr6nm0n@payt
m//5812</t>
  </si>
  <si>
    <t>NFT/NEOSIEXEDDD2023121112302655420 NAVI
Mutual Fun</t>
  </si>
  <si>
    <t>UPIOUT/334592863968/uberrides@hdfcbank/cha
rg/5960</t>
  </si>
  <si>
    <t>NFT/NEOSIEXEDDD2023121212302466761 NAVI
Mutual Fun</t>
  </si>
  <si>
    <t>UPIOUT/334693639394/RIOTAAGROOFFLINE@ybl/P
ay/5046</t>
  </si>
  <si>
    <t>NFT/NEOSIEXEDDD2023121312302308225 NAVI
Mutual Fun</t>
  </si>
  <si>
    <t>NFT/NEOSIEXEDDD2023121412301073433 NAVI
Mutual Fun</t>
  </si>
  <si>
    <t>UPIOUT/334816473192/uber@axisbank/charge/4
121</t>
  </si>
  <si>
    <t>NFT/NEOSIEXEDDD2023121512301975541 NAVI
Mutual Fun</t>
  </si>
  <si>
    <t>UPIOUT/334925078097/olacabs.rzp@axisbank/P
ay/4121</t>
  </si>
  <si>
    <t>UPIOUT/334930178753/olacabs.rzp@axisbank/P
ay/4121</t>
  </si>
  <si>
    <t>NFT/NEOSIEXEDDD2023121612302581390 NAVI
Mutual Fun</t>
  </si>
  <si>
    <t>UPIOUT/335037277710/narendrareddy923@ybl/S
en/0000</t>
  </si>
  <si>
    <t>UPIOUT/335037356674/paytmqr2810050501011im
q4/5411</t>
  </si>
  <si>
    <t>UPIOUT/335038146592/paytm-651536@paytm/Sen
t /4011</t>
  </si>
  <si>
    <t>UPIOUT/335038538043/paytmqr2810050501011im
q4/5411</t>
  </si>
  <si>
    <t>UPIOUT/335181762956/euronetgpay.playrc@ici
ci/6540</t>
  </si>
  <si>
    <t>NFT/NEOSIEXEDDD2023121712310738332 NAVI
Mutual Fun</t>
  </si>
  <si>
    <t>UPIOUT/335140291831/Q780689862@ybl/Sent
via /5814</t>
  </si>
  <si>
    <t>UPIOUT/335140403964/paytm-66819319@paytm/S
en/5411</t>
  </si>
  <si>
    <t>UPIOUT/335140869306/paytmqr281005050101121
ip/7230</t>
  </si>
  <si>
    <t>UPIOUT/335141950276/paytmqr1l47y8otva@payt
m//5411</t>
  </si>
  <si>
    <t>UPIOUT/335142878505/paytmqr1l47y8otva@payt
m//5411</t>
  </si>
  <si>
    <t>UPIOUT/335143471798/paytmqr281005050101ac5
gq/5812</t>
  </si>
  <si>
    <t>NFT/NEOSIEXEDDD2023121812311862422 NAVI
Mutual Fun</t>
  </si>
  <si>
    <t>UPIOUT/335246763117/paytmqr1dm5qwb31d@payt
m//5411</t>
  </si>
  <si>
    <t>UPIOUT/335247591638/rapido.rzp@icici/Payme
nt/4121</t>
  </si>
  <si>
    <t>UPIOUT/335253248157/rapido.rzp@icici/Payme
nt/4121</t>
  </si>
  <si>
    <t>UPIOUT/335253394296/paytmqr281005050101qwu
ha/5411</t>
  </si>
  <si>
    <t>UPIOUT/335253819076/gpay-11239378766@okbiz
ax/5411</t>
  </si>
  <si>
    <t>NFT/NEOSIEXEDDD2023121912303376552 NAVI
Mutual Fun</t>
  </si>
  <si>
    <t>UPIOUT/335358420836/tiwarigopal32@ybl/Sent
v/0000</t>
  </si>
  <si>
    <t>UPIOUT/335358775310/uber@axisbank/charge/4
121</t>
  </si>
  <si>
    <t>UPIOUT/335365941986/9010488465@paytm/Sent
vi/0000</t>
  </si>
  <si>
    <t>NFT/NEOSIEXEDDD2023122012312254146 NAVI
Mutual Fun</t>
  </si>
  <si>
    <t>UPIOUT/335468843331/paytmqr2810050501011ht
rr/5812</t>
  </si>
  <si>
    <t>UPIOUT/335476926122/9391599419@ybl/Sent
via /0000</t>
  </si>
  <si>
    <t>UPIOUT/335477929609/md7179219@okaxis/Sent
vi/0000</t>
  </si>
  <si>
    <t>UPIOUT/335418918572/swiggy5@kotak/PayViaRa
zo/5814</t>
  </si>
  <si>
    <t>UPIOUT/335421652239/uberrides@hdfcbank/cha
rg/5960</t>
  </si>
  <si>
    <t>UPI IN/335443572042/paytm-651536@paytm/exp
re/0000</t>
  </si>
  <si>
    <t>NFT/NEOSIEXEDDD2023122112312568136 NAVI
Mutual Fun</t>
  </si>
  <si>
    <t>NFT/NEOSIEXEDDD2023122102304265647 Mirae
Asset Mut</t>
  </si>
  <si>
    <t>NFT/NEOSIEXEDDD2023122103002683353 Quant
Mutual Fu</t>
  </si>
  <si>
    <t>UPIOUT/335580614536/8179554361@ibl/Sent
via /0000</t>
  </si>
  <si>
    <t>UPIOUT/335586445145/paytm-76881028@paytm/S
en/4121</t>
  </si>
  <si>
    <t>UPIOUT/335586825201/Q780515718@ybl/Sent
via /5814</t>
  </si>
  <si>
    <t>UPIOUT/335587052689/gpay-11232719093@okbiz
ax/4215</t>
  </si>
  <si>
    <t>NFT/NEOSIEXEDDD2023122212303073095 NAVI
Mutual Fun</t>
  </si>
  <si>
    <t>UPIOUT/335690294618/paytmqr1kmef7abcr@payt
m//7407</t>
  </si>
  <si>
    <t>UPIOUT/335695757687/rapido.rzp@icici/Payme
nt/4121</t>
  </si>
  <si>
    <t>UPIOUT/335696239664/paytmqr281005050101ec4
sp/5912</t>
  </si>
  <si>
    <t>UPIOUT/335696527659/paytmqr281005050101ac5
gq/5812</t>
  </si>
  <si>
    <t>UPIOUT/335696622010/paytmqri5ciai3vuc@payt
m//5812</t>
  </si>
  <si>
    <t>UPIOUT/335697308444/paytmqr281005050101w32
ji/5912</t>
  </si>
  <si>
    <t>SBINT:23-09-2023 to
22-12-2023[77770101840847]</t>
  </si>
  <si>
    <t>UPIOUT/335710145424/paytmqr1l47y8otva@payt
m//5411</t>
  </si>
  <si>
    <t>UPIOUT/335710332853/Q884724626@ybl/Sent
via /5812</t>
  </si>
  <si>
    <t>UPIOUT/335712479969/paytmqr1rwdf0o4v1@payt
m//5812</t>
  </si>
  <si>
    <t>UPIOUT/335832830420/irctc.cf@hdfcbank/IRCT
C /4722</t>
  </si>
  <si>
    <t>UPIOUT/335832822889/irctc.cf@hdfcbank/IRCT
C /4722</t>
  </si>
  <si>
    <t>UPIOUT/335816954430/Q402731021@ybl/Sent
via /5812</t>
  </si>
  <si>
    <t>UPIOUT/335817011245/paytmqr1vkus7yoxi@payt
m//5812</t>
  </si>
  <si>
    <t>NFT/NEOSIEXEDDD2023122502153954593 Nippon
India Mu</t>
  </si>
  <si>
    <t>UPIOUT/336030644529/raasoori@ybl/Sent via
Ju/0000</t>
  </si>
  <si>
    <t>UPIOUT/336031103669/RIOTAAGROOFFLINE@ybl/P
ay/5046</t>
  </si>
  <si>
    <t>UPIOUT/336031981458/nitinfas3@okicici/Sent
v/0000</t>
  </si>
  <si>
    <t>UPIOUT/336033721494/Q780515718@ybl/Sent
via /5814</t>
  </si>
  <si>
    <t>UPIOUT/336139286950/uber@axisbank/charge/4
121</t>
  </si>
  <si>
    <t>UPIOUT/336139363222/uber@axisbank/charge/4
121</t>
  </si>
  <si>
    <t>UPIOUT/336141024437/irctc.cf@hdfcbank/IRCT
C /4722</t>
  </si>
  <si>
    <t>UPIOUT/336245640758/Q423659019@ybl/Sent
via /5311</t>
  </si>
  <si>
    <t>UPIOUT/372813743689/euronetgpay.playrc@ici
ci/6540</t>
  </si>
  <si>
    <t>UPIOUT/336351664327/paytmqr2810050501016jc
mc/5411</t>
  </si>
  <si>
    <t>UPIOUT/336351698550/Q267751124@ybl/Sent
via /5441</t>
  </si>
  <si>
    <t>NFT/DR REDDYS LABOR/CITIN23476712141/CITI</t>
  </si>
  <si>
    <t>UPIOUT/336560333920/uber@axisbank/charge/4
121</t>
  </si>
  <si>
    <t>UPIOUT/336562980452/udemyindiallp.bdpg@ici
ci/8299</t>
  </si>
  <si>
    <t>UPIOUT/436708916299/paytm-56505013@paytm/O
id/5722</t>
  </si>
  <si>
    <t>UPIOUT/400166701661/rzpmebigolabspvtltd@ye
sb/2741</t>
  </si>
  <si>
    <t>UPIOUT/400168935458/Q644952300@ybl/Sent
via /5451</t>
  </si>
  <si>
    <t>UPIOUT/400271061452/paytmqr131obboa1j@payt
m//5411</t>
  </si>
  <si>
    <t>UPIOUT/400272432304/Q868176613@ybl/Sent
via /5311</t>
  </si>
  <si>
    <t>UPIOUT/400273812144/Q352615776@ybl/Sent
via /0000</t>
  </si>
  <si>
    <t>UPIOUT/400273830449/Q704640317@ybl/Sent
via /5812</t>
  </si>
  <si>
    <t>NFT/NEOSIEXEDDD2024010304151238759 NAVI
Mutual Fun</t>
  </si>
  <si>
    <t>UPIOUT/400359873139/uberrides@hdfcbank/cha
rg/5960</t>
  </si>
  <si>
    <t>UPIOUT/400481108034/jyadav250692@ybl/Sent
vi/0000</t>
  </si>
  <si>
    <t>UPIOUT/400481218325/rapido.rzp@icici/Payme
nt/4121</t>
  </si>
  <si>
    <t>UPIOUT/400484118098/9059531663@axl/Sent
via /0000</t>
  </si>
  <si>
    <t>UPIOUT/400484784253/9603897717@ybl/Sent
via /0000</t>
  </si>
  <si>
    <t>UPIOUT/400586851771/paytmqr2810050501018y8
x4/5451</t>
  </si>
  <si>
    <t>UPIOUT/400589500453/paytmqr281005050101183
o5/5812</t>
  </si>
  <si>
    <t>UPIOUT/400589668505/Q061226296@ybl/Sent
via /5411</t>
  </si>
  <si>
    <t>UPIOUT/400692533763/paytmqrq7x35rdmzv@payt
m//5411</t>
  </si>
  <si>
    <t>UPIOUT/400692907367/Q513775428@ybl/Sent
via /5311</t>
  </si>
  <si>
    <t>UPIOUT/400695177461/Q963866768@ybl/Sent
via /5814</t>
  </si>
  <si>
    <t>UPIOUT/400695194432/shileshmail19@okaxis/S
en/0000</t>
  </si>
  <si>
    <t>UPIOUT/400695237318/Q832428843@ybl/Sent
via /5814</t>
  </si>
  <si>
    <t>UPIOUT/400695957601/paytmqr5xtfo6rqay@payt
m//5451</t>
  </si>
  <si>
    <t>UPIOUT/400797891818/Q172816524@ybl/Sent
via /5814</t>
  </si>
  <si>
    <t>UPIOUT/400799107956/paytmqrfuea1l7gm2@payt
m//5812</t>
  </si>
  <si>
    <t>UPIOUT/400799131327/Q080504479@ybl/Sent
via /5812</t>
  </si>
  <si>
    <t>UPIOUT/400711080613/Q832428843@ybl/Sent
via /5814</t>
  </si>
  <si>
    <t>UPIOUT/400813100240/rapido.rzp@icici/Payme
nt/4121</t>
  </si>
  <si>
    <t>UPIOUT/400815845153/8125820265@ibl/Sent
via /0000</t>
  </si>
  <si>
    <t>UPIOUT/400815901669/Q009697312@ybl/Sent
via /5814</t>
  </si>
  <si>
    <t>UPIOUT/400815951173/Q832428843@ybl/Sent
via /5814</t>
  </si>
  <si>
    <t>UPIOUT/400816648585/Vyapar.168625347624@hd
fc/7011</t>
  </si>
  <si>
    <t>UPIOUT/400918603553/paytm-76881028@paytm/S
en/4121</t>
  </si>
  <si>
    <t>UPIOUT/400918896471/7842871935@ibl/Sent
via /0000</t>
  </si>
  <si>
    <t>UPIOUT/437533773514/revellythirupathi111@o
kh/0000</t>
  </si>
  <si>
    <t>UPIOUT/400922049972/paytmqr2810050501015xg
zt/5411</t>
  </si>
  <si>
    <t>UPIOUT/400922138682/Q832428843@ybl/Sent
via /5814</t>
  </si>
  <si>
    <t>UPIOUT/401024493632/Q832428843@ybl/Sent
via /5814</t>
  </si>
  <si>
    <t>UPIOUT/401024552860/espetashivakumar19@okh
df/0000</t>
  </si>
  <si>
    <t>UPIOUT/401027273243/sankar.challa.ss1@axl/
Se/0000</t>
  </si>
  <si>
    <t>UPIOUT/401028044382/paytmqr281005050101183
o5/5812</t>
  </si>
  <si>
    <t>UPIOUT/401130789136/paytm-76881028@paytm/S
en/4121</t>
  </si>
  <si>
    <t>UPIOUT/401135358103/Q521384260@ybl/Sent
via /5814</t>
  </si>
  <si>
    <t>UPIOUT/401237185950/BHARATPE.90061609177@f
bp/5499</t>
  </si>
  <si>
    <t>UPIOUT/401237597854/paytm-76881028@paytm/S
en/4121</t>
  </si>
  <si>
    <t>UPIOUT/401249302545/ks8808006-3@oksbi/UPI/
0000</t>
  </si>
  <si>
    <t>UPIOUT/401240092486/paytmqr281005050101ac5
gq/5812</t>
  </si>
  <si>
    <t>UPIOUT/401342720248/paytmqr1fgibktb57@payt
m//5812</t>
  </si>
  <si>
    <t>UPIOUT/401342753385/Q832428843@ybl/Sent
via /5814</t>
  </si>
  <si>
    <t>UPIOUT/401343001326/paytm-651536@paytm/Sen
t /4112</t>
  </si>
  <si>
    <t>UPIOUT/401343024733/paytm-651536@paytm/Sen
t /4112</t>
  </si>
  <si>
    <t>UPIOUT/401344512286/Q080504479@ybl/Sent
via /5812</t>
  </si>
  <si>
    <t>UPI IN/401370251051/8333022213@ybl/Payment
f/0000</t>
  </si>
  <si>
    <t>UPIOUT/401449857168/paytmqr2810050501011vq
tq/5697</t>
  </si>
  <si>
    <t>UPIOUT/401451019112/Q463323667@ybl/Sent
via /5812</t>
  </si>
  <si>
    <t>UPIOUT/401555369700/Q798355992@ybl/Sent
via /7407</t>
  </si>
  <si>
    <t>UPIOUT/401557550024/paytmqr281005050101yr4
8i/5411</t>
  </si>
  <si>
    <t>UPIOUT/401558721655/Q122299144@ybl/Sent
via /5814</t>
  </si>
  <si>
    <t>UPIOUT/401573119507/swapnil.kandale@okicic
i//0000</t>
  </si>
  <si>
    <t>UPIOUT/401662805161/Q753196172@ybl/Sent
via /5441</t>
  </si>
  <si>
    <t>UPIOUT/401767500777/RIOTAAGROOFFLINE@ybl/P
ay/5046</t>
  </si>
  <si>
    <t>UPIOUT/401872440662/paytm-76881028@paytm/S
en/4121</t>
  </si>
  <si>
    <t>UPIOUT/401876380307/Q403256487@ybl/Sent
via /5812</t>
  </si>
  <si>
    <t>UPIOUT/401977651933/paytmqri5ciai3vuc@payt
m//5812</t>
  </si>
  <si>
    <t>UPIOUT/401978922833/paytmqr9cdfhlia2w@payt
m//5812</t>
  </si>
  <si>
    <t>UPIOUT/401978948221/Q832428843@ybl/Sent
via /5814</t>
  </si>
  <si>
    <t>UPIOUT/401998980420/vijaykumarbhukya99@oks
bi/0000</t>
  </si>
  <si>
    <t>UPIOUT/401980484344/Q079360809@ybl/Sent
via /5814</t>
  </si>
  <si>
    <t>UPIOUT/401980625234/Q463323667@ybl/Sent
via /5812</t>
  </si>
  <si>
    <t>UPIOUT/402083280790/Q832428843@ybl/Sent
via /5814</t>
  </si>
  <si>
    <t>UPIOUT/402085175073/Q407907754@ybl/Sent
via /5812</t>
  </si>
  <si>
    <t>UPIOUT/402085961127/Q832428843@ybl/Sent
via /5814</t>
  </si>
  <si>
    <t>UPIOUT/402087456215/Q132942392@ybl/Sent
via /5451</t>
  </si>
  <si>
    <t>NFT/NEOSIEXEDDD2024012102303226443 Mirae
Asset Mut</t>
  </si>
  <si>
    <t>NFT/NEOSIEXEDDD2024012103010575057 Quant
Mutual Fu</t>
  </si>
  <si>
    <t>UPIOUT/402189137235/Q832428843@ybl/Sent
via /5814</t>
  </si>
  <si>
    <t>UPIOUT/402189348005/paytmqr281005050101121
ip/7230</t>
  </si>
  <si>
    <t>UPIOUT/402190244416/Q252365001@ybl/Sent
via /5814</t>
  </si>
  <si>
    <t>UPIOUT/402191272774/Q079360809@ybl/Sent
via /5814</t>
  </si>
  <si>
    <t>UPIOUT/402191418505/Q463323667@ybl/Sent
via /5812</t>
  </si>
  <si>
    <t>UPIOUT/402294217399/8885885198@paytm/Sent
vi/0000</t>
  </si>
  <si>
    <t>UPIOUT/402296058764/Q798355992@ybl/Sent
via /7407</t>
  </si>
  <si>
    <t>UPIOUT/402296553613/Q463323667@ybl/Sent
via /5812</t>
  </si>
  <si>
    <t>UPIOUT/402296939009/paytmqr281005050101ac5
gq/5812</t>
  </si>
  <si>
    <t>UPIOUT/402297023884/paytmqricl8fehbdn@payt
m//5411</t>
  </si>
  <si>
    <t>UPIOUT/402319494242/swiggy@yespay/Pay for
me/5812</t>
  </si>
  <si>
    <t>UPIOUT/402398858011/9704030744@ybl/Sent
via /0000</t>
  </si>
  <si>
    <t>UPIOUT/402312770524/Q963866768@ybl/Sent
via /5814</t>
  </si>
  <si>
    <t>UPIOUT/402312785722/Q832428843@ybl/Sent
via /5814</t>
  </si>
  <si>
    <t>UPIOUT/402415473092/paytm-76881028@paytm/S
en/4121</t>
  </si>
  <si>
    <t>UPIOUT/402415586199/RIOTAAGROOFFLINE@ybl/P
ay/5046</t>
  </si>
  <si>
    <t>UPIOUT/402419132634/paytmqr281005050101ac5
gq/5812</t>
  </si>
  <si>
    <t>UPIOUT/402419186591/Q435774742@ybl/Sent
via /5441</t>
  </si>
  <si>
    <t>UPIOUT/402420090538/paytmqr1c4oe5e6z8@payt
m//5812</t>
  </si>
  <si>
    <t>UPIOUT/402420105085/Q505505464@ybl/Sent
via /5814</t>
  </si>
  <si>
    <t>NFT/NEOSIEXEDDD2024012502152924125 Nippon
India Mu</t>
  </si>
  <si>
    <t>UPIOUT/402522042812/paytm-76881028@paytm/S
en/4121</t>
  </si>
  <si>
    <t>UPIOUT/402526377473/Q435774742@ybl/Sent
via /5441</t>
  </si>
  <si>
    <t>UPIOUT/402526562228/Q832428843@ybl/Sent
via /5814</t>
  </si>
  <si>
    <t>UPIOUT/402527518709/Q277191441@ybl/Sent
via /5812</t>
  </si>
  <si>
    <t>UPIOUT/402629668578/paytmqr7dy7acqk9s@payt
m//5812</t>
  </si>
  <si>
    <t>UPIOUT/402629733436/Q832428843@ybl/Sent
via /5814</t>
  </si>
  <si>
    <t>UPIOUT/402630884042/paytmqricl8fehbdn@payt
m//5411</t>
  </si>
  <si>
    <t>UPIOUT/402632057970/Q435774742@ybl/Sent
via /5441</t>
  </si>
  <si>
    <t>UPIOUT/402632066482/Q832428843@ybl/Sent
via /5814</t>
  </si>
  <si>
    <t>UPIOUT/402632654676/Q407907754@ybl/Sent
via /5812</t>
  </si>
  <si>
    <t>UPIOUT/402734417853/Q832428843@ybl/Sent
via /5814</t>
  </si>
  <si>
    <t>UPIOUT/402735485919/Q663960260@ybl/Sent
via /5814</t>
  </si>
  <si>
    <t>UPIOUT/402735496693/paytmqr281005050101135
op/5411</t>
  </si>
  <si>
    <t>UPIOUT/402735554762/Q832428843@ybl/Sent
via /5814</t>
  </si>
  <si>
    <t>UPIOUT/402944155385/Q832428843@ybl/Sent
via /5814</t>
  </si>
  <si>
    <t>UPIOUT/402946035595/RIOTAAGROOFFLINE@ybl/P
ay/5046</t>
  </si>
  <si>
    <t>UPIOUT/402947571271/BHARATPE.90069165751@f
bp/5814</t>
  </si>
  <si>
    <t>UPIOUT/402947659656/Q963866768@ybl/Sent
via /5814</t>
  </si>
  <si>
    <t>UPIOUT/402962261017/q832428843@ybl/UPI/581
4</t>
  </si>
  <si>
    <t>UPIOUT/402948440605/BHARATPE09893450319@ye
sb/5814</t>
  </si>
  <si>
    <t>UPIOUT/403050104307/paytm-76881028@paytm/S
en/4121</t>
  </si>
  <si>
    <t>UPIOUT/403054639044/Q963866768@ybl/Sent
via /5814</t>
  </si>
  <si>
    <t>UPIOUT/403054645483/paytmqr3pwjgh0ago@payt
m//5411</t>
  </si>
  <si>
    <t>UPIOUT/403054706192/BHARATPE60000005202@ye
sb/5651</t>
  </si>
  <si>
    <t>UPIOUT/403055463282/paytmqricl8fehbdn@payt
m//5411</t>
  </si>
  <si>
    <t>UPIOUT/403157016307/Q832428843@ybl/Sent
via /5814</t>
  </si>
  <si>
    <t>UPIOUT/403158429476/Q407907754@ybl/Sent
via /5812</t>
  </si>
  <si>
    <t>UPIOUT/403158446410/paytmqrpw51via7kn@payt
m//5912</t>
  </si>
  <si>
    <t>UPIOUT/403158503122/Q185949983@ybl/Sent
via /5451</t>
  </si>
  <si>
    <t>UPIOUT/403160070092/Q151311187@ybl/Sent
via /5814</t>
  </si>
  <si>
    <t>UPIOUT/403160164019/Q082521920@ybl/Sent
via /5814</t>
  </si>
  <si>
    <t>NFT/DR REDDYS LABOR/CITIN24416493217/CITI</t>
  </si>
  <si>
    <t>UPIOUT/403372353754/Q463323667@ybl/Sent
via /5812</t>
  </si>
  <si>
    <t>UPIOUT/403372362550/aayush20gupta@oksbi/Se
nt/0000</t>
  </si>
  <si>
    <t>UPIOUT/403373170568/Q079360809@ybl/Sent
via /5814</t>
  </si>
  <si>
    <t>NFT/NEOSIEXEDDD2024020304151808688 NAVI
Mutual Fun</t>
  </si>
  <si>
    <t>UPIOUT/403476548481/paytmqricl8fehbdn@payt
m//5411</t>
  </si>
  <si>
    <t>UPIOUT/403476780982/paytmqr46ql4xg6hq@payt
m//5411</t>
  </si>
  <si>
    <t>UPIOUT/403478205168/BHARATPE.0105308277@in
du/5065</t>
  </si>
  <si>
    <t>UPIOUT/403478870895/Q435774742@ybl/Sent
via /5441</t>
  </si>
  <si>
    <t>UPIOUT/403479545954/Q510171333@ybl/Sent
via /5311</t>
  </si>
  <si>
    <t>UPIOUT/403581606581/Q832428843@ybl/Sent
via /5814</t>
  </si>
  <si>
    <t>UPIOUT/403583490912/BHARATPE.0105308277@in
du/5065</t>
  </si>
  <si>
    <t>UPIOUT/403584051473/Q407907754@ybl/Sent
via /5812</t>
  </si>
  <si>
    <t>UPIOUT/403584334756/Q780515718@ybl/Sent
via /5814</t>
  </si>
  <si>
    <t>UPIOUT/403584916498/Q234107384@ybl/Sent
via /5441</t>
  </si>
  <si>
    <t>UPIOUT/403687486460/paytmqrldb7adipi0@payt
m//4121</t>
  </si>
  <si>
    <t>UPIOUT/403689875646/paytmqr1w3dfry5ew@payt
m//4121</t>
  </si>
  <si>
    <t>UPIOUT/403690003533/Q798355992@ybl/Sent
via /7407</t>
  </si>
  <si>
    <t>UPIOUT/403690014574/Q435774742@ybl/Sent
via /5441</t>
  </si>
  <si>
    <t>UPIOUT/403691092455/BHARATPE90726409079@ye
sb/5065</t>
  </si>
  <si>
    <t>UPIOUT/403792641625/BHARATPE90726409079@ye
sb/5065</t>
  </si>
  <si>
    <t>UPIOUT/403794054659/Q407907754@ybl/Sent
via /5812</t>
  </si>
  <si>
    <t>UPIOUT/403795456554/Q122299144@ybl/Sent
via /5814</t>
  </si>
  <si>
    <t>UPIOUT/403795478267/Q463323667@ybl/Sent
via /5812</t>
  </si>
  <si>
    <t>UPIOUT/403795561949/Q651613968@ybl/Sent
via /5311</t>
  </si>
  <si>
    <t>UPIOUT/403796412657/Q832428843@ybl/Sent
via /5814</t>
  </si>
  <si>
    <t>UPIOUT/403797151179/Q651613968@ybl/Sent
via /5311</t>
  </si>
  <si>
    <t>UPIOUT/403889285514/q022439579@ybl/UPI/581
2</t>
  </si>
  <si>
    <t>UPIOUT/403810691726/Q407907754@ybl/Sent
via /5812</t>
  </si>
  <si>
    <t>UPIOUT/403812623512/Q463323667@ybl/Sent
via /5812</t>
  </si>
  <si>
    <t>UPIOUT/403813199530/paytmqr281005050101183
o5/5812</t>
  </si>
  <si>
    <t>UPIOUT/403916559040/rapido.rzp@icici/Payme
nt/4121</t>
  </si>
  <si>
    <t>UPIOUT/403919213904/Q221048493@ybl/Sent
via /7407</t>
  </si>
  <si>
    <t>UPIOUT/403919599895/paytmqr281005050101ac5
gq/5812</t>
  </si>
  <si>
    <t>UPIOUT/403919710558/Q510171333@ybl/Sent
via /5311</t>
  </si>
  <si>
    <t>UPIOUT/403919918144/Q463323667@ybl/Sent
via /5812</t>
  </si>
  <si>
    <t>UPIOUT/404021708967/Q082521920@ybl/Sent
via /5814</t>
  </si>
  <si>
    <t>UPIOUT/404022455683/paytm-76881028@paytm/S
en/4121</t>
  </si>
  <si>
    <t>UPIOUT/404026956609/paytmqr1u63j3b6yq@payt
m//5812</t>
  </si>
  <si>
    <t>UPIOUT/404027005819/9542070375692@paytm/Se
nt/0000</t>
  </si>
  <si>
    <t>UPIOUT/404027184063/Q753196172@ybl/Sent
via /5441</t>
  </si>
  <si>
    <t>UPIOUT/404027628486/paytmqr281005050101ac5
gq/5812</t>
  </si>
  <si>
    <t>UPIOUT/404029328016/Q407907754@ybl/Sent
via /5812</t>
  </si>
  <si>
    <t>UPIOUT/404131425859/Q082521920@ybl/Sent
via /5814</t>
  </si>
  <si>
    <t>UPIOUT/404127167813/paytm-76208552@paytm/U
PI/4112</t>
  </si>
  <si>
    <t>UPIOUT/404133402417/Q162409196@ybl/Sent
via /5814</t>
  </si>
  <si>
    <t>UPIOUT/404134355759/Vyapar.168625347624@hd
fc/7011</t>
  </si>
  <si>
    <t>UPIOUT/404134742882/Q302371189@ybl/Sent
via /5451</t>
  </si>
  <si>
    <t>UPIOUT/404237835142/paytm-64422255@paytm/S
en/5411</t>
  </si>
  <si>
    <t>UPIOUT/404239521873/BHARATPE90726368113@ye
sb/5912</t>
  </si>
  <si>
    <t>UPIOUT/404239954151/Q463323667@ybl/Sent
via /5812</t>
  </si>
  <si>
    <t>UPIOUT/404345220956/mdkhaseem819-1@oksbi/S
en/0000</t>
  </si>
  <si>
    <t>UPIOUT/404345404452/Q722485674@ybl/Sent
via /5411</t>
  </si>
  <si>
    <t>UPIOUT/404345448317/Q897116130@ybl/Sent
via /5814</t>
  </si>
  <si>
    <t>UPIOUT/404345512973/Q897116130@ybl/Sent
via /5814</t>
  </si>
  <si>
    <t>UPIOUT/404303672367/q463323667@ybl/UPI/581
2</t>
  </si>
  <si>
    <t>UPIOUT/404346467019/Q407907754@ybl/Sent
via /5812</t>
  </si>
  <si>
    <t>UPIOUT/404346527024/Q185949983@ybl/Sent
via /5451</t>
  </si>
  <si>
    <t>UPIOUT/404418742586/rgindham-1@okicici/UPI
/0000</t>
  </si>
  <si>
    <t>UPIOUT/404453432949/Q079360809@ybl/Sent
via /5814</t>
  </si>
  <si>
    <t>UPIOUT/404453583564/Q079360809@ybl/Sent
via /5814</t>
  </si>
  <si>
    <t>UPIOUT/404453591116/Q463323667@ybl/Sent
via /5812</t>
  </si>
  <si>
    <t>UPIOUT/404555383297/Q082521920@ybl/Sent
via /5814</t>
  </si>
  <si>
    <t>UPIOUT/404555539426/paytmqr281005050101ac5
gq/5812</t>
  </si>
  <si>
    <t>UPIOUT/404555653458/8185061658@ibl/Sent
via /0000</t>
  </si>
  <si>
    <t>UPIOUT/404555700036/srinivasedigi96@okhdfc
ba/0000</t>
  </si>
  <si>
    <t>UPIOUT/404558811907/8367309385@ibl/Sent
via /0000</t>
  </si>
  <si>
    <t>UPIOUT/404559766130/Q407907754@ybl/Sent
via /5812</t>
  </si>
  <si>
    <t>UPIOUT/404559853630/Q463323667@ybl/Sent
via /5812</t>
  </si>
  <si>
    <t>UPIOUT/404661675145/Q249817394@ybl/Sent
via /5814</t>
  </si>
  <si>
    <t>UPIOUT/404662558273/ekbalmd84999@okhdfcban
k//0000</t>
  </si>
  <si>
    <t>UPIOUT/404662581805/Q783081478@ybl/Sent
via /4722</t>
  </si>
  <si>
    <t>UPIOUT/404666719569/Q099545511@ybl/Sent
via /5310</t>
  </si>
  <si>
    <t>UPIOUT/404666781168/Q311614304@ybl/Sent
via /5814</t>
  </si>
  <si>
    <t>UPIOUT/404666834176/P539PRAGATHINAGARHYD.2
72/5814</t>
  </si>
  <si>
    <t>UPIOUT/404615451511/airtelpaymentsbanklimi
te/4812</t>
  </si>
  <si>
    <t>UPIOUT/404667188650/paytm-78551797@paytm/S
en/5137</t>
  </si>
  <si>
    <t>UPIOUT/404667241676/paytmqr28100505010119u
g9/5661</t>
  </si>
  <si>
    <t>UPIOUT/404667912691/olacabs.rzp@axisbank/P
ay/4121</t>
  </si>
  <si>
    <t>UPIOUT/404770002530/Q631030271@ybl/Sent
via /5411</t>
  </si>
  <si>
    <t>UPI IN/441419198927/paytm-76208552@paytm/e
xp/0000</t>
  </si>
  <si>
    <t>UPIOUT/404917807151/paytm-76208552@paytm/U
PI/4112</t>
  </si>
  <si>
    <t>UPI IN/404947484435/paytm-76208552@paytm/e
xp/0000</t>
  </si>
  <si>
    <t>UPI IN/405190815024/9594435259@jupiteraxis
/A/0000</t>
  </si>
  <si>
    <t>NFT/NEOSIEXEDDD2024022102305208166 Mirae
Asset Mut</t>
  </si>
  <si>
    <t>NFT/NEOSIEXEDDD2024022103002420196 Quant
Mutual Fu</t>
  </si>
  <si>
    <t>UPIOUT/405298398123/Q780515718@ybl/Sent
via /5814</t>
  </si>
  <si>
    <t>UPIOUT/405299065455/Q463323667@ybl/Sent
via /5812</t>
  </si>
  <si>
    <t>UPIOUT/405415996623/Q818010939@ybl/Sent
via /5411</t>
  </si>
  <si>
    <t>UPIOUT/405418593746/Q463323667@ybl/Sent
via /5812</t>
  </si>
  <si>
    <t>NFT/NEOSIEXEDDD2024022502153984272 Nippon
India Mu</t>
  </si>
  <si>
    <t>UPIOUT/405840117409/Q463323667@ybl/Sent
via /5812</t>
  </si>
  <si>
    <t>UPIOUT/405945947150/swapnil.kandale@okicic
i//0000</t>
  </si>
  <si>
    <t>UPIOUT/405946179434/Q520292571@ybl/Sent
via /5814</t>
  </si>
  <si>
    <t>UPIOUT/405946262554/Q463323667@ybl/Sent
via /5812</t>
  </si>
  <si>
    <t>UPIOUT/406082073212/raisunilkumar882@okici
ci/0000</t>
  </si>
  <si>
    <t>UPIOUT/406055344328/9398132619@paytm/Sent
vi/0000</t>
  </si>
  <si>
    <t>UPIOUT/406055630229/gpay-11242430272@okbiz
ax/4121</t>
  </si>
  <si>
    <t>UPIOUT/406055960109/praveenkumar.goud1@ybl
/S/0000</t>
  </si>
  <si>
    <t>UPIOUT/406055979570/Q620964543@ybl/Sent
via /5814</t>
  </si>
  <si>
    <t>UPIOUT/406056320300/Q463323667@ybl/Sent
via /5812</t>
  </si>
  <si>
    <t>UPIOUT/406162282439/Q407907754@ybl/Sent
via /5812</t>
  </si>
  <si>
    <t>UPIOUT/406162435231/paytmqr19isap9s8r@payt
m//5812</t>
  </si>
  <si>
    <t>NFT/DR REDDYS LABOR/CITIN24432370705/CITI</t>
  </si>
  <si>
    <t>UPIOUT/406164001983/Q015480866@ybl/Sent
via /7230</t>
  </si>
  <si>
    <t>UPIOUT/406164819034/Q241229658@ybl/Sent
via /5411</t>
  </si>
  <si>
    <t>UPIOUT/406164839909/Q923022406@ybl/Sent
via /5814</t>
  </si>
  <si>
    <t>UPIOUT/406166020242/paytmqr19isap9s8r@payt
m//5812</t>
  </si>
  <si>
    <t>UPIOUT/406267376037/Q832428843@ybl/Sent
via /5814</t>
  </si>
  <si>
    <t>UPIOUT/406253592441/dmartready.42536023@hd
fc/5411</t>
  </si>
  <si>
    <t>UPIOUT/406267647856/paytmqr1v2gimch4w@payt
m//5411</t>
  </si>
  <si>
    <t>UPIOUT/406255701422/q588259285@ybl/UPI/544
1</t>
  </si>
  <si>
    <t>UPIOUT/406245825171/uberrides@hdfcbank/cha
rg/5960</t>
  </si>
  <si>
    <t>UPIOUT/406375219315/gpay-11239420124@okbiz
ax/5814</t>
  </si>
  <si>
    <t>UPIOUT/406375538078/Q07483153@ybl/Sent via
J/5813</t>
  </si>
  <si>
    <t>NFT/NEOSIEXEDDD2024030304151178179 NAVI
Mutual Fun</t>
  </si>
  <si>
    <t>UPIOUT/406377760682/Q07483153@ybl/Sent via
J/5813</t>
  </si>
  <si>
    <t>UPIOUT/406379187069/Q50245732@ybl/Sent via
J/5813</t>
  </si>
  <si>
    <t>UPIOUT/406380181787/Q75895864@ybl/Sent via
J/5813</t>
  </si>
  <si>
    <t>UPIOUT/406349558815/uberrides@hdfcbank/cha
rg/5960</t>
  </si>
  <si>
    <t>UPIOUT/406481154896/uber@axisbank/charge/4
121</t>
  </si>
  <si>
    <t>UPIOUT/406490565934/Q80015469@ybl/Sent via
J/5813</t>
  </si>
  <si>
    <t>UPIOUT/406563666578/sudhirmalil415@okicici
/U/0000</t>
  </si>
  <si>
    <t>UPIOUT/406592707984/Q07483153@ybl/Sent via
J/5813</t>
  </si>
  <si>
    <t>UPIOUT/406593865507/paytmqrhdex80dh4r@payt
m//5812</t>
  </si>
  <si>
    <t>UPIOUT/406595994183/Q75895864@ybl/Sent via
J/5813</t>
  </si>
  <si>
    <t>UPIOUT/406614399474/paytm-14464838@paytm/U
PI/5812</t>
  </si>
  <si>
    <t>UPIOUT/406611297335/Q07483153@ybl/Sent via
J/5813</t>
  </si>
  <si>
    <t>UPIOUT/406611597260/Q07483153@ybl/Sent via
J/5813</t>
  </si>
  <si>
    <t>UPIOUT/406612066664/Q248421440@ybl/Sent
via /5812</t>
  </si>
  <si>
    <t>UPIOUT/406612766804/zomatoonlineorder.rzp@
ic/5811</t>
  </si>
  <si>
    <t>UPIOUT/406793215766/paytm-14464838@paytm/U
PI/5812</t>
  </si>
  <si>
    <t>UPIOUT/406719333882/Q80015469@ybl/Sent via
J/5813</t>
  </si>
  <si>
    <t>UPIOUT/406720249162/Q248421440@ybl/Sent
via /5812</t>
  </si>
  <si>
    <t>UPIOUT/406773167734/airtel66.payu@icici/UP
II/4812</t>
  </si>
  <si>
    <t>UPIOUT/406720780563/zomato-
order@paytm/Zomat/5812</t>
  </si>
  <si>
    <t>UPIOUT/406822431591/paytmqr1gs01dt6zx@payt
m//5812</t>
  </si>
  <si>
    <t>UPIOUT/406891710108/paytm-14464838@paytm/U
PI/5812</t>
  </si>
  <si>
    <t>UPIOUT/406824997361/zomatoindia@icici/Payv
ia/5814</t>
  </si>
  <si>
    <t>UPIOUT/406826024779/payzomato@hdfcbank/Sen
t /5814</t>
  </si>
  <si>
    <t>UPIOUT/406927171652/paytmqr13tn390hmf@payt
m//5812</t>
  </si>
  <si>
    <t>UPIOUT/406928270847/zomato4.payu@icici/UPI
In/5411</t>
  </si>
  <si>
    <t>UPIOUT/406928612130/Q75895864@ybl/Sent via
J/5813</t>
  </si>
  <si>
    <t>UPIOUT/406929595818/qnendo126-1@oksbi/Sent
v/0000</t>
  </si>
  <si>
    <t>UPIOUT/406930029598/westside.42529089@hdfc
ba/5699</t>
  </si>
  <si>
    <t>UPIOUT/406930130208/paytm-76881028@paytm/S
en/4121</t>
  </si>
  <si>
    <t>UPIOUT/406930454809/paytmqr2810050501011if
wv/5411</t>
  </si>
  <si>
    <t>UPIOUT/406930540309/paytmqr158p3xx8vj@payt
m//5814</t>
  </si>
  <si>
    <t>UPIOUT/406930580891/zomato1paytm@hdfcbank/
Zo/5814</t>
  </si>
  <si>
    <t>UPIOUT/407032697581/paytmqr1hw4xx85bm@payt
m//5812</t>
  </si>
  <si>
    <t>UPIOUT/407033267925/maheshadhi1992@okhdfcb
an/0000</t>
  </si>
  <si>
    <t>UPIOUT/407035079807/paytmqr3zacjjhvyp@payt
m//5462</t>
  </si>
  <si>
    <t>UPIOUT/407035339327/rapido.rzp@icici/Payme
nt/4121</t>
  </si>
  <si>
    <t>UPIOUT/407035573732/9880305563@okbizaxis/S
en/7221</t>
  </si>
  <si>
    <t>UPIOUT/407035805226/paytmqr158p3xx8vj@payt
m//5814</t>
  </si>
  <si>
    <t>UPIOUT/407036445165/payzomato@hdfcbank/Sen
t /5814</t>
  </si>
  <si>
    <t>UPIOUT/407103347338/paytm-14464838@paytm/U
PI/5812</t>
  </si>
  <si>
    <t>UPIOUT/407142083986/Vyapar.168072300538@hd
fc/5812</t>
  </si>
  <si>
    <t>UPIOUT/407142262140/paytmqr281005050101ql6
bn/5411</t>
  </si>
  <si>
    <t>UPIOUT/443744709527/amazonpaygrocery@yapl/
Yo/5411</t>
  </si>
  <si>
    <t>UPIOUT/407143589992/paytmqr3zacjjhvyp@payt
m//5462</t>
  </si>
  <si>
    <t>UPIOUT/407245055193/paytmqrnyyib5udfr@payt
m//7210</t>
  </si>
  <si>
    <t>UPIOUT/407239347227/toboxventuresprivatel.
pa/5812</t>
  </si>
  <si>
    <t>UPIOUT/407240772902/toboxventuresprivatel.
pa/5812</t>
  </si>
  <si>
    <t>UPIOUT/407248838909/TRENTWESTSIDE@ybl/Paym
en/5691</t>
  </si>
  <si>
    <t>UPIOUT/407248965230/8457962044@ybl/Sent
via /0000</t>
  </si>
  <si>
    <t>UPIOUT/407253791097/q248421440@ybl/UPI/581
2</t>
  </si>
  <si>
    <t>UPIOUT/407249646306/paytmqr110em392r1@payt
m//5462</t>
  </si>
  <si>
    <t>UPIOUT/407355964180/Q780242764@ybl/Sent
via /5814</t>
  </si>
  <si>
    <t>UPIOUT/407356960767/paytmqr281005050101ql6
bn/5411</t>
  </si>
  <si>
    <t>UPIOUT/407459133092/paytmqrnyyib5udfr@payt
m//7210</t>
  </si>
  <si>
    <t>UPIOUT/407413363619/toboxventuresprivatel.
pa/5812</t>
  </si>
  <si>
    <t>UPIOUT/407405707015/amazonupi@apl/Request
fr/5262</t>
  </si>
  <si>
    <t>UPIOUT/444107705947/paytm-56505013@paytm/O
id/5399</t>
  </si>
  <si>
    <t>UPI IN/407565243537/amazon.refunds@axisban
k//0000</t>
  </si>
  <si>
    <t>UPI IN/407565255440/9594435259@jupiteraxis
/A/0000</t>
  </si>
  <si>
    <t>NFT/NEOSIEXEDDD2024031502301538967 Mirae
Asset Mut</t>
  </si>
  <si>
    <t>UPIOUT/407565433805/paytmqr3zacjjhvyp@payt
m//5462</t>
  </si>
  <si>
    <t>UPI IN/407566501968/amazon.refunds@axisban
k//0000</t>
  </si>
  <si>
    <t>UPIOUT/407567942187/paytmqrhdex80dh4r@payt
m//5812</t>
  </si>
  <si>
    <t>UPIOUT/407569825797/paytmqr12a3hwe9xy@payt
m//5411</t>
  </si>
  <si>
    <t>UPIOUT/407570910552/Q403465439@ybl/Sent
via /5812</t>
  </si>
  <si>
    <t>UPIOUT/407780829526/zomatoltd9.rzp@mairtel
/P/5811</t>
  </si>
  <si>
    <t>UPIOUT/407795938504/uberrides@hdfcbank/cha
rg/5960</t>
  </si>
  <si>
    <t>UPIOUT/407783790426/zomato-
order@paytm/Zomat/5812</t>
  </si>
  <si>
    <t>UPI IN/407740002354/9205307900@paytm/Sent
fr/0000</t>
  </si>
  <si>
    <t>UPIOUT/407784156226/uber@axisbank/charge/4
121</t>
  </si>
  <si>
    <t>UPIOUT/407885565456/paytmqrnyyib5udfr@payt
m//7210</t>
  </si>
  <si>
    <t>UPI IN/407811693463/9594435259@kotak/MB
UPI/0000</t>
  </si>
  <si>
    <t>UPIOUT/407887304759/Q176042605@ybl/Sent
via /5814</t>
  </si>
  <si>
    <t>UPIOUT/407899400299/uberrides@hdfcbank/cha
rg/5960</t>
  </si>
  <si>
    <t>UPIOUT/407890448729/Q248421440@ybl/Sent
via /5812</t>
  </si>
  <si>
    <t>UPIOUT/407996788437/toboxventuresprivatel.
pa/5812</t>
  </si>
  <si>
    <t>UPIOUT/407902419276/uberrides@hdfcbank/cha
rg/5960</t>
  </si>
  <si>
    <t>UPIOUT/407902528303/uberrides@hdfcbank/cha
rg/5960</t>
  </si>
  <si>
    <t>UPIOUT/408098760423/paytmqrnyyib5udfr@payt
m//7210</t>
  </si>
  <si>
    <t>UPIOUT/408010458157/paytmqrhdex80dh4r@payt
m//5812</t>
  </si>
  <si>
    <t>UPIOUT/408011712465/Q466920960@ybl/Sent
via /5814</t>
  </si>
  <si>
    <t>UPIOUT/408013309417/paytmqr281005050101ql6
bn/5411</t>
  </si>
  <si>
    <t>UPIOUT/408171113381/gokhana.payu@indus/UPI
In/7311</t>
  </si>
  <si>
    <t>UPIOUT/408119773926/9663866505@axl/Sent
via /0000</t>
  </si>
  <si>
    <t>UPIOUT/408119798341/Q679054446@ybl/Sent
via /8062</t>
  </si>
  <si>
    <t>UPIOUT/408119950795/Q679054446@ybl/Sent
via /8062</t>
  </si>
  <si>
    <t>UPIOUT/408120059448/Q413722787@ybl/Sent
via /8062</t>
  </si>
  <si>
    <t>UPIOUT/408120182869/paytmqr1og9ixfyjn@payt
m//5814</t>
  </si>
  <si>
    <t>UPIOUT/408120192874/paytmqr4dnh9rhu78@payt
m//5814</t>
  </si>
  <si>
    <t>UPIOUT/408120324634/9901063032@ibl/Sent
via /0000</t>
  </si>
  <si>
    <t>UPIOUT/408222454223/paytmqr3zacjjhvyp@payt
m//5462</t>
  </si>
  <si>
    <t>UPIOUT/408222473124/paytmqr1wog9tttz4@payt
m//7210</t>
  </si>
  <si>
    <t>UPIOUT/408226745693/paytmqr1xrs04ylwr@payt
m//5912</t>
  </si>
  <si>
    <t>UPIOUT/408226751533/Q403465439@ybl/Sent
via /5812</t>
  </si>
  <si>
    <t>UPI IN/408226946800/9594435259@jupiteraxis
/A/0000</t>
  </si>
  <si>
    <t>UPIOUT/408329044203/lazypaypvtltd.rzp@icic
i//6012</t>
  </si>
  <si>
    <t>SBINT:23-12-2023 to
22-03-2024[77770101840847]</t>
  </si>
  <si>
    <t>FT IMPS/IFI/408307578295/CashfreePayments/
IMPS</t>
  </si>
  <si>
    <t>NFT/NEOSIEXEDDD2024032303005420498 Quant
Mutual Fu</t>
  </si>
  <si>
    <t>UPIOUT/408330336309/Q521065715@ybl/Sent
via /5812</t>
  </si>
  <si>
    <t>UPIOUT/408330469744/kabilhussen2@axl/Sent
vi/0000</t>
  </si>
  <si>
    <t>UPIOUT/408334537283/rapido.rzp@icici/Payme
nt/4121</t>
  </si>
  <si>
    <t>UPIOUT/408334544587/paytmqr3zacjjhvyp@payt
m//5462</t>
  </si>
  <si>
    <t>UPIOUT/408436252683/Q847905206@ybl/Sent
via /5411</t>
  </si>
  <si>
    <t>UPIOUT/408436547000/paytmqr2810050501014ev
0m/5812</t>
  </si>
  <si>
    <t>UPIOUT/408439896704/BHARATPE.90069128054@f
bp/5814</t>
  </si>
  <si>
    <t>UPIOUT/408440107383/paytmqrc35heq2fbz@payt
m//5411</t>
  </si>
  <si>
    <t>UPIOUT/408440780565/paytmqr3zacjjhvyp@payt
m//5462</t>
  </si>
  <si>
    <t>UPIOUT/408440889854/9945999658@ybl/Sent
via /0000</t>
  </si>
  <si>
    <t>UPIOUT/408440994057/SMARTBAZAAR.27235866@h
df/5722</t>
  </si>
  <si>
    <t>UPIOUT/408541863504/9351005740@paytm/Sent
vi/0000</t>
  </si>
  <si>
    <t>UPIOUT/408524709060/gokhana.payu@indus/UPI
In/7311</t>
  </si>
  <si>
    <t>UPIOUT/408525568116/gokhana.payu@indus/UPI
In/7311</t>
  </si>
  <si>
    <t>UPIOUT/408545633501/Q995912267@ybl/Sent
via /5462</t>
  </si>
  <si>
    <t>UPIOUT/408658293874/gokhana.payu@indus/UPI
In/7311</t>
  </si>
  <si>
    <t>UPIOUT/408653357897/prakashajn8828@okicici
/S/0000</t>
  </si>
  <si>
    <t>UPIOUT/408653905238/waseemshariff24291@axl
/S/0000</t>
  </si>
  <si>
    <t>UPIOUT/408654363694/paytmqr110em392r1@payt
m//5462</t>
  </si>
  <si>
    <t>UPIOUT/408794601952/gokhana.payu@indus/UPI
In/7311</t>
  </si>
  <si>
    <t>UPIOUT/408794716230/gokhana.payu@indus/UPI
In/7311</t>
  </si>
  <si>
    <t>UPIOUT/408795986875/gokhana.payu@indus/UPI
In/7311</t>
  </si>
  <si>
    <t>UPIOUT/408831449979/toboxventuresprivatel.
pa/5812</t>
  </si>
  <si>
    <t>UPIOUT/408866496281/Q403465439@ybl/Sent
via /5812</t>
  </si>
  <si>
    <t>UPIOUT/408845702991/vilpremum@paytm/UPI/48
14</t>
  </si>
  <si>
    <t>UPIOUT/408866646073/Q995912267@ybl/Sent
via /5462</t>
  </si>
  <si>
    <t>UPIOUT/408867487569/paytmqr3zacjjhvyp@payt
m//5462</t>
  </si>
  <si>
    <t>UPIOUT/408969561525/paytmqr1munx5557c@payt
m//5462</t>
  </si>
  <si>
    <t>UPIOUT/408970975049/toboxventuresprivatel.
pa/5812</t>
  </si>
  <si>
    <t>UPIOUT/408971409242/toboxventuresprivatel.
pa/5812</t>
  </si>
  <si>
    <t>UPIOUT/409076767454/paytmqryue9ksrtp5@payt
m//5812</t>
  </si>
  <si>
    <t>UPIOUT/409078285351/Vyapar.168072300538@hd
fc/5812</t>
  </si>
  <si>
    <t>UPIOUT/409080976317/paytmqr1un7bk4a3z@payt
m//5812</t>
  </si>
  <si>
    <t>UPI IN/409021378087/9594435259@kotak/MB
UPI/0000</t>
  </si>
  <si>
    <t>UPI IN/409021381201/9594435259@kotak/MB
UPI/0000</t>
  </si>
  <si>
    <t>UPIOUT/409184031557/Q502213842@ybl/Sent
via /5814</t>
  </si>
  <si>
    <t>UPIOUT/409184122243/Q328371456@ybl/Sent
via /5812</t>
  </si>
  <si>
    <t>UPIOUT/409145904712/grofersindiaprivatelim
it/5411</t>
  </si>
  <si>
    <t>UPIOUT/409166803480/amazonpaygrocery@yapl/
Yo/5411</t>
  </si>
  <si>
    <t>UPIOUT/409187786854/paytmqr281005050101z94
56/5411</t>
  </si>
  <si>
    <t>UPIOUT/409187823907/paytmqr1munx5557c@payt
m//5462</t>
  </si>
  <si>
    <t>UPIOUT/409293678666/toboxventuresprivatel.
pa/5812</t>
  </si>
  <si>
    <t>UPIOUT/409294834191/paytmqr1ibz7j076p@payt
m//5311</t>
  </si>
  <si>
    <t>UPIOUT/409295559930/paytmqr110em392r1@payt
m//5462</t>
  </si>
  <si>
    <t>GRAND TOTAL</t>
  </si>
  <si>
    <t>Abbreviations Used</t>
  </si>
  <si>
    <t>CASH:</t>
  </si>
  <si>
    <t>Cash Transaction</t>
  </si>
  <si>
    <t>TFR:</t>
  </si>
  <si>
    <t>Transfer Transaction</t>
  </si>
  <si>
    <t>FT:</t>
  </si>
  <si>
    <t>Fund Transfer</t>
  </si>
  <si>
    <t>CLG:</t>
  </si>
  <si>
    <t>Clearing Transaction</t>
  </si>
  <si>
    <t>SBINT:</t>
  </si>
  <si>
    <t>Interest on SB Account</t>
  </si>
  <si>
    <t>MB:</t>
  </si>
  <si>
    <t>Mobile Banking</t>
  </si>
  <si>
    <t xml:space="preserve">
      Disclaimer: This computer generated statement contains the particulars of the transaction(s) in the account that have been updated till the time of day end operations of the CBS system of the Bank on the previous working day and the same will not reflect the transaction(s) that have occurred in the account, if any, subsequent thereto. The Federal Bank Ltd. shall not be liable/responsible for want of full particulars of the transaction(s) at the time of the generation of this statement.
      This is a computer generated statement which need not normally be signed. Contents of this statement will be considered correct if no error is reported within 21 days of the statement date.</t>
  </si>
  <si>
    <t xml:space="preserve">
      ****END OF STATEMENT****
    </t>
  </si>
  <si>
    <t xml:space="preserve">
      The Federal Bank Ltd. Corporate Office: Federal Towers, Market Rd, Periyar Nagar, Aluva, Kerala 683101 Ph:0484 2630996 Website: www.federalbank.co.in
    </t>
  </si>
  <si>
    <t>Aayush Kumar Gupta</t>
  </si>
  <si>
    <t>TX Date</t>
  </si>
  <si>
    <t>Ref</t>
  </si>
  <si>
    <t>Kya hai?</t>
  </si>
  <si>
    <t>Account No</t>
  </si>
  <si>
    <t>UPI</t>
  </si>
  <si>
    <t>SBI</t>
  </si>
  <si>
    <t>Jupiter</t>
  </si>
  <si>
    <t>Contra</t>
  </si>
  <si>
    <t>HDFC</t>
  </si>
  <si>
    <t>AXIS</t>
  </si>
  <si>
    <t>From JSL, income PY</t>
  </si>
  <si>
    <t>HSL</t>
  </si>
  <si>
    <t>Jeevan Sanchay Return</t>
  </si>
  <si>
    <t>UPI &lt; 100</t>
  </si>
  <si>
    <t>Dividend Income</t>
  </si>
  <si>
    <t>Depos Charges</t>
  </si>
  <si>
    <t>Transfer to Archit Gupta</t>
  </si>
  <si>
    <t>Cash Withdrawal</t>
  </si>
  <si>
    <t>SIP - 2500</t>
  </si>
  <si>
    <t>Transfer to Ajay Gupta</t>
  </si>
  <si>
    <t>Bank Charges</t>
  </si>
  <si>
    <t>Transfer From Archit Gupta</t>
  </si>
  <si>
    <t>Transfer From Sunita Gupta</t>
  </si>
  <si>
    <t>SIP - 3000</t>
  </si>
  <si>
    <t>Personal</t>
  </si>
  <si>
    <t>Plaksha Refund</t>
  </si>
  <si>
    <t>Transfer from Ajay Gupta</t>
  </si>
  <si>
    <t>Transfer From Ajay Gupta</t>
  </si>
  <si>
    <t>Bank Interest</t>
  </si>
  <si>
    <t>Professional Fees from JSW</t>
  </si>
  <si>
    <t>Zerodha</t>
  </si>
  <si>
    <t>HDFC Life Insurance Premium</t>
  </si>
  <si>
    <t xml:space="preserve">   TO TRANSFER-UPI/DR/323168972007/ANIL KUMAR/KARB/amzn002664/UPI--</t>
  </si>
  <si>
    <t xml:space="preserve">   BY TRANSFER-UPI/CR/359845659484/IRCTC Ap/PYTM/paytm-irct/colle--</t>
  </si>
  <si>
    <t xml:space="preserve">   TO TRANSFER-UPI/DR/323292493858/SYED   N/KKBK/snayeemudd/UPI--</t>
  </si>
  <si>
    <t xml:space="preserve">   TO TRANSFER-UPI/DR/323292677586/BLUE WIN/PYTM/paytmqr281/UPI--</t>
  </si>
  <si>
    <t xml:space="preserve">   TO TRANSFER-UPI/DR/323398982700/SHAJU K K/PYTM/paytmqr281/UPI--</t>
  </si>
  <si>
    <t xml:space="preserve">   TO TRANSFER-UPI/DR/323399395419/UNAVU/SBIN/unavu775@s/UPI--</t>
  </si>
  <si>
    <t xml:space="preserve">   TO TRANSFER-UPI/DR/323352920709/JUST FOOD/HDFC/justfood.6/UPI--</t>
  </si>
  <si>
    <t xml:space="preserve">   TO TRANSFER-UPI/DR/323330692181/BLUE WIN/PYTM/paytmqr281/UPI--</t>
  </si>
  <si>
    <t xml:space="preserve">   TO TRANSFER-UPI/DR/323461359105/JUST FOOD/HDFC/justfood.6/UPI--</t>
  </si>
  <si>
    <t xml:space="preserve">   TO TRANSFER-UPI/DR/323455564630/HSS ENTE/YESB/q291623809/UPI--</t>
  </si>
  <si>
    <t xml:space="preserve">   TO TRANSFER-UPI/DR/323458616306/BTM GHAR/PYTM/paytmqr281/UPI--</t>
  </si>
  <si>
    <t xml:space="preserve">   TO TRANSFER-UPI/DR/323478337591/STAR BAZ/HDFC/starbazaar/UPI--</t>
  </si>
  <si>
    <t xml:space="preserve">   BULK POSTING-ACHCr NACH00000000057353 ROUTE MOBILE L--</t>
  </si>
  <si>
    <t xml:space="preserve">   TO TRANSFER-UPI/DR/323578485126/Pranshu /SBIN/8222800797/UPI--</t>
  </si>
  <si>
    <t xml:space="preserve">   TO TRANSFER-UPI/DR/323502683876/IRCTC We/PYTM/paytm-6515/UPI--</t>
  </si>
  <si>
    <t>SIP - 5000</t>
  </si>
  <si>
    <t xml:space="preserve">   TO TRANSFER-UPI/DR/323613281779/Pranshu /SBIN/8222800797/UPI--</t>
  </si>
  <si>
    <t xml:space="preserve">   TO TRANSFER-UPI/DR/323656483442/BTM GHAR/PYTM/paytmqr281/UPI--</t>
  </si>
  <si>
    <t xml:space="preserve">   TO TRANSFER-UPI/DR/323627973499/ASARAF M C/YESB/q741673837/UPI--</t>
  </si>
  <si>
    <t xml:space="preserve">   BY TRANSFER-UPI/CR/323647109958/NAVIN RA/KKBK/9655977495/NA--</t>
  </si>
  <si>
    <t>SIP - 10000</t>
  </si>
  <si>
    <t xml:space="preserve">   BULK POSTING-ACHCr ICIC02860000005377 CAMSL  INTDIV2--</t>
  </si>
  <si>
    <t xml:space="preserve">   TO TRANSFER-UPI/DR/323870750374/GANESH D/KVBL/ddevu5115@/UPI--</t>
  </si>
  <si>
    <t xml:space="preserve">   TO TRANSFER-UPI/DR/323870787115/EURONETG/ICIC/euronetgpa/UPI--</t>
  </si>
  <si>
    <t xml:space="preserve">   TO TRANSFER-UPI/DR/323878891174/S JANAKI/YESB/q903384096/UPI--</t>
  </si>
  <si>
    <t xml:space="preserve">   TO TRANSFER-UPI/DR/323879307473/MAHESHA /PYTM/paytmqreqk/UPI--</t>
  </si>
  <si>
    <t xml:space="preserve">   TO TRANSFER-UPI/DR/323889557164/olamoney1/HDFC/olamoney1./UPI--</t>
  </si>
  <si>
    <t xml:space="preserve">   TO TRANSFER-UPI/DR/323900812684/VIJAY KU/KKBK/ksenterpri/UPI--</t>
  </si>
  <si>
    <t xml:space="preserve">   TO TRANSFER-UPI/DR/323910207499/AIRTEL P/UTIB/airtel@axb/Airte--</t>
  </si>
  <si>
    <t xml:space="preserve">   TO TRANSFER-UPI/DR/323948723437/FLAVORS /PYTM/paytm-7674/UPI--</t>
  </si>
  <si>
    <t xml:space="preserve">   BY TRANSFER-UPI/CR/323958054914/ARCHIT G/BARB/archit04@b/Petro--</t>
  </si>
  <si>
    <t xml:space="preserve">   TO TRANSFER-UPI/DR/323935471296/UDUPI  A/YESB/q431812013/UPI--</t>
  </si>
  <si>
    <t xml:space="preserve">   BULK POSTING-ITDTAX REFUND 2023-24 BRGPG8066G--</t>
  </si>
  <si>
    <t>IT Refund</t>
  </si>
  <si>
    <t xml:space="preserve">   BULK POSTING-C23868727018     42165348549RELIANCE INDUSTRIES LI--</t>
  </si>
  <si>
    <t xml:space="preserve">   BY TRANSFER-NEFT*CITI0100000*CITIN23414319964*PAYPAL PAYMENTS--</t>
  </si>
  <si>
    <t>TRANSFER FROM 4697192044305</t>
  </si>
  <si>
    <t xml:space="preserve">   BULK POSTING-ACHCr ICIC02860000005377 CAMSL  FINDIV2--</t>
  </si>
  <si>
    <t>IPO</t>
  </si>
  <si>
    <t xml:space="preserve">   TO TRANSFER-UPI/DR/360999461507/Bharti A/HDFC/airtel.pay/UPITr--</t>
  </si>
  <si>
    <t xml:space="preserve">   ATM WDL-ATM CASH 3549  +SBI ATM              KOTA--</t>
  </si>
  <si>
    <t xml:space="preserve">   TO TRANSFER-UPI/DR/324495717856/AIRTEL P/UTIB/airtel@axb/Airte--</t>
  </si>
  <si>
    <t xml:space="preserve">   TO TRANSFER-UPI/DR/324496730888/Cashfree/INDB/cf.simpl@i/UPI I--</t>
  </si>
  <si>
    <t xml:space="preserve">   TO TRANSFER-UPI/DR/324546052234/IRCTC CF/HDFC/irctc.cf@h/IRCTC--</t>
  </si>
  <si>
    <t xml:space="preserve">   BULK POSTING-ACHCr NACH00000000020087 CDSLFINAL2022--</t>
  </si>
  <si>
    <t xml:space="preserve">   TO TRANSFER-UPI/DR/325060782647/IRCTC CF/HDFC/irctc.cf@h/IRCTC--</t>
  </si>
  <si>
    <t xml:space="preserve">   TO TRANSFER-UPI/DR/325265115258/r r shah/UTIB/9228584388/UPI--</t>
  </si>
  <si>
    <t xml:space="preserve">   TO TRANSFER-UPI/DR/325223104625/UNIQUE I/ICIC/resident.u/Upi T--</t>
  </si>
  <si>
    <t xml:space="preserve">   TO TRANSFER-UPI/DR/325266575835/UTIITSL /HDFC/utiitsl.bi/UTIIT--</t>
  </si>
  <si>
    <t xml:space="preserve">   TO TRANSFER-UPI/DR/325288608182/MEDPLUS /PYTM/paytm-7097/UPI--</t>
  </si>
  <si>
    <t xml:space="preserve">   TO TRANSFER-UPI/DR/325438618870/MANISH H/YESB/q423659019/UPI--</t>
  </si>
  <si>
    <t xml:space="preserve">   TO TRANSFER-UPI/DR/325619381043/Sushil K/PYTM/paytmqrfdt/UPI--</t>
  </si>
  <si>
    <t xml:space="preserve">   TO TRANSFER-UPI/DR/325901427296/PUSHKAR /YESB/pushkar814/UPI--</t>
  </si>
  <si>
    <t xml:space="preserve">   TO TRANSFER-UPI/DR/325983918366/AAYUSH K/FDRL/9594435259/ADDMO--</t>
  </si>
  <si>
    <t xml:space="preserve">   BY TRANSFER-UPI/CR/325983946204/AAYUSH K/FDRL/9594435259/Sent--</t>
  </si>
  <si>
    <t xml:space="preserve">   BY TRANSFER-UPI/CR/325983968688/AAYUSH K/FDRL/9594435259/Sent--</t>
  </si>
  <si>
    <t xml:space="preserve">   TO TRANSFER-UPI/DR/325984057818/AAYUSH K/FDRL/9594435259/ADDMO--</t>
  </si>
  <si>
    <t xml:space="preserve">   BY TRANSFER-UPI/CR/325984070086/AAYUSH K/FDRL/9594435259/Sent--</t>
  </si>
  <si>
    <t xml:space="preserve">   BY TRANSFER-UPI/CR/325984092359/AAYUSH K/FDRL/9594435259/Sent--</t>
  </si>
  <si>
    <t xml:space="preserve">   BY TRANSFER-UPI/CR/325984099503/AAYUSH K/FDRL/9594435259/Sent--</t>
  </si>
  <si>
    <t xml:space="preserve">   BY TRANSFER-UPI/CR/325984108755/AAYUSH K/FDRL/9594435259/Sent--</t>
  </si>
  <si>
    <t xml:space="preserve">   BY TRANSFER-UPI/CR/325984131514/AAYUSH K/FDRL/9594435259/Sent--</t>
  </si>
  <si>
    <t xml:space="preserve">   BY TRANSFER-UPI/CR/325984141517/AAYUSH K/FDRL/9594435259/Sent--</t>
  </si>
  <si>
    <t xml:space="preserve">   BY TRANSFER-UPI/CR/325984148205/AAYUSH K/FDRL/9594435259/Sent--</t>
  </si>
  <si>
    <t xml:space="preserve">   BY TRANSFER-UPI/CR/325984156059/AAYUSH K/FDRL/9594435259/Sent--</t>
  </si>
  <si>
    <t xml:space="preserve">   BY TRANSFER-UPI/CR/325984177608/AAYUSH K/FDRL/9594435259/Sent--</t>
  </si>
  <si>
    <t xml:space="preserve">   BY TRANSFER-UPI/CR/325984184014/AAYUSH K/FDRL/9594435259/Sent--</t>
  </si>
  <si>
    <t xml:space="preserve">   BY TRANSFER-UPI/CR/325984190985/AAYUSH K/FDRL/9594435259/Sent--</t>
  </si>
  <si>
    <t xml:space="preserve">   BY TRANSFER-UPI/CR/325984197954/AAYUSH K/FDRL/9594435259/Sent--</t>
  </si>
  <si>
    <t xml:space="preserve">   BY TRANSFER-UPI/CR/325984204616/AAYUSH K/FDRL/9594435259/Sent--</t>
  </si>
  <si>
    <t xml:space="preserve">   BY TRANSFER-UPI/CR/325984246568/AAYUSH K/FDRL/9594435259/Sent--</t>
  </si>
  <si>
    <t xml:space="preserve">   TO TRANSFER-UPI/DR/325948728292/SANGITA /YESB/q664178139/UPI--</t>
  </si>
  <si>
    <t>ATM Withdrawal</t>
  </si>
  <si>
    <t xml:space="preserve">   BY TRANSFER-UPI/CR/326016087025/AAYUSH K/FDRL/9594435259/Sent--</t>
  </si>
  <si>
    <t xml:space="preserve">   BY TRANSFER-UPI/CR/362643487035/VYSAKH R/STCB/9447970836/NA--</t>
  </si>
  <si>
    <t xml:space="preserve">   TO TRANSFER-UPI/DR/326032780725/ANCHIT N/HDFC/anchit.na-/UPI--</t>
  </si>
  <si>
    <t xml:space="preserve">   TO TRANSFER-UPI/DR/362685487931/98804988/HDFC/9880498899/UPI--</t>
  </si>
  <si>
    <t xml:space="preserve">   BULK POSTING-ACHCr NACH00000000024439 INDIAN RAILWAY--</t>
  </si>
  <si>
    <t xml:space="preserve">   BULK POSTING-ACHCr HDFC01346000011215 CHAMBALFERTILI--</t>
  </si>
  <si>
    <t xml:space="preserve">   TO TRANSFER-UPI/DR/326187905336/OLA Post/HDFC/olamoney1./UPI--</t>
  </si>
  <si>
    <t xml:space="preserve">   TO TRANSFER-UPI/DR/326393564216/IRCTC CF/HDFC/irctc.cf@h/IRCTC--</t>
  </si>
  <si>
    <t xml:space="preserve">   TO TRANSFER-UPI/DR/326400725612/Simpl/UTIB/simplonlin/UPI Inte--</t>
  </si>
  <si>
    <t xml:space="preserve">   TO TRANSFER-UPI/DR/363067332029/Simpl/ICIC/cf.simp@ic/UPI Inte--</t>
  </si>
  <si>
    <t>Transfer to Sunita Gupta</t>
  </si>
  <si>
    <t xml:space="preserve">   TO TRANSFER-UPI/DR/326803311853/UBER IND/HDFC/uberrides@/charg--</t>
  </si>
  <si>
    <t xml:space="preserve">   TO TRANSFER-UPI/DR/326865586903/PIZZERIA/SBIN/9790302284/UPI--</t>
  </si>
  <si>
    <t xml:space="preserve">   TO TRANSFER-UPI/DR/327003559280/MANISH H/YESB/q423659019/UPI--</t>
  </si>
  <si>
    <t xml:space="preserve">   BY TRANSFER-UPI/CR/327347525145/AAYUSH K/FDRL/9594435259/Sent--</t>
  </si>
  <si>
    <t xml:space="preserve">   TO TRANSFER-UPI/DR/327347976871/AAYUSH K/FDRL/9594435259/ADDMO--</t>
  </si>
  <si>
    <t xml:space="preserve">   BY TRANSFER-UPI/CR/327347985091/AAYUSH K/FDRL/9594435259/Sent--</t>
  </si>
  <si>
    <t xml:space="preserve">   BY TRANSFER-UPI/CR/327347989422/AAYUSH K/FDRL/9594435259/Sent--</t>
  </si>
  <si>
    <t xml:space="preserve">   BY TRANSFER-UPI/CR/327347997687/AAYUSH K/FDRL/9594435259/Sent--</t>
  </si>
  <si>
    <t xml:space="preserve">   BY TRANSFER-UPI/CR/327348005114/AAYUSH K/FDRL/9594435259/Sent--</t>
  </si>
  <si>
    <t xml:space="preserve">   BY TRANSFER-UPI/CR/327348012148/AAYUSH K/FDRL/9594435259/Sent--</t>
  </si>
  <si>
    <t xml:space="preserve">   BY TRANSFER-UPI/CR/327348017047/AAYUSH K/FDRL/9594435259/Sent--</t>
  </si>
  <si>
    <t xml:space="preserve">   BY TRANSFER-UPI/CR/327348022692/AAYUSH K/FDRL/9594435259/Sent--</t>
  </si>
  <si>
    <t xml:space="preserve">   BY TRANSFER-UPI/CR/327348027549/AAYUSH K/FDRL/9594435259/Sent--</t>
  </si>
  <si>
    <t xml:space="preserve">   BY TRANSFER-UPI/CR/327348037249/AAYUSH K/FDRL/9594435259/Sent--</t>
  </si>
  <si>
    <t xml:space="preserve">   BY TRANSFER-UPI/CR/327348040791/AAYUSH K/FDRL/9594435259/Sent--</t>
  </si>
  <si>
    <t xml:space="preserve">   BY TRANSFER-UPI/CR/327348044976/AAYUSH K/FDRL/9594435259/Sent--</t>
  </si>
  <si>
    <t xml:space="preserve">   BY TRANSFER-UPI/CR/327348049059/AAYUSH K/FDRL/9594435259/Sent--</t>
  </si>
  <si>
    <t xml:space="preserve">   BY TRANSFER-UPI/CR/327348053384/AAYUSH K/FDRL/9594435259/Sent--</t>
  </si>
  <si>
    <t xml:space="preserve">   BY TRANSFER-UPI/CR/327348057342/AAYUSH K/FDRL/9594435259/Sent--</t>
  </si>
  <si>
    <t xml:space="preserve">   BY TRANSFER-UPI/CR/327348061477/AAYUSH K/FDRL/9594435259/Sent--</t>
  </si>
  <si>
    <t xml:space="preserve">   BY TRANSFER-UPI/CR/327348078195/AAYUSH K/FDRL/9594435259/Sent--</t>
  </si>
  <si>
    <t xml:space="preserve">   BY TRANSFER-UPI/CR/327348085266/AAYUSH K/FDRL/9594435259/Sent--</t>
  </si>
  <si>
    <t xml:space="preserve">   BY TRANSFER-UPI/CR/327348090241/AAYUSH K/FDRL/9594435259/Sent--</t>
  </si>
  <si>
    <t>Professional Fees from LINCOLN ELECTRI</t>
  </si>
  <si>
    <t>Max Bupa Health Insurance</t>
  </si>
  <si>
    <t>POT</t>
  </si>
  <si>
    <t>SUPERPOT</t>
  </si>
  <si>
    <t>FD</t>
  </si>
  <si>
    <t xml:space="preserve">   BY TRANSFER-NEFT*YESB0000001*YESB32775532613*ZERODHA BROKING L--</t>
  </si>
  <si>
    <t>TRANSFER FROM 4697251044309</t>
  </si>
  <si>
    <t>SIP Navi</t>
  </si>
  <si>
    <t xml:space="preserve">   BY TRANSFER-INB--</t>
  </si>
  <si>
    <t>CTY9105340               TRANSFER FROM 42201368247</t>
  </si>
  <si>
    <t>Professional Fees from Fluxgen</t>
  </si>
  <si>
    <t xml:space="preserve">   BY TRANSFER-NEFT*HDFC0000001*N279232675295291*fluxgen sustaina--</t>
  </si>
  <si>
    <t>TRANSFER FROM 4697176044305</t>
  </si>
  <si>
    <t xml:space="preserve">   TO TRANSFER-UPI/DR/328296062917/LiquiLoans/ICIC/cf.liquilo/UPI--</t>
  </si>
  <si>
    <t xml:space="preserve">   BY TRANSFER-UPI/REV/328296062917--</t>
  </si>
  <si>
    <t>TRANSFER FROM 4897690162095</t>
  </si>
  <si>
    <t xml:space="preserve">   BY TRANSFER-INB IMPS328206169890/0000000000/XX0543/BP41936266--</t>
  </si>
  <si>
    <t xml:space="preserve">MAD000390321763          MAD000390321763          </t>
  </si>
  <si>
    <t xml:space="preserve">   TO TRANSFER-UPI/DR/328296087771/LiquiLoans/ICIC/cf.liquilo/UPI--</t>
  </si>
  <si>
    <t xml:space="preserve">   BY TRANSFER-NEFT*RATN0000999*000338384131*FLIPVOLT TECHNOLOGIE--</t>
  </si>
  <si>
    <t>TRANSFER FROM 4697237044307</t>
  </si>
  <si>
    <t>Misc Income</t>
  </si>
  <si>
    <t xml:space="preserve">   TO TRANSFER-INB Deposit / Investment--</t>
  </si>
  <si>
    <t xml:space="preserve">IF38973887               TRANSFER TO 39706255133  </t>
  </si>
  <si>
    <t>PPF</t>
  </si>
  <si>
    <t xml:space="preserve">   ATM WDL-ATM CASH 2266  SBI SHIVAJI NAGAR ATM NASHIK--</t>
  </si>
  <si>
    <t xml:space="preserve">   BY TRANSFER-INB IMPS328514594819/9876543210/XX6447/21396543 C--</t>
  </si>
  <si>
    <t xml:space="preserve">MAF000388216646          MAF000388216646          </t>
  </si>
  <si>
    <t xml:space="preserve">   TO TRANSFER-UPI/DR/328554367394/Axis/UTIB/amazonupi@/Request--</t>
  </si>
  <si>
    <t xml:space="preserve">   TO TRANSFER-UPI/DR/328898684766/AAYUSH K/FDRL/9594435259/UPI--</t>
  </si>
  <si>
    <t xml:space="preserve">   BY TRANSFER-UPI/CR/328832834641/MADHU GU/ICIC/9848762320/Payme--</t>
  </si>
  <si>
    <t xml:space="preserve">   TO TRANSFER-UPI/DR/328835543498/MADHU GU/ICIC/9848762320/Payme--</t>
  </si>
  <si>
    <t xml:space="preserve">   BY TRANSFER-UPI/CR/328810203266/Archit  /SBIN/archit4801/firse--</t>
  </si>
  <si>
    <t xml:space="preserve">   TO TRANSFER-UPI/DR/328899421622/Archit  /SBIN/archit4801/UPI--</t>
  </si>
  <si>
    <t xml:space="preserve">   TO TRANSFER-UPI/DR/328864761831/Add Mone/PYTM/add-money@/OidPZ--</t>
  </si>
  <si>
    <t xml:space="preserve">   BY TRANSFER-UPI/CR/328934113115/YAMMANUR/HDFC/8296314474/Payme--</t>
  </si>
  <si>
    <t xml:space="preserve">   TO TRANSFER-UPI/DR/328980843133/Rapido/PYTM/paytm-7688/UPI Pay--</t>
  </si>
  <si>
    <t xml:space="preserve">   TO TRANSFER-UPI/DR/329182802739/Bharti A/HDFC/airtel.pay/UPITr--</t>
  </si>
  <si>
    <t xml:space="preserve">   TO TRANSFER-UPI/DR/365807882477/Rapido/ICIC/rapido.rzp/UPI Pay--</t>
  </si>
  <si>
    <t xml:space="preserve">   DEBIT-ATMCard AMC  559601*0571 SILVER-GLOBAL--</t>
  </si>
  <si>
    <t>SIP Mirae Asset</t>
  </si>
  <si>
    <t>SIP Quant</t>
  </si>
  <si>
    <t xml:space="preserve">   TO TRANSFER-UPI/DR/329411915028/Utkarsh /UTKS/digitalfd@/Utkar--</t>
  </si>
  <si>
    <t>Transfer from Sunita Gupta</t>
  </si>
  <si>
    <t xml:space="preserve">   TO TRANSFER-UPI/DR/329696156124/Zerodha /HDFC/zerodhabro/21072--</t>
  </si>
  <si>
    <t xml:space="preserve">   TO TRANSFER-UPI/DR/329605717057/Zerodha /HDFC/zerodhabro/85161--</t>
  </si>
  <si>
    <t>Misc</t>
  </si>
  <si>
    <t>Professional Fees from Dr. Reddys</t>
  </si>
  <si>
    <t>CTZ2995224               TRANSFER FROM 42201368247</t>
  </si>
  <si>
    <t>3110914618240290829IGAQKURRM2               TRANSF</t>
  </si>
  <si>
    <t xml:space="preserve">   BY TRANSFER-PFN 3686881 LAURUS LABS LIMITED NACH00000000006422--</t>
  </si>
  <si>
    <t>TRANSFER FROM 4697881105210</t>
  </si>
  <si>
    <t xml:space="preserve">   TO TRANSFER-UPI/DR/331411226047/CHAITALI/UJVN/8485849810/UPI--</t>
  </si>
  <si>
    <t xml:space="preserve">   TO TRANSFER-UPI/DR/331537834449/IRCTC Ap/PYTM/paytm-irct/Oid10--</t>
  </si>
  <si>
    <t xml:space="preserve">   BY TRANSFER-UPI/CR/331704363402/IRCTC Ap/PYTM/paytm-irct/colle--</t>
  </si>
  <si>
    <t xml:space="preserve">   TO TRANSFER-UPI/DR/331995081500/Zerodha /HDFC/zerodhabro/64603--</t>
  </si>
  <si>
    <t xml:space="preserve">   BY TRANSFER-UPI/CR/368712252832/Paytm/PYTM/walletmone/NA--</t>
  </si>
  <si>
    <t xml:space="preserve">   TO TRANSFER-UPI/DR/332558489395/AVENS 4 /PYTM/paytmqruct/UPI--</t>
  </si>
  <si>
    <t xml:space="preserve">   TO TRANSFER-UPI/DR/333122044661/SRI KRIS/SBIN/krishnayad/UPI--</t>
  </si>
  <si>
    <t xml:space="preserve">   BULK POSTING-ACHCr ICIC02860000005377 CAMSL  2INTDIV--</t>
  </si>
  <si>
    <t xml:space="preserve">   BULK POSTING-ACHCr HDFC01346000011215 CHAMBAL FERTIL--</t>
  </si>
  <si>
    <t>Rent</t>
  </si>
  <si>
    <t xml:space="preserve">   BY TRANSFER-INB IMPS333512637419/9999999999/XX0150/W5019394--</t>
  </si>
  <si>
    <t xml:space="preserve">MAP000011720145          MAP000011720145          </t>
  </si>
  <si>
    <t xml:space="preserve">   TO TRANSFER-UPI/DR/333748731435/Amazon Pay/YESB/amazonpay@/You--</t>
  </si>
  <si>
    <t xml:space="preserve">   TO TRANSFER-UPI/DR/333719269678/Swiggy/ICIC/swiggystor/UPI--</t>
  </si>
  <si>
    <t xml:space="preserve">   TO TRANSFER-UPI/DR/370427288727/CHAPPIDI/KKBK/7386831107/Payme--</t>
  </si>
  <si>
    <t>MF Redemption</t>
  </si>
  <si>
    <t>Mutual funds</t>
  </si>
  <si>
    <t xml:space="preserve">   BY TRANSFER-NEFT*ICIC0099999*CMS3766748298*CENTRAL DEPOSITORY--</t>
  </si>
  <si>
    <t>TRANSFER FROM 4697233044301</t>
  </si>
  <si>
    <t xml:space="preserve">   ATM WDL-ATM CASH 33462 +SERENE COUNTRY OATM   KV RANGAREDD--</t>
  </si>
  <si>
    <t xml:space="preserve">   TO TRANSFER-UPI/DR/334820147005/JOGU  MA/SBIN/jogum48@ok/UPI--</t>
  </si>
  <si>
    <t xml:space="preserve">   TO TRANSFER-UPI/DR/334802695790/Amazon Pay/UTIB/amazonpayb/Req--</t>
  </si>
  <si>
    <t xml:space="preserve">   TO TRANSFER-UPI/DR/335321372692/Madinabi/SBIN/mosinshaik/UPI--</t>
  </si>
  <si>
    <t xml:space="preserve">   TO TRANSFER-UPI/DR/335365737305/GEDA RAM/YESB/BHARATPE90/Pay t--</t>
  </si>
  <si>
    <t xml:space="preserve">   BY TRANSFER-UPI/CR/372430765471/SREE VAI/SBIN/narendrare/Payme--</t>
  </si>
  <si>
    <t xml:space="preserve">SIP - Nippon
India </t>
  </si>
  <si>
    <t xml:space="preserve">   TO TRANSFER-UPI/DR/335968452321/MADATHAL/HDFC/messy7777-/UPI--</t>
  </si>
  <si>
    <t xml:space="preserve">   TO TRANSFER-UPI/DR/336010639192/G BUJJI/KVBL/bujjigummu/UPI--</t>
  </si>
  <si>
    <t xml:space="preserve">   TO TRANSFER-UPI/DR/336429304435/IRCTC We/PYTM/paytm-6515/UPI--</t>
  </si>
  <si>
    <t xml:space="preserve">   TO TRANSFER-UPI/DR/436708452365/SUNITA G/UTIB/sunita6668/Sent--</t>
  </si>
  <si>
    <t xml:space="preserve">   TO TRANSFER-UPI/DR/400152379507/Add Mone/PYTM/add-money@/Oid22--</t>
  </si>
  <si>
    <t xml:space="preserve">   BY TRANSFER-NEFT*YESB0000001*YESB40021247528*ZERODHA BROKING L--</t>
  </si>
  <si>
    <t>TRANSFER FROM 3199972044308</t>
  </si>
  <si>
    <t xml:space="preserve">   BY TRANSFER-UPI/CR/436996843432/BHANDARI/HDFC/tm9267@axl/Frien--</t>
  </si>
  <si>
    <t xml:space="preserve">   TO TRANSFER-UPI/DR/400385157235/Maruthi /FINO/smaroti71@/UPI--</t>
  </si>
  <si>
    <t>Rent Paid</t>
  </si>
  <si>
    <t xml:space="preserve">   BY TRANSFER-UPI/CR/401424746780/SWAPNIL /YESB/swapnil.ka/UPI--</t>
  </si>
  <si>
    <t xml:space="preserve">   TO TRANSFER-UPI/DR/403266013920/BANDI  V/YESB/q009697312/UPI--</t>
  </si>
  <si>
    <t xml:space="preserve">   TO TRANSFER-UPI/DR/403266824935/YATAKARI/SBIN/q798355992/UPI--</t>
  </si>
  <si>
    <t xml:space="preserve">   TO TRANSFER-UPI/DR/439877858006/DINESH/YESB/q663960260/UPI--</t>
  </si>
  <si>
    <t xml:space="preserve">   TO TRANSFER-UPI/DR/403277858627/ALEKHYA /YESB/q832428843/UPI--</t>
  </si>
  <si>
    <t xml:space="preserve">   TO TRANSFER-UPI/DR/403393679471/PAPA LAK/YESB/q650304740/UPI--</t>
  </si>
  <si>
    <t xml:space="preserve">   TO TRANSFER-UPI/DR/403394162901/ALEKHYA /YESB/q832428843/UPI--</t>
  </si>
  <si>
    <t xml:space="preserve">   TO TRANSFER-UPI/DR/403397369245/GUVVALA /UBIN/govardhans/UPI--</t>
  </si>
  <si>
    <t xml:space="preserve">   BY TRANSFER-UPI/CR/403372362550/AAYUSH K/FDRL/9594435259/Sent--</t>
  </si>
  <si>
    <t xml:space="preserve">   TO TRANSFER-UPI/DR/403611701981/Zerodha /HDFC/zerodhabro/63389--</t>
  </si>
  <si>
    <t xml:space="preserve">   BY TRANSFER-UPI/CR/403898635109/GOOGLEPAY/UTIB/goog-payme/Rewa--</t>
  </si>
  <si>
    <t xml:space="preserve">   BY TRANSFER-NEFT*UTIB0000004*AXISCN0510286550*INDIAN CLEARING--</t>
  </si>
  <si>
    <t>TRANSFER FROM 4697239044305</t>
  </si>
  <si>
    <t>Buyback</t>
  </si>
  <si>
    <t xml:space="preserve">   TO TRANSFER-UPI/DR/404307521352/MAMIDALA/ANDB/9701296152/Payme--</t>
  </si>
  <si>
    <t xml:space="preserve">   TO TRANSFER-UPI/DR/404442027413/AMBEERU /SBIN/suma47030@/UPI--</t>
  </si>
  <si>
    <t xml:space="preserve">   TO TRANSFER-UPI/DR/404652867539/Mahimood/SBIN/mdkhaseem8/UPI--</t>
  </si>
  <si>
    <t xml:space="preserve">   TO TRANSFER-UPI/DR/404972728490/IRCTC_AP/PYTM/paytm-7620/UPI--</t>
  </si>
  <si>
    <t xml:space="preserve">   TO TRANSFER-UPI/DR/404982191589/IRCTC_AP/PYTM/paytm-7620/Payme--</t>
  </si>
  <si>
    <t xml:space="preserve">   TO TRANSFER-UPI/DR/405190815024/AAYUSH K/FDRL/9594435259/ADDMO--</t>
  </si>
  <si>
    <t xml:space="preserve">   BULK POSTING-ACHCr IBKL00249000010274 ITC LIMITED--</t>
  </si>
  <si>
    <t xml:space="preserve">   BULK POSTING-ACHCr ICIC02860000005377 CAMSL 3INTDIV--</t>
  </si>
  <si>
    <t xml:space="preserve">   BY TRANSFER-UPI/CR/442641635424/SUNILKUM/BKID/raisunilku/UPI--</t>
  </si>
  <si>
    <t>KOTAK</t>
  </si>
  <si>
    <t>??</t>
  </si>
  <si>
    <t>Salary</t>
  </si>
  <si>
    <t>Account of Statements from 01-04-2023 to 31-03-2024</t>
  </si>
  <si>
    <t>All Banks</t>
  </si>
  <si>
    <t>Aayush Gupta Bank Summary</t>
  </si>
  <si>
    <t>₹</t>
  </si>
  <si>
    <t>Opening Balances</t>
  </si>
  <si>
    <t>01-04-2023 to 31-03-2024</t>
  </si>
  <si>
    <t>Opening</t>
  </si>
  <si>
    <t>Closing</t>
  </si>
  <si>
    <t>By Closing Balances</t>
  </si>
  <si>
    <t>L</t>
  </si>
  <si>
    <t xml:space="preserve">   TO TRANSFER-UPI/DR/406139756180/IRCTC CF/HDFC/irctc.cf@h/IRCTC--</t>
  </si>
  <si>
    <t xml:space="preserve">   BY TRANSFER-UPI/442857066128/9594435259@ybl--</t>
  </si>
  <si>
    <t xml:space="preserve">   TO TRANSFER-UPI/DR/443010949912/ADARSH K M/UTIB/coorgadars/Pay--</t>
  </si>
  <si>
    <t xml:space="preserve">   TO TRANSFER-UPI/DR/406775889557/NELABALL/UTIB/alphalivin/UPI--</t>
  </si>
  <si>
    <t xml:space="preserve">   BY TRANSFER-NEFT*YESB0000001*YESB40682762977*ZERODHA BROKING L--</t>
  </si>
  <si>
    <t xml:space="preserve">   TO TRANSFER-UPI/DR/443651273671/ATTIPALL/HDFC/7996288999/Payme--</t>
  </si>
  <si>
    <t xml:space="preserve">   BY TRANSFER-UPI/CR/443677475175/RAHUL AG/ICIC/9414069763/Payme--</t>
  </si>
  <si>
    <t xml:space="preserve">   BY TRANSFER-UPI/CR/407288102096/RAHUL AG/ICIC/rahulag.20/UPI--</t>
  </si>
  <si>
    <t xml:space="preserve">   TO TRANSFER-UPI/DR/407337896143/TOBOX VE/AIRP/toboxventu/UPIIn--</t>
  </si>
  <si>
    <t xml:space="preserve">   TO TRANSFER-UPI/DR/407338530597/TOBOX VE/AIRP/toboxventu/UPIIn--</t>
  </si>
  <si>
    <t xml:space="preserve">   TO TRANSFER-UPI/DR/407565255440/AAYUSH K/FDRL/9594435259/ADDMO--</t>
  </si>
  <si>
    <t xml:space="preserve">   BY TRANSFER-UPI/CR/407811695179/AAYUSH K/KKBK/9594435259/MB UP--</t>
  </si>
  <si>
    <t xml:space="preserve">   BY TRANSFER-UPI/CR/407908004025/AAYUSH K/KKBK/9594435259/MB UP--</t>
  </si>
  <si>
    <t xml:space="preserve">   TO TRANSFER-UPI/DR/408249175993/IRCTC_AP/YESB/paytm-7620/UPI--</t>
  </si>
  <si>
    <t xml:space="preserve">   BY TRANSFER-UPI/CR/408210582899/IRCTC_AP/YESB/paytm-7620/expre--</t>
  </si>
  <si>
    <t xml:space="preserve">   TO TRANSFER-UPI/DR/408259006768/Tobox Ve/INDB/gokhana.pa/UPIIn--</t>
  </si>
  <si>
    <t xml:space="preserve">   TO TRANSFER-UPI/DR/408261460349/Tobox Ve/INDB/gokhana.pa/UPIIn--</t>
  </si>
  <si>
    <t xml:space="preserve">   TO TRANSFER-UPI/DR/408226946800/AAYUSH K/FDRL/9594435259/ADDMO--</t>
  </si>
  <si>
    <t xml:space="preserve">   BY TRANSFER-UPI/CR/408554647232/RAHUL AG/ICIC/rahulag.20/UPI--</t>
  </si>
  <si>
    <t xml:space="preserve">   BY TRANSFER-UPI/CR/445234795619/MR SUDHI/SCBL/sudhirmali/UPI--</t>
  </si>
  <si>
    <t xml:space="preserve">   BULK POSTING-ACHCr UTIB00788000017240 KFIL INT 2023--</t>
  </si>
  <si>
    <t xml:space="preserve">   TO TRANSFER-UPI/DR/408943495520/Zomato Ltd/YESB/zomato-ord/Oid--</t>
  </si>
  <si>
    <t xml:space="preserve">   TO TRANSFER-UPI/DR/445627525253/JYOTHI S/HDFC/vyapar.168/UPI--</t>
  </si>
  <si>
    <t xml:space="preserve">   BY TRANSFER-UPI/CR/445618966525/RAHUL AG/ICIC/rahulag.20/UPI--</t>
  </si>
  <si>
    <t xml:space="preserve">   TO TRANSFER-UPI/DR/409081698692/MUHAMED /YESB/paytmqr3za/UPI--</t>
  </si>
  <si>
    <t xml:space="preserve">   BY TRANSFER-UPI/CR/409021379488/AAYUSH K/KKBK/9594435259/MB UP--</t>
  </si>
  <si>
    <t xml:space="preserve">   BY TRANSFER-UPI/CR/409189732974/RAHUL AG/ICIC/rahulag.20/UPI--</t>
  </si>
  <si>
    <t xml:space="preserve">   TO TRANSFER-UPI/DR/409156899789/Zerodha /HDFC/zerodhabro/22489--</t>
  </si>
  <si>
    <t>Hostel Charges + Deposit</t>
  </si>
  <si>
    <t>SBM BANK (INDIA) LTD</t>
  </si>
  <si>
    <t>Aayush Gupta Cash Account</t>
  </si>
  <si>
    <t>Household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</si>
</sst>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 #,##0_ ;_ * \-#,##0_ ;_ * &quot;-&quot;??_ ;_ @_ "/>
    <numFmt numFmtId="165" formatCode="_(* #,##0.00_);_(* \(#,##0.00\);_(* &quot;-&quot;??_);_(@_)"/>
    <numFmt numFmtId="166" formatCode="_(* #,##0_);_(* \(#,##0\);_(* &quot;-&quot;??_);_(@_)"/>
  </numFmts>
  <fonts count="7" x14ac:knownFonts="1">
    <font>
      <sz val="11"/>
      <color theme="1"/>
      <name val="Calibri"/>
      <family val="2"/>
      <scheme val="minor"/>
    </font>
    <font>
      <sz val="11"/>
      <color theme="1"/>
      <name val="Calibri"/>
      <family val="2"/>
      <scheme val="minor"/>
    </font>
    <font>
      <sz val="10"/>
      <name val="Arial"/>
      <family val="2"/>
    </font>
    <font>
      <sz val="11"/>
      <name val="Calibri"/>
      <family val="2"/>
      <scheme val="minor"/>
    </font>
    <font>
      <sz val="11"/>
      <name val="Calibri"/>
      <family val="2"/>
    </font>
    <font>
      <b/>
      <sz val="10"/>
      <name val="Arial"/>
      <family val="2"/>
    </font>
    <font>
      <sz val="11"/>
      <name val="Calibri"/>
      <family val="2"/>
    </font>
  </fonts>
  <fills count="3">
    <fill>
      <patternFill patternType="none"/>
    </fill>
    <fill>
      <patternFill patternType="gray125"/>
    </fill>
    <fill>
      <patternFill patternType="solid">
        <fgColor rgb="FF92D05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bottom style="medium">
        <color indexed="64"/>
      </bottom>
      <diagonal/>
    </border>
  </borders>
  <cellStyleXfs count="6">
    <xf numFmtId="0" fontId="0" fillId="0" borderId="0"/>
    <xf numFmtId="43" fontId="1" fillId="0" borderId="0" applyFont="0" applyFill="0" applyBorder="0" applyAlignment="0" applyProtection="0"/>
    <xf numFmtId="0" fontId="2" fillId="0" borderId="0"/>
    <xf numFmtId="165" fontId="2" fillId="0" borderId="0" applyFont="0" applyFill="0" applyBorder="0" applyAlignment="0" applyProtection="0"/>
    <xf numFmtId="0" fontId="3" fillId="0" borderId="0"/>
    <xf numFmtId="43" fontId="3" fillId="0" borderId="0" applyFont="0" applyFill="0" applyBorder="0" applyAlignment="0" applyProtection="0"/>
  </cellStyleXfs>
  <cellXfs count="49">
    <xf numFmtId="0" fontId="0" fillId="0" borderId="0" xfId="0"/>
    <xf numFmtId="14" fontId="0" fillId="0" borderId="0" xfId="0" applyNumberFormat="1"/>
    <xf numFmtId="164" fontId="0" fillId="0" borderId="0" xfId="1" applyNumberFormat="1" applyFont="1"/>
    <xf numFmtId="164" fontId="0" fillId="0" borderId="0" xfId="0" applyNumberFormat="1"/>
    <xf numFmtId="17" fontId="0" fillId="0" borderId="0" xfId="0" applyNumberFormat="1"/>
    <xf numFmtId="0" fontId="0" fillId="0" borderId="0" xfId="0" applyAlignment="1">
      <alignment wrapText="1"/>
    </xf>
    <xf numFmtId="0" fontId="2" fillId="0" borderId="0" xfId="2"/>
    <xf numFmtId="166" fontId="0" fillId="0" borderId="0" xfId="3" applyNumberFormat="1" applyFont="1"/>
    <xf numFmtId="166" fontId="2" fillId="0" borderId="0" xfId="2" applyNumberFormat="1"/>
    <xf numFmtId="15" fontId="0" fillId="0" borderId="0" xfId="0" applyNumberFormat="1"/>
    <xf numFmtId="4" fontId="0" fillId="0" borderId="0" xfId="0" applyNumberFormat="1"/>
    <xf numFmtId="43" fontId="0" fillId="0" borderId="0" xfId="1" applyFont="1"/>
    <xf numFmtId="0" fontId="3" fillId="0" borderId="0" xfId="4"/>
    <xf numFmtId="0" fontId="4" fillId="0" borderId="0" xfId="4" applyFont="1" applyAlignment="1">
      <alignment horizontal="left" vertical="center" wrapText="1"/>
    </xf>
    <xf numFmtId="0" fontId="4" fillId="0" borderId="0" xfId="4" applyFont="1" applyAlignment="1">
      <alignment horizontal="left"/>
    </xf>
    <xf numFmtId="0" fontId="4" fillId="0" borderId="0" xfId="4" applyFont="1" applyAlignment="1">
      <alignment horizontal="center" vertical="center"/>
    </xf>
    <xf numFmtId="164" fontId="4" fillId="0" borderId="0" xfId="5" applyNumberFormat="1" applyFont="1" applyAlignment="1">
      <alignment horizontal="center" vertical="center"/>
    </xf>
    <xf numFmtId="164" fontId="3" fillId="0" borderId="0" xfId="4" applyNumberFormat="1"/>
    <xf numFmtId="14" fontId="4" fillId="0" borderId="0" xfId="4" applyNumberFormat="1" applyFont="1" applyAlignment="1">
      <alignment horizontal="center" vertical="center"/>
    </xf>
    <xf numFmtId="0" fontId="5" fillId="0" borderId="0" xfId="0" applyFont="1"/>
    <xf numFmtId="0" fontId="0" fillId="0" borderId="0" xfId="0" applyAlignment="1">
      <alignment horizontal="left"/>
    </xf>
    <xf numFmtId="14" fontId="6" fillId="0" borderId="0" xfId="0" applyNumberFormat="1" applyFont="1" applyAlignment="1">
      <alignment horizontal="center" vertical="center"/>
    </xf>
    <xf numFmtId="0" fontId="6" fillId="0" borderId="0" xfId="0" applyFont="1" applyAlignment="1">
      <alignment horizontal="left" vertical="center"/>
    </xf>
    <xf numFmtId="43" fontId="6" fillId="0" borderId="0" xfId="1" applyFont="1" applyAlignment="1">
      <alignment horizontal="center" vertical="center"/>
    </xf>
    <xf numFmtId="43" fontId="0" fillId="0" borderId="0" xfId="0" applyNumberFormat="1"/>
    <xf numFmtId="14" fontId="2" fillId="0" borderId="0" xfId="2" applyNumberFormat="1"/>
    <xf numFmtId="43" fontId="6" fillId="0" borderId="0" xfId="0" applyNumberFormat="1" applyFont="1" applyAlignment="1">
      <alignment horizontal="left" vertical="center"/>
    </xf>
    <xf numFmtId="0" fontId="0" fillId="0" borderId="4" xfId="0" applyBorder="1" applyAlignment="1">
      <alignment horizontal="center"/>
    </xf>
    <xf numFmtId="0" fontId="0" fillId="0" borderId="5" xfId="0" applyBorder="1" applyAlignment="1">
      <alignment horizontal="left"/>
    </xf>
    <xf numFmtId="164" fontId="0" fillId="0" borderId="5" xfId="1" applyNumberFormat="1" applyFont="1" applyBorder="1" applyAlignment="1"/>
    <xf numFmtId="0" fontId="0" fillId="0" borderId="5" xfId="0" applyBorder="1" applyAlignment="1">
      <alignment horizontal="center"/>
    </xf>
    <xf numFmtId="43" fontId="0" fillId="0" borderId="5" xfId="1" applyFont="1" applyBorder="1" applyAlignment="1">
      <alignment horizontal="center"/>
    </xf>
    <xf numFmtId="0" fontId="0" fillId="0" borderId="6" xfId="0" applyBorder="1" applyAlignment="1">
      <alignment horizontal="center"/>
    </xf>
    <xf numFmtId="0" fontId="0" fillId="0" borderId="6" xfId="0" applyBorder="1"/>
    <xf numFmtId="166" fontId="0" fillId="0" borderId="6" xfId="1" applyNumberFormat="1" applyFont="1" applyBorder="1"/>
    <xf numFmtId="0" fontId="2" fillId="0" borderId="6" xfId="0" applyFont="1" applyBorder="1"/>
    <xf numFmtId="166" fontId="0" fillId="0" borderId="7" xfId="0" applyNumberFormat="1" applyBorder="1"/>
    <xf numFmtId="0" fontId="0" fillId="0" borderId="8" xfId="0" applyBorder="1"/>
    <xf numFmtId="166" fontId="0" fillId="0" borderId="0" xfId="0" applyNumberFormat="1"/>
    <xf numFmtId="0" fontId="0" fillId="2" borderId="0" xfId="0" applyFill="1"/>
    <xf numFmtId="164" fontId="0" fillId="2" borderId="0" xfId="1" applyNumberFormat="1" applyFont="1" applyFill="1"/>
    <xf numFmtId="0" fontId="4" fillId="0" borderId="0" xfId="0" applyFont="1" applyAlignment="1">
      <alignment horizontal="left" vertical="center"/>
    </xf>
    <xf numFmtId="0" fontId="3" fillId="0" borderId="0" xfId="4"/>
    <xf numFmtId="0" fontId="4" fillId="0" borderId="0" xfId="4" applyFont="1" applyAlignment="1">
      <alignment horizontal="center"/>
    </xf>
    <xf numFmtId="0" fontId="4" fillId="0" borderId="0" xfId="4" applyFont="1" applyAlignment="1">
      <alignment horizontal="left" vertical="center" wrapText="1"/>
    </xf>
    <xf numFmtId="0" fontId="4" fillId="0" borderId="0" xfId="4" applyFont="1" applyAlignment="1">
      <alignment horizontal="center" vertic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cellXfs>
  <cellStyles count="6">
    <cellStyle name="Comma" xfId="1" builtinId="3"/>
    <cellStyle name="Comma 2" xfId="3" xr:uid="{20D85D97-988C-475B-A8A9-429540373203}"/>
    <cellStyle name="Comma 3" xfId="5" xr:uid="{669E3CDD-A25D-4923-A8B2-806FACD4CC2B}"/>
    <cellStyle name="Normal" xfId="0" builtinId="0"/>
    <cellStyle name="Normal 2" xfId="2" xr:uid="{50E97AC7-3C63-4592-AB05-D38B35EFA062}"/>
    <cellStyle name="Normal 3" xfId="4" xr:uid="{129BA33B-EA9E-4BD0-8EA5-495A8FAD24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454B0-7973-48E7-9610-00EF39C22A59}">
  <dimension ref="A1:I89"/>
  <sheetViews>
    <sheetView workbookViewId="0">
      <selection activeCell="F18" sqref="F18"/>
    </sheetView>
  </sheetViews>
  <sheetFormatPr defaultRowHeight="14.4" x14ac:dyDescent="0.3"/>
  <cols>
    <col min="1" max="1" width="10.33203125" bestFit="1" customWidth="1"/>
    <col min="4" max="6" width="9.88671875" bestFit="1"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7" spans="1:9" x14ac:dyDescent="0.3">
      <c r="A17" t="s">
        <v>15</v>
      </c>
    </row>
    <row r="18" spans="1:9" x14ac:dyDescent="0.3">
      <c r="F18" s="3">
        <f>F20-E20</f>
        <v>25508.679999999993</v>
      </c>
    </row>
    <row r="19" spans="1:9" x14ac:dyDescent="0.3">
      <c r="A19" t="s">
        <v>16</v>
      </c>
      <c r="B19" t="s">
        <v>17</v>
      </c>
      <c r="C19" t="s">
        <v>18</v>
      </c>
      <c r="D19" t="s">
        <v>19</v>
      </c>
      <c r="E19" t="s">
        <v>20</v>
      </c>
      <c r="F19" t="s">
        <v>21</v>
      </c>
      <c r="G19" t="s">
        <v>22</v>
      </c>
    </row>
    <row r="20" spans="1:9" x14ac:dyDescent="0.3">
      <c r="A20" s="1">
        <v>45018</v>
      </c>
      <c r="B20" t="s">
        <v>23</v>
      </c>
      <c r="C20" t="s">
        <v>24</v>
      </c>
      <c r="D20" s="2">
        <v>0</v>
      </c>
      <c r="E20" s="2">
        <v>50000</v>
      </c>
      <c r="F20" s="2">
        <v>75508.679999999993</v>
      </c>
      <c r="G20">
        <v>248</v>
      </c>
    </row>
    <row r="21" spans="1:9" x14ac:dyDescent="0.3">
      <c r="A21" s="1">
        <v>45061</v>
      </c>
      <c r="B21" t="s">
        <v>23</v>
      </c>
      <c r="C21" t="s">
        <v>25</v>
      </c>
      <c r="D21" s="2">
        <v>590</v>
      </c>
      <c r="E21" s="2">
        <v>0</v>
      </c>
      <c r="F21" s="2">
        <v>74918.679999999993</v>
      </c>
      <c r="G21">
        <v>2656</v>
      </c>
      <c r="I21" s="3">
        <f>F20-D21+E21-F21</f>
        <v>0</v>
      </c>
    </row>
    <row r="22" spans="1:9" x14ac:dyDescent="0.3">
      <c r="A22" s="1">
        <v>45061</v>
      </c>
      <c r="B22" t="s">
        <v>23</v>
      </c>
      <c r="C22" t="s">
        <v>26</v>
      </c>
      <c r="D22" s="2">
        <v>134.85</v>
      </c>
      <c r="E22" s="2">
        <v>0</v>
      </c>
      <c r="F22" s="2">
        <v>74783.83</v>
      </c>
      <c r="G22">
        <v>2656</v>
      </c>
      <c r="I22" s="3">
        <f t="shared" ref="I22:I44" si="0">F21-D22+E22-F22</f>
        <v>0</v>
      </c>
    </row>
    <row r="23" spans="1:9" x14ac:dyDescent="0.3">
      <c r="A23" s="1">
        <v>45071</v>
      </c>
      <c r="B23" t="s">
        <v>23</v>
      </c>
      <c r="C23" t="s">
        <v>27</v>
      </c>
      <c r="D23" s="2">
        <v>0</v>
      </c>
      <c r="E23" s="2">
        <v>45.28</v>
      </c>
      <c r="F23" s="2">
        <v>74829.11</v>
      </c>
      <c r="G23">
        <v>100</v>
      </c>
      <c r="I23" s="3">
        <f t="shared" si="0"/>
        <v>0</v>
      </c>
    </row>
    <row r="24" spans="1:9" x14ac:dyDescent="0.3">
      <c r="A24" s="1">
        <v>45082</v>
      </c>
      <c r="B24" t="s">
        <v>23</v>
      </c>
      <c r="C24" t="s">
        <v>28</v>
      </c>
      <c r="D24" s="2">
        <v>20000</v>
      </c>
      <c r="E24" s="2">
        <v>0</v>
      </c>
      <c r="F24" s="2">
        <v>54829.11</v>
      </c>
      <c r="G24">
        <v>2656</v>
      </c>
      <c r="I24" s="3">
        <f t="shared" si="0"/>
        <v>0</v>
      </c>
    </row>
    <row r="25" spans="1:9" x14ac:dyDescent="0.3">
      <c r="A25" s="1">
        <v>45082</v>
      </c>
      <c r="B25" t="s">
        <v>23</v>
      </c>
      <c r="C25" t="s">
        <v>29</v>
      </c>
      <c r="D25" s="2">
        <v>20000</v>
      </c>
      <c r="E25" s="2">
        <v>0</v>
      </c>
      <c r="F25" s="2">
        <v>34829.11</v>
      </c>
      <c r="G25">
        <v>2656</v>
      </c>
      <c r="I25" s="3">
        <f t="shared" si="0"/>
        <v>0</v>
      </c>
    </row>
    <row r="26" spans="1:9" x14ac:dyDescent="0.3">
      <c r="A26" s="1">
        <v>45086</v>
      </c>
      <c r="B26" t="s">
        <v>23</v>
      </c>
      <c r="C26" t="s">
        <v>30</v>
      </c>
      <c r="D26" s="2">
        <v>0</v>
      </c>
      <c r="E26" s="2">
        <v>20000</v>
      </c>
      <c r="F26" s="2">
        <v>54829.11</v>
      </c>
      <c r="G26">
        <v>115</v>
      </c>
      <c r="I26" s="3">
        <f t="shared" si="0"/>
        <v>0</v>
      </c>
    </row>
    <row r="27" spans="1:9" x14ac:dyDescent="0.3">
      <c r="A27" s="1">
        <v>45091</v>
      </c>
      <c r="B27" t="s">
        <v>23</v>
      </c>
      <c r="C27" t="s">
        <v>31</v>
      </c>
      <c r="D27" s="2">
        <v>6434</v>
      </c>
      <c r="E27" s="2">
        <v>0</v>
      </c>
      <c r="F27" s="2">
        <v>48395.11</v>
      </c>
      <c r="G27">
        <v>2656</v>
      </c>
      <c r="I27" s="3">
        <f t="shared" si="0"/>
        <v>0</v>
      </c>
    </row>
    <row r="28" spans="1:9" x14ac:dyDescent="0.3">
      <c r="A28" s="1">
        <v>45108</v>
      </c>
      <c r="B28" t="s">
        <v>23</v>
      </c>
      <c r="C28" t="s">
        <v>32</v>
      </c>
      <c r="D28" s="2">
        <v>0</v>
      </c>
      <c r="E28" s="2">
        <v>504</v>
      </c>
      <c r="F28" s="2">
        <v>48899.11</v>
      </c>
      <c r="G28">
        <v>2656</v>
      </c>
      <c r="I28" s="3">
        <f t="shared" si="0"/>
        <v>0</v>
      </c>
    </row>
    <row r="29" spans="1:9" x14ac:dyDescent="0.3">
      <c r="A29" s="1">
        <v>45130</v>
      </c>
      <c r="B29" t="s">
        <v>23</v>
      </c>
      <c r="C29" t="s">
        <v>33</v>
      </c>
      <c r="D29" s="2">
        <v>0.54</v>
      </c>
      <c r="E29" s="2">
        <v>0</v>
      </c>
      <c r="F29" s="2">
        <v>48898.57</v>
      </c>
      <c r="G29">
        <v>2656</v>
      </c>
      <c r="I29" s="3">
        <f t="shared" si="0"/>
        <v>0</v>
      </c>
    </row>
    <row r="30" spans="1:9" x14ac:dyDescent="0.3">
      <c r="A30" s="1">
        <v>45130</v>
      </c>
      <c r="B30" t="s">
        <v>23</v>
      </c>
      <c r="C30" t="s">
        <v>34</v>
      </c>
      <c r="D30" s="2">
        <v>3</v>
      </c>
      <c r="E30" s="2">
        <v>0</v>
      </c>
      <c r="F30" s="2">
        <v>48895.57</v>
      </c>
      <c r="G30">
        <v>2656</v>
      </c>
      <c r="I30" s="3">
        <f t="shared" si="0"/>
        <v>0</v>
      </c>
    </row>
    <row r="31" spans="1:9" x14ac:dyDescent="0.3">
      <c r="A31" s="1">
        <v>45144</v>
      </c>
      <c r="B31" t="s">
        <v>23</v>
      </c>
      <c r="C31" t="s">
        <v>35</v>
      </c>
      <c r="D31" s="2">
        <v>136</v>
      </c>
      <c r="E31" s="2">
        <v>0</v>
      </c>
      <c r="F31" s="2">
        <v>48759.57</v>
      </c>
      <c r="G31">
        <v>2656</v>
      </c>
      <c r="I31" s="3">
        <f t="shared" si="0"/>
        <v>0</v>
      </c>
    </row>
    <row r="32" spans="1:9" x14ac:dyDescent="0.3">
      <c r="A32" s="1">
        <v>45144</v>
      </c>
      <c r="B32" t="s">
        <v>23</v>
      </c>
      <c r="C32" t="s">
        <v>36</v>
      </c>
      <c r="D32" s="2">
        <v>2285</v>
      </c>
      <c r="E32" s="2">
        <v>0</v>
      </c>
      <c r="F32" s="2">
        <v>46474.57</v>
      </c>
      <c r="G32">
        <v>2656</v>
      </c>
      <c r="I32" s="3">
        <f t="shared" si="0"/>
        <v>0</v>
      </c>
    </row>
    <row r="33" spans="1:9" x14ac:dyDescent="0.3">
      <c r="A33" s="1">
        <v>45144</v>
      </c>
      <c r="B33" t="s">
        <v>23</v>
      </c>
      <c r="C33" t="s">
        <v>37</v>
      </c>
      <c r="D33" s="2">
        <v>16</v>
      </c>
      <c r="E33" s="2">
        <v>0</v>
      </c>
      <c r="F33" s="2">
        <v>46458.57</v>
      </c>
      <c r="G33">
        <v>2656</v>
      </c>
      <c r="I33" s="3">
        <f t="shared" si="0"/>
        <v>0</v>
      </c>
    </row>
    <row r="34" spans="1:9" x14ac:dyDescent="0.3">
      <c r="A34" s="1">
        <v>45144</v>
      </c>
      <c r="B34" t="s">
        <v>23</v>
      </c>
      <c r="C34" t="s">
        <v>38</v>
      </c>
      <c r="D34" s="2">
        <v>142</v>
      </c>
      <c r="E34" s="2">
        <v>0</v>
      </c>
      <c r="F34" s="2">
        <v>46316.57</v>
      </c>
      <c r="G34">
        <v>2656</v>
      </c>
      <c r="I34" s="3">
        <f t="shared" si="0"/>
        <v>0</v>
      </c>
    </row>
    <row r="35" spans="1:9" x14ac:dyDescent="0.3">
      <c r="A35" s="1">
        <v>45144</v>
      </c>
      <c r="B35" t="s">
        <v>23</v>
      </c>
      <c r="C35" t="s">
        <v>39</v>
      </c>
      <c r="D35" s="2">
        <v>130</v>
      </c>
      <c r="E35" s="2">
        <v>0</v>
      </c>
      <c r="F35" s="2">
        <v>46186.57</v>
      </c>
      <c r="G35">
        <v>2656</v>
      </c>
      <c r="I35" s="3">
        <f t="shared" si="0"/>
        <v>0</v>
      </c>
    </row>
    <row r="36" spans="1:9" x14ac:dyDescent="0.3">
      <c r="A36" s="1">
        <v>45145</v>
      </c>
      <c r="B36" t="s">
        <v>23</v>
      </c>
      <c r="C36" t="s">
        <v>40</v>
      </c>
      <c r="D36" s="2">
        <v>0</v>
      </c>
      <c r="E36" s="2">
        <v>130</v>
      </c>
      <c r="F36" s="2">
        <v>46316.57</v>
      </c>
      <c r="G36">
        <v>2656</v>
      </c>
      <c r="I36" s="3">
        <f t="shared" si="0"/>
        <v>0</v>
      </c>
    </row>
    <row r="37" spans="1:9" x14ac:dyDescent="0.3">
      <c r="A37" s="1">
        <v>45147</v>
      </c>
      <c r="B37" t="s">
        <v>23</v>
      </c>
      <c r="C37" t="s">
        <v>41</v>
      </c>
      <c r="D37" s="2">
        <v>50</v>
      </c>
      <c r="E37" s="2">
        <v>0</v>
      </c>
      <c r="F37" s="2">
        <v>46266.57</v>
      </c>
      <c r="G37">
        <v>2656</v>
      </c>
      <c r="I37" s="3">
        <f t="shared" si="0"/>
        <v>0</v>
      </c>
    </row>
    <row r="38" spans="1:9" x14ac:dyDescent="0.3">
      <c r="A38" s="1">
        <v>45151</v>
      </c>
      <c r="B38" t="s">
        <v>23</v>
      </c>
      <c r="C38" t="s">
        <v>42</v>
      </c>
      <c r="D38" s="2">
        <v>110</v>
      </c>
      <c r="E38" s="2">
        <v>0</v>
      </c>
      <c r="F38" s="2">
        <v>46156.57</v>
      </c>
      <c r="G38">
        <v>2656</v>
      </c>
      <c r="I38" s="3">
        <f t="shared" si="0"/>
        <v>0</v>
      </c>
    </row>
    <row r="39" spans="1:9" x14ac:dyDescent="0.3">
      <c r="A39" s="1">
        <v>45200</v>
      </c>
      <c r="B39" t="s">
        <v>23</v>
      </c>
      <c r="C39" t="s">
        <v>43</v>
      </c>
      <c r="D39" s="2">
        <v>0</v>
      </c>
      <c r="E39" s="2">
        <v>357</v>
      </c>
      <c r="F39" s="2">
        <v>46513.57</v>
      </c>
      <c r="G39">
        <v>2656</v>
      </c>
      <c r="I39" s="3">
        <f t="shared" si="0"/>
        <v>0</v>
      </c>
    </row>
    <row r="40" spans="1:9" x14ac:dyDescent="0.3">
      <c r="A40" s="1">
        <v>45221</v>
      </c>
      <c r="B40" t="s">
        <v>23</v>
      </c>
      <c r="C40" t="s">
        <v>44</v>
      </c>
      <c r="D40" s="2">
        <v>1.18</v>
      </c>
      <c r="E40" s="2">
        <v>0</v>
      </c>
      <c r="F40" s="2">
        <v>46512.39</v>
      </c>
      <c r="G40">
        <v>2656</v>
      </c>
      <c r="I40" s="3">
        <f t="shared" si="0"/>
        <v>0</v>
      </c>
    </row>
    <row r="41" spans="1:9" x14ac:dyDescent="0.3">
      <c r="A41" s="1">
        <v>45235</v>
      </c>
      <c r="B41" t="s">
        <v>23</v>
      </c>
      <c r="C41" t="s">
        <v>45</v>
      </c>
      <c r="D41" s="2">
        <v>30000</v>
      </c>
      <c r="E41" s="2">
        <v>0</v>
      </c>
      <c r="F41" s="2">
        <v>16512.39</v>
      </c>
      <c r="G41">
        <v>2656</v>
      </c>
      <c r="I41" s="3">
        <f t="shared" si="0"/>
        <v>0</v>
      </c>
    </row>
    <row r="42" spans="1:9" x14ac:dyDescent="0.3">
      <c r="A42" s="1">
        <v>45292</v>
      </c>
      <c r="B42" t="s">
        <v>23</v>
      </c>
      <c r="C42" t="s">
        <v>46</v>
      </c>
      <c r="D42" s="2">
        <v>0</v>
      </c>
      <c r="E42" s="2">
        <v>211</v>
      </c>
      <c r="F42" s="2">
        <v>16723.39</v>
      </c>
      <c r="G42">
        <v>2656</v>
      </c>
      <c r="I42" s="3">
        <f t="shared" si="0"/>
        <v>0</v>
      </c>
    </row>
    <row r="43" spans="1:9" x14ac:dyDescent="0.3">
      <c r="A43" s="1">
        <v>45312</v>
      </c>
      <c r="B43" t="s">
        <v>23</v>
      </c>
      <c r="C43" t="s">
        <v>44</v>
      </c>
      <c r="D43" s="2">
        <v>1.18</v>
      </c>
      <c r="E43" s="2">
        <v>0</v>
      </c>
      <c r="F43" s="2">
        <v>16722.21</v>
      </c>
      <c r="G43">
        <v>2656</v>
      </c>
      <c r="I43" s="3">
        <f t="shared" si="0"/>
        <v>0</v>
      </c>
    </row>
    <row r="44" spans="1:9" x14ac:dyDescent="0.3">
      <c r="A44" s="1">
        <v>45382</v>
      </c>
      <c r="B44" t="s">
        <v>23</v>
      </c>
      <c r="C44" t="s">
        <v>47</v>
      </c>
      <c r="D44" s="2">
        <v>0</v>
      </c>
      <c r="E44" s="2">
        <v>125</v>
      </c>
      <c r="F44" s="2">
        <v>16847.21</v>
      </c>
      <c r="G44">
        <v>2656</v>
      </c>
      <c r="I44" s="3">
        <f t="shared" si="0"/>
        <v>0</v>
      </c>
    </row>
    <row r="46" spans="1:9" x14ac:dyDescent="0.3">
      <c r="A46" t="s">
        <v>48</v>
      </c>
    </row>
    <row r="48" spans="1:9" x14ac:dyDescent="0.3">
      <c r="A48" t="s">
        <v>49</v>
      </c>
      <c r="B48" t="s">
        <v>50</v>
      </c>
      <c r="C48" t="s">
        <v>51</v>
      </c>
      <c r="D48" t="s">
        <v>52</v>
      </c>
      <c r="E48" t="s">
        <v>53</v>
      </c>
    </row>
    <row r="49" spans="1:5" x14ac:dyDescent="0.3">
      <c r="A49" s="4">
        <v>45078</v>
      </c>
      <c r="B49" s="1">
        <v>45130</v>
      </c>
      <c r="C49" t="s">
        <v>54</v>
      </c>
      <c r="D49">
        <v>3</v>
      </c>
      <c r="E49">
        <v>3</v>
      </c>
    </row>
    <row r="50" spans="1:5" x14ac:dyDescent="0.3">
      <c r="A50" s="4">
        <v>45170</v>
      </c>
      <c r="B50" s="1">
        <v>45221</v>
      </c>
      <c r="C50" t="s">
        <v>54</v>
      </c>
      <c r="D50">
        <v>1</v>
      </c>
      <c r="E50">
        <v>1</v>
      </c>
    </row>
    <row r="51" spans="1:5" x14ac:dyDescent="0.3">
      <c r="A51" s="4">
        <v>45261</v>
      </c>
      <c r="B51" s="1">
        <v>45312</v>
      </c>
      <c r="C51" t="s">
        <v>54</v>
      </c>
      <c r="D51">
        <v>1</v>
      </c>
      <c r="E51">
        <v>1</v>
      </c>
    </row>
    <row r="53" spans="1:5" x14ac:dyDescent="0.3">
      <c r="A53" t="s">
        <v>55</v>
      </c>
    </row>
    <row r="54" spans="1:5" x14ac:dyDescent="0.3">
      <c r="A54" t="s">
        <v>56</v>
      </c>
    </row>
    <row r="56" spans="1:5" x14ac:dyDescent="0.3">
      <c r="A56" t="s">
        <v>57</v>
      </c>
    </row>
    <row r="58" spans="1:5" x14ac:dyDescent="0.3">
      <c r="A58" t="s">
        <v>58</v>
      </c>
    </row>
    <row r="59" spans="1:5" x14ac:dyDescent="0.3">
      <c r="A59" t="s">
        <v>59</v>
      </c>
    </row>
    <row r="61" spans="1:5" x14ac:dyDescent="0.3">
      <c r="A61" t="s">
        <v>60</v>
      </c>
    </row>
    <row r="62" spans="1:5" x14ac:dyDescent="0.3">
      <c r="A62" t="s">
        <v>61</v>
      </c>
    </row>
    <row r="64" spans="1:5" x14ac:dyDescent="0.3">
      <c r="A64" t="s">
        <v>62</v>
      </c>
    </row>
    <row r="66" spans="1:2" x14ac:dyDescent="0.3">
      <c r="A66" t="s">
        <v>63</v>
      </c>
    </row>
    <row r="68" spans="1:2" x14ac:dyDescent="0.3">
      <c r="A68" t="s">
        <v>64</v>
      </c>
    </row>
    <row r="70" spans="1:2" x14ac:dyDescent="0.3">
      <c r="A70" t="s">
        <v>65</v>
      </c>
    </row>
    <row r="72" spans="1:2" ht="409.6" x14ac:dyDescent="0.3">
      <c r="A72" s="5" t="s">
        <v>66</v>
      </c>
    </row>
    <row r="74" spans="1:2" x14ac:dyDescent="0.3">
      <c r="A74" t="s">
        <v>67</v>
      </c>
    </row>
    <row r="75" spans="1:2" x14ac:dyDescent="0.3">
      <c r="A75" t="s">
        <v>68</v>
      </c>
      <c r="B75" t="s">
        <v>69</v>
      </c>
    </row>
    <row r="76" spans="1:2" x14ac:dyDescent="0.3">
      <c r="A76" t="s">
        <v>70</v>
      </c>
      <c r="B76" t="s">
        <v>71</v>
      </c>
    </row>
    <row r="77" spans="1:2" x14ac:dyDescent="0.3">
      <c r="A77" t="s">
        <v>72</v>
      </c>
      <c r="B77" t="s">
        <v>73</v>
      </c>
    </row>
    <row r="78" spans="1:2" x14ac:dyDescent="0.3">
      <c r="A78" t="s">
        <v>74</v>
      </c>
      <c r="B78" t="s">
        <v>75</v>
      </c>
    </row>
    <row r="79" spans="1:2" x14ac:dyDescent="0.3">
      <c r="A79" t="s">
        <v>76</v>
      </c>
      <c r="B79" t="s">
        <v>77</v>
      </c>
    </row>
    <row r="80" spans="1:2" x14ac:dyDescent="0.3">
      <c r="A80" t="s">
        <v>78</v>
      </c>
      <c r="B80" t="s">
        <v>79</v>
      </c>
    </row>
    <row r="81" spans="1:2" x14ac:dyDescent="0.3">
      <c r="A81" t="s">
        <v>80</v>
      </c>
      <c r="B81" t="s">
        <v>81</v>
      </c>
    </row>
    <row r="82" spans="1:2" x14ac:dyDescent="0.3">
      <c r="A82" t="s">
        <v>82</v>
      </c>
      <c r="B82" t="s">
        <v>83</v>
      </c>
    </row>
    <row r="83" spans="1:2" x14ac:dyDescent="0.3">
      <c r="A83" t="s">
        <v>84</v>
      </c>
      <c r="B83" t="s">
        <v>85</v>
      </c>
    </row>
    <row r="84" spans="1:2" x14ac:dyDescent="0.3">
      <c r="A84" t="s">
        <v>86</v>
      </c>
      <c r="B84" t="s">
        <v>87</v>
      </c>
    </row>
    <row r="85" spans="1:2" x14ac:dyDescent="0.3">
      <c r="A85" t="s">
        <v>88</v>
      </c>
      <c r="B85" t="s">
        <v>89</v>
      </c>
    </row>
    <row r="86" spans="1:2" x14ac:dyDescent="0.3">
      <c r="A86" t="s">
        <v>90</v>
      </c>
      <c r="B86" t="s">
        <v>91</v>
      </c>
    </row>
    <row r="87" spans="1:2" x14ac:dyDescent="0.3">
      <c r="A87" t="s">
        <v>92</v>
      </c>
      <c r="B87" t="s">
        <v>93</v>
      </c>
    </row>
    <row r="88" spans="1:2" x14ac:dyDescent="0.3">
      <c r="A88" t="s">
        <v>94</v>
      </c>
      <c r="B88" t="s">
        <v>95</v>
      </c>
    </row>
    <row r="89" spans="1:2" x14ac:dyDescent="0.3">
      <c r="A89" t="s">
        <v>96</v>
      </c>
      <c r="B89" t="s">
        <v>97</v>
      </c>
    </row>
  </sheetData>
  <autoFilter ref="A19:G44" xr:uid="{C504BF53-CBDC-47CE-8AA3-AA107DEF792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0D66E-694A-460F-B756-482133A90FC7}">
  <dimension ref="A1:I815"/>
  <sheetViews>
    <sheetView topLeftCell="A782" workbookViewId="0">
      <selection activeCell="G812" sqref="G812"/>
    </sheetView>
  </sheetViews>
  <sheetFormatPr defaultColWidth="11.5546875" defaultRowHeight="13.2" x14ac:dyDescent="0.25"/>
  <cols>
    <col min="1" max="1" width="10.33203125" style="6" bestFit="1" customWidth="1"/>
    <col min="2" max="2" width="45" style="6" customWidth="1"/>
    <col min="3" max="3" width="18.77734375" style="6" customWidth="1"/>
    <col min="4" max="4" width="10.33203125" style="6" bestFit="1" customWidth="1"/>
    <col min="5" max="7" width="18.77734375" style="6" customWidth="1"/>
    <col min="8" max="16384" width="11.5546875" style="6"/>
  </cols>
  <sheetData>
    <row r="1" spans="1:5" x14ac:dyDescent="0.25">
      <c r="A1" s="6" t="s">
        <v>98</v>
      </c>
    </row>
    <row r="5" spans="1:5" x14ac:dyDescent="0.25">
      <c r="E5" s="6" t="s">
        <v>99</v>
      </c>
    </row>
    <row r="6" spans="1:5" x14ac:dyDescent="0.25">
      <c r="A6" s="6" t="s">
        <v>100</v>
      </c>
      <c r="E6" s="6" t="s">
        <v>101</v>
      </c>
    </row>
    <row r="7" spans="1:5" x14ac:dyDescent="0.25">
      <c r="A7" s="6" t="s">
        <v>102</v>
      </c>
      <c r="E7" s="6" t="s">
        <v>103</v>
      </c>
    </row>
    <row r="8" spans="1:5" x14ac:dyDescent="0.25">
      <c r="A8" s="6" t="s">
        <v>104</v>
      </c>
      <c r="E8" s="6" t="s">
        <v>105</v>
      </c>
    </row>
    <row r="9" spans="1:5" x14ac:dyDescent="0.25">
      <c r="A9" s="6" t="s">
        <v>106</v>
      </c>
      <c r="E9" s="6" t="s">
        <v>107</v>
      </c>
    </row>
    <row r="10" spans="1:5" x14ac:dyDescent="0.25">
      <c r="A10" s="6" t="s">
        <v>108</v>
      </c>
      <c r="E10" s="6" t="s">
        <v>109</v>
      </c>
    </row>
    <row r="11" spans="1:5" x14ac:dyDescent="0.25">
      <c r="E11" s="6" t="s">
        <v>110</v>
      </c>
    </row>
    <row r="12" spans="1:5" x14ac:dyDescent="0.25">
      <c r="E12" s="6" t="s">
        <v>111</v>
      </c>
    </row>
    <row r="13" spans="1:5" x14ac:dyDescent="0.25">
      <c r="A13" s="6" t="s">
        <v>112</v>
      </c>
      <c r="E13" s="6" t="s">
        <v>113</v>
      </c>
    </row>
    <row r="14" spans="1:5" x14ac:dyDescent="0.25">
      <c r="E14" s="6" t="s">
        <v>114</v>
      </c>
    </row>
    <row r="15" spans="1:5" x14ac:dyDescent="0.25">
      <c r="A15" s="6" t="s">
        <v>115</v>
      </c>
      <c r="E15" s="6" t="s">
        <v>116</v>
      </c>
    </row>
    <row r="16" spans="1:5" x14ac:dyDescent="0.25">
      <c r="A16" s="6" t="s">
        <v>117</v>
      </c>
      <c r="E16" s="6" t="s">
        <v>118</v>
      </c>
    </row>
    <row r="17" spans="1:9" x14ac:dyDescent="0.25">
      <c r="E17" s="6" t="s">
        <v>119</v>
      </c>
    </row>
    <row r="18" spans="1:9" x14ac:dyDescent="0.25">
      <c r="E18" s="6" t="s">
        <v>120</v>
      </c>
    </row>
    <row r="20" spans="1:9" x14ac:dyDescent="0.25">
      <c r="A20" s="6" t="s">
        <v>121</v>
      </c>
    </row>
    <row r="21" spans="1:9" x14ac:dyDescent="0.25">
      <c r="A21" s="6" t="s">
        <v>122</v>
      </c>
      <c r="B21" s="6" t="s">
        <v>123</v>
      </c>
      <c r="C21" s="6" t="s">
        <v>124</v>
      </c>
      <c r="D21" s="6" t="s">
        <v>125</v>
      </c>
      <c r="E21" s="6" t="s">
        <v>126</v>
      </c>
      <c r="F21" s="6" t="s">
        <v>127</v>
      </c>
      <c r="G21" s="6" t="s">
        <v>128</v>
      </c>
    </row>
    <row r="22" spans="1:9" ht="14.4" x14ac:dyDescent="0.3">
      <c r="A22" s="25">
        <v>45017</v>
      </c>
      <c r="B22" s="6" t="s">
        <v>129</v>
      </c>
      <c r="C22" s="6" t="s">
        <v>130</v>
      </c>
      <c r="D22" s="25">
        <v>45017</v>
      </c>
      <c r="E22" s="7">
        <v>50000</v>
      </c>
      <c r="F22" s="7">
        <v>0</v>
      </c>
      <c r="G22" s="7">
        <v>33618.17</v>
      </c>
    </row>
    <row r="23" spans="1:9" ht="14.4" x14ac:dyDescent="0.3">
      <c r="A23" s="25">
        <v>45019</v>
      </c>
      <c r="B23" s="6" t="s">
        <v>131</v>
      </c>
      <c r="C23" s="6" t="s">
        <v>132</v>
      </c>
      <c r="D23" s="25">
        <v>45019</v>
      </c>
      <c r="E23" s="7">
        <v>0</v>
      </c>
      <c r="F23" s="7">
        <v>57999</v>
      </c>
      <c r="G23" s="7">
        <v>91617.17</v>
      </c>
      <c r="I23" s="8">
        <f>G22-E23+F23-G23</f>
        <v>0</v>
      </c>
    </row>
    <row r="24" spans="1:9" ht="14.4" x14ac:dyDescent="0.3">
      <c r="A24" s="25">
        <v>45019</v>
      </c>
      <c r="B24" s="6" t="s">
        <v>133</v>
      </c>
      <c r="C24" s="6" t="s">
        <v>134</v>
      </c>
      <c r="D24" s="25">
        <v>45019</v>
      </c>
      <c r="E24" s="7">
        <v>387.51</v>
      </c>
      <c r="F24" s="7">
        <v>0</v>
      </c>
      <c r="G24" s="7">
        <v>91229.66</v>
      </c>
      <c r="I24" s="8">
        <f t="shared" ref="I24:I87" si="0">G23-E24+F24-G24</f>
        <v>0</v>
      </c>
    </row>
    <row r="25" spans="1:9" ht="14.4" x14ac:dyDescent="0.3">
      <c r="A25" s="25">
        <v>45019</v>
      </c>
      <c r="B25" s="6" t="s">
        <v>135</v>
      </c>
      <c r="C25" s="6" t="s">
        <v>136</v>
      </c>
      <c r="D25" s="25">
        <v>45019</v>
      </c>
      <c r="E25" s="7">
        <v>0</v>
      </c>
      <c r="F25" s="7">
        <v>4287.59</v>
      </c>
      <c r="G25" s="7">
        <v>95517.25</v>
      </c>
      <c r="I25" s="8">
        <f t="shared" si="0"/>
        <v>0</v>
      </c>
    </row>
    <row r="26" spans="1:9" ht="14.4" x14ac:dyDescent="0.3">
      <c r="A26" s="25">
        <v>45021</v>
      </c>
      <c r="B26" s="6" t="s">
        <v>133</v>
      </c>
      <c r="C26" s="6" t="s">
        <v>137</v>
      </c>
      <c r="D26" s="25">
        <v>45021</v>
      </c>
      <c r="E26" s="7">
        <v>21810.69</v>
      </c>
      <c r="F26" s="7">
        <v>0</v>
      </c>
      <c r="G26" s="7">
        <v>73706.559999999998</v>
      </c>
      <c r="I26" s="8">
        <f t="shared" si="0"/>
        <v>0</v>
      </c>
    </row>
    <row r="27" spans="1:9" ht="14.4" x14ac:dyDescent="0.3">
      <c r="A27" s="25">
        <v>45022</v>
      </c>
      <c r="B27" s="6" t="s">
        <v>133</v>
      </c>
      <c r="C27" s="6" t="s">
        <v>138</v>
      </c>
      <c r="D27" s="25">
        <v>45022</v>
      </c>
      <c r="E27" s="7">
        <v>115.7</v>
      </c>
      <c r="F27" s="7">
        <v>0</v>
      </c>
      <c r="G27" s="7">
        <v>73590.86</v>
      </c>
      <c r="I27" s="8">
        <f t="shared" si="0"/>
        <v>0</v>
      </c>
    </row>
    <row r="28" spans="1:9" ht="14.4" x14ac:dyDescent="0.3">
      <c r="A28" s="25">
        <v>45022</v>
      </c>
      <c r="B28" s="6" t="s">
        <v>135</v>
      </c>
      <c r="C28" s="6" t="s">
        <v>139</v>
      </c>
      <c r="D28" s="25">
        <v>45022</v>
      </c>
      <c r="E28" s="7">
        <v>0</v>
      </c>
      <c r="F28" s="7">
        <v>1699.23</v>
      </c>
      <c r="G28" s="7">
        <v>75290.09</v>
      </c>
      <c r="I28" s="8">
        <f t="shared" si="0"/>
        <v>0</v>
      </c>
    </row>
    <row r="29" spans="1:9" ht="14.4" x14ac:dyDescent="0.3">
      <c r="A29" s="25">
        <v>45023</v>
      </c>
      <c r="B29" s="6" t="s">
        <v>140</v>
      </c>
      <c r="C29" s="6" t="s">
        <v>141</v>
      </c>
      <c r="D29" s="25">
        <v>45023</v>
      </c>
      <c r="E29" s="7">
        <v>0</v>
      </c>
      <c r="F29" s="7">
        <v>1880</v>
      </c>
      <c r="G29" s="7">
        <v>77170.09</v>
      </c>
      <c r="I29" s="8">
        <f t="shared" si="0"/>
        <v>0</v>
      </c>
    </row>
    <row r="30" spans="1:9" ht="14.4" x14ac:dyDescent="0.3">
      <c r="A30" s="25">
        <v>45026</v>
      </c>
      <c r="B30" s="6" t="s">
        <v>133</v>
      </c>
      <c r="C30" s="6" t="s">
        <v>142</v>
      </c>
      <c r="D30" s="25">
        <v>45026</v>
      </c>
      <c r="E30" s="7">
        <v>466.16</v>
      </c>
      <c r="F30" s="7">
        <v>0</v>
      </c>
      <c r="G30" s="7">
        <v>76703.929999999993</v>
      </c>
      <c r="I30" s="8">
        <f t="shared" si="0"/>
        <v>0</v>
      </c>
    </row>
    <row r="31" spans="1:9" ht="14.4" x14ac:dyDescent="0.3">
      <c r="A31" s="25">
        <v>45026</v>
      </c>
      <c r="B31" s="6" t="s">
        <v>135</v>
      </c>
      <c r="C31" s="6" t="s">
        <v>143</v>
      </c>
      <c r="D31" s="25">
        <v>45026</v>
      </c>
      <c r="E31" s="7">
        <v>0</v>
      </c>
      <c r="F31" s="7">
        <v>662.12</v>
      </c>
      <c r="G31" s="7">
        <v>77366.05</v>
      </c>
      <c r="I31" s="8">
        <f t="shared" si="0"/>
        <v>0</v>
      </c>
    </row>
    <row r="32" spans="1:9" ht="14.4" x14ac:dyDescent="0.3">
      <c r="A32" s="25">
        <v>45027</v>
      </c>
      <c r="B32" s="6" t="s">
        <v>133</v>
      </c>
      <c r="C32" s="6" t="s">
        <v>144</v>
      </c>
      <c r="D32" s="25">
        <v>45027</v>
      </c>
      <c r="E32" s="7">
        <v>116.86</v>
      </c>
      <c r="F32" s="7">
        <v>0</v>
      </c>
      <c r="G32" s="7">
        <v>77249.19</v>
      </c>
      <c r="I32" s="8">
        <f t="shared" si="0"/>
        <v>0</v>
      </c>
    </row>
    <row r="33" spans="1:9" ht="14.4" x14ac:dyDescent="0.3">
      <c r="A33" s="25">
        <v>45027</v>
      </c>
      <c r="B33" s="6" t="s">
        <v>135</v>
      </c>
      <c r="C33" s="6" t="s">
        <v>145</v>
      </c>
      <c r="D33" s="25">
        <v>45027</v>
      </c>
      <c r="E33" s="7">
        <v>0</v>
      </c>
      <c r="F33" s="7">
        <v>334.27</v>
      </c>
      <c r="G33" s="7">
        <v>77583.460000000006</v>
      </c>
      <c r="I33" s="8">
        <f t="shared" si="0"/>
        <v>0</v>
      </c>
    </row>
    <row r="34" spans="1:9" ht="14.4" x14ac:dyDescent="0.3">
      <c r="A34" s="25">
        <v>45028</v>
      </c>
      <c r="B34" s="6" t="s">
        <v>133</v>
      </c>
      <c r="C34" s="6" t="s">
        <v>146</v>
      </c>
      <c r="D34" s="25">
        <v>45028</v>
      </c>
      <c r="E34" s="7">
        <v>117.03</v>
      </c>
      <c r="F34" s="7">
        <v>0</v>
      </c>
      <c r="G34" s="7">
        <v>77466.429999999993</v>
      </c>
      <c r="I34" s="8">
        <f t="shared" si="0"/>
        <v>0</v>
      </c>
    </row>
    <row r="35" spans="1:9" ht="14.4" x14ac:dyDescent="0.3">
      <c r="A35" s="25">
        <v>45028</v>
      </c>
      <c r="B35" s="6" t="s">
        <v>135</v>
      </c>
      <c r="C35" s="6" t="s">
        <v>147</v>
      </c>
      <c r="D35" s="25">
        <v>45028</v>
      </c>
      <c r="E35" s="7">
        <v>0</v>
      </c>
      <c r="F35" s="7">
        <v>1340.99</v>
      </c>
      <c r="G35" s="7">
        <v>78807.42</v>
      </c>
      <c r="I35" s="8">
        <f t="shared" si="0"/>
        <v>0</v>
      </c>
    </row>
    <row r="36" spans="1:9" ht="14.4" x14ac:dyDescent="0.3">
      <c r="A36" s="25">
        <v>45029</v>
      </c>
      <c r="B36" s="6" t="s">
        <v>148</v>
      </c>
      <c r="C36" s="6" t="s">
        <v>149</v>
      </c>
      <c r="D36" s="25">
        <v>45029</v>
      </c>
      <c r="E36" s="7">
        <v>590</v>
      </c>
      <c r="F36" s="7">
        <v>0</v>
      </c>
      <c r="G36" s="7">
        <v>78217.42</v>
      </c>
      <c r="I36" s="8">
        <f t="shared" si="0"/>
        <v>0</v>
      </c>
    </row>
    <row r="37" spans="1:9" ht="14.4" x14ac:dyDescent="0.3">
      <c r="A37" s="25">
        <v>45029</v>
      </c>
      <c r="B37" s="6" t="s">
        <v>133</v>
      </c>
      <c r="C37" s="6" t="s">
        <v>150</v>
      </c>
      <c r="D37" s="25">
        <v>45029</v>
      </c>
      <c r="E37" s="7">
        <v>117.69</v>
      </c>
      <c r="F37" s="7">
        <v>0</v>
      </c>
      <c r="G37" s="7">
        <v>78099.73</v>
      </c>
      <c r="I37" s="8">
        <f t="shared" si="0"/>
        <v>0</v>
      </c>
    </row>
    <row r="38" spans="1:9" ht="14.4" x14ac:dyDescent="0.3">
      <c r="A38" s="25">
        <v>45030</v>
      </c>
      <c r="B38" s="6" t="s">
        <v>135</v>
      </c>
      <c r="C38" s="6" t="s">
        <v>151</v>
      </c>
      <c r="D38" s="25">
        <v>45029</v>
      </c>
      <c r="E38" s="7">
        <v>0</v>
      </c>
      <c r="F38" s="7">
        <v>134.43</v>
      </c>
      <c r="G38" s="7">
        <v>78234.16</v>
      </c>
      <c r="I38" s="8">
        <f t="shared" si="0"/>
        <v>0</v>
      </c>
    </row>
    <row r="39" spans="1:9" ht="14.4" x14ac:dyDescent="0.3">
      <c r="A39" s="25">
        <v>45031</v>
      </c>
      <c r="B39" s="6" t="s">
        <v>152</v>
      </c>
      <c r="C39" s="6" t="s">
        <v>153</v>
      </c>
      <c r="D39" s="25">
        <v>45031</v>
      </c>
      <c r="E39" s="7">
        <v>25000</v>
      </c>
      <c r="F39" s="7">
        <v>0</v>
      </c>
      <c r="G39" s="7">
        <v>53234.16</v>
      </c>
      <c r="I39" s="8">
        <f t="shared" si="0"/>
        <v>0</v>
      </c>
    </row>
    <row r="40" spans="1:9" ht="14.4" x14ac:dyDescent="0.3">
      <c r="A40" s="25">
        <v>45033</v>
      </c>
      <c r="B40" s="6" t="s">
        <v>154</v>
      </c>
      <c r="C40" s="6" t="s">
        <v>155</v>
      </c>
      <c r="D40" s="25">
        <v>45033</v>
      </c>
      <c r="E40" s="7">
        <v>2500</v>
      </c>
      <c r="F40" s="7">
        <v>0</v>
      </c>
      <c r="G40" s="7">
        <v>50734.16</v>
      </c>
      <c r="I40" s="8">
        <f t="shared" si="0"/>
        <v>0</v>
      </c>
    </row>
    <row r="41" spans="1:9" ht="14.4" x14ac:dyDescent="0.3">
      <c r="A41" s="25">
        <v>45033</v>
      </c>
      <c r="B41" s="6" t="s">
        <v>133</v>
      </c>
      <c r="C41" s="6" t="s">
        <v>156</v>
      </c>
      <c r="D41" s="25">
        <v>45033</v>
      </c>
      <c r="E41" s="7">
        <v>471.04</v>
      </c>
      <c r="F41" s="7">
        <v>0</v>
      </c>
      <c r="G41" s="7">
        <v>50263.12</v>
      </c>
      <c r="I41" s="8">
        <f t="shared" si="0"/>
        <v>0</v>
      </c>
    </row>
    <row r="42" spans="1:9" ht="14.4" x14ac:dyDescent="0.3">
      <c r="A42" s="25">
        <v>45034</v>
      </c>
      <c r="B42" s="6" t="s">
        <v>135</v>
      </c>
      <c r="C42" s="6" t="s">
        <v>157</v>
      </c>
      <c r="D42" s="25">
        <v>45033</v>
      </c>
      <c r="E42" s="7">
        <v>0</v>
      </c>
      <c r="F42" s="7">
        <v>2222.79</v>
      </c>
      <c r="G42" s="7">
        <v>52485.91</v>
      </c>
      <c r="I42" s="8">
        <f t="shared" si="0"/>
        <v>0</v>
      </c>
    </row>
    <row r="43" spans="1:9" ht="14.4" x14ac:dyDescent="0.3">
      <c r="A43" s="25">
        <v>45034</v>
      </c>
      <c r="B43" s="6" t="s">
        <v>158</v>
      </c>
      <c r="C43" s="6" t="s">
        <v>159</v>
      </c>
      <c r="D43" s="25">
        <v>45034</v>
      </c>
      <c r="E43" s="7">
        <v>25000</v>
      </c>
      <c r="F43" s="7">
        <v>0</v>
      </c>
      <c r="G43" s="7">
        <v>27485.91</v>
      </c>
      <c r="I43" s="8">
        <f t="shared" si="0"/>
        <v>0</v>
      </c>
    </row>
    <row r="44" spans="1:9" ht="14.4" x14ac:dyDescent="0.3">
      <c r="A44" s="25">
        <v>45034</v>
      </c>
      <c r="B44" s="6" t="s">
        <v>133</v>
      </c>
      <c r="C44" s="6" t="s">
        <v>160</v>
      </c>
      <c r="D44" s="25">
        <v>45034</v>
      </c>
      <c r="E44" s="7">
        <v>118.85</v>
      </c>
      <c r="F44" s="7">
        <v>0</v>
      </c>
      <c r="G44" s="7">
        <v>27367.06</v>
      </c>
      <c r="I44" s="8">
        <f t="shared" si="0"/>
        <v>0</v>
      </c>
    </row>
    <row r="45" spans="1:9" ht="14.4" x14ac:dyDescent="0.3">
      <c r="A45" s="25">
        <v>45034</v>
      </c>
      <c r="B45" s="6" t="s">
        <v>133</v>
      </c>
      <c r="C45" s="6" t="s">
        <v>161</v>
      </c>
      <c r="D45" s="25">
        <v>45034</v>
      </c>
      <c r="E45" s="7">
        <v>2188.9499999999998</v>
      </c>
      <c r="F45" s="7">
        <v>0</v>
      </c>
      <c r="G45" s="7">
        <v>25178.11</v>
      </c>
      <c r="I45" s="8">
        <f t="shared" si="0"/>
        <v>0</v>
      </c>
    </row>
    <row r="46" spans="1:9" ht="14.4" x14ac:dyDescent="0.3">
      <c r="A46" s="25">
        <v>45035</v>
      </c>
      <c r="B46" s="6" t="s">
        <v>133</v>
      </c>
      <c r="C46" s="6" t="s">
        <v>162</v>
      </c>
      <c r="D46" s="25">
        <v>45035</v>
      </c>
      <c r="E46" s="7">
        <v>117.77</v>
      </c>
      <c r="F46" s="7">
        <v>0</v>
      </c>
      <c r="G46" s="7">
        <v>25060.34</v>
      </c>
      <c r="I46" s="8">
        <f t="shared" si="0"/>
        <v>0</v>
      </c>
    </row>
    <row r="47" spans="1:9" ht="14.4" x14ac:dyDescent="0.3">
      <c r="A47" s="25">
        <v>45035</v>
      </c>
      <c r="B47" s="6" t="s">
        <v>135</v>
      </c>
      <c r="C47" s="6" t="s">
        <v>163</v>
      </c>
      <c r="D47" s="25">
        <v>45035</v>
      </c>
      <c r="E47" s="7">
        <v>0</v>
      </c>
      <c r="F47" s="7">
        <v>1395.14</v>
      </c>
      <c r="G47" s="7">
        <v>26455.48</v>
      </c>
      <c r="I47" s="8">
        <f t="shared" si="0"/>
        <v>0</v>
      </c>
    </row>
    <row r="48" spans="1:9" ht="14.4" x14ac:dyDescent="0.3">
      <c r="A48" s="25">
        <v>45036</v>
      </c>
      <c r="B48" s="6" t="s">
        <v>135</v>
      </c>
      <c r="C48" s="6" t="s">
        <v>164</v>
      </c>
      <c r="D48" s="25">
        <v>45036</v>
      </c>
      <c r="E48" s="7">
        <v>0</v>
      </c>
      <c r="F48" s="7">
        <v>6098.61</v>
      </c>
      <c r="G48" s="7">
        <v>32554.09</v>
      </c>
      <c r="I48" s="8">
        <f t="shared" si="0"/>
        <v>0</v>
      </c>
    </row>
    <row r="49" spans="1:9" ht="14.4" x14ac:dyDescent="0.3">
      <c r="A49" s="25">
        <v>45037</v>
      </c>
      <c r="B49" s="6" t="s">
        <v>165</v>
      </c>
      <c r="C49" s="6" t="s">
        <v>166</v>
      </c>
      <c r="D49" s="25">
        <v>45037</v>
      </c>
      <c r="E49" s="7">
        <v>10000</v>
      </c>
      <c r="F49" s="7">
        <v>0</v>
      </c>
      <c r="G49" s="7">
        <v>22554.09</v>
      </c>
      <c r="I49" s="8">
        <f t="shared" si="0"/>
        <v>0</v>
      </c>
    </row>
    <row r="50" spans="1:9" ht="14.4" x14ac:dyDescent="0.3">
      <c r="A50" s="25">
        <v>45037</v>
      </c>
      <c r="B50" s="6" t="s">
        <v>135</v>
      </c>
      <c r="C50" s="6" t="s">
        <v>167</v>
      </c>
      <c r="D50" s="25">
        <v>45037</v>
      </c>
      <c r="E50" s="7">
        <v>0</v>
      </c>
      <c r="F50" s="7">
        <v>2364.46</v>
      </c>
      <c r="G50" s="7">
        <v>24918.55</v>
      </c>
      <c r="I50" s="8">
        <f t="shared" si="0"/>
        <v>0</v>
      </c>
    </row>
    <row r="51" spans="1:9" ht="14.4" x14ac:dyDescent="0.3">
      <c r="A51" s="25">
        <v>45040</v>
      </c>
      <c r="B51" s="6" t="s">
        <v>133</v>
      </c>
      <c r="C51" s="6" t="s">
        <v>168</v>
      </c>
      <c r="D51" s="25">
        <v>45040</v>
      </c>
      <c r="E51" s="7">
        <v>333.9</v>
      </c>
      <c r="F51" s="7">
        <v>0</v>
      </c>
      <c r="G51" s="7">
        <v>24584.65</v>
      </c>
      <c r="I51" s="8">
        <f t="shared" si="0"/>
        <v>0</v>
      </c>
    </row>
    <row r="52" spans="1:9" ht="14.4" x14ac:dyDescent="0.3">
      <c r="A52" s="25">
        <v>45040</v>
      </c>
      <c r="B52" s="6" t="s">
        <v>135</v>
      </c>
      <c r="C52" s="6" t="s">
        <v>169</v>
      </c>
      <c r="D52" s="25">
        <v>45040</v>
      </c>
      <c r="E52" s="7">
        <v>0</v>
      </c>
      <c r="F52" s="7">
        <v>1160.53</v>
      </c>
      <c r="G52" s="7">
        <v>25745.18</v>
      </c>
      <c r="I52" s="8">
        <f t="shared" si="0"/>
        <v>0</v>
      </c>
    </row>
    <row r="53" spans="1:9" ht="14.4" x14ac:dyDescent="0.3">
      <c r="A53" s="25">
        <v>45041</v>
      </c>
      <c r="B53" s="6" t="s">
        <v>154</v>
      </c>
      <c r="C53" s="6" t="s">
        <v>170</v>
      </c>
      <c r="D53" s="25">
        <v>45041</v>
      </c>
      <c r="E53" s="7">
        <v>2500</v>
      </c>
      <c r="F53" s="7">
        <v>0</v>
      </c>
      <c r="G53" s="7">
        <v>23245.18</v>
      </c>
      <c r="I53" s="8">
        <f t="shared" si="0"/>
        <v>0</v>
      </c>
    </row>
    <row r="54" spans="1:9" ht="14.4" x14ac:dyDescent="0.3">
      <c r="A54" s="25">
        <v>45041</v>
      </c>
      <c r="B54" s="6" t="s">
        <v>135</v>
      </c>
      <c r="C54" s="6" t="s">
        <v>171</v>
      </c>
      <c r="D54" s="25">
        <v>45041</v>
      </c>
      <c r="E54" s="7">
        <v>0</v>
      </c>
      <c r="F54" s="7">
        <v>3975.3</v>
      </c>
      <c r="G54" s="7">
        <v>27220.48</v>
      </c>
      <c r="I54" s="8">
        <f t="shared" si="0"/>
        <v>0</v>
      </c>
    </row>
    <row r="55" spans="1:9" ht="14.4" x14ac:dyDescent="0.3">
      <c r="A55" s="25">
        <v>45041</v>
      </c>
      <c r="B55" s="6" t="s">
        <v>133</v>
      </c>
      <c r="C55" s="6" t="s">
        <v>172</v>
      </c>
      <c r="D55" s="25">
        <v>45041</v>
      </c>
      <c r="E55" s="7">
        <v>111.87</v>
      </c>
      <c r="F55" s="7">
        <v>0</v>
      </c>
      <c r="G55" s="7">
        <v>27108.61</v>
      </c>
      <c r="I55" s="8">
        <f t="shared" si="0"/>
        <v>0</v>
      </c>
    </row>
    <row r="56" spans="1:9" ht="14.4" x14ac:dyDescent="0.3">
      <c r="A56" s="25">
        <v>45041</v>
      </c>
      <c r="B56" s="6" t="s">
        <v>135</v>
      </c>
      <c r="C56" s="6" t="s">
        <v>173</v>
      </c>
      <c r="D56" s="25">
        <v>45041</v>
      </c>
      <c r="E56" s="7">
        <v>0</v>
      </c>
      <c r="F56" s="7">
        <v>4133.83</v>
      </c>
      <c r="G56" s="7">
        <v>31242.44</v>
      </c>
      <c r="I56" s="8">
        <f t="shared" si="0"/>
        <v>0</v>
      </c>
    </row>
    <row r="57" spans="1:9" ht="14.4" x14ac:dyDescent="0.3">
      <c r="A57" s="25">
        <v>45041</v>
      </c>
      <c r="B57" s="6" t="s">
        <v>135</v>
      </c>
      <c r="C57" s="6" t="s">
        <v>174</v>
      </c>
      <c r="D57" s="25">
        <v>45041</v>
      </c>
      <c r="E57" s="7">
        <v>0</v>
      </c>
      <c r="F57" s="7">
        <v>9183.0400000000009</v>
      </c>
      <c r="G57" s="7">
        <v>40425.480000000003</v>
      </c>
      <c r="I57" s="8">
        <f t="shared" si="0"/>
        <v>0</v>
      </c>
    </row>
    <row r="58" spans="1:9" ht="14.4" x14ac:dyDescent="0.3">
      <c r="A58" s="25">
        <v>45042</v>
      </c>
      <c r="B58" s="6" t="s">
        <v>133</v>
      </c>
      <c r="C58" s="6" t="s">
        <v>175</v>
      </c>
      <c r="D58" s="25">
        <v>45042</v>
      </c>
      <c r="E58" s="7">
        <v>5928.58</v>
      </c>
      <c r="F58" s="7">
        <v>0</v>
      </c>
      <c r="G58" s="7">
        <v>34496.9</v>
      </c>
      <c r="I58" s="8">
        <f t="shared" si="0"/>
        <v>0</v>
      </c>
    </row>
    <row r="59" spans="1:9" ht="14.4" x14ac:dyDescent="0.3">
      <c r="A59" s="25">
        <v>45043</v>
      </c>
      <c r="B59" s="6" t="s">
        <v>133</v>
      </c>
      <c r="C59" s="6" t="s">
        <v>176</v>
      </c>
      <c r="D59" s="25">
        <v>45043</v>
      </c>
      <c r="E59" s="7">
        <v>100.39</v>
      </c>
      <c r="F59" s="7">
        <v>0</v>
      </c>
      <c r="G59" s="7">
        <v>34396.51</v>
      </c>
      <c r="I59" s="8">
        <f t="shared" si="0"/>
        <v>0</v>
      </c>
    </row>
    <row r="60" spans="1:9" ht="14.4" x14ac:dyDescent="0.3">
      <c r="A60" s="25">
        <v>45043</v>
      </c>
      <c r="B60" s="6" t="s">
        <v>135</v>
      </c>
      <c r="C60" s="6" t="s">
        <v>177</v>
      </c>
      <c r="D60" s="25">
        <v>45043</v>
      </c>
      <c r="E60" s="7">
        <v>0</v>
      </c>
      <c r="F60" s="7">
        <v>1200.79</v>
      </c>
      <c r="G60" s="7">
        <v>35597.300000000003</v>
      </c>
      <c r="I60" s="8">
        <f t="shared" si="0"/>
        <v>0</v>
      </c>
    </row>
    <row r="61" spans="1:9" ht="14.4" x14ac:dyDescent="0.3">
      <c r="A61" s="25">
        <v>45044</v>
      </c>
      <c r="B61" s="6" t="s">
        <v>133</v>
      </c>
      <c r="C61" s="6" t="s">
        <v>178</v>
      </c>
      <c r="D61" s="25">
        <v>45044</v>
      </c>
      <c r="E61" s="7">
        <v>114.12</v>
      </c>
      <c r="F61" s="7">
        <v>0</v>
      </c>
      <c r="G61" s="7">
        <v>35483.18</v>
      </c>
      <c r="I61" s="8">
        <f t="shared" si="0"/>
        <v>0</v>
      </c>
    </row>
    <row r="62" spans="1:9" ht="14.4" x14ac:dyDescent="0.3">
      <c r="A62" s="25">
        <v>45044</v>
      </c>
      <c r="B62" s="6" t="s">
        <v>133</v>
      </c>
      <c r="C62" s="6" t="s">
        <v>179</v>
      </c>
      <c r="D62" s="25">
        <v>45044</v>
      </c>
      <c r="E62" s="7">
        <v>15786.08</v>
      </c>
      <c r="F62" s="7">
        <v>0</v>
      </c>
      <c r="G62" s="7">
        <v>19697.099999999999</v>
      </c>
      <c r="I62" s="8">
        <f t="shared" si="0"/>
        <v>0</v>
      </c>
    </row>
    <row r="63" spans="1:9" ht="14.4" x14ac:dyDescent="0.3">
      <c r="A63" s="25">
        <v>45044</v>
      </c>
      <c r="B63" s="6" t="s">
        <v>133</v>
      </c>
      <c r="C63" s="6" t="s">
        <v>180</v>
      </c>
      <c r="D63" s="25">
        <v>45044</v>
      </c>
      <c r="E63" s="7">
        <v>1940.44</v>
      </c>
      <c r="F63" s="7">
        <v>0</v>
      </c>
      <c r="G63" s="7">
        <v>17756.66</v>
      </c>
      <c r="I63" s="8">
        <f t="shared" si="0"/>
        <v>0</v>
      </c>
    </row>
    <row r="64" spans="1:9" ht="14.4" x14ac:dyDescent="0.3">
      <c r="A64" s="25">
        <v>45048</v>
      </c>
      <c r="B64" s="6" t="s">
        <v>133</v>
      </c>
      <c r="C64" s="6" t="s">
        <v>181</v>
      </c>
      <c r="D64" s="25">
        <v>45048</v>
      </c>
      <c r="E64" s="7">
        <v>452.64</v>
      </c>
      <c r="F64" s="7">
        <v>0</v>
      </c>
      <c r="G64" s="7">
        <v>17304.02</v>
      </c>
      <c r="I64" s="8">
        <f t="shared" si="0"/>
        <v>0</v>
      </c>
    </row>
    <row r="65" spans="1:9" ht="14.4" x14ac:dyDescent="0.3">
      <c r="A65" s="25">
        <v>45049</v>
      </c>
      <c r="B65" s="6" t="s">
        <v>135</v>
      </c>
      <c r="C65" s="6" t="s">
        <v>182</v>
      </c>
      <c r="D65" s="25">
        <v>45048</v>
      </c>
      <c r="E65" s="7">
        <v>0</v>
      </c>
      <c r="F65" s="7">
        <v>447.14</v>
      </c>
      <c r="G65" s="7">
        <v>17751.16</v>
      </c>
      <c r="I65" s="8">
        <f t="shared" si="0"/>
        <v>0</v>
      </c>
    </row>
    <row r="66" spans="1:9" ht="14.4" x14ac:dyDescent="0.3">
      <c r="A66" s="25">
        <v>45049</v>
      </c>
      <c r="B66" s="6" t="s">
        <v>133</v>
      </c>
      <c r="C66" s="6" t="s">
        <v>183</v>
      </c>
      <c r="D66" s="25">
        <v>45049</v>
      </c>
      <c r="E66" s="7">
        <v>447.14</v>
      </c>
      <c r="F66" s="7">
        <v>0</v>
      </c>
      <c r="G66" s="7">
        <v>17304.02</v>
      </c>
      <c r="I66" s="8">
        <f t="shared" si="0"/>
        <v>0</v>
      </c>
    </row>
    <row r="67" spans="1:9" ht="14.4" x14ac:dyDescent="0.3">
      <c r="A67" s="25">
        <v>45049</v>
      </c>
      <c r="B67" s="6" t="s">
        <v>135</v>
      </c>
      <c r="C67" s="6" t="s">
        <v>184</v>
      </c>
      <c r="D67" s="25">
        <v>45048</v>
      </c>
      <c r="E67" s="7">
        <v>0</v>
      </c>
      <c r="F67" s="7">
        <v>447.14</v>
      </c>
      <c r="G67" s="7">
        <v>17751.16</v>
      </c>
      <c r="I67" s="8">
        <f t="shared" si="0"/>
        <v>0</v>
      </c>
    </row>
    <row r="68" spans="1:9" ht="14.4" x14ac:dyDescent="0.3">
      <c r="A68" s="25">
        <v>45049</v>
      </c>
      <c r="B68" s="6" t="s">
        <v>133</v>
      </c>
      <c r="C68" s="6" t="s">
        <v>185</v>
      </c>
      <c r="D68" s="25">
        <v>45049</v>
      </c>
      <c r="E68" s="7">
        <v>118.19</v>
      </c>
      <c r="F68" s="7">
        <v>0</v>
      </c>
      <c r="G68" s="7">
        <v>17632.97</v>
      </c>
      <c r="I68" s="8">
        <f t="shared" si="0"/>
        <v>0</v>
      </c>
    </row>
    <row r="69" spans="1:9" ht="14.4" x14ac:dyDescent="0.3">
      <c r="A69" s="25">
        <v>45049</v>
      </c>
      <c r="B69" s="6" t="s">
        <v>135</v>
      </c>
      <c r="C69" s="6" t="s">
        <v>186</v>
      </c>
      <c r="D69" s="25">
        <v>45049</v>
      </c>
      <c r="E69" s="7">
        <v>0</v>
      </c>
      <c r="F69" s="7">
        <v>7290.23</v>
      </c>
      <c r="G69" s="7">
        <v>24923.200000000001</v>
      </c>
      <c r="I69" s="8">
        <f t="shared" si="0"/>
        <v>0</v>
      </c>
    </row>
    <row r="70" spans="1:9" ht="14.4" x14ac:dyDescent="0.3">
      <c r="A70" s="25">
        <v>45049</v>
      </c>
      <c r="B70" s="6" t="s">
        <v>133</v>
      </c>
      <c r="C70" s="6" t="s">
        <v>187</v>
      </c>
      <c r="D70" s="25">
        <v>45049</v>
      </c>
      <c r="E70" s="7">
        <v>7290.23</v>
      </c>
      <c r="F70" s="7">
        <v>0</v>
      </c>
      <c r="G70" s="7">
        <v>17632.97</v>
      </c>
      <c r="I70" s="8">
        <f t="shared" si="0"/>
        <v>0</v>
      </c>
    </row>
    <row r="71" spans="1:9" ht="14.4" x14ac:dyDescent="0.3">
      <c r="A71" s="25">
        <v>45049</v>
      </c>
      <c r="B71" s="6" t="s">
        <v>135</v>
      </c>
      <c r="C71" s="6" t="s">
        <v>188</v>
      </c>
      <c r="D71" s="25">
        <v>45049</v>
      </c>
      <c r="E71" s="7">
        <v>0</v>
      </c>
      <c r="F71" s="7">
        <v>7290.23</v>
      </c>
      <c r="G71" s="7">
        <v>24923.200000000001</v>
      </c>
      <c r="I71" s="8">
        <f t="shared" si="0"/>
        <v>0</v>
      </c>
    </row>
    <row r="72" spans="1:9" ht="14.4" x14ac:dyDescent="0.3">
      <c r="A72" s="25">
        <v>45050</v>
      </c>
      <c r="B72" s="6" t="s">
        <v>135</v>
      </c>
      <c r="C72" s="6" t="s">
        <v>189</v>
      </c>
      <c r="D72" s="25">
        <v>45050</v>
      </c>
      <c r="E72" s="7">
        <v>0</v>
      </c>
      <c r="F72" s="7">
        <v>1909.02</v>
      </c>
      <c r="G72" s="7">
        <v>26832.22</v>
      </c>
      <c r="I72" s="8">
        <f t="shared" si="0"/>
        <v>0</v>
      </c>
    </row>
    <row r="73" spans="1:9" ht="14.4" x14ac:dyDescent="0.3">
      <c r="A73" s="25">
        <v>45051</v>
      </c>
      <c r="B73" s="6" t="s">
        <v>133</v>
      </c>
      <c r="C73" s="6" t="s">
        <v>190</v>
      </c>
      <c r="D73" s="25">
        <v>45051</v>
      </c>
      <c r="E73" s="7">
        <v>110.91</v>
      </c>
      <c r="F73" s="7">
        <v>0</v>
      </c>
      <c r="G73" s="7">
        <v>26721.31</v>
      </c>
      <c r="I73" s="8">
        <f t="shared" si="0"/>
        <v>0</v>
      </c>
    </row>
    <row r="74" spans="1:9" ht="14.4" x14ac:dyDescent="0.3">
      <c r="A74" s="25">
        <v>45051</v>
      </c>
      <c r="B74" s="6" t="s">
        <v>133</v>
      </c>
      <c r="C74" s="6" t="s">
        <v>191</v>
      </c>
      <c r="D74" s="25">
        <v>45051</v>
      </c>
      <c r="E74" s="7">
        <v>1185.33</v>
      </c>
      <c r="F74" s="7">
        <v>0</v>
      </c>
      <c r="G74" s="7">
        <v>25535.98</v>
      </c>
      <c r="I74" s="8">
        <f t="shared" si="0"/>
        <v>0</v>
      </c>
    </row>
    <row r="75" spans="1:9" ht="14.4" x14ac:dyDescent="0.3">
      <c r="A75" s="25">
        <v>45051</v>
      </c>
      <c r="B75" s="6" t="s">
        <v>192</v>
      </c>
      <c r="C75" s="6" t="s">
        <v>193</v>
      </c>
      <c r="D75" s="25">
        <v>45051</v>
      </c>
      <c r="E75" s="7">
        <v>0</v>
      </c>
      <c r="F75" s="7">
        <v>25000</v>
      </c>
      <c r="G75" s="7">
        <v>50535.98</v>
      </c>
      <c r="I75" s="8">
        <f t="shared" si="0"/>
        <v>0</v>
      </c>
    </row>
    <row r="76" spans="1:9" ht="14.4" x14ac:dyDescent="0.3">
      <c r="A76" s="25">
        <v>45054</v>
      </c>
      <c r="B76" s="6" t="s">
        <v>133</v>
      </c>
      <c r="C76" s="6" t="s">
        <v>194</v>
      </c>
      <c r="D76" s="25">
        <v>45054</v>
      </c>
      <c r="E76" s="7">
        <v>330.99</v>
      </c>
      <c r="F76" s="7">
        <v>0</v>
      </c>
      <c r="G76" s="7">
        <v>50204.99</v>
      </c>
      <c r="I76" s="8">
        <f t="shared" si="0"/>
        <v>0</v>
      </c>
    </row>
    <row r="77" spans="1:9" ht="14.4" x14ac:dyDescent="0.3">
      <c r="A77" s="25">
        <v>45054</v>
      </c>
      <c r="B77" s="6" t="s">
        <v>195</v>
      </c>
      <c r="C77" s="6" t="s">
        <v>196</v>
      </c>
      <c r="D77" s="25">
        <v>45054</v>
      </c>
      <c r="E77" s="7">
        <v>0</v>
      </c>
      <c r="F77" s="7">
        <v>1880</v>
      </c>
      <c r="G77" s="7">
        <v>52084.99</v>
      </c>
      <c r="I77" s="8">
        <f t="shared" si="0"/>
        <v>0</v>
      </c>
    </row>
    <row r="78" spans="1:9" ht="14.4" x14ac:dyDescent="0.3">
      <c r="A78" s="25">
        <v>45054</v>
      </c>
      <c r="B78" s="6" t="s">
        <v>133</v>
      </c>
      <c r="C78" s="6" t="s">
        <v>197</v>
      </c>
      <c r="D78" s="25">
        <v>45054</v>
      </c>
      <c r="E78" s="7">
        <v>949.4</v>
      </c>
      <c r="F78" s="7">
        <v>0</v>
      </c>
      <c r="G78" s="7">
        <v>51135.59</v>
      </c>
      <c r="I78" s="8">
        <f t="shared" si="0"/>
        <v>0</v>
      </c>
    </row>
    <row r="79" spans="1:9" ht="14.4" x14ac:dyDescent="0.3">
      <c r="A79" s="25">
        <v>45054</v>
      </c>
      <c r="B79" s="6" t="s">
        <v>135</v>
      </c>
      <c r="C79" s="6" t="s">
        <v>198</v>
      </c>
      <c r="D79" s="25">
        <v>45054</v>
      </c>
      <c r="E79" s="7">
        <v>0</v>
      </c>
      <c r="F79" s="7">
        <v>26132.84</v>
      </c>
      <c r="G79" s="7">
        <v>77268.429999999993</v>
      </c>
      <c r="I79" s="8">
        <f t="shared" si="0"/>
        <v>0</v>
      </c>
    </row>
    <row r="80" spans="1:9" ht="14.4" x14ac:dyDescent="0.3">
      <c r="A80" s="25">
        <v>45055</v>
      </c>
      <c r="B80" s="6" t="s">
        <v>133</v>
      </c>
      <c r="C80" s="6" t="s">
        <v>199</v>
      </c>
      <c r="D80" s="25">
        <v>45055</v>
      </c>
      <c r="E80" s="7">
        <v>109.86</v>
      </c>
      <c r="F80" s="7">
        <v>0</v>
      </c>
      <c r="G80" s="7">
        <v>77158.570000000007</v>
      </c>
      <c r="I80" s="8">
        <f t="shared" si="0"/>
        <v>0</v>
      </c>
    </row>
    <row r="81" spans="1:9" ht="14.4" x14ac:dyDescent="0.3">
      <c r="A81" s="25">
        <v>45055</v>
      </c>
      <c r="B81" s="6" t="s">
        <v>200</v>
      </c>
      <c r="C81" s="6" t="s">
        <v>201</v>
      </c>
      <c r="D81" s="25">
        <v>45055</v>
      </c>
      <c r="E81" s="7">
        <v>0</v>
      </c>
      <c r="F81" s="7">
        <v>50000</v>
      </c>
      <c r="G81" s="7">
        <v>127158.57</v>
      </c>
      <c r="I81" s="8">
        <f t="shared" si="0"/>
        <v>0</v>
      </c>
    </row>
    <row r="82" spans="1:9" ht="14.4" x14ac:dyDescent="0.3">
      <c r="A82" s="25">
        <v>45055</v>
      </c>
      <c r="B82" s="6" t="s">
        <v>133</v>
      </c>
      <c r="C82" s="6" t="s">
        <v>202</v>
      </c>
      <c r="D82" s="25">
        <v>45055</v>
      </c>
      <c r="E82" s="7">
        <v>726.06</v>
      </c>
      <c r="F82" s="7">
        <v>0</v>
      </c>
      <c r="G82" s="7">
        <v>126432.51</v>
      </c>
      <c r="I82" s="8">
        <f t="shared" si="0"/>
        <v>0</v>
      </c>
    </row>
    <row r="83" spans="1:9" ht="14.4" x14ac:dyDescent="0.3">
      <c r="A83" s="25">
        <v>45055</v>
      </c>
      <c r="B83" s="6" t="s">
        <v>135</v>
      </c>
      <c r="C83" s="6" t="s">
        <v>203</v>
      </c>
      <c r="D83" s="25">
        <v>45055</v>
      </c>
      <c r="E83" s="7">
        <v>0</v>
      </c>
      <c r="F83" s="7">
        <v>9334.18</v>
      </c>
      <c r="G83" s="7">
        <v>135766.69</v>
      </c>
      <c r="I83" s="8">
        <f t="shared" si="0"/>
        <v>0</v>
      </c>
    </row>
    <row r="84" spans="1:9" ht="14.4" x14ac:dyDescent="0.3">
      <c r="A84" s="25">
        <v>45056</v>
      </c>
      <c r="B84" s="6" t="s">
        <v>204</v>
      </c>
      <c r="C84" s="6" t="s">
        <v>205</v>
      </c>
      <c r="D84" s="25">
        <v>45056</v>
      </c>
      <c r="E84" s="7">
        <v>3000</v>
      </c>
      <c r="F84" s="7">
        <v>0</v>
      </c>
      <c r="G84" s="7">
        <v>132766.69</v>
      </c>
      <c r="I84" s="8">
        <f t="shared" si="0"/>
        <v>0</v>
      </c>
    </row>
    <row r="85" spans="1:9" ht="14.4" x14ac:dyDescent="0.3">
      <c r="A85" s="25">
        <v>45056</v>
      </c>
      <c r="B85" s="6" t="s">
        <v>133</v>
      </c>
      <c r="C85" s="6" t="s">
        <v>206</v>
      </c>
      <c r="D85" s="25">
        <v>45056</v>
      </c>
      <c r="E85" s="7">
        <v>115.13</v>
      </c>
      <c r="F85" s="7">
        <v>0</v>
      </c>
      <c r="G85" s="7">
        <v>132651.56</v>
      </c>
      <c r="I85" s="8">
        <f t="shared" si="0"/>
        <v>0</v>
      </c>
    </row>
    <row r="86" spans="1:9" ht="14.4" x14ac:dyDescent="0.3">
      <c r="A86" s="25">
        <v>45056</v>
      </c>
      <c r="B86" s="6" t="s">
        <v>133</v>
      </c>
      <c r="C86" s="6" t="s">
        <v>207</v>
      </c>
      <c r="D86" s="25">
        <v>45056</v>
      </c>
      <c r="E86" s="7">
        <v>14400.91</v>
      </c>
      <c r="F86" s="7">
        <v>0</v>
      </c>
      <c r="G86" s="7">
        <v>118250.65</v>
      </c>
      <c r="I86" s="8">
        <f t="shared" si="0"/>
        <v>0</v>
      </c>
    </row>
    <row r="87" spans="1:9" ht="14.4" x14ac:dyDescent="0.3">
      <c r="A87" s="25">
        <v>45056</v>
      </c>
      <c r="B87" s="6" t="s">
        <v>135</v>
      </c>
      <c r="C87" s="6" t="s">
        <v>208</v>
      </c>
      <c r="D87" s="25">
        <v>45056</v>
      </c>
      <c r="E87" s="7">
        <v>0</v>
      </c>
      <c r="F87" s="7">
        <v>3506.31</v>
      </c>
      <c r="G87" s="7">
        <v>121756.96</v>
      </c>
      <c r="I87" s="8">
        <f t="shared" si="0"/>
        <v>0</v>
      </c>
    </row>
    <row r="88" spans="1:9" ht="14.4" x14ac:dyDescent="0.3">
      <c r="A88" s="25">
        <v>45057</v>
      </c>
      <c r="B88" s="6" t="s">
        <v>154</v>
      </c>
      <c r="C88" s="6" t="s">
        <v>209</v>
      </c>
      <c r="D88" s="25">
        <v>45057</v>
      </c>
      <c r="E88" s="7">
        <v>3000</v>
      </c>
      <c r="F88" s="7">
        <v>0</v>
      </c>
      <c r="G88" s="7">
        <v>118756.96</v>
      </c>
      <c r="I88" s="8">
        <f t="shared" ref="I88:I151" si="1">G87-E88+F88-G88</f>
        <v>0</v>
      </c>
    </row>
    <row r="89" spans="1:9" ht="14.4" x14ac:dyDescent="0.3">
      <c r="A89" s="25">
        <v>45057</v>
      </c>
      <c r="B89" s="6" t="s">
        <v>133</v>
      </c>
      <c r="C89" s="6" t="s">
        <v>210</v>
      </c>
      <c r="D89" s="25">
        <v>45057</v>
      </c>
      <c r="E89" s="7">
        <v>116.86</v>
      </c>
      <c r="F89" s="7">
        <v>0</v>
      </c>
      <c r="G89" s="7">
        <v>118640.1</v>
      </c>
      <c r="I89" s="8">
        <f t="shared" si="1"/>
        <v>0</v>
      </c>
    </row>
    <row r="90" spans="1:9" ht="14.4" x14ac:dyDescent="0.3">
      <c r="A90" s="25">
        <v>45057</v>
      </c>
      <c r="B90" s="6" t="s">
        <v>211</v>
      </c>
      <c r="C90" s="6" t="s">
        <v>212</v>
      </c>
      <c r="D90" s="25">
        <v>45057</v>
      </c>
      <c r="E90" s="7">
        <v>7.08</v>
      </c>
      <c r="F90" s="7">
        <v>0</v>
      </c>
      <c r="G90" s="7">
        <v>118633.02</v>
      </c>
      <c r="I90" s="8">
        <f t="shared" si="1"/>
        <v>0</v>
      </c>
    </row>
    <row r="91" spans="1:9" ht="14.4" x14ac:dyDescent="0.3">
      <c r="A91" s="25">
        <v>45058</v>
      </c>
      <c r="B91" s="6" t="s">
        <v>135</v>
      </c>
      <c r="C91" s="6" t="s">
        <v>213</v>
      </c>
      <c r="D91" s="25">
        <v>45057</v>
      </c>
      <c r="E91" s="7">
        <v>0</v>
      </c>
      <c r="F91" s="7">
        <v>1247.8</v>
      </c>
      <c r="G91" s="7">
        <v>119880.82</v>
      </c>
      <c r="I91" s="8">
        <f t="shared" si="1"/>
        <v>0</v>
      </c>
    </row>
    <row r="92" spans="1:9" ht="14.4" x14ac:dyDescent="0.3">
      <c r="A92" s="25">
        <v>45058</v>
      </c>
      <c r="B92" s="6" t="s">
        <v>133</v>
      </c>
      <c r="C92" s="6" t="s">
        <v>214</v>
      </c>
      <c r="D92" s="25">
        <v>45058</v>
      </c>
      <c r="E92" s="7">
        <v>113.5</v>
      </c>
      <c r="F92" s="7">
        <v>0</v>
      </c>
      <c r="G92" s="7">
        <v>119767.32</v>
      </c>
      <c r="I92" s="8">
        <f t="shared" si="1"/>
        <v>0</v>
      </c>
    </row>
    <row r="93" spans="1:9" ht="14.4" x14ac:dyDescent="0.3">
      <c r="A93" s="25">
        <v>45058</v>
      </c>
      <c r="B93" s="6" t="s">
        <v>133</v>
      </c>
      <c r="C93" s="6" t="s">
        <v>215</v>
      </c>
      <c r="D93" s="25">
        <v>45058</v>
      </c>
      <c r="E93" s="7">
        <v>2696.61</v>
      </c>
      <c r="F93" s="7">
        <v>0</v>
      </c>
      <c r="G93" s="7">
        <v>117070.71</v>
      </c>
      <c r="I93" s="8">
        <f t="shared" si="1"/>
        <v>0</v>
      </c>
    </row>
    <row r="94" spans="1:9" ht="14.4" x14ac:dyDescent="0.3">
      <c r="A94" s="25">
        <v>45061</v>
      </c>
      <c r="B94" s="6" t="s">
        <v>154</v>
      </c>
      <c r="C94" s="6" t="s">
        <v>216</v>
      </c>
      <c r="D94" s="25">
        <v>45061</v>
      </c>
      <c r="E94" s="7">
        <v>2500</v>
      </c>
      <c r="F94" s="7">
        <v>0</v>
      </c>
      <c r="G94" s="7">
        <v>114570.71</v>
      </c>
      <c r="I94" s="8">
        <f t="shared" si="1"/>
        <v>0</v>
      </c>
    </row>
    <row r="95" spans="1:9" ht="14.4" x14ac:dyDescent="0.3">
      <c r="A95" s="25">
        <v>45061</v>
      </c>
      <c r="B95" s="6" t="s">
        <v>133</v>
      </c>
      <c r="C95" s="6" t="s">
        <v>217</v>
      </c>
      <c r="D95" s="25">
        <v>45061</v>
      </c>
      <c r="E95" s="7">
        <v>336.51</v>
      </c>
      <c r="F95" s="7">
        <v>0</v>
      </c>
      <c r="G95" s="7">
        <v>114234.2</v>
      </c>
      <c r="I95" s="8">
        <f t="shared" si="1"/>
        <v>0</v>
      </c>
    </row>
    <row r="96" spans="1:9" ht="14.4" x14ac:dyDescent="0.3">
      <c r="A96" s="25">
        <v>45061</v>
      </c>
      <c r="B96" s="6" t="s">
        <v>135</v>
      </c>
      <c r="C96" s="6" t="s">
        <v>218</v>
      </c>
      <c r="D96" s="25">
        <v>45061</v>
      </c>
      <c r="E96" s="7">
        <v>0</v>
      </c>
      <c r="F96" s="7">
        <v>47.14</v>
      </c>
      <c r="G96" s="7">
        <v>114281.34</v>
      </c>
      <c r="I96" s="8">
        <f t="shared" si="1"/>
        <v>0</v>
      </c>
    </row>
    <row r="97" spans="1:9" ht="14.4" x14ac:dyDescent="0.3">
      <c r="A97" s="25">
        <v>45062</v>
      </c>
      <c r="B97" s="6" t="s">
        <v>133</v>
      </c>
      <c r="C97" s="6" t="s">
        <v>219</v>
      </c>
      <c r="D97" s="25">
        <v>45062</v>
      </c>
      <c r="E97" s="7">
        <v>118.41</v>
      </c>
      <c r="F97" s="7">
        <v>0</v>
      </c>
      <c r="G97" s="7">
        <v>114162.93</v>
      </c>
      <c r="I97" s="8">
        <f t="shared" si="1"/>
        <v>0</v>
      </c>
    </row>
    <row r="98" spans="1:9" ht="14.4" x14ac:dyDescent="0.3">
      <c r="A98" s="25">
        <v>45062</v>
      </c>
      <c r="B98" s="6" t="s">
        <v>133</v>
      </c>
      <c r="C98" s="6" t="s">
        <v>220</v>
      </c>
      <c r="D98" s="25">
        <v>45062</v>
      </c>
      <c r="E98" s="7">
        <v>14137.55</v>
      </c>
      <c r="F98" s="7">
        <v>0</v>
      </c>
      <c r="G98" s="7">
        <v>100025.38</v>
      </c>
      <c r="I98" s="8">
        <f t="shared" si="1"/>
        <v>0</v>
      </c>
    </row>
    <row r="99" spans="1:9" ht="14.4" x14ac:dyDescent="0.3">
      <c r="A99" s="25">
        <v>45062</v>
      </c>
      <c r="B99" s="6" t="s">
        <v>133</v>
      </c>
      <c r="C99" s="6" t="s">
        <v>221</v>
      </c>
      <c r="D99" s="25">
        <v>45062</v>
      </c>
      <c r="E99" s="7">
        <v>220.13</v>
      </c>
      <c r="F99" s="7">
        <v>0</v>
      </c>
      <c r="G99" s="7">
        <v>99805.25</v>
      </c>
      <c r="I99" s="8">
        <f t="shared" si="1"/>
        <v>0</v>
      </c>
    </row>
    <row r="100" spans="1:9" ht="14.4" x14ac:dyDescent="0.3">
      <c r="A100" s="25">
        <v>45062</v>
      </c>
      <c r="B100" s="6" t="s">
        <v>133</v>
      </c>
      <c r="C100" s="6" t="s">
        <v>222</v>
      </c>
      <c r="D100" s="25">
        <v>45062</v>
      </c>
      <c r="E100" s="7">
        <v>1049.1099999999999</v>
      </c>
      <c r="F100" s="7">
        <v>0</v>
      </c>
      <c r="G100" s="7">
        <v>98756.14</v>
      </c>
      <c r="I100" s="8">
        <f t="shared" si="1"/>
        <v>0</v>
      </c>
    </row>
    <row r="101" spans="1:9" ht="14.4" x14ac:dyDescent="0.3">
      <c r="A101" s="25">
        <v>45062</v>
      </c>
      <c r="B101" s="6" t="s">
        <v>135</v>
      </c>
      <c r="C101" s="6" t="s">
        <v>223</v>
      </c>
      <c r="D101" s="25">
        <v>45062</v>
      </c>
      <c r="E101" s="7">
        <v>0</v>
      </c>
      <c r="F101" s="7">
        <v>1049.1099999999999</v>
      </c>
      <c r="G101" s="7">
        <v>99805.25</v>
      </c>
      <c r="I101" s="8">
        <f t="shared" si="1"/>
        <v>0</v>
      </c>
    </row>
    <row r="102" spans="1:9" ht="14.4" x14ac:dyDescent="0.3">
      <c r="A102" s="25">
        <v>45063</v>
      </c>
      <c r="B102" s="6" t="s">
        <v>224</v>
      </c>
      <c r="C102" s="6" t="s">
        <v>149</v>
      </c>
      <c r="D102" s="25">
        <v>45063</v>
      </c>
      <c r="E102" s="7">
        <v>389.4</v>
      </c>
      <c r="F102" s="7">
        <v>0</v>
      </c>
      <c r="G102" s="7">
        <v>99415.85</v>
      </c>
      <c r="I102" s="8">
        <f t="shared" si="1"/>
        <v>0</v>
      </c>
    </row>
    <row r="103" spans="1:9" ht="14.4" x14ac:dyDescent="0.3">
      <c r="A103" s="25">
        <v>45063</v>
      </c>
      <c r="B103" s="6" t="s">
        <v>133</v>
      </c>
      <c r="C103" s="6" t="s">
        <v>225</v>
      </c>
      <c r="D103" s="25">
        <v>45063</v>
      </c>
      <c r="E103" s="7">
        <v>118.3</v>
      </c>
      <c r="F103" s="7">
        <v>0</v>
      </c>
      <c r="G103" s="7">
        <v>99297.55</v>
      </c>
      <c r="I103" s="8">
        <f t="shared" si="1"/>
        <v>0</v>
      </c>
    </row>
    <row r="104" spans="1:9" ht="14.4" x14ac:dyDescent="0.3">
      <c r="A104" s="25">
        <v>45063</v>
      </c>
      <c r="B104" s="6" t="s">
        <v>133</v>
      </c>
      <c r="C104" s="6" t="s">
        <v>226</v>
      </c>
      <c r="D104" s="25">
        <v>45063</v>
      </c>
      <c r="E104" s="7">
        <v>22211.919999999998</v>
      </c>
      <c r="F104" s="7">
        <v>0</v>
      </c>
      <c r="G104" s="7">
        <v>77085.63</v>
      </c>
      <c r="I104" s="8">
        <f t="shared" si="1"/>
        <v>0</v>
      </c>
    </row>
    <row r="105" spans="1:9" ht="14.4" x14ac:dyDescent="0.3">
      <c r="A105" s="25">
        <v>45063</v>
      </c>
      <c r="B105" s="6" t="s">
        <v>133</v>
      </c>
      <c r="C105" s="6" t="s">
        <v>227</v>
      </c>
      <c r="D105" s="25">
        <v>45063</v>
      </c>
      <c r="E105" s="7">
        <v>338.46</v>
      </c>
      <c r="F105" s="7">
        <v>0</v>
      </c>
      <c r="G105" s="7">
        <v>76747.17</v>
      </c>
      <c r="I105" s="8">
        <f t="shared" si="1"/>
        <v>0</v>
      </c>
    </row>
    <row r="106" spans="1:9" ht="14.4" x14ac:dyDescent="0.3">
      <c r="A106" s="25">
        <v>45063</v>
      </c>
      <c r="B106" s="6" t="s">
        <v>135</v>
      </c>
      <c r="C106" s="6" t="s">
        <v>228</v>
      </c>
      <c r="D106" s="25">
        <v>45063</v>
      </c>
      <c r="E106" s="7">
        <v>0</v>
      </c>
      <c r="F106" s="7">
        <v>338.46</v>
      </c>
      <c r="G106" s="7">
        <v>77085.63</v>
      </c>
      <c r="I106" s="8">
        <f t="shared" si="1"/>
        <v>0</v>
      </c>
    </row>
    <row r="107" spans="1:9" ht="14.4" x14ac:dyDescent="0.3">
      <c r="A107" s="25">
        <v>45064</v>
      </c>
      <c r="B107" s="6" t="s">
        <v>229</v>
      </c>
      <c r="C107" s="6" t="s">
        <v>230</v>
      </c>
      <c r="D107" s="25">
        <v>45064</v>
      </c>
      <c r="E107" s="7">
        <v>0</v>
      </c>
      <c r="F107" s="7">
        <v>2250</v>
      </c>
      <c r="G107" s="7">
        <v>79335.63</v>
      </c>
      <c r="I107" s="8">
        <f t="shared" si="1"/>
        <v>0</v>
      </c>
    </row>
    <row r="108" spans="1:9" ht="14.4" x14ac:dyDescent="0.3">
      <c r="A108" s="25">
        <v>45064</v>
      </c>
      <c r="B108" s="6" t="s">
        <v>133</v>
      </c>
      <c r="C108" s="6" t="s">
        <v>231</v>
      </c>
      <c r="D108" s="25">
        <v>45064</v>
      </c>
      <c r="E108" s="7">
        <v>107.34</v>
      </c>
      <c r="F108" s="7">
        <v>0</v>
      </c>
      <c r="G108" s="7">
        <v>79228.289999999994</v>
      </c>
      <c r="I108" s="8">
        <f t="shared" si="1"/>
        <v>0</v>
      </c>
    </row>
    <row r="109" spans="1:9" ht="14.4" x14ac:dyDescent="0.3">
      <c r="A109" s="25">
        <v>45064</v>
      </c>
      <c r="B109" s="6" t="s">
        <v>133</v>
      </c>
      <c r="C109" s="6" t="s">
        <v>232</v>
      </c>
      <c r="D109" s="25">
        <v>45064</v>
      </c>
      <c r="E109" s="7">
        <v>5674.48</v>
      </c>
      <c r="F109" s="7">
        <v>0</v>
      </c>
      <c r="G109" s="7">
        <v>73553.81</v>
      </c>
      <c r="I109" s="8">
        <f t="shared" si="1"/>
        <v>0</v>
      </c>
    </row>
    <row r="110" spans="1:9" ht="14.4" x14ac:dyDescent="0.3">
      <c r="A110" s="25">
        <v>45064</v>
      </c>
      <c r="B110" s="6" t="s">
        <v>133</v>
      </c>
      <c r="C110" s="6" t="s">
        <v>233</v>
      </c>
      <c r="D110" s="25">
        <v>45064</v>
      </c>
      <c r="E110" s="7">
        <v>10768.54</v>
      </c>
      <c r="F110" s="7">
        <v>0</v>
      </c>
      <c r="G110" s="7">
        <v>62785.27</v>
      </c>
      <c r="I110" s="8">
        <f t="shared" si="1"/>
        <v>0</v>
      </c>
    </row>
    <row r="111" spans="1:9" ht="14.4" x14ac:dyDescent="0.3">
      <c r="A111" s="25">
        <v>45065</v>
      </c>
      <c r="B111" s="6" t="s">
        <v>133</v>
      </c>
      <c r="C111" s="6" t="s">
        <v>234</v>
      </c>
      <c r="D111" s="25">
        <v>45065</v>
      </c>
      <c r="E111" s="7">
        <v>1350.54</v>
      </c>
      <c r="F111" s="7">
        <v>0</v>
      </c>
      <c r="G111" s="7">
        <v>61434.73</v>
      </c>
      <c r="I111" s="8">
        <f t="shared" si="1"/>
        <v>0</v>
      </c>
    </row>
    <row r="112" spans="1:9" ht="14.4" x14ac:dyDescent="0.3">
      <c r="A112" s="25">
        <v>45065</v>
      </c>
      <c r="B112" s="6" t="s">
        <v>135</v>
      </c>
      <c r="C112" s="6" t="s">
        <v>235</v>
      </c>
      <c r="D112" s="25">
        <v>45064</v>
      </c>
      <c r="E112" s="7">
        <v>0</v>
      </c>
      <c r="F112" s="7">
        <v>1350.54</v>
      </c>
      <c r="G112" s="7">
        <v>62785.27</v>
      </c>
      <c r="I112" s="8">
        <f t="shared" si="1"/>
        <v>0</v>
      </c>
    </row>
    <row r="113" spans="1:9" ht="14.4" x14ac:dyDescent="0.3">
      <c r="A113" s="25">
        <v>45065</v>
      </c>
      <c r="B113" s="6" t="s">
        <v>133</v>
      </c>
      <c r="C113" s="6" t="s">
        <v>236</v>
      </c>
      <c r="D113" s="25">
        <v>45065</v>
      </c>
      <c r="E113" s="7">
        <v>130.04</v>
      </c>
      <c r="F113" s="7">
        <v>0</v>
      </c>
      <c r="G113" s="7">
        <v>62655.23</v>
      </c>
      <c r="I113" s="8">
        <f t="shared" si="1"/>
        <v>0</v>
      </c>
    </row>
    <row r="114" spans="1:9" ht="14.4" x14ac:dyDescent="0.3">
      <c r="A114" s="25">
        <v>45065</v>
      </c>
      <c r="B114" s="6" t="s">
        <v>135</v>
      </c>
      <c r="C114" s="6" t="s">
        <v>237</v>
      </c>
      <c r="D114" s="25">
        <v>45065</v>
      </c>
      <c r="E114" s="7">
        <v>0</v>
      </c>
      <c r="F114" s="7">
        <v>486.55</v>
      </c>
      <c r="G114" s="7">
        <v>63141.78</v>
      </c>
      <c r="I114" s="8">
        <f t="shared" si="1"/>
        <v>0</v>
      </c>
    </row>
    <row r="115" spans="1:9" ht="14.4" x14ac:dyDescent="0.3">
      <c r="A115" s="25">
        <v>45068</v>
      </c>
      <c r="B115" s="6" t="s">
        <v>238</v>
      </c>
      <c r="C115" s="6" t="s">
        <v>239</v>
      </c>
      <c r="D115" s="25">
        <v>45068</v>
      </c>
      <c r="E115" s="7">
        <v>0</v>
      </c>
      <c r="F115" s="7">
        <v>1885</v>
      </c>
      <c r="G115" s="7">
        <v>65026.78</v>
      </c>
      <c r="I115" s="8">
        <f t="shared" si="1"/>
        <v>0</v>
      </c>
    </row>
    <row r="116" spans="1:9" ht="14.4" x14ac:dyDescent="0.3">
      <c r="A116" s="25">
        <v>45068</v>
      </c>
      <c r="B116" s="6" t="s">
        <v>133</v>
      </c>
      <c r="C116" s="6" t="s">
        <v>240</v>
      </c>
      <c r="D116" s="25">
        <v>45068</v>
      </c>
      <c r="E116" s="7">
        <v>435.03</v>
      </c>
      <c r="F116" s="7">
        <v>0</v>
      </c>
      <c r="G116" s="7">
        <v>64591.75</v>
      </c>
      <c r="I116" s="8">
        <f t="shared" si="1"/>
        <v>0</v>
      </c>
    </row>
    <row r="117" spans="1:9" ht="14.4" x14ac:dyDescent="0.3">
      <c r="A117" s="25">
        <v>45068</v>
      </c>
      <c r="B117" s="6" t="s">
        <v>241</v>
      </c>
      <c r="C117" s="6" t="s">
        <v>242</v>
      </c>
      <c r="D117" s="25">
        <v>45068</v>
      </c>
      <c r="E117" s="7">
        <v>20000</v>
      </c>
      <c r="F117" s="7">
        <v>0</v>
      </c>
      <c r="G117" s="7">
        <v>44591.75</v>
      </c>
      <c r="I117" s="8">
        <f t="shared" si="1"/>
        <v>0</v>
      </c>
    </row>
    <row r="118" spans="1:9" ht="14.4" x14ac:dyDescent="0.3">
      <c r="A118" s="25">
        <v>45069</v>
      </c>
      <c r="B118" s="6" t="s">
        <v>135</v>
      </c>
      <c r="C118" s="6" t="s">
        <v>243</v>
      </c>
      <c r="D118" s="25">
        <v>45068</v>
      </c>
      <c r="E118" s="7">
        <v>0</v>
      </c>
      <c r="F118" s="7">
        <v>359.26</v>
      </c>
      <c r="G118" s="7">
        <v>44951.01</v>
      </c>
      <c r="I118" s="8">
        <f t="shared" si="1"/>
        <v>0</v>
      </c>
    </row>
    <row r="119" spans="1:9" ht="14.4" x14ac:dyDescent="0.3">
      <c r="A119" s="25">
        <v>45069</v>
      </c>
      <c r="B119" s="6" t="s">
        <v>135</v>
      </c>
      <c r="C119" s="6" t="s">
        <v>244</v>
      </c>
      <c r="D119" s="25">
        <v>45068</v>
      </c>
      <c r="E119" s="7">
        <v>0</v>
      </c>
      <c r="F119" s="7">
        <v>359.26</v>
      </c>
      <c r="G119" s="7">
        <v>45310.27</v>
      </c>
      <c r="I119" s="8">
        <f t="shared" si="1"/>
        <v>0</v>
      </c>
    </row>
    <row r="120" spans="1:9" ht="14.4" x14ac:dyDescent="0.3">
      <c r="A120" s="25">
        <v>45069</v>
      </c>
      <c r="B120" s="6" t="s">
        <v>133</v>
      </c>
      <c r="C120" s="6" t="s">
        <v>245</v>
      </c>
      <c r="D120" s="25">
        <v>45069</v>
      </c>
      <c r="E120" s="7">
        <v>359.26</v>
      </c>
      <c r="F120" s="7">
        <v>0</v>
      </c>
      <c r="G120" s="7">
        <v>44951.01</v>
      </c>
      <c r="I120" s="8">
        <f t="shared" si="1"/>
        <v>0</v>
      </c>
    </row>
    <row r="121" spans="1:9" ht="14.4" x14ac:dyDescent="0.3">
      <c r="A121" s="25">
        <v>45069</v>
      </c>
      <c r="B121" s="6" t="s">
        <v>133</v>
      </c>
      <c r="C121" s="6" t="s">
        <v>246</v>
      </c>
      <c r="D121" s="25">
        <v>45069</v>
      </c>
      <c r="E121" s="7">
        <v>145.19</v>
      </c>
      <c r="F121" s="7">
        <v>0</v>
      </c>
      <c r="G121" s="7">
        <v>44805.82</v>
      </c>
      <c r="I121" s="8">
        <f t="shared" si="1"/>
        <v>0</v>
      </c>
    </row>
    <row r="122" spans="1:9" ht="14.4" x14ac:dyDescent="0.3">
      <c r="A122" s="25">
        <v>45069</v>
      </c>
      <c r="B122" s="6" t="s">
        <v>133</v>
      </c>
      <c r="C122" s="6" t="s">
        <v>247</v>
      </c>
      <c r="D122" s="25">
        <v>45069</v>
      </c>
      <c r="E122" s="7">
        <v>23871.7</v>
      </c>
      <c r="F122" s="7">
        <v>0</v>
      </c>
      <c r="G122" s="7">
        <v>20934.12</v>
      </c>
      <c r="I122" s="8">
        <f t="shared" si="1"/>
        <v>0</v>
      </c>
    </row>
    <row r="123" spans="1:9" ht="14.4" x14ac:dyDescent="0.3">
      <c r="A123" s="25">
        <v>45070</v>
      </c>
      <c r="B123" s="6" t="s">
        <v>133</v>
      </c>
      <c r="C123" s="6" t="s">
        <v>248</v>
      </c>
      <c r="D123" s="25">
        <v>45070</v>
      </c>
      <c r="E123" s="7">
        <v>133.41999999999999</v>
      </c>
      <c r="F123" s="7">
        <v>0</v>
      </c>
      <c r="G123" s="7">
        <v>20800.7</v>
      </c>
      <c r="I123" s="8">
        <f t="shared" si="1"/>
        <v>0</v>
      </c>
    </row>
    <row r="124" spans="1:9" ht="14.4" x14ac:dyDescent="0.3">
      <c r="A124" s="25">
        <v>45070</v>
      </c>
      <c r="B124" s="6" t="s">
        <v>133</v>
      </c>
      <c r="C124" s="6" t="s">
        <v>249</v>
      </c>
      <c r="D124" s="25">
        <v>45070</v>
      </c>
      <c r="E124" s="7">
        <v>133.41999999999999</v>
      </c>
      <c r="F124" s="7">
        <v>0</v>
      </c>
      <c r="G124" s="7">
        <v>20667.28</v>
      </c>
      <c r="I124" s="8">
        <f t="shared" si="1"/>
        <v>0</v>
      </c>
    </row>
    <row r="125" spans="1:9" ht="14.4" x14ac:dyDescent="0.3">
      <c r="A125" s="25">
        <v>45070</v>
      </c>
      <c r="B125" s="6" t="s">
        <v>135</v>
      </c>
      <c r="C125" s="6" t="s">
        <v>250</v>
      </c>
      <c r="D125" s="25">
        <v>45070</v>
      </c>
      <c r="E125" s="7">
        <v>0</v>
      </c>
      <c r="F125" s="7">
        <v>131.24</v>
      </c>
      <c r="G125" s="7">
        <v>20798.52</v>
      </c>
      <c r="I125" s="8">
        <f t="shared" si="1"/>
        <v>0</v>
      </c>
    </row>
    <row r="126" spans="1:9" ht="14.4" x14ac:dyDescent="0.3">
      <c r="A126" s="25">
        <v>45070</v>
      </c>
      <c r="B126" s="6" t="s">
        <v>135</v>
      </c>
      <c r="C126" s="6" t="s">
        <v>251</v>
      </c>
      <c r="D126" s="25">
        <v>45070</v>
      </c>
      <c r="E126" s="7">
        <v>0</v>
      </c>
      <c r="F126" s="7">
        <v>133.41999999999999</v>
      </c>
      <c r="G126" s="7">
        <v>20931.939999999999</v>
      </c>
      <c r="I126" s="8">
        <f t="shared" si="1"/>
        <v>0</v>
      </c>
    </row>
    <row r="127" spans="1:9" ht="14.4" x14ac:dyDescent="0.3">
      <c r="A127" s="25">
        <v>45071</v>
      </c>
      <c r="B127" s="6" t="s">
        <v>154</v>
      </c>
      <c r="C127" s="6" t="s">
        <v>252</v>
      </c>
      <c r="D127" s="25">
        <v>45071</v>
      </c>
      <c r="E127" s="7">
        <v>2500</v>
      </c>
      <c r="F127" s="7">
        <v>0</v>
      </c>
      <c r="G127" s="7">
        <v>18431.939999999999</v>
      </c>
      <c r="I127" s="8">
        <f t="shared" si="1"/>
        <v>0</v>
      </c>
    </row>
    <row r="128" spans="1:9" ht="14.4" x14ac:dyDescent="0.3">
      <c r="A128" s="25">
        <v>45071</v>
      </c>
      <c r="B128" s="6" t="s">
        <v>133</v>
      </c>
      <c r="C128" s="6" t="s">
        <v>253</v>
      </c>
      <c r="D128" s="25">
        <v>45071</v>
      </c>
      <c r="E128" s="7">
        <v>140.9</v>
      </c>
      <c r="F128" s="7">
        <v>0</v>
      </c>
      <c r="G128" s="7">
        <v>18291.04</v>
      </c>
      <c r="I128" s="8">
        <f t="shared" si="1"/>
        <v>0</v>
      </c>
    </row>
    <row r="129" spans="1:9" ht="14.4" x14ac:dyDescent="0.3">
      <c r="A129" s="25">
        <v>45071</v>
      </c>
      <c r="B129" s="6" t="s">
        <v>133</v>
      </c>
      <c r="C129" s="6" t="s">
        <v>254</v>
      </c>
      <c r="D129" s="25">
        <v>45071</v>
      </c>
      <c r="E129" s="7">
        <v>5484.32</v>
      </c>
      <c r="F129" s="7">
        <v>0</v>
      </c>
      <c r="G129" s="7">
        <v>12806.72</v>
      </c>
      <c r="I129" s="8">
        <f t="shared" si="1"/>
        <v>0</v>
      </c>
    </row>
    <row r="130" spans="1:9" ht="14.4" x14ac:dyDescent="0.3">
      <c r="A130" s="25">
        <v>45072</v>
      </c>
      <c r="B130" s="6" t="s">
        <v>135</v>
      </c>
      <c r="C130" s="6" t="s">
        <v>255</v>
      </c>
      <c r="D130" s="25">
        <v>45071</v>
      </c>
      <c r="E130" s="7">
        <v>0</v>
      </c>
      <c r="F130" s="7">
        <v>1244.1600000000001</v>
      </c>
      <c r="G130" s="7">
        <v>14050.88</v>
      </c>
      <c r="I130" s="8">
        <f t="shared" si="1"/>
        <v>0</v>
      </c>
    </row>
    <row r="131" spans="1:9" ht="14.4" x14ac:dyDescent="0.3">
      <c r="A131" s="25">
        <v>45072</v>
      </c>
      <c r="B131" s="6" t="s">
        <v>133</v>
      </c>
      <c r="C131" s="6" t="s">
        <v>256</v>
      </c>
      <c r="D131" s="25">
        <v>45072</v>
      </c>
      <c r="E131" s="7">
        <v>12094.93</v>
      </c>
      <c r="F131" s="7">
        <v>0</v>
      </c>
      <c r="G131" s="7">
        <v>1955.95</v>
      </c>
      <c r="I131" s="8">
        <f t="shared" si="1"/>
        <v>0</v>
      </c>
    </row>
    <row r="132" spans="1:9" ht="14.4" x14ac:dyDescent="0.3">
      <c r="A132" s="25">
        <v>45072</v>
      </c>
      <c r="B132" s="6" t="s">
        <v>135</v>
      </c>
      <c r="C132" s="6" t="s">
        <v>257</v>
      </c>
      <c r="D132" s="25">
        <v>45071</v>
      </c>
      <c r="E132" s="7">
        <v>0</v>
      </c>
      <c r="F132" s="7">
        <v>12094.93</v>
      </c>
      <c r="G132" s="7">
        <v>14050.88</v>
      </c>
      <c r="I132" s="8">
        <f t="shared" si="1"/>
        <v>0</v>
      </c>
    </row>
    <row r="133" spans="1:9" ht="14.4" x14ac:dyDescent="0.3">
      <c r="A133" s="25">
        <v>45072</v>
      </c>
      <c r="B133" s="6" t="s">
        <v>133</v>
      </c>
      <c r="C133" s="6" t="s">
        <v>258</v>
      </c>
      <c r="D133" s="25">
        <v>45072</v>
      </c>
      <c r="E133" s="7">
        <v>141.51</v>
      </c>
      <c r="F133" s="7">
        <v>0</v>
      </c>
      <c r="G133" s="7">
        <v>13909.37</v>
      </c>
      <c r="I133" s="8">
        <f t="shared" si="1"/>
        <v>0</v>
      </c>
    </row>
    <row r="134" spans="1:9" ht="14.4" x14ac:dyDescent="0.3">
      <c r="A134" s="25">
        <v>45072</v>
      </c>
      <c r="B134" s="6" t="s">
        <v>135</v>
      </c>
      <c r="C134" s="6" t="s">
        <v>259</v>
      </c>
      <c r="D134" s="25">
        <v>45072</v>
      </c>
      <c r="E134" s="7">
        <v>0</v>
      </c>
      <c r="F134" s="7">
        <v>321.22000000000003</v>
      </c>
      <c r="G134" s="7">
        <v>14230.59</v>
      </c>
      <c r="I134" s="8">
        <f t="shared" si="1"/>
        <v>0</v>
      </c>
    </row>
    <row r="135" spans="1:9" ht="14.4" x14ac:dyDescent="0.3">
      <c r="A135" s="25">
        <v>45075</v>
      </c>
      <c r="B135" s="6" t="s">
        <v>133</v>
      </c>
      <c r="C135" s="6" t="s">
        <v>260</v>
      </c>
      <c r="D135" s="25">
        <v>45075</v>
      </c>
      <c r="E135" s="7">
        <v>425.01</v>
      </c>
      <c r="F135" s="7">
        <v>0</v>
      </c>
      <c r="G135" s="7">
        <v>13805.58</v>
      </c>
      <c r="I135" s="8">
        <f t="shared" si="1"/>
        <v>0</v>
      </c>
    </row>
    <row r="136" spans="1:9" ht="14.4" x14ac:dyDescent="0.3">
      <c r="A136" s="25">
        <v>45075</v>
      </c>
      <c r="B136" s="6" t="s">
        <v>135</v>
      </c>
      <c r="C136" s="6" t="s">
        <v>261</v>
      </c>
      <c r="D136" s="25">
        <v>45075</v>
      </c>
      <c r="E136" s="7">
        <v>0</v>
      </c>
      <c r="F136" s="7">
        <v>1274.26</v>
      </c>
      <c r="G136" s="7">
        <v>15079.84</v>
      </c>
      <c r="I136" s="8">
        <f t="shared" si="1"/>
        <v>0</v>
      </c>
    </row>
    <row r="137" spans="1:9" ht="14.4" x14ac:dyDescent="0.3">
      <c r="A137" s="25">
        <v>45076</v>
      </c>
      <c r="B137" s="6" t="s">
        <v>133</v>
      </c>
      <c r="C137" s="6" t="s">
        <v>262</v>
      </c>
      <c r="D137" s="25">
        <v>45076</v>
      </c>
      <c r="E137" s="7">
        <v>142.30000000000001</v>
      </c>
      <c r="F137" s="7">
        <v>0</v>
      </c>
      <c r="G137" s="7">
        <v>14937.54</v>
      </c>
      <c r="I137" s="8">
        <f t="shared" si="1"/>
        <v>0</v>
      </c>
    </row>
    <row r="138" spans="1:9" ht="14.4" x14ac:dyDescent="0.3">
      <c r="A138" s="25">
        <v>45076</v>
      </c>
      <c r="B138" s="6" t="s">
        <v>135</v>
      </c>
      <c r="C138" s="6" t="s">
        <v>263</v>
      </c>
      <c r="D138" s="25">
        <v>45076</v>
      </c>
      <c r="E138" s="7">
        <v>0</v>
      </c>
      <c r="F138" s="7">
        <v>857.71</v>
      </c>
      <c r="G138" s="7">
        <v>15795.25</v>
      </c>
      <c r="I138" s="8">
        <f t="shared" si="1"/>
        <v>0</v>
      </c>
    </row>
    <row r="139" spans="1:9" ht="14.4" x14ac:dyDescent="0.3">
      <c r="A139" s="25">
        <v>45077</v>
      </c>
      <c r="B139" s="6" t="s">
        <v>133</v>
      </c>
      <c r="C139" s="6" t="s">
        <v>264</v>
      </c>
      <c r="D139" s="25">
        <v>45077</v>
      </c>
      <c r="E139" s="7">
        <v>142.72</v>
      </c>
      <c r="F139" s="7">
        <v>0</v>
      </c>
      <c r="G139" s="7">
        <v>15652.53</v>
      </c>
      <c r="I139" s="8">
        <f t="shared" si="1"/>
        <v>0</v>
      </c>
    </row>
    <row r="140" spans="1:9" ht="14.4" x14ac:dyDescent="0.3">
      <c r="A140" s="25">
        <v>45077</v>
      </c>
      <c r="B140" s="6" t="s">
        <v>133</v>
      </c>
      <c r="C140" s="6" t="s">
        <v>265</v>
      </c>
      <c r="D140" s="25">
        <v>45077</v>
      </c>
      <c r="E140" s="7">
        <v>632.73</v>
      </c>
      <c r="F140" s="7">
        <v>0</v>
      </c>
      <c r="G140" s="7">
        <v>15019.8</v>
      </c>
      <c r="I140" s="8">
        <f t="shared" si="1"/>
        <v>0</v>
      </c>
    </row>
    <row r="141" spans="1:9" ht="14.4" x14ac:dyDescent="0.3">
      <c r="A141" s="25">
        <v>45078</v>
      </c>
      <c r="B141" s="6" t="s">
        <v>133</v>
      </c>
      <c r="C141" s="6" t="s">
        <v>266</v>
      </c>
      <c r="D141" s="25">
        <v>45078</v>
      </c>
      <c r="E141" s="7">
        <v>142.41</v>
      </c>
      <c r="F141" s="7">
        <v>0</v>
      </c>
      <c r="G141" s="7">
        <v>14877.39</v>
      </c>
      <c r="I141" s="8">
        <f t="shared" si="1"/>
        <v>0</v>
      </c>
    </row>
    <row r="142" spans="1:9" ht="14.4" x14ac:dyDescent="0.3">
      <c r="A142" s="25">
        <v>45078</v>
      </c>
      <c r="B142" s="6" t="s">
        <v>135</v>
      </c>
      <c r="C142" s="6" t="s">
        <v>267</v>
      </c>
      <c r="D142" s="25">
        <v>45078</v>
      </c>
      <c r="E142" s="7">
        <v>0</v>
      </c>
      <c r="F142" s="7">
        <v>5257.45</v>
      </c>
      <c r="G142" s="7">
        <v>20134.84</v>
      </c>
      <c r="I142" s="8">
        <f t="shared" si="1"/>
        <v>0</v>
      </c>
    </row>
    <row r="143" spans="1:9" ht="14.4" x14ac:dyDescent="0.3">
      <c r="A143" s="25">
        <v>45078</v>
      </c>
      <c r="B143" s="6" t="s">
        <v>135</v>
      </c>
      <c r="C143" s="6" t="s">
        <v>268</v>
      </c>
      <c r="D143" s="25">
        <v>45078</v>
      </c>
      <c r="E143" s="7">
        <v>0</v>
      </c>
      <c r="F143" s="7">
        <v>257.66000000000003</v>
      </c>
      <c r="G143" s="7">
        <v>20392.5</v>
      </c>
      <c r="I143" s="8">
        <f t="shared" si="1"/>
        <v>0</v>
      </c>
    </row>
    <row r="144" spans="1:9" ht="14.4" x14ac:dyDescent="0.3">
      <c r="A144" s="25">
        <v>45079</v>
      </c>
      <c r="B144" s="6" t="s">
        <v>133</v>
      </c>
      <c r="C144" s="6" t="s">
        <v>269</v>
      </c>
      <c r="D144" s="25">
        <v>45079</v>
      </c>
      <c r="E144" s="7">
        <v>142.53</v>
      </c>
      <c r="F144" s="7">
        <v>0</v>
      </c>
      <c r="G144" s="7">
        <v>20249.97</v>
      </c>
      <c r="I144" s="8">
        <f t="shared" si="1"/>
        <v>0</v>
      </c>
    </row>
    <row r="145" spans="1:9" ht="14.4" x14ac:dyDescent="0.3">
      <c r="A145" s="25">
        <v>45079</v>
      </c>
      <c r="B145" s="6" t="s">
        <v>135</v>
      </c>
      <c r="C145" s="6" t="s">
        <v>270</v>
      </c>
      <c r="D145" s="25">
        <v>45079</v>
      </c>
      <c r="E145" s="7">
        <v>0</v>
      </c>
      <c r="F145" s="7">
        <v>452.8</v>
      </c>
      <c r="G145" s="7">
        <v>20702.77</v>
      </c>
      <c r="I145" s="8">
        <f t="shared" si="1"/>
        <v>0</v>
      </c>
    </row>
    <row r="146" spans="1:9" ht="14.4" x14ac:dyDescent="0.3">
      <c r="A146" s="25">
        <v>45082</v>
      </c>
      <c r="B146" s="6" t="s">
        <v>133</v>
      </c>
      <c r="C146" s="6" t="s">
        <v>271</v>
      </c>
      <c r="D146" s="25">
        <v>45082</v>
      </c>
      <c r="E146" s="7">
        <v>428.28</v>
      </c>
      <c r="F146" s="7">
        <v>0</v>
      </c>
      <c r="G146" s="7">
        <v>20274.490000000002</v>
      </c>
      <c r="I146" s="8">
        <f t="shared" si="1"/>
        <v>0</v>
      </c>
    </row>
    <row r="147" spans="1:9" ht="14.4" x14ac:dyDescent="0.3">
      <c r="A147" s="25">
        <v>45082</v>
      </c>
      <c r="B147" s="6" t="s">
        <v>135</v>
      </c>
      <c r="C147" s="6" t="s">
        <v>272</v>
      </c>
      <c r="D147" s="25">
        <v>45082</v>
      </c>
      <c r="E147" s="7">
        <v>0</v>
      </c>
      <c r="F147" s="7">
        <v>252.98</v>
      </c>
      <c r="G147" s="7">
        <v>20527.47</v>
      </c>
      <c r="I147" s="8">
        <f t="shared" si="1"/>
        <v>0</v>
      </c>
    </row>
    <row r="148" spans="1:9" ht="14.4" x14ac:dyDescent="0.3">
      <c r="A148" s="25">
        <v>45082</v>
      </c>
      <c r="B148" s="6" t="s">
        <v>273</v>
      </c>
      <c r="C148" s="6" t="s">
        <v>274</v>
      </c>
      <c r="D148" s="25">
        <v>45082</v>
      </c>
      <c r="E148" s="7">
        <v>0</v>
      </c>
      <c r="F148" s="7">
        <v>20000</v>
      </c>
      <c r="G148" s="7">
        <v>40527.47</v>
      </c>
      <c r="I148" s="8">
        <f t="shared" si="1"/>
        <v>0</v>
      </c>
    </row>
    <row r="149" spans="1:9" ht="14.4" x14ac:dyDescent="0.3">
      <c r="A149" s="25">
        <v>45083</v>
      </c>
      <c r="B149" s="6" t="s">
        <v>133</v>
      </c>
      <c r="C149" s="6" t="s">
        <v>275</v>
      </c>
      <c r="D149" s="25">
        <v>45083</v>
      </c>
      <c r="E149" s="7">
        <v>142.88</v>
      </c>
      <c r="F149" s="7">
        <v>0</v>
      </c>
      <c r="G149" s="7">
        <v>40384.589999999997</v>
      </c>
      <c r="I149" s="8">
        <f t="shared" si="1"/>
        <v>0</v>
      </c>
    </row>
    <row r="150" spans="1:9" ht="14.4" x14ac:dyDescent="0.3">
      <c r="A150" s="25">
        <v>45083</v>
      </c>
      <c r="B150" s="6" t="s">
        <v>133</v>
      </c>
      <c r="C150" s="6" t="s">
        <v>276</v>
      </c>
      <c r="D150" s="25">
        <v>45083</v>
      </c>
      <c r="E150" s="7">
        <v>529.98</v>
      </c>
      <c r="F150" s="7">
        <v>0</v>
      </c>
      <c r="G150" s="7">
        <v>39854.61</v>
      </c>
      <c r="I150" s="8">
        <f t="shared" si="1"/>
        <v>0</v>
      </c>
    </row>
    <row r="151" spans="1:9" ht="14.4" x14ac:dyDescent="0.3">
      <c r="A151" s="25">
        <v>45083</v>
      </c>
      <c r="B151" s="6" t="s">
        <v>135</v>
      </c>
      <c r="C151" s="6" t="s">
        <v>277</v>
      </c>
      <c r="D151" s="25">
        <v>45083</v>
      </c>
      <c r="E151" s="7">
        <v>0</v>
      </c>
      <c r="F151" s="7">
        <v>9424.64</v>
      </c>
      <c r="G151" s="7">
        <v>49279.25</v>
      </c>
      <c r="I151" s="8">
        <f t="shared" si="1"/>
        <v>0</v>
      </c>
    </row>
    <row r="152" spans="1:9" ht="14.4" x14ac:dyDescent="0.3">
      <c r="A152" s="25">
        <v>45084</v>
      </c>
      <c r="B152" s="6" t="s">
        <v>133</v>
      </c>
      <c r="C152" s="6" t="s">
        <v>278</v>
      </c>
      <c r="D152" s="25">
        <v>45084</v>
      </c>
      <c r="E152" s="7">
        <v>142.62</v>
      </c>
      <c r="F152" s="7">
        <v>0</v>
      </c>
      <c r="G152" s="7">
        <v>49136.63</v>
      </c>
      <c r="I152" s="8">
        <f t="shared" ref="I152:I215" si="2">G151-E152+F152-G152</f>
        <v>0</v>
      </c>
    </row>
    <row r="153" spans="1:9" ht="14.4" x14ac:dyDescent="0.3">
      <c r="A153" s="25">
        <v>45084</v>
      </c>
      <c r="B153" s="6" t="s">
        <v>279</v>
      </c>
      <c r="C153" s="6" t="s">
        <v>280</v>
      </c>
      <c r="D153" s="25">
        <v>45084</v>
      </c>
      <c r="E153" s="7">
        <v>0</v>
      </c>
      <c r="F153" s="7">
        <v>1880</v>
      </c>
      <c r="G153" s="7">
        <v>51016.63</v>
      </c>
      <c r="I153" s="8">
        <f t="shared" si="2"/>
        <v>0</v>
      </c>
    </row>
    <row r="154" spans="1:9" ht="14.4" x14ac:dyDescent="0.3">
      <c r="A154" s="25">
        <v>45084</v>
      </c>
      <c r="B154" s="6" t="s">
        <v>133</v>
      </c>
      <c r="C154" s="6" t="s">
        <v>281</v>
      </c>
      <c r="D154" s="25">
        <v>45084</v>
      </c>
      <c r="E154" s="7">
        <v>17825.669999999998</v>
      </c>
      <c r="F154" s="7">
        <v>0</v>
      </c>
      <c r="G154" s="7">
        <v>33190.959999999999</v>
      </c>
      <c r="I154" s="8">
        <f t="shared" si="2"/>
        <v>0</v>
      </c>
    </row>
    <row r="155" spans="1:9" ht="14.4" x14ac:dyDescent="0.3">
      <c r="A155" s="25">
        <v>45084</v>
      </c>
      <c r="B155" s="6" t="s">
        <v>135</v>
      </c>
      <c r="C155" s="6" t="s">
        <v>282</v>
      </c>
      <c r="D155" s="25">
        <v>45084</v>
      </c>
      <c r="E155" s="7">
        <v>0</v>
      </c>
      <c r="F155" s="7">
        <v>14433.7</v>
      </c>
      <c r="G155" s="7">
        <v>47624.66</v>
      </c>
      <c r="I155" s="8">
        <f t="shared" si="2"/>
        <v>0</v>
      </c>
    </row>
    <row r="156" spans="1:9" ht="14.4" x14ac:dyDescent="0.3">
      <c r="A156" s="25">
        <v>45085</v>
      </c>
      <c r="B156" s="6" t="s">
        <v>133</v>
      </c>
      <c r="C156" s="6" t="s">
        <v>283</v>
      </c>
      <c r="D156" s="25">
        <v>45085</v>
      </c>
      <c r="E156" s="7">
        <v>133.83000000000001</v>
      </c>
      <c r="F156" s="7">
        <v>0</v>
      </c>
      <c r="G156" s="7">
        <v>47490.83</v>
      </c>
      <c r="I156" s="8">
        <f t="shared" si="2"/>
        <v>0</v>
      </c>
    </row>
    <row r="157" spans="1:9" ht="14.4" x14ac:dyDescent="0.3">
      <c r="A157" s="25">
        <v>45085</v>
      </c>
      <c r="B157" s="6" t="s">
        <v>135</v>
      </c>
      <c r="C157" s="6" t="s">
        <v>284</v>
      </c>
      <c r="D157" s="25">
        <v>45085</v>
      </c>
      <c r="E157" s="7">
        <v>0</v>
      </c>
      <c r="F157" s="7">
        <v>1130.33</v>
      </c>
      <c r="G157" s="7">
        <v>48621.16</v>
      </c>
      <c r="I157" s="8">
        <f t="shared" si="2"/>
        <v>0</v>
      </c>
    </row>
    <row r="158" spans="1:9" ht="14.4" x14ac:dyDescent="0.3">
      <c r="A158" s="25">
        <v>45086</v>
      </c>
      <c r="B158" s="6" t="s">
        <v>133</v>
      </c>
      <c r="C158" s="6" t="s">
        <v>285</v>
      </c>
      <c r="D158" s="25">
        <v>45086</v>
      </c>
      <c r="E158" s="7">
        <v>134.38999999999999</v>
      </c>
      <c r="F158" s="7">
        <v>0</v>
      </c>
      <c r="G158" s="7">
        <v>48486.77</v>
      </c>
      <c r="I158" s="8">
        <f t="shared" si="2"/>
        <v>0</v>
      </c>
    </row>
    <row r="159" spans="1:9" ht="14.4" x14ac:dyDescent="0.3">
      <c r="A159" s="25">
        <v>45086</v>
      </c>
      <c r="B159" s="6" t="s">
        <v>286</v>
      </c>
      <c r="C159" s="6" t="s">
        <v>287</v>
      </c>
      <c r="D159" s="25">
        <v>45086</v>
      </c>
      <c r="E159" s="7">
        <v>0</v>
      </c>
      <c r="F159" s="7">
        <v>20000</v>
      </c>
      <c r="G159" s="7">
        <v>68486.77</v>
      </c>
      <c r="I159" s="8">
        <f t="shared" si="2"/>
        <v>0</v>
      </c>
    </row>
    <row r="160" spans="1:9" ht="14.4" x14ac:dyDescent="0.3">
      <c r="A160" s="25">
        <v>45086</v>
      </c>
      <c r="B160" s="6" t="s">
        <v>133</v>
      </c>
      <c r="C160" s="6" t="s">
        <v>288</v>
      </c>
      <c r="D160" s="25">
        <v>45086</v>
      </c>
      <c r="E160" s="7">
        <v>1526.13</v>
      </c>
      <c r="F160" s="7">
        <v>0</v>
      </c>
      <c r="G160" s="7">
        <v>66960.639999999999</v>
      </c>
      <c r="I160" s="8">
        <f t="shared" si="2"/>
        <v>0</v>
      </c>
    </row>
    <row r="161" spans="1:9" ht="14.4" x14ac:dyDescent="0.3">
      <c r="A161" s="25">
        <v>45089</v>
      </c>
      <c r="B161" s="6" t="s">
        <v>154</v>
      </c>
      <c r="C161" s="6" t="s">
        <v>289</v>
      </c>
      <c r="D161" s="25">
        <v>45089</v>
      </c>
      <c r="E161" s="7">
        <v>3000</v>
      </c>
      <c r="F161" s="7">
        <v>0</v>
      </c>
      <c r="G161" s="7">
        <v>63960.639999999999</v>
      </c>
      <c r="I161" s="8">
        <f t="shared" si="2"/>
        <v>0</v>
      </c>
    </row>
    <row r="162" spans="1:9" ht="14.4" x14ac:dyDescent="0.3">
      <c r="A162" s="25">
        <v>45089</v>
      </c>
      <c r="B162" s="6" t="s">
        <v>133</v>
      </c>
      <c r="C162" s="6" t="s">
        <v>290</v>
      </c>
      <c r="D162" s="25">
        <v>45089</v>
      </c>
      <c r="E162" s="7">
        <v>400.92</v>
      </c>
      <c r="F162" s="7">
        <v>0</v>
      </c>
      <c r="G162" s="7">
        <v>63559.72</v>
      </c>
      <c r="I162" s="8">
        <f t="shared" si="2"/>
        <v>0</v>
      </c>
    </row>
    <row r="163" spans="1:9" ht="14.4" x14ac:dyDescent="0.3">
      <c r="A163" s="25">
        <v>45089</v>
      </c>
      <c r="B163" s="6" t="s">
        <v>133</v>
      </c>
      <c r="C163" s="6" t="s">
        <v>291</v>
      </c>
      <c r="D163" s="25">
        <v>45089</v>
      </c>
      <c r="E163" s="7">
        <v>8675.14</v>
      </c>
      <c r="F163" s="7">
        <v>0</v>
      </c>
      <c r="G163" s="7">
        <v>54884.58</v>
      </c>
      <c r="I163" s="8">
        <f t="shared" si="2"/>
        <v>0</v>
      </c>
    </row>
    <row r="164" spans="1:9" ht="14.4" x14ac:dyDescent="0.3">
      <c r="A164" s="25">
        <v>45089</v>
      </c>
      <c r="B164" s="6" t="s">
        <v>133</v>
      </c>
      <c r="C164" s="6" t="s">
        <v>292</v>
      </c>
      <c r="D164" s="25">
        <v>45089</v>
      </c>
      <c r="E164" s="7">
        <v>2305.65</v>
      </c>
      <c r="F164" s="7">
        <v>0</v>
      </c>
      <c r="G164" s="7">
        <v>52578.93</v>
      </c>
      <c r="I164" s="8">
        <f t="shared" si="2"/>
        <v>0</v>
      </c>
    </row>
    <row r="165" spans="1:9" ht="14.4" x14ac:dyDescent="0.3">
      <c r="A165" s="25">
        <v>45089</v>
      </c>
      <c r="B165" s="6" t="s">
        <v>133</v>
      </c>
      <c r="C165" s="6" t="s">
        <v>293</v>
      </c>
      <c r="D165" s="25">
        <v>45089</v>
      </c>
      <c r="E165" s="7">
        <v>135.62</v>
      </c>
      <c r="F165" s="7">
        <v>0</v>
      </c>
      <c r="G165" s="7">
        <v>52443.31</v>
      </c>
      <c r="I165" s="8">
        <f t="shared" si="2"/>
        <v>0</v>
      </c>
    </row>
    <row r="166" spans="1:9" ht="14.4" x14ac:dyDescent="0.3">
      <c r="A166" s="25">
        <v>45089</v>
      </c>
      <c r="B166" s="6" t="s">
        <v>135</v>
      </c>
      <c r="C166" s="6" t="s">
        <v>294</v>
      </c>
      <c r="D166" s="25">
        <v>45089</v>
      </c>
      <c r="E166" s="7">
        <v>0</v>
      </c>
      <c r="F166" s="7">
        <v>135.62</v>
      </c>
      <c r="G166" s="7">
        <v>52578.93</v>
      </c>
      <c r="I166" s="8">
        <f t="shared" si="2"/>
        <v>0</v>
      </c>
    </row>
    <row r="167" spans="1:9" ht="14.4" x14ac:dyDescent="0.3">
      <c r="A167" s="25">
        <v>45090</v>
      </c>
      <c r="B167" s="6" t="s">
        <v>133</v>
      </c>
      <c r="C167" s="6" t="s">
        <v>295</v>
      </c>
      <c r="D167" s="25">
        <v>45090</v>
      </c>
      <c r="E167" s="7">
        <v>132.5</v>
      </c>
      <c r="F167" s="7">
        <v>0</v>
      </c>
      <c r="G167" s="7">
        <v>52446.43</v>
      </c>
      <c r="I167" s="8">
        <f t="shared" si="2"/>
        <v>0</v>
      </c>
    </row>
    <row r="168" spans="1:9" ht="14.4" x14ac:dyDescent="0.3">
      <c r="A168" s="25">
        <v>45090</v>
      </c>
      <c r="B168" s="6" t="s">
        <v>135</v>
      </c>
      <c r="C168" s="6" t="s">
        <v>296</v>
      </c>
      <c r="D168" s="25">
        <v>45090</v>
      </c>
      <c r="E168" s="7">
        <v>0</v>
      </c>
      <c r="F168" s="7">
        <v>538.99</v>
      </c>
      <c r="G168" s="7">
        <v>52985.42</v>
      </c>
      <c r="I168" s="8">
        <f t="shared" si="2"/>
        <v>0</v>
      </c>
    </row>
    <row r="169" spans="1:9" ht="14.4" x14ac:dyDescent="0.3">
      <c r="A169" s="25">
        <v>45091</v>
      </c>
      <c r="B169" s="6" t="s">
        <v>133</v>
      </c>
      <c r="C169" s="6" t="s">
        <v>297</v>
      </c>
      <c r="D169" s="25">
        <v>45091</v>
      </c>
      <c r="E169" s="7">
        <v>137.69999999999999</v>
      </c>
      <c r="F169" s="7">
        <v>0</v>
      </c>
      <c r="G169" s="7">
        <v>52847.72</v>
      </c>
      <c r="I169" s="8">
        <f t="shared" si="2"/>
        <v>0</v>
      </c>
    </row>
    <row r="170" spans="1:9" ht="14.4" x14ac:dyDescent="0.3">
      <c r="A170" s="25">
        <v>45091</v>
      </c>
      <c r="B170" s="6" t="s">
        <v>204</v>
      </c>
      <c r="C170" s="6" t="s">
        <v>298</v>
      </c>
      <c r="D170" s="25">
        <v>45091</v>
      </c>
      <c r="E170" s="7">
        <v>3000</v>
      </c>
      <c r="F170" s="7">
        <v>0</v>
      </c>
      <c r="G170" s="7">
        <v>49847.72</v>
      </c>
      <c r="I170" s="8">
        <f t="shared" si="2"/>
        <v>0</v>
      </c>
    </row>
    <row r="171" spans="1:9" ht="14.4" x14ac:dyDescent="0.3">
      <c r="A171" s="25">
        <v>45091</v>
      </c>
      <c r="B171" s="6" t="s">
        <v>299</v>
      </c>
      <c r="C171" s="6" t="s">
        <v>300</v>
      </c>
      <c r="D171" s="25">
        <v>45091</v>
      </c>
      <c r="E171" s="7">
        <v>0</v>
      </c>
      <c r="F171" s="7">
        <v>282.5</v>
      </c>
      <c r="G171" s="7">
        <v>50130.22</v>
      </c>
      <c r="I171" s="8">
        <f t="shared" si="2"/>
        <v>0</v>
      </c>
    </row>
    <row r="172" spans="1:9" ht="14.4" x14ac:dyDescent="0.3">
      <c r="A172" s="25">
        <v>45091</v>
      </c>
      <c r="B172" s="6" t="s">
        <v>133</v>
      </c>
      <c r="C172" s="6" t="s">
        <v>301</v>
      </c>
      <c r="D172" s="25">
        <v>45091</v>
      </c>
      <c r="E172" s="7">
        <v>521.11</v>
      </c>
      <c r="F172" s="7">
        <v>0</v>
      </c>
      <c r="G172" s="7">
        <v>49609.11</v>
      </c>
      <c r="I172" s="8">
        <f t="shared" si="2"/>
        <v>0</v>
      </c>
    </row>
    <row r="173" spans="1:9" ht="14.4" x14ac:dyDescent="0.3">
      <c r="A173" s="25">
        <v>45091</v>
      </c>
      <c r="B173" s="6" t="s">
        <v>133</v>
      </c>
      <c r="C173" s="6" t="s">
        <v>302</v>
      </c>
      <c r="D173" s="25">
        <v>45091</v>
      </c>
      <c r="E173" s="7">
        <v>265.45</v>
      </c>
      <c r="F173" s="7">
        <v>0</v>
      </c>
      <c r="G173" s="7">
        <v>49343.66</v>
      </c>
      <c r="I173" s="8">
        <f t="shared" si="2"/>
        <v>0</v>
      </c>
    </row>
    <row r="174" spans="1:9" ht="14.4" x14ac:dyDescent="0.3">
      <c r="A174" s="25">
        <v>45092</v>
      </c>
      <c r="B174" s="6" t="s">
        <v>135</v>
      </c>
      <c r="C174" s="6" t="s">
        <v>303</v>
      </c>
      <c r="D174" s="25">
        <v>45091</v>
      </c>
      <c r="E174" s="7">
        <v>0</v>
      </c>
      <c r="F174" s="7">
        <v>265.45</v>
      </c>
      <c r="G174" s="7">
        <v>49609.11</v>
      </c>
      <c r="I174" s="8">
        <f t="shared" si="2"/>
        <v>0</v>
      </c>
    </row>
    <row r="175" spans="1:9" ht="14.4" x14ac:dyDescent="0.3">
      <c r="A175" s="25">
        <v>45092</v>
      </c>
      <c r="B175" s="6" t="s">
        <v>154</v>
      </c>
      <c r="C175" s="6" t="s">
        <v>304</v>
      </c>
      <c r="D175" s="25">
        <v>45092</v>
      </c>
      <c r="E175" s="7">
        <v>2500</v>
      </c>
      <c r="F175" s="7">
        <v>0</v>
      </c>
      <c r="G175" s="7">
        <v>47109.11</v>
      </c>
      <c r="I175" s="8">
        <f t="shared" si="2"/>
        <v>0</v>
      </c>
    </row>
    <row r="176" spans="1:9" ht="14.4" x14ac:dyDescent="0.3">
      <c r="A176" s="25">
        <v>45092</v>
      </c>
      <c r="B176" s="6" t="s">
        <v>133</v>
      </c>
      <c r="C176" s="6" t="s">
        <v>305</v>
      </c>
      <c r="D176" s="25">
        <v>45092</v>
      </c>
      <c r="E176" s="7">
        <v>137.44</v>
      </c>
      <c r="F176" s="7">
        <v>0</v>
      </c>
      <c r="G176" s="7">
        <v>46971.67</v>
      </c>
      <c r="I176" s="8">
        <f t="shared" si="2"/>
        <v>0</v>
      </c>
    </row>
    <row r="177" spans="1:9" ht="14.4" x14ac:dyDescent="0.3">
      <c r="A177" s="25">
        <v>45092</v>
      </c>
      <c r="B177" s="6" t="s">
        <v>133</v>
      </c>
      <c r="C177" s="6" t="s">
        <v>306</v>
      </c>
      <c r="D177" s="25">
        <v>45092</v>
      </c>
      <c r="E177" s="7">
        <v>1804.9</v>
      </c>
      <c r="F177" s="7">
        <v>0</v>
      </c>
      <c r="G177" s="7">
        <v>45166.77</v>
      </c>
      <c r="I177" s="8">
        <f t="shared" si="2"/>
        <v>0</v>
      </c>
    </row>
    <row r="178" spans="1:9" ht="14.4" x14ac:dyDescent="0.3">
      <c r="A178" s="25">
        <v>45093</v>
      </c>
      <c r="B178" s="6" t="s">
        <v>307</v>
      </c>
      <c r="C178" s="6" t="s">
        <v>149</v>
      </c>
      <c r="D178" s="25">
        <v>45093</v>
      </c>
      <c r="E178" s="7">
        <v>495.6</v>
      </c>
      <c r="F178" s="7">
        <v>0</v>
      </c>
      <c r="G178" s="7">
        <v>44671.17</v>
      </c>
      <c r="I178" s="8">
        <f t="shared" si="2"/>
        <v>0</v>
      </c>
    </row>
    <row r="179" spans="1:9" ht="14.4" x14ac:dyDescent="0.3">
      <c r="A179" s="25">
        <v>45093</v>
      </c>
      <c r="B179" s="6" t="s">
        <v>133</v>
      </c>
      <c r="C179" s="6" t="s">
        <v>308</v>
      </c>
      <c r="D179" s="25">
        <v>45093</v>
      </c>
      <c r="E179" s="7">
        <v>136.55000000000001</v>
      </c>
      <c r="F179" s="7">
        <v>0</v>
      </c>
      <c r="G179" s="7">
        <v>44534.62</v>
      </c>
      <c r="I179" s="8">
        <f t="shared" si="2"/>
        <v>0</v>
      </c>
    </row>
    <row r="180" spans="1:9" ht="14.4" x14ac:dyDescent="0.3">
      <c r="A180" s="25">
        <v>45093</v>
      </c>
      <c r="B180" s="6" t="s">
        <v>309</v>
      </c>
      <c r="C180" s="6" t="s">
        <v>310</v>
      </c>
      <c r="D180" s="25">
        <v>45093</v>
      </c>
      <c r="E180" s="7">
        <v>0</v>
      </c>
      <c r="F180" s="7">
        <v>100</v>
      </c>
      <c r="G180" s="7">
        <v>44634.62</v>
      </c>
      <c r="I180" s="8">
        <f t="shared" si="2"/>
        <v>0</v>
      </c>
    </row>
    <row r="181" spans="1:9" ht="14.4" x14ac:dyDescent="0.3">
      <c r="A181" s="25">
        <v>45094</v>
      </c>
      <c r="B181" s="6" t="s">
        <v>133</v>
      </c>
      <c r="C181" s="6" t="s">
        <v>311</v>
      </c>
      <c r="D181" s="25">
        <v>45094</v>
      </c>
      <c r="E181" s="7">
        <v>7695.07</v>
      </c>
      <c r="F181" s="7">
        <v>0</v>
      </c>
      <c r="G181" s="7">
        <v>36939.550000000003</v>
      </c>
      <c r="I181" s="8">
        <f t="shared" si="2"/>
        <v>0</v>
      </c>
    </row>
    <row r="182" spans="1:9" ht="14.4" x14ac:dyDescent="0.3">
      <c r="A182" s="25">
        <v>45094</v>
      </c>
      <c r="B182" s="6" t="s">
        <v>133</v>
      </c>
      <c r="C182" s="6" t="s">
        <v>312</v>
      </c>
      <c r="D182" s="25">
        <v>45094</v>
      </c>
      <c r="E182" s="7">
        <v>2168.38</v>
      </c>
      <c r="F182" s="7">
        <v>0</v>
      </c>
      <c r="G182" s="7">
        <v>34771.17</v>
      </c>
      <c r="I182" s="8">
        <f t="shared" si="2"/>
        <v>0</v>
      </c>
    </row>
    <row r="183" spans="1:9" ht="14.4" x14ac:dyDescent="0.3">
      <c r="A183" s="25">
        <v>45094</v>
      </c>
      <c r="B183" s="6" t="s">
        <v>135</v>
      </c>
      <c r="C183" s="6" t="s">
        <v>313</v>
      </c>
      <c r="D183" s="25">
        <v>45093</v>
      </c>
      <c r="E183" s="7">
        <v>0</v>
      </c>
      <c r="F183" s="7">
        <v>2168.38</v>
      </c>
      <c r="G183" s="7">
        <v>36939.550000000003</v>
      </c>
      <c r="I183" s="8">
        <f t="shared" si="2"/>
        <v>0</v>
      </c>
    </row>
    <row r="184" spans="1:9" ht="14.4" x14ac:dyDescent="0.3">
      <c r="A184" s="25">
        <v>45096</v>
      </c>
      <c r="B184" s="6" t="s">
        <v>133</v>
      </c>
      <c r="C184" s="6" t="s">
        <v>314</v>
      </c>
      <c r="D184" s="25">
        <v>45096</v>
      </c>
      <c r="E184" s="7">
        <v>398.25</v>
      </c>
      <c r="F184" s="7">
        <v>0</v>
      </c>
      <c r="G184" s="7">
        <v>36541.300000000003</v>
      </c>
      <c r="I184" s="8">
        <f t="shared" si="2"/>
        <v>0</v>
      </c>
    </row>
    <row r="185" spans="1:9" ht="14.4" x14ac:dyDescent="0.3">
      <c r="A185" s="25">
        <v>45096</v>
      </c>
      <c r="B185" s="6" t="s">
        <v>133</v>
      </c>
      <c r="C185" s="6" t="s">
        <v>315</v>
      </c>
      <c r="D185" s="25">
        <v>45096</v>
      </c>
      <c r="E185" s="7">
        <v>2160.91</v>
      </c>
      <c r="F185" s="7">
        <v>0</v>
      </c>
      <c r="G185" s="7">
        <v>34380.39</v>
      </c>
      <c r="I185" s="8">
        <f t="shared" si="2"/>
        <v>0</v>
      </c>
    </row>
    <row r="186" spans="1:9" ht="14.4" x14ac:dyDescent="0.3">
      <c r="A186" s="25">
        <v>45096</v>
      </c>
      <c r="B186" s="6" t="s">
        <v>133</v>
      </c>
      <c r="C186" s="6" t="s">
        <v>316</v>
      </c>
      <c r="D186" s="25">
        <v>45096</v>
      </c>
      <c r="E186" s="7">
        <v>635.09</v>
      </c>
      <c r="F186" s="7">
        <v>0</v>
      </c>
      <c r="G186" s="7">
        <v>33745.300000000003</v>
      </c>
      <c r="I186" s="8">
        <f t="shared" si="2"/>
        <v>0</v>
      </c>
    </row>
    <row r="187" spans="1:9" ht="14.4" x14ac:dyDescent="0.3">
      <c r="A187" s="25">
        <v>45096</v>
      </c>
      <c r="B187" s="6" t="s">
        <v>135</v>
      </c>
      <c r="C187" s="6" t="s">
        <v>317</v>
      </c>
      <c r="D187" s="25">
        <v>45096</v>
      </c>
      <c r="E187" s="7">
        <v>0</v>
      </c>
      <c r="F187" s="7">
        <v>635.09</v>
      </c>
      <c r="G187" s="7">
        <v>34380.39</v>
      </c>
      <c r="I187" s="8">
        <f t="shared" si="2"/>
        <v>0</v>
      </c>
    </row>
    <row r="188" spans="1:9" ht="14.4" x14ac:dyDescent="0.3">
      <c r="A188" s="25">
        <v>45097</v>
      </c>
      <c r="B188" s="6" t="s">
        <v>133</v>
      </c>
      <c r="C188" s="6" t="s">
        <v>318</v>
      </c>
      <c r="D188" s="25">
        <v>45097</v>
      </c>
      <c r="E188" s="7">
        <v>136.41</v>
      </c>
      <c r="F188" s="7">
        <v>0</v>
      </c>
      <c r="G188" s="7">
        <v>34243.980000000003</v>
      </c>
      <c r="I188" s="8">
        <f t="shared" si="2"/>
        <v>0</v>
      </c>
    </row>
    <row r="189" spans="1:9" ht="14.4" x14ac:dyDescent="0.3">
      <c r="A189" s="25">
        <v>45097</v>
      </c>
      <c r="B189" s="6" t="s">
        <v>133</v>
      </c>
      <c r="C189" s="6" t="s">
        <v>319</v>
      </c>
      <c r="D189" s="25">
        <v>45097</v>
      </c>
      <c r="E189" s="7">
        <v>12062.8</v>
      </c>
      <c r="F189" s="7">
        <v>0</v>
      </c>
      <c r="G189" s="7">
        <v>22181.18</v>
      </c>
      <c r="I189" s="8">
        <f t="shared" si="2"/>
        <v>0</v>
      </c>
    </row>
    <row r="190" spans="1:9" ht="14.4" x14ac:dyDescent="0.3">
      <c r="A190" s="25">
        <v>45097</v>
      </c>
      <c r="B190" s="6" t="s">
        <v>133</v>
      </c>
      <c r="C190" s="6" t="s">
        <v>320</v>
      </c>
      <c r="D190" s="25">
        <v>45097</v>
      </c>
      <c r="E190" s="7">
        <v>2800.79</v>
      </c>
      <c r="F190" s="7">
        <v>0</v>
      </c>
      <c r="G190" s="7">
        <v>19380.39</v>
      </c>
      <c r="I190" s="8">
        <f t="shared" si="2"/>
        <v>0</v>
      </c>
    </row>
    <row r="191" spans="1:9" ht="14.4" x14ac:dyDescent="0.3">
      <c r="A191" s="25">
        <v>45097</v>
      </c>
      <c r="B191" s="6" t="s">
        <v>135</v>
      </c>
      <c r="C191" s="6" t="s">
        <v>321</v>
      </c>
      <c r="D191" s="25">
        <v>45097</v>
      </c>
      <c r="E191" s="7">
        <v>0</v>
      </c>
      <c r="F191" s="7">
        <v>2800.79</v>
      </c>
      <c r="G191" s="7">
        <v>22181.18</v>
      </c>
      <c r="I191" s="8">
        <f t="shared" si="2"/>
        <v>0</v>
      </c>
    </row>
    <row r="192" spans="1:9" ht="14.4" x14ac:dyDescent="0.3">
      <c r="A192" s="25">
        <v>45098</v>
      </c>
      <c r="B192" s="6" t="s">
        <v>133</v>
      </c>
      <c r="C192" s="6" t="s">
        <v>322</v>
      </c>
      <c r="D192" s="25">
        <v>45098</v>
      </c>
      <c r="E192" s="7">
        <v>135.03</v>
      </c>
      <c r="F192" s="7">
        <v>0</v>
      </c>
      <c r="G192" s="7">
        <v>22046.15</v>
      </c>
      <c r="I192" s="8">
        <f t="shared" si="2"/>
        <v>0</v>
      </c>
    </row>
    <row r="193" spans="1:9" ht="14.4" x14ac:dyDescent="0.3">
      <c r="A193" s="25">
        <v>45098</v>
      </c>
      <c r="B193" s="6" t="s">
        <v>133</v>
      </c>
      <c r="C193" s="6" t="s">
        <v>323</v>
      </c>
      <c r="D193" s="25">
        <v>45098</v>
      </c>
      <c r="E193" s="7">
        <v>6559.57</v>
      </c>
      <c r="F193" s="7">
        <v>0</v>
      </c>
      <c r="G193" s="7">
        <v>15486.58</v>
      </c>
      <c r="I193" s="8">
        <f t="shared" si="2"/>
        <v>0</v>
      </c>
    </row>
    <row r="194" spans="1:9" ht="14.4" x14ac:dyDescent="0.3">
      <c r="A194" s="25">
        <v>45098</v>
      </c>
      <c r="B194" s="6" t="s">
        <v>133</v>
      </c>
      <c r="C194" s="6" t="s">
        <v>324</v>
      </c>
      <c r="D194" s="25">
        <v>45098</v>
      </c>
      <c r="E194" s="7">
        <v>7428.55</v>
      </c>
      <c r="F194" s="7">
        <v>0</v>
      </c>
      <c r="G194" s="7">
        <v>8058.03</v>
      </c>
      <c r="I194" s="8">
        <f t="shared" si="2"/>
        <v>0</v>
      </c>
    </row>
    <row r="195" spans="1:9" ht="14.4" x14ac:dyDescent="0.3">
      <c r="A195" s="25">
        <v>45098</v>
      </c>
      <c r="B195" s="6" t="s">
        <v>133</v>
      </c>
      <c r="C195" s="6" t="s">
        <v>325</v>
      </c>
      <c r="D195" s="25">
        <v>45098</v>
      </c>
      <c r="E195" s="7">
        <v>273.58999999999997</v>
      </c>
      <c r="F195" s="7">
        <v>0</v>
      </c>
      <c r="G195" s="7">
        <v>7784.44</v>
      </c>
      <c r="I195" s="8">
        <f t="shared" si="2"/>
        <v>0</v>
      </c>
    </row>
    <row r="196" spans="1:9" ht="14.4" x14ac:dyDescent="0.3">
      <c r="A196" s="25">
        <v>45098</v>
      </c>
      <c r="B196" s="6" t="s">
        <v>135</v>
      </c>
      <c r="C196" s="6" t="s">
        <v>326</v>
      </c>
      <c r="D196" s="25">
        <v>45098</v>
      </c>
      <c r="E196" s="7">
        <v>0</v>
      </c>
      <c r="F196" s="7">
        <v>273.58999999999997</v>
      </c>
      <c r="G196" s="7">
        <v>8058.03</v>
      </c>
      <c r="I196" s="8">
        <f t="shared" si="2"/>
        <v>0</v>
      </c>
    </row>
    <row r="197" spans="1:9" ht="14.4" x14ac:dyDescent="0.3">
      <c r="A197" s="25">
        <v>45099</v>
      </c>
      <c r="B197" s="6" t="s">
        <v>133</v>
      </c>
      <c r="C197" s="6" t="s">
        <v>327</v>
      </c>
      <c r="D197" s="25">
        <v>45099</v>
      </c>
      <c r="E197" s="7">
        <v>131.37</v>
      </c>
      <c r="F197" s="7">
        <v>0</v>
      </c>
      <c r="G197" s="7">
        <v>7926.66</v>
      </c>
      <c r="I197" s="8">
        <f t="shared" si="2"/>
        <v>0</v>
      </c>
    </row>
    <row r="198" spans="1:9" ht="14.4" x14ac:dyDescent="0.3">
      <c r="A198" s="25">
        <v>45099</v>
      </c>
      <c r="B198" s="6" t="s">
        <v>133</v>
      </c>
      <c r="C198" s="6" t="s">
        <v>328</v>
      </c>
      <c r="D198" s="25">
        <v>45099</v>
      </c>
      <c r="E198" s="7">
        <v>508.31</v>
      </c>
      <c r="F198" s="7">
        <v>0</v>
      </c>
      <c r="G198" s="7">
        <v>7418.35</v>
      </c>
      <c r="I198" s="8">
        <f t="shared" si="2"/>
        <v>0</v>
      </c>
    </row>
    <row r="199" spans="1:9" ht="14.4" x14ac:dyDescent="0.3">
      <c r="A199" s="25">
        <v>45100</v>
      </c>
      <c r="B199" s="6" t="s">
        <v>133</v>
      </c>
      <c r="C199" s="6" t="s">
        <v>329</v>
      </c>
      <c r="D199" s="25">
        <v>45100</v>
      </c>
      <c r="E199" s="7">
        <v>131.12</v>
      </c>
      <c r="F199" s="7">
        <v>0</v>
      </c>
      <c r="G199" s="7">
        <v>7287.23</v>
      </c>
      <c r="I199" s="8">
        <f t="shared" si="2"/>
        <v>0</v>
      </c>
    </row>
    <row r="200" spans="1:9" ht="14.4" x14ac:dyDescent="0.3">
      <c r="A200" s="25">
        <v>45100</v>
      </c>
      <c r="B200" s="6" t="s">
        <v>133</v>
      </c>
      <c r="C200" s="6" t="s">
        <v>330</v>
      </c>
      <c r="D200" s="25">
        <v>45100</v>
      </c>
      <c r="E200" s="7">
        <v>479.8</v>
      </c>
      <c r="F200" s="7">
        <v>0</v>
      </c>
      <c r="G200" s="7">
        <v>6807.43</v>
      </c>
      <c r="I200" s="8">
        <f t="shared" si="2"/>
        <v>0</v>
      </c>
    </row>
    <row r="201" spans="1:9" ht="14.4" x14ac:dyDescent="0.3">
      <c r="A201" s="25">
        <v>45103</v>
      </c>
      <c r="B201" s="6" t="s">
        <v>154</v>
      </c>
      <c r="C201" s="6" t="s">
        <v>331</v>
      </c>
      <c r="D201" s="25">
        <v>45103</v>
      </c>
      <c r="E201" s="7">
        <v>2500</v>
      </c>
      <c r="F201" s="7">
        <v>0</v>
      </c>
      <c r="G201" s="7">
        <v>4307.43</v>
      </c>
      <c r="I201" s="8">
        <f t="shared" si="2"/>
        <v>0</v>
      </c>
    </row>
    <row r="202" spans="1:9" ht="14.4" x14ac:dyDescent="0.3">
      <c r="A202" s="25">
        <v>45103</v>
      </c>
      <c r="B202" s="6" t="s">
        <v>133</v>
      </c>
      <c r="C202" s="6" t="s">
        <v>332</v>
      </c>
      <c r="D202" s="25">
        <v>45103</v>
      </c>
      <c r="E202" s="7">
        <v>392.64</v>
      </c>
      <c r="F202" s="7">
        <v>0</v>
      </c>
      <c r="G202" s="7">
        <v>3914.79</v>
      </c>
      <c r="I202" s="8">
        <f t="shared" si="2"/>
        <v>0</v>
      </c>
    </row>
    <row r="203" spans="1:9" ht="14.4" x14ac:dyDescent="0.3">
      <c r="A203" s="25">
        <v>45103</v>
      </c>
      <c r="B203" s="6" t="s">
        <v>133</v>
      </c>
      <c r="C203" s="6" t="s">
        <v>333</v>
      </c>
      <c r="D203" s="25">
        <v>45103</v>
      </c>
      <c r="E203" s="7">
        <v>457.83</v>
      </c>
      <c r="F203" s="7">
        <v>0</v>
      </c>
      <c r="G203" s="7">
        <v>3456.96</v>
      </c>
      <c r="I203" s="8">
        <f t="shared" si="2"/>
        <v>0</v>
      </c>
    </row>
    <row r="204" spans="1:9" ht="14.4" x14ac:dyDescent="0.3">
      <c r="A204" s="25">
        <v>45103</v>
      </c>
      <c r="B204" s="6" t="s">
        <v>334</v>
      </c>
      <c r="C204" s="6" t="s">
        <v>335</v>
      </c>
      <c r="D204" s="25">
        <v>45103</v>
      </c>
      <c r="E204" s="7">
        <v>0</v>
      </c>
      <c r="F204" s="7">
        <v>10000</v>
      </c>
      <c r="G204" s="7">
        <v>13456.96</v>
      </c>
      <c r="I204" s="8">
        <f t="shared" si="2"/>
        <v>0</v>
      </c>
    </row>
    <row r="205" spans="1:9" ht="14.4" x14ac:dyDescent="0.3">
      <c r="A205" s="25">
        <v>45104</v>
      </c>
      <c r="B205" s="6" t="s">
        <v>133</v>
      </c>
      <c r="C205" s="6" t="s">
        <v>336</v>
      </c>
      <c r="D205" s="25">
        <v>45104</v>
      </c>
      <c r="E205" s="7">
        <v>130.66</v>
      </c>
      <c r="F205" s="7">
        <v>0</v>
      </c>
      <c r="G205" s="7">
        <v>13326.3</v>
      </c>
      <c r="I205" s="8">
        <f t="shared" si="2"/>
        <v>0</v>
      </c>
    </row>
    <row r="206" spans="1:9" ht="14.4" x14ac:dyDescent="0.3">
      <c r="A206" s="25">
        <v>45104</v>
      </c>
      <c r="B206" s="6" t="s">
        <v>337</v>
      </c>
      <c r="C206" s="6" t="s">
        <v>338</v>
      </c>
      <c r="D206" s="25">
        <v>45104</v>
      </c>
      <c r="E206" s="7">
        <v>0</v>
      </c>
      <c r="F206" s="7">
        <v>720</v>
      </c>
      <c r="G206" s="7">
        <v>14046.3</v>
      </c>
      <c r="I206" s="8">
        <f t="shared" si="2"/>
        <v>0</v>
      </c>
    </row>
    <row r="207" spans="1:9" ht="14.4" x14ac:dyDescent="0.3">
      <c r="A207" s="25">
        <v>45104</v>
      </c>
      <c r="B207" s="6" t="s">
        <v>135</v>
      </c>
      <c r="C207" s="6" t="s">
        <v>339</v>
      </c>
      <c r="D207" s="25">
        <v>45104</v>
      </c>
      <c r="E207" s="7">
        <v>0</v>
      </c>
      <c r="F207" s="7">
        <v>928.3</v>
      </c>
      <c r="G207" s="7">
        <v>14974.6</v>
      </c>
      <c r="I207" s="8">
        <f t="shared" si="2"/>
        <v>0</v>
      </c>
    </row>
    <row r="208" spans="1:9" ht="14.4" x14ac:dyDescent="0.3">
      <c r="A208" s="25">
        <v>45105</v>
      </c>
      <c r="B208" s="6" t="s">
        <v>133</v>
      </c>
      <c r="C208" s="6" t="s">
        <v>340</v>
      </c>
      <c r="D208" s="25">
        <v>45105</v>
      </c>
      <c r="E208" s="7">
        <v>131.11000000000001</v>
      </c>
      <c r="F208" s="7">
        <v>0</v>
      </c>
      <c r="G208" s="7">
        <v>14843.49</v>
      </c>
      <c r="I208" s="8">
        <f t="shared" si="2"/>
        <v>0</v>
      </c>
    </row>
    <row r="209" spans="1:9" ht="14.4" x14ac:dyDescent="0.3">
      <c r="A209" s="25">
        <v>45106</v>
      </c>
      <c r="B209" s="6" t="s">
        <v>135</v>
      </c>
      <c r="C209" s="6" t="s">
        <v>341</v>
      </c>
      <c r="D209" s="25">
        <v>45105</v>
      </c>
      <c r="E209" s="7">
        <v>0</v>
      </c>
      <c r="F209" s="7">
        <v>259.42</v>
      </c>
      <c r="G209" s="7">
        <v>15102.91</v>
      </c>
      <c r="I209" s="8">
        <f t="shared" si="2"/>
        <v>0</v>
      </c>
    </row>
    <row r="210" spans="1:9" ht="14.4" x14ac:dyDescent="0.3">
      <c r="A210" s="25">
        <v>45107</v>
      </c>
      <c r="B210" s="6" t="s">
        <v>133</v>
      </c>
      <c r="C210" s="6" t="s">
        <v>342</v>
      </c>
      <c r="D210" s="25">
        <v>45107</v>
      </c>
      <c r="E210" s="7">
        <v>262.48</v>
      </c>
      <c r="F210" s="7">
        <v>0</v>
      </c>
      <c r="G210" s="7">
        <v>14840.43</v>
      </c>
      <c r="I210" s="8">
        <f t="shared" si="2"/>
        <v>0</v>
      </c>
    </row>
    <row r="211" spans="1:9" ht="14.4" x14ac:dyDescent="0.3">
      <c r="A211" s="25">
        <v>45107</v>
      </c>
      <c r="B211" s="6" t="s">
        <v>343</v>
      </c>
      <c r="C211" s="6" t="s">
        <v>149</v>
      </c>
      <c r="D211" s="25">
        <v>45107</v>
      </c>
      <c r="E211" s="7">
        <v>0</v>
      </c>
      <c r="F211" s="7">
        <v>352</v>
      </c>
      <c r="G211" s="7">
        <v>15192.43</v>
      </c>
      <c r="I211" s="8">
        <f t="shared" si="2"/>
        <v>0</v>
      </c>
    </row>
    <row r="212" spans="1:9" ht="14.4" x14ac:dyDescent="0.3">
      <c r="A212" s="25">
        <v>45108</v>
      </c>
      <c r="B212" s="6" t="s">
        <v>135</v>
      </c>
      <c r="C212" s="6" t="s">
        <v>344</v>
      </c>
      <c r="D212" s="25">
        <v>45108</v>
      </c>
      <c r="E212" s="7">
        <v>0</v>
      </c>
      <c r="F212" s="7">
        <v>8375.93</v>
      </c>
      <c r="G212" s="7">
        <v>23568.36</v>
      </c>
      <c r="I212" s="8">
        <f t="shared" si="2"/>
        <v>0</v>
      </c>
    </row>
    <row r="213" spans="1:9" ht="14.4" x14ac:dyDescent="0.3">
      <c r="A213" s="25">
        <v>45110</v>
      </c>
      <c r="B213" s="6" t="s">
        <v>135</v>
      </c>
      <c r="C213" s="6" t="s">
        <v>345</v>
      </c>
      <c r="D213" s="25">
        <v>45110</v>
      </c>
      <c r="E213" s="7">
        <v>0</v>
      </c>
      <c r="F213" s="7">
        <v>482.44</v>
      </c>
      <c r="G213" s="7">
        <v>24050.799999999999</v>
      </c>
      <c r="I213" s="8">
        <f t="shared" si="2"/>
        <v>0</v>
      </c>
    </row>
    <row r="214" spans="1:9" ht="14.4" x14ac:dyDescent="0.3">
      <c r="A214" s="25">
        <v>45110</v>
      </c>
      <c r="B214" s="6" t="s">
        <v>346</v>
      </c>
      <c r="C214" s="6" t="s">
        <v>347</v>
      </c>
      <c r="D214" s="25">
        <v>45110</v>
      </c>
      <c r="E214" s="7">
        <v>0</v>
      </c>
      <c r="F214" s="7">
        <v>576</v>
      </c>
      <c r="G214" s="7">
        <v>24626.799999999999</v>
      </c>
      <c r="I214" s="8">
        <f t="shared" si="2"/>
        <v>0</v>
      </c>
    </row>
    <row r="215" spans="1:9" ht="14.4" x14ac:dyDescent="0.3">
      <c r="A215" s="25">
        <v>45110</v>
      </c>
      <c r="B215" s="6" t="s">
        <v>348</v>
      </c>
      <c r="C215" s="6" t="s">
        <v>349</v>
      </c>
      <c r="D215" s="25">
        <v>45110</v>
      </c>
      <c r="E215" s="7">
        <v>0</v>
      </c>
      <c r="F215" s="7">
        <v>350</v>
      </c>
      <c r="G215" s="7">
        <v>24976.799999999999</v>
      </c>
      <c r="I215" s="8">
        <f t="shared" si="2"/>
        <v>0</v>
      </c>
    </row>
    <row r="216" spans="1:9" ht="14.4" x14ac:dyDescent="0.3">
      <c r="A216" s="25">
        <v>45110</v>
      </c>
      <c r="B216" s="6" t="s">
        <v>133</v>
      </c>
      <c r="C216" s="6" t="s">
        <v>350</v>
      </c>
      <c r="D216" s="25">
        <v>45110</v>
      </c>
      <c r="E216" s="7">
        <v>482.44</v>
      </c>
      <c r="F216" s="7">
        <v>0</v>
      </c>
      <c r="G216" s="7">
        <v>24494.36</v>
      </c>
      <c r="I216" s="8">
        <f t="shared" ref="I216:I279" si="3">G215-E216+F216-G216</f>
        <v>0</v>
      </c>
    </row>
    <row r="217" spans="1:9" ht="14.4" x14ac:dyDescent="0.3">
      <c r="A217" s="25">
        <v>45110</v>
      </c>
      <c r="B217" s="6" t="s">
        <v>135</v>
      </c>
      <c r="C217" s="6" t="s">
        <v>351</v>
      </c>
      <c r="D217" s="25">
        <v>45110</v>
      </c>
      <c r="E217" s="7">
        <v>0</v>
      </c>
      <c r="F217" s="7">
        <v>6664.97</v>
      </c>
      <c r="G217" s="7">
        <v>31159.33</v>
      </c>
      <c r="I217" s="8">
        <f t="shared" si="3"/>
        <v>0</v>
      </c>
    </row>
    <row r="218" spans="1:9" ht="14.4" x14ac:dyDescent="0.3">
      <c r="A218" s="25">
        <v>45110</v>
      </c>
      <c r="B218" s="6" t="s">
        <v>133</v>
      </c>
      <c r="C218" s="6" t="s">
        <v>352</v>
      </c>
      <c r="D218" s="25">
        <v>45110</v>
      </c>
      <c r="E218" s="7">
        <v>66.23</v>
      </c>
      <c r="F218" s="7">
        <v>0</v>
      </c>
      <c r="G218" s="7">
        <v>31093.1</v>
      </c>
      <c r="I218" s="8">
        <f t="shared" si="3"/>
        <v>0</v>
      </c>
    </row>
    <row r="219" spans="1:9" ht="14.4" x14ac:dyDescent="0.3">
      <c r="A219" s="25">
        <v>45111</v>
      </c>
      <c r="B219" s="6" t="s">
        <v>133</v>
      </c>
      <c r="C219" s="6" t="s">
        <v>353</v>
      </c>
      <c r="D219" s="25">
        <v>45111</v>
      </c>
      <c r="E219" s="7">
        <v>14965.4</v>
      </c>
      <c r="F219" s="7">
        <v>0</v>
      </c>
      <c r="G219" s="7">
        <v>16127.7</v>
      </c>
      <c r="I219" s="8">
        <f t="shared" si="3"/>
        <v>0</v>
      </c>
    </row>
    <row r="220" spans="1:9" ht="14.4" x14ac:dyDescent="0.3">
      <c r="A220" s="25">
        <v>45112</v>
      </c>
      <c r="B220" s="6" t="s">
        <v>133</v>
      </c>
      <c r="C220" s="6" t="s">
        <v>354</v>
      </c>
      <c r="D220" s="25">
        <v>45112</v>
      </c>
      <c r="E220" s="7">
        <v>34.6</v>
      </c>
      <c r="F220" s="7">
        <v>0</v>
      </c>
      <c r="G220" s="7">
        <v>16093.1</v>
      </c>
      <c r="I220" s="8">
        <f t="shared" si="3"/>
        <v>0</v>
      </c>
    </row>
    <row r="221" spans="1:9" ht="14.4" x14ac:dyDescent="0.3">
      <c r="A221" s="25">
        <v>45112</v>
      </c>
      <c r="B221" s="6" t="s">
        <v>135</v>
      </c>
      <c r="C221" s="6" t="s">
        <v>355</v>
      </c>
      <c r="D221" s="25">
        <v>45111</v>
      </c>
      <c r="E221" s="7">
        <v>0</v>
      </c>
      <c r="F221" s="7">
        <v>34.6</v>
      </c>
      <c r="G221" s="7">
        <v>16127.7</v>
      </c>
      <c r="I221" s="8">
        <f t="shared" si="3"/>
        <v>0</v>
      </c>
    </row>
    <row r="222" spans="1:9" ht="14.4" x14ac:dyDescent="0.3">
      <c r="A222" s="25">
        <v>45112</v>
      </c>
      <c r="B222" s="6" t="s">
        <v>135</v>
      </c>
      <c r="C222" s="6" t="s">
        <v>356</v>
      </c>
      <c r="D222" s="25">
        <v>45111</v>
      </c>
      <c r="E222" s="7">
        <v>0</v>
      </c>
      <c r="F222" s="7">
        <v>77430</v>
      </c>
      <c r="G222" s="7">
        <v>93557.7</v>
      </c>
      <c r="I222" s="8">
        <f t="shared" si="3"/>
        <v>0</v>
      </c>
    </row>
    <row r="223" spans="1:9" ht="14.4" x14ac:dyDescent="0.3">
      <c r="A223" s="25">
        <v>45112</v>
      </c>
      <c r="B223" s="6" t="s">
        <v>357</v>
      </c>
      <c r="C223" s="6" t="s">
        <v>358</v>
      </c>
      <c r="D223" s="25">
        <v>45112</v>
      </c>
      <c r="E223" s="7">
        <v>20000</v>
      </c>
      <c r="F223" s="7">
        <v>0</v>
      </c>
      <c r="G223" s="7">
        <v>73557.7</v>
      </c>
      <c r="I223" s="8">
        <f t="shared" si="3"/>
        <v>0</v>
      </c>
    </row>
    <row r="224" spans="1:9" ht="14.4" x14ac:dyDescent="0.3">
      <c r="A224" s="25">
        <v>45112</v>
      </c>
      <c r="B224" s="6" t="s">
        <v>133</v>
      </c>
      <c r="C224" s="6" t="s">
        <v>359</v>
      </c>
      <c r="D224" s="25">
        <v>45112</v>
      </c>
      <c r="E224" s="7">
        <v>113.29</v>
      </c>
      <c r="F224" s="7">
        <v>0</v>
      </c>
      <c r="G224" s="7">
        <v>73444.41</v>
      </c>
      <c r="I224" s="8">
        <f t="shared" si="3"/>
        <v>0</v>
      </c>
    </row>
    <row r="225" spans="1:9" ht="14.4" x14ac:dyDescent="0.3">
      <c r="A225" s="25">
        <v>45112</v>
      </c>
      <c r="B225" s="6" t="s">
        <v>133</v>
      </c>
      <c r="C225" s="6" t="s">
        <v>360</v>
      </c>
      <c r="D225" s="25">
        <v>45112</v>
      </c>
      <c r="E225" s="7">
        <v>11186.15</v>
      </c>
      <c r="F225" s="7">
        <v>0</v>
      </c>
      <c r="G225" s="7">
        <v>62258.26</v>
      </c>
      <c r="I225" s="8">
        <f t="shared" si="3"/>
        <v>0</v>
      </c>
    </row>
    <row r="226" spans="1:9" ht="14.4" x14ac:dyDescent="0.3">
      <c r="A226" s="25">
        <v>45112</v>
      </c>
      <c r="B226" s="6" t="s">
        <v>133</v>
      </c>
      <c r="C226" s="6" t="s">
        <v>361</v>
      </c>
      <c r="D226" s="25">
        <v>45112</v>
      </c>
      <c r="E226" s="7">
        <v>2415.13</v>
      </c>
      <c r="F226" s="7">
        <v>0</v>
      </c>
      <c r="G226" s="7">
        <v>59843.13</v>
      </c>
      <c r="I226" s="8">
        <f t="shared" si="3"/>
        <v>0</v>
      </c>
    </row>
    <row r="227" spans="1:9" ht="14.4" x14ac:dyDescent="0.3">
      <c r="A227" s="25">
        <v>45112</v>
      </c>
      <c r="B227" s="6" t="s">
        <v>133</v>
      </c>
      <c r="C227" s="6" t="s">
        <v>362</v>
      </c>
      <c r="D227" s="25">
        <v>45112</v>
      </c>
      <c r="E227" s="7">
        <v>9630.59</v>
      </c>
      <c r="F227" s="7">
        <v>0</v>
      </c>
      <c r="G227" s="7">
        <v>50212.54</v>
      </c>
      <c r="I227" s="8">
        <f t="shared" si="3"/>
        <v>0</v>
      </c>
    </row>
    <row r="228" spans="1:9" ht="14.4" x14ac:dyDescent="0.3">
      <c r="A228" s="25">
        <v>45112</v>
      </c>
      <c r="B228" s="6" t="s">
        <v>135</v>
      </c>
      <c r="C228" s="6" t="s">
        <v>363</v>
      </c>
      <c r="D228" s="25">
        <v>45112</v>
      </c>
      <c r="E228" s="7">
        <v>0</v>
      </c>
      <c r="F228" s="7">
        <v>9630.59</v>
      </c>
      <c r="G228" s="7">
        <v>59843.13</v>
      </c>
      <c r="I228" s="8">
        <f t="shared" si="3"/>
        <v>0</v>
      </c>
    </row>
    <row r="229" spans="1:9" ht="14.4" x14ac:dyDescent="0.3">
      <c r="A229" s="25">
        <v>45113</v>
      </c>
      <c r="B229" s="6" t="s">
        <v>135</v>
      </c>
      <c r="C229" s="6" t="s">
        <v>364</v>
      </c>
      <c r="D229" s="25">
        <v>45113</v>
      </c>
      <c r="E229" s="7">
        <v>0</v>
      </c>
      <c r="F229" s="7">
        <v>322.25</v>
      </c>
      <c r="G229" s="7">
        <v>60165.38</v>
      </c>
      <c r="I229" s="8">
        <f t="shared" si="3"/>
        <v>0</v>
      </c>
    </row>
    <row r="230" spans="1:9" ht="14.4" x14ac:dyDescent="0.3">
      <c r="A230" s="25">
        <v>45114</v>
      </c>
      <c r="B230" s="6" t="s">
        <v>133</v>
      </c>
      <c r="C230" s="6" t="s">
        <v>365</v>
      </c>
      <c r="D230" s="25">
        <v>45114</v>
      </c>
      <c r="E230" s="7">
        <v>116.93</v>
      </c>
      <c r="F230" s="7">
        <v>0</v>
      </c>
      <c r="G230" s="7">
        <v>60048.45</v>
      </c>
      <c r="I230" s="8">
        <f t="shared" si="3"/>
        <v>0</v>
      </c>
    </row>
    <row r="231" spans="1:9" ht="14.4" x14ac:dyDescent="0.3">
      <c r="A231" s="25">
        <v>45114</v>
      </c>
      <c r="B231" s="6" t="s">
        <v>366</v>
      </c>
      <c r="C231" s="6" t="s">
        <v>367</v>
      </c>
      <c r="D231" s="25">
        <v>45114</v>
      </c>
      <c r="E231" s="7">
        <v>0</v>
      </c>
      <c r="F231" s="7">
        <v>1880</v>
      </c>
      <c r="G231" s="7">
        <v>61928.45</v>
      </c>
      <c r="I231" s="8">
        <f t="shared" si="3"/>
        <v>0</v>
      </c>
    </row>
    <row r="232" spans="1:9" ht="14.4" x14ac:dyDescent="0.3">
      <c r="A232" s="25">
        <v>45114</v>
      </c>
      <c r="B232" s="6" t="s">
        <v>133</v>
      </c>
      <c r="C232" s="6" t="s">
        <v>368</v>
      </c>
      <c r="D232" s="25">
        <v>45114</v>
      </c>
      <c r="E232" s="7">
        <v>93.34</v>
      </c>
      <c r="F232" s="7">
        <v>0</v>
      </c>
      <c r="G232" s="7">
        <v>61835.11</v>
      </c>
      <c r="I232" s="8">
        <f t="shared" si="3"/>
        <v>0</v>
      </c>
    </row>
    <row r="233" spans="1:9" ht="14.4" x14ac:dyDescent="0.3">
      <c r="A233" s="25">
        <v>45117</v>
      </c>
      <c r="B233" s="6" t="s">
        <v>133</v>
      </c>
      <c r="C233" s="6" t="s">
        <v>369</v>
      </c>
      <c r="D233" s="25">
        <v>45117</v>
      </c>
      <c r="E233" s="7">
        <v>350.67</v>
      </c>
      <c r="F233" s="7">
        <v>0</v>
      </c>
      <c r="G233" s="7">
        <v>61484.44</v>
      </c>
      <c r="I233" s="8">
        <f t="shared" si="3"/>
        <v>0</v>
      </c>
    </row>
    <row r="234" spans="1:9" ht="14.4" x14ac:dyDescent="0.3">
      <c r="A234" s="25">
        <v>45117</v>
      </c>
      <c r="B234" s="6" t="s">
        <v>135</v>
      </c>
      <c r="C234" s="6" t="s">
        <v>370</v>
      </c>
      <c r="D234" s="25">
        <v>45117</v>
      </c>
      <c r="E234" s="7">
        <v>0</v>
      </c>
      <c r="F234" s="7">
        <v>46.46</v>
      </c>
      <c r="G234" s="7">
        <v>61530.9</v>
      </c>
      <c r="I234" s="8">
        <f t="shared" si="3"/>
        <v>0</v>
      </c>
    </row>
    <row r="235" spans="1:9" ht="14.4" x14ac:dyDescent="0.3">
      <c r="A235" s="25">
        <v>45118</v>
      </c>
      <c r="B235" s="6" t="s">
        <v>154</v>
      </c>
      <c r="C235" s="6" t="s">
        <v>371</v>
      </c>
      <c r="D235" s="25">
        <v>45118</v>
      </c>
      <c r="E235" s="7">
        <v>3000</v>
      </c>
      <c r="F235" s="7">
        <v>0</v>
      </c>
      <c r="G235" s="7">
        <v>58530.9</v>
      </c>
      <c r="I235" s="8">
        <f t="shared" si="3"/>
        <v>0</v>
      </c>
    </row>
    <row r="236" spans="1:9" ht="14.4" x14ac:dyDescent="0.3">
      <c r="A236" s="25">
        <v>45118</v>
      </c>
      <c r="B236" s="6" t="s">
        <v>133</v>
      </c>
      <c r="C236" s="6" t="s">
        <v>372</v>
      </c>
      <c r="D236" s="25">
        <v>45118</v>
      </c>
      <c r="E236" s="7">
        <v>116.91</v>
      </c>
      <c r="F236" s="7">
        <v>0</v>
      </c>
      <c r="G236" s="7">
        <v>58413.99</v>
      </c>
      <c r="I236" s="8">
        <f t="shared" si="3"/>
        <v>0</v>
      </c>
    </row>
    <row r="237" spans="1:9" ht="14.4" x14ac:dyDescent="0.3">
      <c r="A237" s="25">
        <v>45118</v>
      </c>
      <c r="B237" s="6" t="s">
        <v>133</v>
      </c>
      <c r="C237" s="6" t="s">
        <v>373</v>
      </c>
      <c r="D237" s="25">
        <v>45118</v>
      </c>
      <c r="E237" s="7">
        <v>4256.2</v>
      </c>
      <c r="F237" s="7">
        <v>0</v>
      </c>
      <c r="G237" s="7">
        <v>54157.79</v>
      </c>
      <c r="I237" s="8">
        <f t="shared" si="3"/>
        <v>0</v>
      </c>
    </row>
    <row r="238" spans="1:9" ht="14.4" x14ac:dyDescent="0.3">
      <c r="A238" s="25">
        <v>45118</v>
      </c>
      <c r="B238" s="6" t="s">
        <v>135</v>
      </c>
      <c r="C238" s="6" t="s">
        <v>374</v>
      </c>
      <c r="D238" s="25">
        <v>45118</v>
      </c>
      <c r="E238" s="7">
        <v>0</v>
      </c>
      <c r="F238" s="7">
        <v>39.450000000000003</v>
      </c>
      <c r="G238" s="7">
        <v>54197.24</v>
      </c>
      <c r="I238" s="8">
        <f t="shared" si="3"/>
        <v>0</v>
      </c>
    </row>
    <row r="239" spans="1:9" ht="14.4" x14ac:dyDescent="0.3">
      <c r="A239" s="25">
        <v>45118</v>
      </c>
      <c r="B239" s="6" t="s">
        <v>133</v>
      </c>
      <c r="C239" s="6" t="s">
        <v>375</v>
      </c>
      <c r="D239" s="25">
        <v>45118</v>
      </c>
      <c r="E239" s="7">
        <v>5462.73</v>
      </c>
      <c r="F239" s="7">
        <v>0</v>
      </c>
      <c r="G239" s="7">
        <v>48734.51</v>
      </c>
      <c r="I239" s="8">
        <f t="shared" si="3"/>
        <v>0</v>
      </c>
    </row>
    <row r="240" spans="1:9" ht="14.4" x14ac:dyDescent="0.3">
      <c r="A240" s="25">
        <v>45118</v>
      </c>
      <c r="B240" s="6" t="s">
        <v>135</v>
      </c>
      <c r="C240" s="6" t="s">
        <v>376</v>
      </c>
      <c r="D240" s="25">
        <v>45118</v>
      </c>
      <c r="E240" s="7">
        <v>0</v>
      </c>
      <c r="F240" s="7">
        <v>5462.73</v>
      </c>
      <c r="G240" s="7">
        <v>54197.24</v>
      </c>
      <c r="I240" s="8">
        <f t="shared" si="3"/>
        <v>0</v>
      </c>
    </row>
    <row r="241" spans="1:9" ht="14.4" x14ac:dyDescent="0.3">
      <c r="A241" s="25">
        <v>45119</v>
      </c>
      <c r="B241" s="6" t="s">
        <v>133</v>
      </c>
      <c r="C241" s="6" t="s">
        <v>377</v>
      </c>
      <c r="D241" s="25">
        <v>45119</v>
      </c>
      <c r="E241" s="7">
        <v>116.93</v>
      </c>
      <c r="F241" s="7">
        <v>0</v>
      </c>
      <c r="G241" s="7">
        <v>54080.31</v>
      </c>
      <c r="I241" s="8">
        <f t="shared" si="3"/>
        <v>0</v>
      </c>
    </row>
    <row r="242" spans="1:9" ht="14.4" x14ac:dyDescent="0.3">
      <c r="A242" s="25">
        <v>45119</v>
      </c>
      <c r="B242" s="6" t="s">
        <v>133</v>
      </c>
      <c r="C242" s="6" t="s">
        <v>378</v>
      </c>
      <c r="D242" s="25">
        <v>45119</v>
      </c>
      <c r="E242" s="7">
        <v>24846.959999999999</v>
      </c>
      <c r="F242" s="7">
        <v>0</v>
      </c>
      <c r="G242" s="7">
        <v>29233.35</v>
      </c>
      <c r="I242" s="8">
        <f t="shared" si="3"/>
        <v>0</v>
      </c>
    </row>
    <row r="243" spans="1:9" ht="14.4" x14ac:dyDescent="0.3">
      <c r="A243" s="25">
        <v>45119</v>
      </c>
      <c r="B243" s="6" t="s">
        <v>135</v>
      </c>
      <c r="C243" s="6" t="s">
        <v>379</v>
      </c>
      <c r="D243" s="25">
        <v>45119</v>
      </c>
      <c r="E243" s="7">
        <v>0</v>
      </c>
      <c r="F243" s="7">
        <v>31.55</v>
      </c>
      <c r="G243" s="7">
        <v>29264.9</v>
      </c>
      <c r="I243" s="8">
        <f t="shared" si="3"/>
        <v>0</v>
      </c>
    </row>
    <row r="244" spans="1:9" ht="14.4" x14ac:dyDescent="0.3">
      <c r="A244" s="25">
        <v>45120</v>
      </c>
      <c r="B244" s="6" t="s">
        <v>133</v>
      </c>
      <c r="C244" s="6" t="s">
        <v>380</v>
      </c>
      <c r="D244" s="25">
        <v>45120</v>
      </c>
      <c r="E244" s="7">
        <v>116.94</v>
      </c>
      <c r="F244" s="7">
        <v>0</v>
      </c>
      <c r="G244" s="7">
        <v>29147.96</v>
      </c>
      <c r="I244" s="8">
        <f t="shared" si="3"/>
        <v>0</v>
      </c>
    </row>
    <row r="245" spans="1:9" ht="14.4" x14ac:dyDescent="0.3">
      <c r="A245" s="25">
        <v>45121</v>
      </c>
      <c r="B245" s="6" t="s">
        <v>135</v>
      </c>
      <c r="C245" s="6" t="s">
        <v>381</v>
      </c>
      <c r="D245" s="25">
        <v>45120</v>
      </c>
      <c r="E245" s="7">
        <v>0</v>
      </c>
      <c r="F245" s="7">
        <v>0.41</v>
      </c>
      <c r="G245" s="7">
        <v>29148.37</v>
      </c>
      <c r="I245" s="8">
        <f t="shared" si="3"/>
        <v>0</v>
      </c>
    </row>
    <row r="246" spans="1:9" ht="14.4" x14ac:dyDescent="0.3">
      <c r="A246" s="25">
        <v>45121</v>
      </c>
      <c r="B246" s="6" t="s">
        <v>204</v>
      </c>
      <c r="C246" s="6" t="s">
        <v>382</v>
      </c>
      <c r="D246" s="25">
        <v>45121</v>
      </c>
      <c r="E246" s="7">
        <v>3000</v>
      </c>
      <c r="F246" s="7">
        <v>0</v>
      </c>
      <c r="G246" s="7">
        <v>26148.37</v>
      </c>
      <c r="I246" s="8">
        <f t="shared" si="3"/>
        <v>0</v>
      </c>
    </row>
    <row r="247" spans="1:9" ht="14.4" x14ac:dyDescent="0.3">
      <c r="A247" s="25">
        <v>45121</v>
      </c>
      <c r="B247" s="6" t="s">
        <v>133</v>
      </c>
      <c r="C247" s="6" t="s">
        <v>383</v>
      </c>
      <c r="D247" s="25">
        <v>45121</v>
      </c>
      <c r="E247" s="7">
        <v>116.94</v>
      </c>
      <c r="F247" s="7">
        <v>0</v>
      </c>
      <c r="G247" s="7">
        <v>26031.43</v>
      </c>
      <c r="I247" s="8">
        <f t="shared" si="3"/>
        <v>0</v>
      </c>
    </row>
    <row r="248" spans="1:9" ht="14.4" x14ac:dyDescent="0.3">
      <c r="A248" s="25">
        <v>45121</v>
      </c>
      <c r="B248" s="6" t="s">
        <v>133</v>
      </c>
      <c r="C248" s="6" t="s">
        <v>384</v>
      </c>
      <c r="D248" s="25">
        <v>45121</v>
      </c>
      <c r="E248" s="7">
        <v>134.57</v>
      </c>
      <c r="F248" s="7">
        <v>0</v>
      </c>
      <c r="G248" s="7">
        <v>25896.86</v>
      </c>
      <c r="I248" s="8">
        <f t="shared" si="3"/>
        <v>0</v>
      </c>
    </row>
    <row r="249" spans="1:9" ht="14.4" x14ac:dyDescent="0.3">
      <c r="A249" s="25">
        <v>45124</v>
      </c>
      <c r="B249" s="6" t="s">
        <v>154</v>
      </c>
      <c r="C249" s="6" t="s">
        <v>385</v>
      </c>
      <c r="D249" s="25">
        <v>45124</v>
      </c>
      <c r="E249" s="7">
        <v>2500</v>
      </c>
      <c r="F249" s="7">
        <v>0</v>
      </c>
      <c r="G249" s="7">
        <v>23396.86</v>
      </c>
      <c r="I249" s="8">
        <f t="shared" si="3"/>
        <v>0</v>
      </c>
    </row>
    <row r="250" spans="1:9" ht="14.4" x14ac:dyDescent="0.3">
      <c r="A250" s="25">
        <v>45124</v>
      </c>
      <c r="B250" s="6" t="s">
        <v>133</v>
      </c>
      <c r="C250" s="6" t="s">
        <v>386</v>
      </c>
      <c r="D250" s="25">
        <v>45124</v>
      </c>
      <c r="E250" s="7">
        <v>350.64</v>
      </c>
      <c r="F250" s="7">
        <v>0</v>
      </c>
      <c r="G250" s="7">
        <v>23046.22</v>
      </c>
      <c r="I250" s="8">
        <f t="shared" si="3"/>
        <v>0</v>
      </c>
    </row>
    <row r="251" spans="1:9" ht="14.4" x14ac:dyDescent="0.3">
      <c r="A251" s="25">
        <v>45124</v>
      </c>
      <c r="B251" s="6" t="s">
        <v>135</v>
      </c>
      <c r="C251" s="6" t="s">
        <v>387</v>
      </c>
      <c r="D251" s="25">
        <v>45124</v>
      </c>
      <c r="E251" s="7">
        <v>0</v>
      </c>
      <c r="F251" s="7">
        <v>343.96</v>
      </c>
      <c r="G251" s="7">
        <v>23390.18</v>
      </c>
      <c r="I251" s="8">
        <f t="shared" si="3"/>
        <v>0</v>
      </c>
    </row>
    <row r="252" spans="1:9" ht="14.4" x14ac:dyDescent="0.3">
      <c r="A252" s="25">
        <v>45124</v>
      </c>
      <c r="B252" s="6" t="s">
        <v>135</v>
      </c>
      <c r="C252" s="6" t="s">
        <v>388</v>
      </c>
      <c r="D252" s="25">
        <v>45124</v>
      </c>
      <c r="E252" s="7">
        <v>0</v>
      </c>
      <c r="F252" s="7">
        <v>5658.17</v>
      </c>
      <c r="G252" s="7">
        <v>29048.35</v>
      </c>
      <c r="I252" s="8">
        <f t="shared" si="3"/>
        <v>0</v>
      </c>
    </row>
    <row r="253" spans="1:9" ht="14.4" x14ac:dyDescent="0.3">
      <c r="A253" s="25">
        <v>45125</v>
      </c>
      <c r="B253" s="6" t="s">
        <v>133</v>
      </c>
      <c r="C253" s="6" t="s">
        <v>389</v>
      </c>
      <c r="D253" s="25">
        <v>45125</v>
      </c>
      <c r="E253" s="7">
        <v>117.05</v>
      </c>
      <c r="F253" s="7">
        <v>0</v>
      </c>
      <c r="G253" s="7">
        <v>28931.3</v>
      </c>
      <c r="I253" s="8">
        <f t="shared" si="3"/>
        <v>0</v>
      </c>
    </row>
    <row r="254" spans="1:9" ht="14.4" x14ac:dyDescent="0.3">
      <c r="A254" s="25">
        <v>45125</v>
      </c>
      <c r="B254" s="6" t="s">
        <v>390</v>
      </c>
      <c r="C254" s="6" t="s">
        <v>149</v>
      </c>
      <c r="D254" s="25">
        <v>45125</v>
      </c>
      <c r="E254" s="7">
        <v>406.16</v>
      </c>
      <c r="F254" s="7">
        <v>0</v>
      </c>
      <c r="G254" s="7">
        <v>28525.14</v>
      </c>
      <c r="I254" s="8">
        <f t="shared" si="3"/>
        <v>0</v>
      </c>
    </row>
    <row r="255" spans="1:9" ht="14.4" x14ac:dyDescent="0.3">
      <c r="A255" s="25">
        <v>45125</v>
      </c>
      <c r="B255" s="6" t="s">
        <v>391</v>
      </c>
      <c r="C255" s="6" t="s">
        <v>392</v>
      </c>
      <c r="D255" s="25">
        <v>45125</v>
      </c>
      <c r="E255" s="7">
        <v>7.08</v>
      </c>
      <c r="F255" s="7">
        <v>0</v>
      </c>
      <c r="G255" s="7">
        <v>28518.06</v>
      </c>
      <c r="I255" s="8">
        <f t="shared" si="3"/>
        <v>0</v>
      </c>
    </row>
    <row r="256" spans="1:9" ht="14.4" x14ac:dyDescent="0.3">
      <c r="A256" s="25">
        <v>45126</v>
      </c>
      <c r="B256" s="6" t="s">
        <v>135</v>
      </c>
      <c r="C256" s="6" t="s">
        <v>393</v>
      </c>
      <c r="D256" s="25">
        <v>45125</v>
      </c>
      <c r="E256" s="7">
        <v>0</v>
      </c>
      <c r="F256" s="7">
        <v>2937.29</v>
      </c>
      <c r="G256" s="7">
        <v>31455.35</v>
      </c>
      <c r="I256" s="8">
        <f t="shared" si="3"/>
        <v>0</v>
      </c>
    </row>
    <row r="257" spans="1:9" ht="14.4" x14ac:dyDescent="0.3">
      <c r="A257" s="25">
        <v>45126</v>
      </c>
      <c r="B257" s="6" t="s">
        <v>135</v>
      </c>
      <c r="C257" s="6" t="s">
        <v>394</v>
      </c>
      <c r="D257" s="25">
        <v>45126</v>
      </c>
      <c r="E257" s="7">
        <v>0</v>
      </c>
      <c r="F257" s="7">
        <v>20745.740000000002</v>
      </c>
      <c r="G257" s="7">
        <v>52201.09</v>
      </c>
      <c r="I257" s="8">
        <f t="shared" si="3"/>
        <v>0</v>
      </c>
    </row>
    <row r="258" spans="1:9" ht="14.4" x14ac:dyDescent="0.3">
      <c r="A258" s="25">
        <v>45126</v>
      </c>
      <c r="B258" s="6" t="s">
        <v>395</v>
      </c>
      <c r="C258" s="6" t="s">
        <v>396</v>
      </c>
      <c r="D258" s="25">
        <v>45126</v>
      </c>
      <c r="E258" s="7">
        <v>0</v>
      </c>
      <c r="F258" s="7">
        <v>275</v>
      </c>
      <c r="G258" s="7">
        <v>52476.09</v>
      </c>
      <c r="I258" s="8">
        <f t="shared" si="3"/>
        <v>0</v>
      </c>
    </row>
    <row r="259" spans="1:9" ht="14.4" x14ac:dyDescent="0.3">
      <c r="A259" s="25">
        <v>45126</v>
      </c>
      <c r="B259" s="6" t="s">
        <v>133</v>
      </c>
      <c r="C259" s="6" t="s">
        <v>397</v>
      </c>
      <c r="D259" s="25">
        <v>45126</v>
      </c>
      <c r="E259" s="7">
        <v>465.99</v>
      </c>
      <c r="F259" s="7">
        <v>0</v>
      </c>
      <c r="G259" s="7">
        <v>52010.1</v>
      </c>
      <c r="I259" s="8">
        <f t="shared" si="3"/>
        <v>0</v>
      </c>
    </row>
    <row r="260" spans="1:9" ht="14.4" x14ac:dyDescent="0.3">
      <c r="A260" s="25">
        <v>45126</v>
      </c>
      <c r="B260" s="6" t="s">
        <v>135</v>
      </c>
      <c r="C260" s="6" t="s">
        <v>398</v>
      </c>
      <c r="D260" s="25">
        <v>45126</v>
      </c>
      <c r="E260" s="7">
        <v>0</v>
      </c>
      <c r="F260" s="7">
        <v>82.6</v>
      </c>
      <c r="G260" s="7">
        <v>52092.7</v>
      </c>
      <c r="I260" s="8">
        <f t="shared" si="3"/>
        <v>0</v>
      </c>
    </row>
    <row r="261" spans="1:9" ht="14.4" x14ac:dyDescent="0.3">
      <c r="A261" s="25">
        <v>45127</v>
      </c>
      <c r="B261" s="6" t="s">
        <v>135</v>
      </c>
      <c r="C261" s="6" t="s">
        <v>399</v>
      </c>
      <c r="D261" s="25">
        <v>45126</v>
      </c>
      <c r="E261" s="7">
        <v>0</v>
      </c>
      <c r="F261" s="7">
        <v>465.99</v>
      </c>
      <c r="G261" s="7">
        <v>52558.69</v>
      </c>
      <c r="I261" s="8">
        <f t="shared" si="3"/>
        <v>0</v>
      </c>
    </row>
    <row r="262" spans="1:9" ht="14.4" x14ac:dyDescent="0.3">
      <c r="A262" s="25">
        <v>45127</v>
      </c>
      <c r="B262" s="6" t="s">
        <v>133</v>
      </c>
      <c r="C262" s="6" t="s">
        <v>400</v>
      </c>
      <c r="D262" s="25">
        <v>45127</v>
      </c>
      <c r="E262" s="7">
        <v>113.92</v>
      </c>
      <c r="F262" s="7">
        <v>0</v>
      </c>
      <c r="G262" s="7">
        <v>52444.77</v>
      </c>
      <c r="I262" s="8">
        <f t="shared" si="3"/>
        <v>0</v>
      </c>
    </row>
    <row r="263" spans="1:9" ht="14.4" x14ac:dyDescent="0.3">
      <c r="A263" s="25">
        <v>45127</v>
      </c>
      <c r="B263" s="6" t="s">
        <v>135</v>
      </c>
      <c r="C263" s="6" t="s">
        <v>401</v>
      </c>
      <c r="D263" s="25">
        <v>45127</v>
      </c>
      <c r="E263" s="7">
        <v>0</v>
      </c>
      <c r="F263" s="7">
        <v>7180.08</v>
      </c>
      <c r="G263" s="7">
        <v>59624.85</v>
      </c>
      <c r="I263" s="8">
        <f t="shared" si="3"/>
        <v>0</v>
      </c>
    </row>
    <row r="264" spans="1:9" ht="14.4" x14ac:dyDescent="0.3">
      <c r="A264" s="25">
        <v>45128</v>
      </c>
      <c r="B264" s="6" t="s">
        <v>135</v>
      </c>
      <c r="C264" s="6" t="s">
        <v>402</v>
      </c>
      <c r="D264" s="25">
        <v>45127</v>
      </c>
      <c r="E264" s="7">
        <v>0</v>
      </c>
      <c r="F264" s="7">
        <v>44.98</v>
      </c>
      <c r="G264" s="7">
        <v>59669.83</v>
      </c>
      <c r="I264" s="8">
        <f t="shared" si="3"/>
        <v>0</v>
      </c>
    </row>
    <row r="265" spans="1:9" ht="14.4" x14ac:dyDescent="0.3">
      <c r="A265" s="25">
        <v>45128</v>
      </c>
      <c r="B265" s="6" t="s">
        <v>133</v>
      </c>
      <c r="C265" s="6" t="s">
        <v>403</v>
      </c>
      <c r="D265" s="25">
        <v>45128</v>
      </c>
      <c r="E265" s="7">
        <v>113.94</v>
      </c>
      <c r="F265" s="7">
        <v>0</v>
      </c>
      <c r="G265" s="7">
        <v>59555.89</v>
      </c>
      <c r="I265" s="8">
        <f t="shared" si="3"/>
        <v>0</v>
      </c>
    </row>
    <row r="266" spans="1:9" ht="14.4" x14ac:dyDescent="0.3">
      <c r="A266" s="25">
        <v>45128</v>
      </c>
      <c r="B266" s="6" t="s">
        <v>135</v>
      </c>
      <c r="C266" s="6" t="s">
        <v>404</v>
      </c>
      <c r="D266" s="25">
        <v>45128</v>
      </c>
      <c r="E266" s="7">
        <v>0</v>
      </c>
      <c r="F266" s="7">
        <v>17375.14</v>
      </c>
      <c r="G266" s="7">
        <v>76931.03</v>
      </c>
      <c r="I266" s="8">
        <f t="shared" si="3"/>
        <v>0</v>
      </c>
    </row>
    <row r="267" spans="1:9" ht="14.4" x14ac:dyDescent="0.3">
      <c r="A267" s="25">
        <v>45128</v>
      </c>
      <c r="B267" s="6" t="s">
        <v>405</v>
      </c>
      <c r="C267" s="6" t="s">
        <v>406</v>
      </c>
      <c r="D267" s="25">
        <v>45128</v>
      </c>
      <c r="E267" s="7">
        <v>0</v>
      </c>
      <c r="F267" s="7">
        <v>100</v>
      </c>
      <c r="G267" s="7">
        <v>77031.03</v>
      </c>
      <c r="I267" s="8">
        <f t="shared" si="3"/>
        <v>0</v>
      </c>
    </row>
    <row r="268" spans="1:9" ht="14.4" x14ac:dyDescent="0.3">
      <c r="A268" s="25">
        <v>45128</v>
      </c>
      <c r="B268" s="6" t="s">
        <v>133</v>
      </c>
      <c r="C268" s="6" t="s">
        <v>407</v>
      </c>
      <c r="D268" s="25">
        <v>45128</v>
      </c>
      <c r="E268" s="7">
        <v>108.48</v>
      </c>
      <c r="F268" s="7">
        <v>0</v>
      </c>
      <c r="G268" s="7">
        <v>76922.55</v>
      </c>
      <c r="I268" s="8">
        <f t="shared" si="3"/>
        <v>0</v>
      </c>
    </row>
    <row r="269" spans="1:9" ht="14.4" x14ac:dyDescent="0.3">
      <c r="A269" s="25">
        <v>45129</v>
      </c>
      <c r="B269" s="6" t="s">
        <v>408</v>
      </c>
      <c r="C269" s="6" t="s">
        <v>409</v>
      </c>
      <c r="D269" s="25">
        <v>45129</v>
      </c>
      <c r="E269" s="7">
        <v>50000</v>
      </c>
      <c r="F269" s="7">
        <v>0</v>
      </c>
      <c r="G269" s="7">
        <v>26922.55</v>
      </c>
      <c r="I269" s="8">
        <f t="shared" si="3"/>
        <v>0</v>
      </c>
    </row>
    <row r="270" spans="1:9" ht="14.4" x14ac:dyDescent="0.3">
      <c r="A270" s="25">
        <v>45131</v>
      </c>
      <c r="B270" s="6" t="s">
        <v>410</v>
      </c>
      <c r="C270" s="6" t="s">
        <v>411</v>
      </c>
      <c r="D270" s="25">
        <v>45131</v>
      </c>
      <c r="E270" s="7">
        <v>0</v>
      </c>
      <c r="F270" s="7">
        <v>1160</v>
      </c>
      <c r="G270" s="7">
        <v>28082.55</v>
      </c>
      <c r="I270" s="8">
        <f t="shared" si="3"/>
        <v>0</v>
      </c>
    </row>
    <row r="271" spans="1:9" ht="14.4" x14ac:dyDescent="0.3">
      <c r="A271" s="25">
        <v>45131</v>
      </c>
      <c r="B271" s="6" t="s">
        <v>133</v>
      </c>
      <c r="C271" s="6" t="s">
        <v>412</v>
      </c>
      <c r="D271" s="25">
        <v>45131</v>
      </c>
      <c r="E271" s="7">
        <v>341.67</v>
      </c>
      <c r="F271" s="7">
        <v>0</v>
      </c>
      <c r="G271" s="7">
        <v>27740.880000000001</v>
      </c>
      <c r="I271" s="8">
        <f t="shared" si="3"/>
        <v>0</v>
      </c>
    </row>
    <row r="272" spans="1:9" ht="14.4" x14ac:dyDescent="0.3">
      <c r="A272" s="25">
        <v>45131</v>
      </c>
      <c r="B272" s="6" t="s">
        <v>135</v>
      </c>
      <c r="C272" s="6" t="s">
        <v>413</v>
      </c>
      <c r="D272" s="25">
        <v>45131</v>
      </c>
      <c r="E272" s="7">
        <v>0</v>
      </c>
      <c r="F272" s="7">
        <v>144.55000000000001</v>
      </c>
      <c r="G272" s="7">
        <v>27885.43</v>
      </c>
      <c r="I272" s="8">
        <f t="shared" si="3"/>
        <v>0</v>
      </c>
    </row>
    <row r="273" spans="1:9" ht="14.4" x14ac:dyDescent="0.3">
      <c r="A273" s="25">
        <v>45132</v>
      </c>
      <c r="B273" s="6" t="s">
        <v>414</v>
      </c>
      <c r="C273" s="6" t="s">
        <v>415</v>
      </c>
      <c r="D273" s="25">
        <v>45132</v>
      </c>
      <c r="E273" s="7">
        <v>5000</v>
      </c>
      <c r="F273" s="7">
        <v>0</v>
      </c>
      <c r="G273" s="7">
        <v>22885.43</v>
      </c>
      <c r="I273" s="8">
        <f t="shared" si="3"/>
        <v>0</v>
      </c>
    </row>
    <row r="274" spans="1:9" ht="14.4" x14ac:dyDescent="0.3">
      <c r="A274" s="25">
        <v>45132</v>
      </c>
      <c r="B274" s="6" t="s">
        <v>154</v>
      </c>
      <c r="C274" s="6" t="s">
        <v>416</v>
      </c>
      <c r="D274" s="25">
        <v>45132</v>
      </c>
      <c r="E274" s="7">
        <v>2500</v>
      </c>
      <c r="F274" s="7">
        <v>0</v>
      </c>
      <c r="G274" s="7">
        <v>20385.43</v>
      </c>
      <c r="I274" s="8">
        <f t="shared" si="3"/>
        <v>0</v>
      </c>
    </row>
    <row r="275" spans="1:9" ht="14.4" x14ac:dyDescent="0.3">
      <c r="A275" s="25">
        <v>45132</v>
      </c>
      <c r="B275" s="6" t="s">
        <v>133</v>
      </c>
      <c r="C275" s="6" t="s">
        <v>417</v>
      </c>
      <c r="D275" s="25">
        <v>45132</v>
      </c>
      <c r="E275" s="7">
        <v>113.96</v>
      </c>
      <c r="F275" s="7">
        <v>0</v>
      </c>
      <c r="G275" s="7">
        <v>20271.47</v>
      </c>
      <c r="I275" s="8">
        <f t="shared" si="3"/>
        <v>0</v>
      </c>
    </row>
    <row r="276" spans="1:9" ht="14.4" x14ac:dyDescent="0.3">
      <c r="A276" s="25">
        <v>45132</v>
      </c>
      <c r="B276" s="6" t="s">
        <v>418</v>
      </c>
      <c r="C276" s="6" t="s">
        <v>419</v>
      </c>
      <c r="D276" s="25">
        <v>45132</v>
      </c>
      <c r="E276" s="7">
        <v>0</v>
      </c>
      <c r="F276" s="7">
        <v>5000</v>
      </c>
      <c r="G276" s="7">
        <v>25271.47</v>
      </c>
      <c r="I276" s="8">
        <f t="shared" si="3"/>
        <v>0</v>
      </c>
    </row>
    <row r="277" spans="1:9" ht="14.4" x14ac:dyDescent="0.3">
      <c r="A277" s="25">
        <v>45132</v>
      </c>
      <c r="B277" s="6" t="s">
        <v>135</v>
      </c>
      <c r="C277" s="6" t="s">
        <v>420</v>
      </c>
      <c r="D277" s="25">
        <v>45132</v>
      </c>
      <c r="E277" s="7">
        <v>0</v>
      </c>
      <c r="F277" s="7">
        <v>243.97</v>
      </c>
      <c r="G277" s="7">
        <v>25515.439999999999</v>
      </c>
      <c r="I277" s="8">
        <f t="shared" si="3"/>
        <v>0</v>
      </c>
    </row>
    <row r="278" spans="1:9" ht="14.4" x14ac:dyDescent="0.3">
      <c r="A278" s="25">
        <v>45133</v>
      </c>
      <c r="B278" s="6" t="s">
        <v>133</v>
      </c>
      <c r="C278" s="6" t="s">
        <v>421</v>
      </c>
      <c r="D278" s="25">
        <v>45133</v>
      </c>
      <c r="E278" s="7">
        <v>114.08</v>
      </c>
      <c r="F278" s="7">
        <v>0</v>
      </c>
      <c r="G278" s="7">
        <v>25401.360000000001</v>
      </c>
      <c r="I278" s="8">
        <f t="shared" si="3"/>
        <v>0</v>
      </c>
    </row>
    <row r="279" spans="1:9" ht="14.4" x14ac:dyDescent="0.3">
      <c r="A279" s="25">
        <v>45133</v>
      </c>
      <c r="B279" s="6" t="s">
        <v>135</v>
      </c>
      <c r="C279" s="6" t="s">
        <v>422</v>
      </c>
      <c r="D279" s="25">
        <v>45133</v>
      </c>
      <c r="E279" s="7">
        <v>0</v>
      </c>
      <c r="F279" s="7">
        <v>1797.08</v>
      </c>
      <c r="G279" s="7">
        <v>27198.44</v>
      </c>
      <c r="I279" s="8">
        <f t="shared" si="3"/>
        <v>0</v>
      </c>
    </row>
    <row r="280" spans="1:9" ht="14.4" x14ac:dyDescent="0.3">
      <c r="A280" s="25">
        <v>45134</v>
      </c>
      <c r="B280" s="6" t="s">
        <v>423</v>
      </c>
      <c r="C280" s="6" t="s">
        <v>424</v>
      </c>
      <c r="D280" s="25">
        <v>45134</v>
      </c>
      <c r="E280" s="7">
        <v>0</v>
      </c>
      <c r="F280" s="7">
        <v>600</v>
      </c>
      <c r="G280" s="7">
        <v>27798.44</v>
      </c>
      <c r="I280" s="8">
        <f t="shared" ref="I280:I343" si="4">G279-E280+F280-G280</f>
        <v>0</v>
      </c>
    </row>
    <row r="281" spans="1:9" ht="14.4" x14ac:dyDescent="0.3">
      <c r="A281" s="25">
        <v>45135</v>
      </c>
      <c r="B281" s="6" t="s">
        <v>133</v>
      </c>
      <c r="C281" s="6" t="s">
        <v>425</v>
      </c>
      <c r="D281" s="25">
        <v>45135</v>
      </c>
      <c r="E281" s="7">
        <v>6724.1</v>
      </c>
      <c r="F281" s="7">
        <v>0</v>
      </c>
      <c r="G281" s="7">
        <v>21074.34</v>
      </c>
      <c r="I281" s="8">
        <f t="shared" si="4"/>
        <v>0</v>
      </c>
    </row>
    <row r="282" spans="1:9" ht="14.4" x14ac:dyDescent="0.3">
      <c r="A282" s="25">
        <v>45135</v>
      </c>
      <c r="B282" s="6" t="s">
        <v>133</v>
      </c>
      <c r="C282" s="6" t="s">
        <v>426</v>
      </c>
      <c r="D282" s="25">
        <v>45135</v>
      </c>
      <c r="E282" s="7">
        <v>108.2</v>
      </c>
      <c r="F282" s="7">
        <v>0</v>
      </c>
      <c r="G282" s="7">
        <v>20966.14</v>
      </c>
      <c r="I282" s="8">
        <f t="shared" si="4"/>
        <v>0</v>
      </c>
    </row>
    <row r="283" spans="1:9" ht="14.4" x14ac:dyDescent="0.3">
      <c r="A283" s="25">
        <v>45136</v>
      </c>
      <c r="B283" s="6" t="s">
        <v>133</v>
      </c>
      <c r="C283" s="6" t="s">
        <v>427</v>
      </c>
      <c r="D283" s="25">
        <v>45136</v>
      </c>
      <c r="E283" s="7">
        <v>343.38</v>
      </c>
      <c r="F283" s="7">
        <v>0</v>
      </c>
      <c r="G283" s="7">
        <v>20622.759999999998</v>
      </c>
      <c r="I283" s="8">
        <f t="shared" si="4"/>
        <v>0</v>
      </c>
    </row>
    <row r="284" spans="1:9" ht="14.4" x14ac:dyDescent="0.3">
      <c r="A284" s="25">
        <v>45138</v>
      </c>
      <c r="B284" s="6" t="s">
        <v>133</v>
      </c>
      <c r="C284" s="6" t="s">
        <v>428</v>
      </c>
      <c r="D284" s="25">
        <v>45138</v>
      </c>
      <c r="E284" s="7">
        <v>360.15</v>
      </c>
      <c r="F284" s="7">
        <v>0</v>
      </c>
      <c r="G284" s="7">
        <v>20262.61</v>
      </c>
      <c r="I284" s="8">
        <f t="shared" si="4"/>
        <v>0</v>
      </c>
    </row>
    <row r="285" spans="1:9" ht="14.4" x14ac:dyDescent="0.3">
      <c r="A285" s="25">
        <v>45138</v>
      </c>
      <c r="B285" s="6" t="s">
        <v>135</v>
      </c>
      <c r="C285" s="6" t="s">
        <v>429</v>
      </c>
      <c r="D285" s="25">
        <v>45138</v>
      </c>
      <c r="E285" s="7">
        <v>0</v>
      </c>
      <c r="F285" s="7">
        <v>38.299999999999997</v>
      </c>
      <c r="G285" s="7">
        <v>20300.91</v>
      </c>
      <c r="I285" s="8">
        <f t="shared" si="4"/>
        <v>0</v>
      </c>
    </row>
    <row r="286" spans="1:9" ht="14.4" x14ac:dyDescent="0.3">
      <c r="A286" s="25">
        <v>45139</v>
      </c>
      <c r="B286" s="6" t="s">
        <v>133</v>
      </c>
      <c r="C286" s="6" t="s">
        <v>430</v>
      </c>
      <c r="D286" s="25">
        <v>45139</v>
      </c>
      <c r="E286" s="7">
        <v>120.07</v>
      </c>
      <c r="F286" s="7">
        <v>0</v>
      </c>
      <c r="G286" s="7">
        <v>20180.84</v>
      </c>
      <c r="I286" s="8">
        <f t="shared" si="4"/>
        <v>0</v>
      </c>
    </row>
    <row r="287" spans="1:9" ht="14.4" x14ac:dyDescent="0.3">
      <c r="A287" s="25">
        <v>45139</v>
      </c>
      <c r="B287" s="6" t="s">
        <v>133</v>
      </c>
      <c r="C287" s="6" t="s">
        <v>431</v>
      </c>
      <c r="D287" s="25">
        <v>45139</v>
      </c>
      <c r="E287" s="7">
        <v>20180.84</v>
      </c>
      <c r="F287" s="7">
        <v>0</v>
      </c>
      <c r="G287" s="7">
        <v>0</v>
      </c>
      <c r="I287" s="8">
        <f t="shared" si="4"/>
        <v>0</v>
      </c>
    </row>
    <row r="288" spans="1:9" ht="14.4" x14ac:dyDescent="0.3">
      <c r="A288" s="25">
        <v>45139</v>
      </c>
      <c r="B288" s="6" t="s">
        <v>135</v>
      </c>
      <c r="C288" s="6" t="s">
        <v>432</v>
      </c>
      <c r="D288" s="25">
        <v>45139</v>
      </c>
      <c r="E288" s="7">
        <v>0</v>
      </c>
      <c r="F288" s="7">
        <v>9827.5400000000009</v>
      </c>
      <c r="G288" s="7">
        <v>9827.5400000000009</v>
      </c>
      <c r="I288" s="8">
        <f t="shared" si="4"/>
        <v>0</v>
      </c>
    </row>
    <row r="289" spans="1:9" ht="14.4" x14ac:dyDescent="0.3">
      <c r="A289" s="25">
        <v>45140</v>
      </c>
      <c r="B289" s="6" t="s">
        <v>133</v>
      </c>
      <c r="C289" s="6" t="s">
        <v>433</v>
      </c>
      <c r="D289" s="25">
        <v>45140</v>
      </c>
      <c r="E289" s="7">
        <v>1508.23</v>
      </c>
      <c r="F289" s="7">
        <v>0</v>
      </c>
      <c r="G289" s="7">
        <v>8319.31</v>
      </c>
      <c r="I289" s="8">
        <f t="shared" si="4"/>
        <v>0</v>
      </c>
    </row>
    <row r="290" spans="1:9" ht="14.4" x14ac:dyDescent="0.3">
      <c r="A290" s="25">
        <v>45141</v>
      </c>
      <c r="B290" s="6" t="s">
        <v>133</v>
      </c>
      <c r="C290" s="6" t="s">
        <v>434</v>
      </c>
      <c r="D290" s="25">
        <v>45141</v>
      </c>
      <c r="E290" s="7">
        <v>133.01</v>
      </c>
      <c r="F290" s="7">
        <v>0</v>
      </c>
      <c r="G290" s="7">
        <v>8186.3</v>
      </c>
      <c r="I290" s="8">
        <f t="shared" si="4"/>
        <v>0</v>
      </c>
    </row>
    <row r="291" spans="1:9" ht="14.4" x14ac:dyDescent="0.3">
      <c r="A291" s="25">
        <v>45141</v>
      </c>
      <c r="B291" s="6" t="s">
        <v>133</v>
      </c>
      <c r="C291" s="6" t="s">
        <v>435</v>
      </c>
      <c r="D291" s="25">
        <v>45141</v>
      </c>
      <c r="E291" s="7">
        <v>967.62</v>
      </c>
      <c r="F291" s="7">
        <v>0</v>
      </c>
      <c r="G291" s="7">
        <v>7218.68</v>
      </c>
      <c r="I291" s="8">
        <f t="shared" si="4"/>
        <v>0</v>
      </c>
    </row>
    <row r="292" spans="1:9" ht="14.4" x14ac:dyDescent="0.3">
      <c r="A292" s="25">
        <v>45142</v>
      </c>
      <c r="B292" s="6" t="s">
        <v>133</v>
      </c>
      <c r="C292" s="6" t="s">
        <v>436</v>
      </c>
      <c r="D292" s="25">
        <v>45142</v>
      </c>
      <c r="E292" s="7">
        <v>132.53</v>
      </c>
      <c r="F292" s="7">
        <v>0</v>
      </c>
      <c r="G292" s="7">
        <v>7086.15</v>
      </c>
      <c r="I292" s="8">
        <f t="shared" si="4"/>
        <v>0</v>
      </c>
    </row>
    <row r="293" spans="1:9" ht="14.4" x14ac:dyDescent="0.3">
      <c r="A293" s="25">
        <v>45142</v>
      </c>
      <c r="B293" s="6" t="s">
        <v>133</v>
      </c>
      <c r="C293" s="6" t="s">
        <v>437</v>
      </c>
      <c r="D293" s="25">
        <v>45142</v>
      </c>
      <c r="E293" s="7">
        <v>7086.15</v>
      </c>
      <c r="F293" s="7">
        <v>0</v>
      </c>
      <c r="G293" s="7">
        <v>0</v>
      </c>
      <c r="I293" s="8">
        <f t="shared" si="4"/>
        <v>0</v>
      </c>
    </row>
    <row r="294" spans="1:9" ht="14.4" x14ac:dyDescent="0.3">
      <c r="A294" s="25">
        <v>45143</v>
      </c>
      <c r="B294" s="6" t="s">
        <v>438</v>
      </c>
      <c r="C294" s="6" t="s">
        <v>439</v>
      </c>
      <c r="D294" s="25">
        <v>45143</v>
      </c>
      <c r="E294" s="7">
        <v>0</v>
      </c>
      <c r="F294" s="7">
        <v>25000</v>
      </c>
      <c r="G294" s="7">
        <v>25000</v>
      </c>
      <c r="I294" s="8">
        <f t="shared" si="4"/>
        <v>0</v>
      </c>
    </row>
    <row r="295" spans="1:9" ht="14.4" x14ac:dyDescent="0.3">
      <c r="A295" s="25">
        <v>45145</v>
      </c>
      <c r="B295" s="6" t="s">
        <v>133</v>
      </c>
      <c r="C295" s="6" t="s">
        <v>440</v>
      </c>
      <c r="D295" s="25">
        <v>45145</v>
      </c>
      <c r="E295" s="7">
        <v>24124.85</v>
      </c>
      <c r="F295" s="7">
        <v>0</v>
      </c>
      <c r="G295" s="7">
        <v>875.15</v>
      </c>
      <c r="I295" s="8">
        <f t="shared" si="4"/>
        <v>1.4779288903810084E-12</v>
      </c>
    </row>
    <row r="296" spans="1:9" ht="14.4" x14ac:dyDescent="0.3">
      <c r="A296" s="25">
        <v>45145</v>
      </c>
      <c r="B296" s="6" t="s">
        <v>441</v>
      </c>
      <c r="C296" s="6" t="s">
        <v>442</v>
      </c>
      <c r="D296" s="25">
        <v>45145</v>
      </c>
      <c r="E296" s="7">
        <v>0</v>
      </c>
      <c r="F296" s="7">
        <v>10000</v>
      </c>
      <c r="G296" s="7">
        <v>10875.15</v>
      </c>
      <c r="I296" s="8">
        <f t="shared" si="4"/>
        <v>0</v>
      </c>
    </row>
    <row r="297" spans="1:9" ht="14.4" x14ac:dyDescent="0.3">
      <c r="A297" s="25">
        <v>45145</v>
      </c>
      <c r="B297" s="6" t="s">
        <v>133</v>
      </c>
      <c r="C297" s="6" t="s">
        <v>443</v>
      </c>
      <c r="D297" s="25">
        <v>45145</v>
      </c>
      <c r="E297" s="7">
        <v>10875.15</v>
      </c>
      <c r="F297" s="7">
        <v>0</v>
      </c>
      <c r="G297" s="7">
        <v>0</v>
      </c>
      <c r="I297" s="8">
        <f t="shared" si="4"/>
        <v>0</v>
      </c>
    </row>
    <row r="298" spans="1:9" ht="14.4" x14ac:dyDescent="0.3">
      <c r="A298" s="25">
        <v>45145</v>
      </c>
      <c r="B298" s="6" t="s">
        <v>444</v>
      </c>
      <c r="C298" s="6" t="s">
        <v>445</v>
      </c>
      <c r="D298" s="25">
        <v>45145</v>
      </c>
      <c r="E298" s="7">
        <v>0</v>
      </c>
      <c r="F298" s="7">
        <v>162.5</v>
      </c>
      <c r="G298" s="7">
        <v>162.5</v>
      </c>
      <c r="I298" s="8">
        <f t="shared" si="4"/>
        <v>0</v>
      </c>
    </row>
    <row r="299" spans="1:9" ht="14.4" x14ac:dyDescent="0.3">
      <c r="A299" s="25">
        <v>45145</v>
      </c>
      <c r="B299" s="6" t="s">
        <v>446</v>
      </c>
      <c r="C299" s="6" t="s">
        <v>447</v>
      </c>
      <c r="D299" s="25">
        <v>45145</v>
      </c>
      <c r="E299" s="7">
        <v>0</v>
      </c>
      <c r="F299" s="7">
        <v>207</v>
      </c>
      <c r="G299" s="7">
        <v>369.5</v>
      </c>
      <c r="I299" s="8">
        <f t="shared" si="4"/>
        <v>0</v>
      </c>
    </row>
    <row r="300" spans="1:9" ht="14.4" x14ac:dyDescent="0.3">
      <c r="A300" s="25">
        <v>45145</v>
      </c>
      <c r="B300" s="6" t="s">
        <v>448</v>
      </c>
      <c r="C300" s="6" t="s">
        <v>449</v>
      </c>
      <c r="D300" s="25">
        <v>45145</v>
      </c>
      <c r="E300" s="7">
        <v>0</v>
      </c>
      <c r="F300" s="7">
        <v>1880</v>
      </c>
      <c r="G300" s="7">
        <v>2249.5</v>
      </c>
      <c r="I300" s="8">
        <f t="shared" si="4"/>
        <v>0</v>
      </c>
    </row>
    <row r="301" spans="1:9" ht="14.4" x14ac:dyDescent="0.3">
      <c r="A301" s="25">
        <v>45145</v>
      </c>
      <c r="B301" s="6" t="s">
        <v>450</v>
      </c>
      <c r="C301" s="6" t="s">
        <v>451</v>
      </c>
      <c r="D301" s="25">
        <v>45145</v>
      </c>
      <c r="E301" s="7">
        <v>0</v>
      </c>
      <c r="F301" s="7">
        <v>25000</v>
      </c>
      <c r="G301" s="7">
        <v>27249.5</v>
      </c>
      <c r="I301" s="8">
        <f t="shared" si="4"/>
        <v>0</v>
      </c>
    </row>
    <row r="302" spans="1:9" ht="14.4" x14ac:dyDescent="0.3">
      <c r="A302" s="25">
        <v>45146</v>
      </c>
      <c r="B302" s="6" t="s">
        <v>133</v>
      </c>
      <c r="C302" s="6" t="s">
        <v>452</v>
      </c>
      <c r="D302" s="25">
        <v>45146</v>
      </c>
      <c r="E302" s="7">
        <v>13883.68</v>
      </c>
      <c r="F302" s="7">
        <v>0</v>
      </c>
      <c r="G302" s="7">
        <v>13365.82</v>
      </c>
      <c r="I302" s="8">
        <f t="shared" si="4"/>
        <v>0</v>
      </c>
    </row>
    <row r="303" spans="1:9" ht="14.4" x14ac:dyDescent="0.3">
      <c r="A303" s="25">
        <v>45146</v>
      </c>
      <c r="B303" s="6" t="s">
        <v>135</v>
      </c>
      <c r="C303" s="6" t="s">
        <v>453</v>
      </c>
      <c r="D303" s="25">
        <v>45145</v>
      </c>
      <c r="E303" s="7">
        <v>0</v>
      </c>
      <c r="F303" s="7">
        <v>24124.85</v>
      </c>
      <c r="G303" s="7">
        <v>37490.67</v>
      </c>
      <c r="I303" s="8">
        <f t="shared" si="4"/>
        <v>0</v>
      </c>
    </row>
    <row r="304" spans="1:9" ht="14.4" x14ac:dyDescent="0.3">
      <c r="A304" s="25">
        <v>45146</v>
      </c>
      <c r="B304" s="6" t="s">
        <v>133</v>
      </c>
      <c r="C304" s="6" t="s">
        <v>454</v>
      </c>
      <c r="D304" s="25">
        <v>45146</v>
      </c>
      <c r="E304" s="7">
        <v>113.72</v>
      </c>
      <c r="F304" s="7">
        <v>0</v>
      </c>
      <c r="G304" s="7">
        <v>37376.949999999997</v>
      </c>
      <c r="I304" s="8">
        <f t="shared" si="4"/>
        <v>0</v>
      </c>
    </row>
    <row r="305" spans="1:9" ht="14.4" x14ac:dyDescent="0.3">
      <c r="A305" s="25">
        <v>45146</v>
      </c>
      <c r="B305" s="6" t="s">
        <v>455</v>
      </c>
      <c r="C305" s="6" t="s">
        <v>456</v>
      </c>
      <c r="D305" s="25">
        <v>45146</v>
      </c>
      <c r="E305" s="7">
        <v>0</v>
      </c>
      <c r="F305" s="7">
        <v>640</v>
      </c>
      <c r="G305" s="7">
        <v>38016.949999999997</v>
      </c>
      <c r="I305" s="8">
        <f t="shared" si="4"/>
        <v>0</v>
      </c>
    </row>
    <row r="306" spans="1:9" ht="14.4" x14ac:dyDescent="0.3">
      <c r="A306" s="25">
        <v>45146</v>
      </c>
      <c r="B306" s="6" t="s">
        <v>135</v>
      </c>
      <c r="C306" s="6" t="s">
        <v>457</v>
      </c>
      <c r="D306" s="25">
        <v>45146</v>
      </c>
      <c r="E306" s="7">
        <v>0</v>
      </c>
      <c r="F306" s="7">
        <v>4.88</v>
      </c>
      <c r="G306" s="7">
        <v>38021.83</v>
      </c>
      <c r="I306" s="8">
        <f t="shared" si="4"/>
        <v>0</v>
      </c>
    </row>
    <row r="307" spans="1:9" ht="14.4" x14ac:dyDescent="0.3">
      <c r="A307" s="25">
        <v>45147</v>
      </c>
      <c r="B307" s="6" t="s">
        <v>133</v>
      </c>
      <c r="C307" s="6" t="s">
        <v>458</v>
      </c>
      <c r="D307" s="25">
        <v>45147</v>
      </c>
      <c r="E307" s="7">
        <v>113.72</v>
      </c>
      <c r="F307" s="7">
        <v>0</v>
      </c>
      <c r="G307" s="7">
        <v>37908.11</v>
      </c>
      <c r="I307" s="8">
        <f t="shared" si="4"/>
        <v>0</v>
      </c>
    </row>
    <row r="308" spans="1:9" ht="14.4" x14ac:dyDescent="0.3">
      <c r="A308" s="25">
        <v>45147</v>
      </c>
      <c r="B308" s="6" t="s">
        <v>133</v>
      </c>
      <c r="C308" s="6" t="s">
        <v>459</v>
      </c>
      <c r="D308" s="25">
        <v>45147</v>
      </c>
      <c r="E308" s="7">
        <v>34.549999999999997</v>
      </c>
      <c r="F308" s="7">
        <v>0</v>
      </c>
      <c r="G308" s="7">
        <v>37873.56</v>
      </c>
      <c r="I308" s="8">
        <f t="shared" si="4"/>
        <v>0</v>
      </c>
    </row>
    <row r="309" spans="1:9" ht="14.4" x14ac:dyDescent="0.3">
      <c r="A309" s="25">
        <v>45148</v>
      </c>
      <c r="B309" s="6" t="s">
        <v>133</v>
      </c>
      <c r="C309" s="6" t="s">
        <v>460</v>
      </c>
      <c r="D309" s="25">
        <v>45148</v>
      </c>
      <c r="E309" s="7">
        <v>113.7</v>
      </c>
      <c r="F309" s="7">
        <v>0</v>
      </c>
      <c r="G309" s="7">
        <v>37759.86</v>
      </c>
      <c r="I309" s="8">
        <f t="shared" si="4"/>
        <v>0</v>
      </c>
    </row>
    <row r="310" spans="1:9" ht="14.4" x14ac:dyDescent="0.3">
      <c r="A310" s="25">
        <v>45149</v>
      </c>
      <c r="B310" s="6" t="s">
        <v>133</v>
      </c>
      <c r="C310" s="6" t="s">
        <v>461</v>
      </c>
      <c r="D310" s="25">
        <v>45149</v>
      </c>
      <c r="E310" s="7">
        <v>179.44</v>
      </c>
      <c r="F310" s="7">
        <v>0</v>
      </c>
      <c r="G310" s="7">
        <v>37580.42</v>
      </c>
      <c r="I310" s="8">
        <f t="shared" si="4"/>
        <v>0</v>
      </c>
    </row>
    <row r="311" spans="1:9" ht="14.4" x14ac:dyDescent="0.3">
      <c r="A311" s="25">
        <v>45149</v>
      </c>
      <c r="B311" s="6" t="s">
        <v>154</v>
      </c>
      <c r="C311" s="6" t="s">
        <v>462</v>
      </c>
      <c r="D311" s="25">
        <v>45149</v>
      </c>
      <c r="E311" s="7">
        <v>3000</v>
      </c>
      <c r="F311" s="7">
        <v>0</v>
      </c>
      <c r="G311" s="7">
        <v>34580.42</v>
      </c>
      <c r="I311" s="8">
        <f t="shared" si="4"/>
        <v>0</v>
      </c>
    </row>
    <row r="312" spans="1:9" ht="14.4" x14ac:dyDescent="0.3">
      <c r="A312" s="25">
        <v>45149</v>
      </c>
      <c r="B312" s="6" t="s">
        <v>133</v>
      </c>
      <c r="C312" s="6" t="s">
        <v>463</v>
      </c>
      <c r="D312" s="25">
        <v>45149</v>
      </c>
      <c r="E312" s="7">
        <v>113.61</v>
      </c>
      <c r="F312" s="7">
        <v>0</v>
      </c>
      <c r="G312" s="7">
        <v>34466.81</v>
      </c>
      <c r="I312" s="8">
        <f t="shared" si="4"/>
        <v>0</v>
      </c>
    </row>
    <row r="313" spans="1:9" ht="14.4" x14ac:dyDescent="0.3">
      <c r="A313" s="25">
        <v>45149</v>
      </c>
      <c r="B313" s="6" t="s">
        <v>133</v>
      </c>
      <c r="C313" s="6" t="s">
        <v>464</v>
      </c>
      <c r="D313" s="25">
        <v>45149</v>
      </c>
      <c r="E313" s="7">
        <v>201.59</v>
      </c>
      <c r="F313" s="7">
        <v>0</v>
      </c>
      <c r="G313" s="7">
        <v>34265.22</v>
      </c>
      <c r="I313" s="8">
        <f t="shared" si="4"/>
        <v>0</v>
      </c>
    </row>
    <row r="314" spans="1:9" ht="14.4" x14ac:dyDescent="0.3">
      <c r="A314" s="25">
        <v>45152</v>
      </c>
      <c r="B314" s="6" t="s">
        <v>465</v>
      </c>
      <c r="C314" s="6" t="s">
        <v>466</v>
      </c>
      <c r="D314" s="25">
        <v>45152</v>
      </c>
      <c r="E314" s="7">
        <v>0</v>
      </c>
      <c r="F314" s="7">
        <v>285</v>
      </c>
      <c r="G314" s="7">
        <v>34550.22</v>
      </c>
      <c r="I314" s="8">
        <f t="shared" si="4"/>
        <v>0</v>
      </c>
    </row>
    <row r="315" spans="1:9" ht="14.4" x14ac:dyDescent="0.3">
      <c r="A315" s="25">
        <v>45152</v>
      </c>
      <c r="B315" s="6" t="s">
        <v>204</v>
      </c>
      <c r="C315" s="6" t="s">
        <v>467</v>
      </c>
      <c r="D315" s="25">
        <v>45152</v>
      </c>
      <c r="E315" s="7">
        <v>3000</v>
      </c>
      <c r="F315" s="7">
        <v>0</v>
      </c>
      <c r="G315" s="7">
        <v>31550.22</v>
      </c>
      <c r="I315" s="8">
        <f t="shared" si="4"/>
        <v>0</v>
      </c>
    </row>
    <row r="316" spans="1:9" ht="14.4" x14ac:dyDescent="0.3">
      <c r="A316" s="25">
        <v>45152</v>
      </c>
      <c r="B316" s="6" t="s">
        <v>133</v>
      </c>
      <c r="C316" s="6" t="s">
        <v>468</v>
      </c>
      <c r="D316" s="25">
        <v>45152</v>
      </c>
      <c r="E316" s="7">
        <v>340.53</v>
      </c>
      <c r="F316" s="7">
        <v>0</v>
      </c>
      <c r="G316" s="7">
        <v>31209.69</v>
      </c>
      <c r="I316" s="8">
        <f t="shared" si="4"/>
        <v>0</v>
      </c>
    </row>
    <row r="317" spans="1:9" ht="14.4" x14ac:dyDescent="0.3">
      <c r="A317" s="25">
        <v>45152</v>
      </c>
      <c r="B317" s="6" t="s">
        <v>133</v>
      </c>
      <c r="C317" s="6" t="s">
        <v>469</v>
      </c>
      <c r="D317" s="25">
        <v>45152</v>
      </c>
      <c r="E317" s="7">
        <v>448.83</v>
      </c>
      <c r="F317" s="7">
        <v>0</v>
      </c>
      <c r="G317" s="7">
        <v>30760.86</v>
      </c>
      <c r="I317" s="8">
        <f t="shared" si="4"/>
        <v>0</v>
      </c>
    </row>
    <row r="318" spans="1:9" ht="14.4" x14ac:dyDescent="0.3">
      <c r="A318" s="25">
        <v>45154</v>
      </c>
      <c r="B318" s="6" t="s">
        <v>154</v>
      </c>
      <c r="C318" s="6" t="s">
        <v>470</v>
      </c>
      <c r="D318" s="25">
        <v>45154</v>
      </c>
      <c r="E318" s="7">
        <v>2500</v>
      </c>
      <c r="F318" s="7">
        <v>0</v>
      </c>
      <c r="G318" s="7">
        <v>28260.86</v>
      </c>
      <c r="I318" s="8">
        <f t="shared" si="4"/>
        <v>0</v>
      </c>
    </row>
    <row r="319" spans="1:9" ht="14.4" x14ac:dyDescent="0.3">
      <c r="A319" s="25">
        <v>45154</v>
      </c>
      <c r="B319" s="6" t="s">
        <v>133</v>
      </c>
      <c r="C319" s="6" t="s">
        <v>471</v>
      </c>
      <c r="D319" s="25">
        <v>45154</v>
      </c>
      <c r="E319" s="7">
        <v>226.58</v>
      </c>
      <c r="F319" s="7">
        <v>0</v>
      </c>
      <c r="G319" s="7">
        <v>28034.28</v>
      </c>
      <c r="I319" s="8">
        <f t="shared" si="4"/>
        <v>0</v>
      </c>
    </row>
    <row r="320" spans="1:9" ht="14.4" x14ac:dyDescent="0.3">
      <c r="A320" s="25">
        <v>45155</v>
      </c>
      <c r="B320" s="6" t="s">
        <v>133</v>
      </c>
      <c r="C320" s="6" t="s">
        <v>472</v>
      </c>
      <c r="D320" s="25">
        <v>45155</v>
      </c>
      <c r="E320" s="7">
        <v>113.31</v>
      </c>
      <c r="F320" s="7">
        <v>0</v>
      </c>
      <c r="G320" s="7">
        <v>27920.97</v>
      </c>
      <c r="I320" s="8">
        <f t="shared" si="4"/>
        <v>0</v>
      </c>
    </row>
    <row r="321" spans="1:9" ht="14.4" x14ac:dyDescent="0.3">
      <c r="A321" s="25">
        <v>45155</v>
      </c>
      <c r="B321" s="6" t="s">
        <v>135</v>
      </c>
      <c r="C321" s="6" t="s">
        <v>473</v>
      </c>
      <c r="D321" s="25">
        <v>45155</v>
      </c>
      <c r="E321" s="7">
        <v>0</v>
      </c>
      <c r="F321" s="7">
        <v>111.15</v>
      </c>
      <c r="G321" s="7">
        <v>28032.12</v>
      </c>
      <c r="I321" s="8">
        <f t="shared" si="4"/>
        <v>0</v>
      </c>
    </row>
    <row r="322" spans="1:9" ht="14.4" x14ac:dyDescent="0.3">
      <c r="A322" s="25">
        <v>45155</v>
      </c>
      <c r="B322" s="6" t="s">
        <v>135</v>
      </c>
      <c r="C322" s="6" t="s">
        <v>474</v>
      </c>
      <c r="D322" s="25">
        <v>45155</v>
      </c>
      <c r="E322" s="7">
        <v>0</v>
      </c>
      <c r="F322" s="7">
        <v>44.58</v>
      </c>
      <c r="G322" s="7">
        <v>28076.7</v>
      </c>
      <c r="I322" s="8">
        <f t="shared" si="4"/>
        <v>0</v>
      </c>
    </row>
    <row r="323" spans="1:9" ht="14.4" x14ac:dyDescent="0.3">
      <c r="A323" s="25">
        <v>45156</v>
      </c>
      <c r="B323" s="6" t="s">
        <v>133</v>
      </c>
      <c r="C323" s="6" t="s">
        <v>475</v>
      </c>
      <c r="D323" s="25">
        <v>45156</v>
      </c>
      <c r="E323" s="7">
        <v>113.37</v>
      </c>
      <c r="F323" s="7">
        <v>0</v>
      </c>
      <c r="G323" s="7">
        <v>27963.33</v>
      </c>
      <c r="I323" s="8">
        <f t="shared" si="4"/>
        <v>0</v>
      </c>
    </row>
    <row r="324" spans="1:9" ht="14.4" x14ac:dyDescent="0.3">
      <c r="A324" s="25">
        <v>45156</v>
      </c>
      <c r="B324" s="6" t="s">
        <v>476</v>
      </c>
      <c r="C324" s="6" t="s">
        <v>149</v>
      </c>
      <c r="D324" s="25">
        <v>45156</v>
      </c>
      <c r="E324" s="7">
        <v>778.8</v>
      </c>
      <c r="F324" s="7">
        <v>0</v>
      </c>
      <c r="G324" s="7">
        <v>27184.53</v>
      </c>
      <c r="I324" s="8">
        <f t="shared" si="4"/>
        <v>0</v>
      </c>
    </row>
    <row r="325" spans="1:9" ht="14.4" x14ac:dyDescent="0.3">
      <c r="A325" s="25">
        <v>45156</v>
      </c>
      <c r="B325" s="6" t="s">
        <v>133</v>
      </c>
      <c r="C325" s="6" t="s">
        <v>477</v>
      </c>
      <c r="D325" s="25">
        <v>45156</v>
      </c>
      <c r="E325" s="7">
        <v>113.17</v>
      </c>
      <c r="F325" s="7">
        <v>0</v>
      </c>
      <c r="G325" s="7">
        <v>27071.360000000001</v>
      </c>
      <c r="I325" s="8">
        <f t="shared" si="4"/>
        <v>0</v>
      </c>
    </row>
    <row r="326" spans="1:9" ht="14.4" x14ac:dyDescent="0.3">
      <c r="A326" s="25">
        <v>45159</v>
      </c>
      <c r="B326" s="6" t="s">
        <v>133</v>
      </c>
      <c r="C326" s="6" t="s">
        <v>478</v>
      </c>
      <c r="D326" s="25">
        <v>45159</v>
      </c>
      <c r="E326" s="7">
        <v>339.93</v>
      </c>
      <c r="F326" s="7">
        <v>0</v>
      </c>
      <c r="G326" s="7">
        <v>26731.43</v>
      </c>
      <c r="I326" s="8">
        <f t="shared" si="4"/>
        <v>0</v>
      </c>
    </row>
    <row r="327" spans="1:9" ht="14.4" x14ac:dyDescent="0.3">
      <c r="A327" s="25">
        <v>45159</v>
      </c>
      <c r="B327" s="6" t="s">
        <v>133</v>
      </c>
      <c r="C327" s="6" t="s">
        <v>479</v>
      </c>
      <c r="D327" s="25">
        <v>45159</v>
      </c>
      <c r="E327" s="7">
        <v>86.56</v>
      </c>
      <c r="F327" s="7">
        <v>0</v>
      </c>
      <c r="G327" s="7">
        <v>26644.87</v>
      </c>
      <c r="I327" s="8">
        <f t="shared" si="4"/>
        <v>0</v>
      </c>
    </row>
    <row r="328" spans="1:9" ht="14.4" x14ac:dyDescent="0.3">
      <c r="A328" s="25">
        <v>45160</v>
      </c>
      <c r="B328" s="6" t="s">
        <v>133</v>
      </c>
      <c r="C328" s="6" t="s">
        <v>480</v>
      </c>
      <c r="D328" s="25">
        <v>45160</v>
      </c>
      <c r="E328" s="7">
        <v>113.27</v>
      </c>
      <c r="F328" s="7">
        <v>0</v>
      </c>
      <c r="G328" s="7">
        <v>26531.599999999999</v>
      </c>
      <c r="I328" s="8">
        <f t="shared" si="4"/>
        <v>0</v>
      </c>
    </row>
    <row r="329" spans="1:9" ht="14.4" x14ac:dyDescent="0.3">
      <c r="A329" s="25">
        <v>45160</v>
      </c>
      <c r="B329" s="6" t="s">
        <v>133</v>
      </c>
      <c r="C329" s="6" t="s">
        <v>481</v>
      </c>
      <c r="D329" s="25">
        <v>45160</v>
      </c>
      <c r="E329" s="7">
        <v>118.89</v>
      </c>
      <c r="F329" s="7">
        <v>0</v>
      </c>
      <c r="G329" s="7">
        <v>26412.71</v>
      </c>
      <c r="I329" s="8">
        <f t="shared" si="4"/>
        <v>0</v>
      </c>
    </row>
    <row r="330" spans="1:9" ht="14.4" x14ac:dyDescent="0.3">
      <c r="A330" s="25">
        <v>45161</v>
      </c>
      <c r="B330" s="6" t="s">
        <v>133</v>
      </c>
      <c r="C330" s="6" t="s">
        <v>482</v>
      </c>
      <c r="D330" s="25">
        <v>45161</v>
      </c>
      <c r="E330" s="7">
        <v>113.21</v>
      </c>
      <c r="F330" s="7">
        <v>0</v>
      </c>
      <c r="G330" s="7">
        <v>26299.5</v>
      </c>
      <c r="I330" s="8">
        <f t="shared" si="4"/>
        <v>0</v>
      </c>
    </row>
    <row r="331" spans="1:9" ht="14.4" x14ac:dyDescent="0.3">
      <c r="A331" s="25">
        <v>45161</v>
      </c>
      <c r="B331" s="6" t="s">
        <v>204</v>
      </c>
      <c r="C331" s="6" t="s">
        <v>483</v>
      </c>
      <c r="D331" s="25">
        <v>45161</v>
      </c>
      <c r="E331" s="7">
        <v>5000</v>
      </c>
      <c r="F331" s="7">
        <v>0</v>
      </c>
      <c r="G331" s="7">
        <v>21299.5</v>
      </c>
      <c r="I331" s="8">
        <f t="shared" si="4"/>
        <v>0</v>
      </c>
    </row>
    <row r="332" spans="1:9" ht="14.4" x14ac:dyDescent="0.3">
      <c r="A332" s="25">
        <v>45161</v>
      </c>
      <c r="B332" s="6" t="s">
        <v>133</v>
      </c>
      <c r="C332" s="6" t="s">
        <v>484</v>
      </c>
      <c r="D332" s="25">
        <v>45161</v>
      </c>
      <c r="E332" s="7">
        <v>7991.11</v>
      </c>
      <c r="F332" s="7">
        <v>0</v>
      </c>
      <c r="G332" s="7">
        <v>13308.39</v>
      </c>
      <c r="I332" s="8">
        <f t="shared" si="4"/>
        <v>0</v>
      </c>
    </row>
    <row r="333" spans="1:9" ht="14.4" x14ac:dyDescent="0.3">
      <c r="A333" s="25">
        <v>45161</v>
      </c>
      <c r="B333" s="6" t="s">
        <v>135</v>
      </c>
      <c r="C333" s="6" t="s">
        <v>485</v>
      </c>
      <c r="D333" s="25">
        <v>45161</v>
      </c>
      <c r="E333" s="7">
        <v>0</v>
      </c>
      <c r="F333" s="7">
        <v>109.13</v>
      </c>
      <c r="G333" s="7">
        <v>13417.52</v>
      </c>
      <c r="I333" s="8">
        <f t="shared" si="4"/>
        <v>0</v>
      </c>
    </row>
    <row r="334" spans="1:9" ht="14.4" x14ac:dyDescent="0.3">
      <c r="A334" s="25">
        <v>45162</v>
      </c>
      <c r="B334" s="6" t="s">
        <v>334</v>
      </c>
      <c r="C334" s="6" t="s">
        <v>486</v>
      </c>
      <c r="D334" s="25">
        <v>45162</v>
      </c>
      <c r="E334" s="7">
        <v>0</v>
      </c>
      <c r="F334" s="7">
        <v>40000</v>
      </c>
      <c r="G334" s="7">
        <v>53417.52</v>
      </c>
      <c r="I334" s="8">
        <f t="shared" si="4"/>
        <v>0</v>
      </c>
    </row>
    <row r="335" spans="1:9" ht="14.4" x14ac:dyDescent="0.3">
      <c r="A335" s="25">
        <v>45162</v>
      </c>
      <c r="B335" s="6" t="s">
        <v>154</v>
      </c>
      <c r="C335" s="6" t="s">
        <v>487</v>
      </c>
      <c r="D335" s="25">
        <v>45162</v>
      </c>
      <c r="E335" s="7">
        <v>10000</v>
      </c>
      <c r="F335" s="7">
        <v>0</v>
      </c>
      <c r="G335" s="7">
        <v>43417.52</v>
      </c>
      <c r="I335" s="8">
        <f t="shared" si="4"/>
        <v>0</v>
      </c>
    </row>
    <row r="336" spans="1:9" ht="14.4" x14ac:dyDescent="0.3">
      <c r="A336" s="25">
        <v>45162</v>
      </c>
      <c r="B336" s="6" t="s">
        <v>133</v>
      </c>
      <c r="C336" s="6" t="s">
        <v>488</v>
      </c>
      <c r="D336" s="25">
        <v>45162</v>
      </c>
      <c r="E336" s="7">
        <v>113.27</v>
      </c>
      <c r="F336" s="7">
        <v>0</v>
      </c>
      <c r="G336" s="7">
        <v>43304.25</v>
      </c>
      <c r="I336" s="8">
        <f t="shared" si="4"/>
        <v>0</v>
      </c>
    </row>
    <row r="337" spans="1:9" ht="14.4" x14ac:dyDescent="0.3">
      <c r="A337" s="25">
        <v>45162</v>
      </c>
      <c r="B337" s="6" t="s">
        <v>133</v>
      </c>
      <c r="C337" s="6" t="s">
        <v>489</v>
      </c>
      <c r="D337" s="25">
        <v>45162</v>
      </c>
      <c r="E337" s="7">
        <v>98.68</v>
      </c>
      <c r="F337" s="7">
        <v>0</v>
      </c>
      <c r="G337" s="7">
        <v>43205.57</v>
      </c>
      <c r="I337" s="8">
        <f t="shared" si="4"/>
        <v>0</v>
      </c>
    </row>
    <row r="338" spans="1:9" ht="14.4" x14ac:dyDescent="0.3">
      <c r="A338" s="25">
        <v>45163</v>
      </c>
      <c r="B338" s="6" t="s">
        <v>154</v>
      </c>
      <c r="C338" s="6" t="s">
        <v>490</v>
      </c>
      <c r="D338" s="25">
        <v>45163</v>
      </c>
      <c r="E338" s="7">
        <v>2500</v>
      </c>
      <c r="F338" s="7">
        <v>0</v>
      </c>
      <c r="G338" s="7">
        <v>40705.57</v>
      </c>
      <c r="I338" s="8">
        <f t="shared" si="4"/>
        <v>0</v>
      </c>
    </row>
    <row r="339" spans="1:9" ht="14.4" x14ac:dyDescent="0.3">
      <c r="A339" s="25">
        <v>45163</v>
      </c>
      <c r="B339" s="6" t="s">
        <v>133</v>
      </c>
      <c r="C339" s="6" t="s">
        <v>491</v>
      </c>
      <c r="D339" s="25">
        <v>45163</v>
      </c>
      <c r="E339" s="7">
        <v>113.22</v>
      </c>
      <c r="F339" s="7">
        <v>0</v>
      </c>
      <c r="G339" s="7">
        <v>40592.35</v>
      </c>
      <c r="I339" s="8">
        <f t="shared" si="4"/>
        <v>0</v>
      </c>
    </row>
    <row r="340" spans="1:9" ht="14.4" x14ac:dyDescent="0.3">
      <c r="A340" s="25">
        <v>45163</v>
      </c>
      <c r="B340" s="6" t="s">
        <v>133</v>
      </c>
      <c r="C340" s="6" t="s">
        <v>492</v>
      </c>
      <c r="D340" s="25">
        <v>45163</v>
      </c>
      <c r="E340" s="7">
        <v>241.3</v>
      </c>
      <c r="F340" s="7">
        <v>0</v>
      </c>
      <c r="G340" s="7">
        <v>40351.050000000003</v>
      </c>
      <c r="I340" s="8">
        <f t="shared" si="4"/>
        <v>0</v>
      </c>
    </row>
    <row r="341" spans="1:9" ht="14.4" x14ac:dyDescent="0.3">
      <c r="A341" s="25">
        <v>45166</v>
      </c>
      <c r="B341" s="6" t="s">
        <v>133</v>
      </c>
      <c r="C341" s="6" t="s">
        <v>493</v>
      </c>
      <c r="D341" s="25">
        <v>45166</v>
      </c>
      <c r="E341" s="7">
        <v>339.3</v>
      </c>
      <c r="F341" s="7">
        <v>0</v>
      </c>
      <c r="G341" s="7">
        <v>40011.75</v>
      </c>
      <c r="I341" s="8">
        <f t="shared" si="4"/>
        <v>0</v>
      </c>
    </row>
    <row r="342" spans="1:9" ht="14.4" x14ac:dyDescent="0.3">
      <c r="A342" s="25">
        <v>45166</v>
      </c>
      <c r="B342" s="6" t="s">
        <v>494</v>
      </c>
      <c r="C342" s="6" t="s">
        <v>495</v>
      </c>
      <c r="D342" s="25">
        <v>45166</v>
      </c>
      <c r="E342" s="7">
        <v>0</v>
      </c>
      <c r="F342" s="7">
        <v>18</v>
      </c>
      <c r="G342" s="7">
        <v>40029.75</v>
      </c>
      <c r="I342" s="8">
        <f t="shared" si="4"/>
        <v>0</v>
      </c>
    </row>
    <row r="343" spans="1:9" ht="14.4" x14ac:dyDescent="0.3">
      <c r="A343" s="25">
        <v>45167</v>
      </c>
      <c r="B343" s="6" t="s">
        <v>496</v>
      </c>
      <c r="C343" s="6" t="s">
        <v>497</v>
      </c>
      <c r="D343" s="25">
        <v>45167</v>
      </c>
      <c r="E343" s="7">
        <v>0</v>
      </c>
      <c r="F343" s="7">
        <v>243.25</v>
      </c>
      <c r="G343" s="7">
        <v>40273</v>
      </c>
      <c r="I343" s="8">
        <f t="shared" si="4"/>
        <v>0</v>
      </c>
    </row>
    <row r="344" spans="1:9" ht="14.4" x14ac:dyDescent="0.3">
      <c r="A344" s="25">
        <v>45167</v>
      </c>
      <c r="B344" s="6" t="s">
        <v>133</v>
      </c>
      <c r="C344" s="6" t="s">
        <v>498</v>
      </c>
      <c r="D344" s="25">
        <v>45167</v>
      </c>
      <c r="E344" s="7">
        <v>113.1</v>
      </c>
      <c r="F344" s="7">
        <v>0</v>
      </c>
      <c r="G344" s="7">
        <v>40159.9</v>
      </c>
      <c r="I344" s="8">
        <f t="shared" ref="I344:I407" si="5">G343-E344+F344-G344</f>
        <v>0</v>
      </c>
    </row>
    <row r="345" spans="1:9" ht="14.4" x14ac:dyDescent="0.3">
      <c r="A345" s="25">
        <v>45167</v>
      </c>
      <c r="B345" s="6" t="s">
        <v>499</v>
      </c>
      <c r="C345" s="6" t="s">
        <v>500</v>
      </c>
      <c r="D345" s="25">
        <v>45167</v>
      </c>
      <c r="E345" s="7">
        <v>14040</v>
      </c>
      <c r="F345" s="7">
        <v>0</v>
      </c>
      <c r="G345" s="7">
        <v>26119.9</v>
      </c>
      <c r="I345" s="8">
        <f t="shared" si="5"/>
        <v>0</v>
      </c>
    </row>
    <row r="346" spans="1:9" ht="14.4" x14ac:dyDescent="0.3">
      <c r="A346" s="25">
        <v>45168</v>
      </c>
      <c r="B346" s="6" t="s">
        <v>496</v>
      </c>
      <c r="C346" s="6" t="s">
        <v>501</v>
      </c>
      <c r="D346" s="25">
        <v>45168</v>
      </c>
      <c r="E346" s="7">
        <v>0</v>
      </c>
      <c r="F346" s="7">
        <v>176.49</v>
      </c>
      <c r="G346" s="7">
        <v>26296.39</v>
      </c>
      <c r="I346" s="8">
        <f t="shared" si="5"/>
        <v>0</v>
      </c>
    </row>
    <row r="347" spans="1:9" ht="14.4" x14ac:dyDescent="0.3">
      <c r="A347" s="25">
        <v>45168</v>
      </c>
      <c r="B347" s="6" t="s">
        <v>133</v>
      </c>
      <c r="C347" s="6" t="s">
        <v>502</v>
      </c>
      <c r="D347" s="25">
        <v>45168</v>
      </c>
      <c r="E347" s="7">
        <v>113.22</v>
      </c>
      <c r="F347" s="7">
        <v>0</v>
      </c>
      <c r="G347" s="7">
        <v>26183.17</v>
      </c>
      <c r="I347" s="8">
        <f t="shared" si="5"/>
        <v>0</v>
      </c>
    </row>
    <row r="348" spans="1:9" ht="14.4" x14ac:dyDescent="0.3">
      <c r="A348" s="25">
        <v>45168</v>
      </c>
      <c r="B348" s="6" t="s">
        <v>503</v>
      </c>
      <c r="C348" s="6" t="s">
        <v>504</v>
      </c>
      <c r="D348" s="25">
        <v>45168</v>
      </c>
      <c r="E348" s="7">
        <v>0</v>
      </c>
      <c r="F348" s="7">
        <v>150000</v>
      </c>
      <c r="G348" s="7">
        <v>176183.17</v>
      </c>
      <c r="I348" s="8">
        <f t="shared" si="5"/>
        <v>0</v>
      </c>
    </row>
    <row r="349" spans="1:9" ht="14.4" x14ac:dyDescent="0.3">
      <c r="A349" s="25">
        <v>45168</v>
      </c>
      <c r="B349" s="6" t="s">
        <v>133</v>
      </c>
      <c r="C349" s="6" t="s">
        <v>505</v>
      </c>
      <c r="D349" s="25">
        <v>45168</v>
      </c>
      <c r="E349" s="7">
        <v>267.58</v>
      </c>
      <c r="F349" s="7">
        <v>0</v>
      </c>
      <c r="G349" s="7">
        <v>175915.59</v>
      </c>
      <c r="I349" s="8">
        <f t="shared" si="5"/>
        <v>0</v>
      </c>
    </row>
    <row r="350" spans="1:9" ht="14.4" x14ac:dyDescent="0.3">
      <c r="A350" s="25">
        <v>45169</v>
      </c>
      <c r="B350" s="6" t="s">
        <v>133</v>
      </c>
      <c r="C350" s="6" t="s">
        <v>506</v>
      </c>
      <c r="D350" s="25">
        <v>45169</v>
      </c>
      <c r="E350" s="7">
        <v>113.17</v>
      </c>
      <c r="F350" s="7">
        <v>0</v>
      </c>
      <c r="G350" s="7">
        <v>175802.42</v>
      </c>
      <c r="I350" s="8">
        <f t="shared" si="5"/>
        <v>0</v>
      </c>
    </row>
    <row r="351" spans="1:9" ht="14.4" x14ac:dyDescent="0.3">
      <c r="A351" s="25">
        <v>45170</v>
      </c>
      <c r="B351" s="6" t="s">
        <v>133</v>
      </c>
      <c r="C351" s="6" t="s">
        <v>507</v>
      </c>
      <c r="D351" s="25">
        <v>45170</v>
      </c>
      <c r="E351" s="7">
        <v>23580.75</v>
      </c>
      <c r="F351" s="7">
        <v>0</v>
      </c>
      <c r="G351" s="7">
        <v>152221.67000000001</v>
      </c>
      <c r="I351" s="8">
        <f t="shared" si="5"/>
        <v>0</v>
      </c>
    </row>
    <row r="352" spans="1:9" ht="14.4" x14ac:dyDescent="0.3">
      <c r="A352" s="25">
        <v>45170</v>
      </c>
      <c r="B352" s="6" t="s">
        <v>133</v>
      </c>
      <c r="C352" s="6" t="s">
        <v>508</v>
      </c>
      <c r="D352" s="25">
        <v>45170</v>
      </c>
      <c r="E352" s="7">
        <v>101.54</v>
      </c>
      <c r="F352" s="7">
        <v>0</v>
      </c>
      <c r="G352" s="7">
        <v>152120.13</v>
      </c>
      <c r="I352" s="8">
        <f t="shared" si="5"/>
        <v>0</v>
      </c>
    </row>
    <row r="353" spans="1:9" ht="14.4" x14ac:dyDescent="0.3">
      <c r="A353" s="25">
        <v>45170</v>
      </c>
      <c r="B353" s="6" t="s">
        <v>509</v>
      </c>
      <c r="C353" s="6" t="s">
        <v>510</v>
      </c>
      <c r="D353" s="25">
        <v>45170</v>
      </c>
      <c r="E353" s="7">
        <v>0</v>
      </c>
      <c r="F353" s="7">
        <v>45</v>
      </c>
      <c r="G353" s="7">
        <v>152165.13</v>
      </c>
      <c r="I353" s="8">
        <f t="shared" si="5"/>
        <v>0</v>
      </c>
    </row>
    <row r="354" spans="1:9" ht="14.4" x14ac:dyDescent="0.3">
      <c r="A354" s="25">
        <v>45170</v>
      </c>
      <c r="B354" s="6" t="s">
        <v>511</v>
      </c>
      <c r="C354" s="6" t="s">
        <v>512</v>
      </c>
      <c r="D354" s="25">
        <v>45170</v>
      </c>
      <c r="E354" s="7">
        <v>0</v>
      </c>
      <c r="F354" s="7">
        <v>120</v>
      </c>
      <c r="G354" s="7">
        <v>152285.13</v>
      </c>
      <c r="I354" s="8">
        <f t="shared" si="5"/>
        <v>0</v>
      </c>
    </row>
    <row r="355" spans="1:9" ht="14.4" x14ac:dyDescent="0.3">
      <c r="A355" s="25">
        <v>45170</v>
      </c>
      <c r="B355" s="6" t="s">
        <v>513</v>
      </c>
      <c r="C355" s="6" t="s">
        <v>514</v>
      </c>
      <c r="D355" s="25">
        <v>45170</v>
      </c>
      <c r="E355" s="7">
        <v>0</v>
      </c>
      <c r="F355" s="7">
        <v>140</v>
      </c>
      <c r="G355" s="7">
        <v>152425.13</v>
      </c>
      <c r="I355" s="8">
        <f t="shared" si="5"/>
        <v>0</v>
      </c>
    </row>
    <row r="356" spans="1:9" ht="14.4" x14ac:dyDescent="0.3">
      <c r="A356" s="25">
        <v>45170</v>
      </c>
      <c r="B356" s="6" t="s">
        <v>496</v>
      </c>
      <c r="C356" s="6" t="s">
        <v>515</v>
      </c>
      <c r="D356" s="25">
        <v>45170</v>
      </c>
      <c r="E356" s="7">
        <v>0</v>
      </c>
      <c r="F356" s="7">
        <v>156.86000000000001</v>
      </c>
      <c r="G356" s="7">
        <v>152581.99</v>
      </c>
      <c r="I356" s="8">
        <f t="shared" si="5"/>
        <v>0</v>
      </c>
    </row>
    <row r="357" spans="1:9" ht="14.4" x14ac:dyDescent="0.3">
      <c r="A357" s="25">
        <v>45173</v>
      </c>
      <c r="B357" s="6" t="s">
        <v>133</v>
      </c>
      <c r="C357" s="6" t="s">
        <v>516</v>
      </c>
      <c r="D357" s="25">
        <v>45173</v>
      </c>
      <c r="E357" s="7">
        <v>304.86</v>
      </c>
      <c r="F357" s="7">
        <v>0</v>
      </c>
      <c r="G357" s="7">
        <v>152277.13</v>
      </c>
      <c r="I357" s="8">
        <f t="shared" si="5"/>
        <v>0</v>
      </c>
    </row>
    <row r="358" spans="1:9" ht="14.4" x14ac:dyDescent="0.3">
      <c r="A358" s="25">
        <v>45173</v>
      </c>
      <c r="B358" s="6" t="s">
        <v>517</v>
      </c>
      <c r="C358" s="6" t="s">
        <v>518</v>
      </c>
      <c r="D358" s="25">
        <v>45173</v>
      </c>
      <c r="E358" s="7">
        <v>0</v>
      </c>
      <c r="F358" s="7">
        <v>60</v>
      </c>
      <c r="G358" s="7">
        <v>152337.13</v>
      </c>
      <c r="I358" s="8">
        <f t="shared" si="5"/>
        <v>0</v>
      </c>
    </row>
    <row r="359" spans="1:9" ht="14.4" x14ac:dyDescent="0.3">
      <c r="A359" s="25">
        <v>45174</v>
      </c>
      <c r="B359" s="6" t="s">
        <v>496</v>
      </c>
      <c r="C359" s="6" t="s">
        <v>519</v>
      </c>
      <c r="D359" s="25">
        <v>45174</v>
      </c>
      <c r="E359" s="7">
        <v>0</v>
      </c>
      <c r="F359" s="7">
        <v>3251.46</v>
      </c>
      <c r="G359" s="7">
        <v>155588.59</v>
      </c>
      <c r="I359" s="8">
        <f t="shared" si="5"/>
        <v>0</v>
      </c>
    </row>
    <row r="360" spans="1:9" ht="14.4" x14ac:dyDescent="0.3">
      <c r="A360" s="25">
        <v>45174</v>
      </c>
      <c r="B360" s="6" t="s">
        <v>133</v>
      </c>
      <c r="C360" s="6" t="s">
        <v>520</v>
      </c>
      <c r="D360" s="25">
        <v>45174</v>
      </c>
      <c r="E360" s="7">
        <v>101.62</v>
      </c>
      <c r="F360" s="7">
        <v>0</v>
      </c>
      <c r="G360" s="7">
        <v>155486.97</v>
      </c>
      <c r="I360" s="8">
        <f t="shared" si="5"/>
        <v>0</v>
      </c>
    </row>
    <row r="361" spans="1:9" ht="14.4" x14ac:dyDescent="0.3">
      <c r="A361" s="25">
        <v>45174</v>
      </c>
      <c r="B361" s="6" t="s">
        <v>521</v>
      </c>
      <c r="C361" s="6" t="s">
        <v>522</v>
      </c>
      <c r="D361" s="25">
        <v>45174</v>
      </c>
      <c r="E361" s="7">
        <v>0</v>
      </c>
      <c r="F361" s="7">
        <v>459</v>
      </c>
      <c r="G361" s="7">
        <v>155945.97</v>
      </c>
      <c r="I361" s="8">
        <f t="shared" si="5"/>
        <v>0</v>
      </c>
    </row>
    <row r="362" spans="1:9" ht="14.4" x14ac:dyDescent="0.3">
      <c r="A362" s="25">
        <v>45174</v>
      </c>
      <c r="B362" s="6" t="s">
        <v>523</v>
      </c>
      <c r="C362" s="6" t="s">
        <v>524</v>
      </c>
      <c r="D362" s="25">
        <v>45174</v>
      </c>
      <c r="E362" s="7">
        <v>0</v>
      </c>
      <c r="F362" s="7">
        <v>80</v>
      </c>
      <c r="G362" s="7">
        <v>156025.97</v>
      </c>
      <c r="I362" s="8">
        <f t="shared" si="5"/>
        <v>0</v>
      </c>
    </row>
    <row r="363" spans="1:9" ht="14.4" x14ac:dyDescent="0.3">
      <c r="A363" s="25">
        <v>45175</v>
      </c>
      <c r="B363" s="6" t="s">
        <v>496</v>
      </c>
      <c r="C363" s="6" t="s">
        <v>525</v>
      </c>
      <c r="D363" s="25">
        <v>45175</v>
      </c>
      <c r="E363" s="7">
        <v>0</v>
      </c>
      <c r="F363" s="7">
        <v>3377.75</v>
      </c>
      <c r="G363" s="7">
        <v>159403.72</v>
      </c>
      <c r="I363" s="8">
        <f t="shared" si="5"/>
        <v>0</v>
      </c>
    </row>
    <row r="364" spans="1:9" ht="14.4" x14ac:dyDescent="0.3">
      <c r="A364" s="25">
        <v>45175</v>
      </c>
      <c r="B364" s="6" t="s">
        <v>133</v>
      </c>
      <c r="C364" s="6" t="s">
        <v>526</v>
      </c>
      <c r="D364" s="25">
        <v>45175</v>
      </c>
      <c r="E364" s="7">
        <v>100.05</v>
      </c>
      <c r="F364" s="7">
        <v>0</v>
      </c>
      <c r="G364" s="7">
        <v>159303.67000000001</v>
      </c>
      <c r="I364" s="8">
        <f t="shared" si="5"/>
        <v>0</v>
      </c>
    </row>
    <row r="365" spans="1:9" ht="14.4" x14ac:dyDescent="0.3">
      <c r="A365" s="25">
        <v>45175</v>
      </c>
      <c r="B365" s="6" t="s">
        <v>133</v>
      </c>
      <c r="C365" s="6" t="s">
        <v>527</v>
      </c>
      <c r="D365" s="25">
        <v>45175</v>
      </c>
      <c r="E365" s="7">
        <v>9173.6200000000008</v>
      </c>
      <c r="F365" s="7">
        <v>0</v>
      </c>
      <c r="G365" s="7">
        <v>150130.04999999999</v>
      </c>
      <c r="I365" s="8">
        <f t="shared" si="5"/>
        <v>0</v>
      </c>
    </row>
    <row r="366" spans="1:9" ht="14.4" x14ac:dyDescent="0.3">
      <c r="A366" s="25">
        <v>45176</v>
      </c>
      <c r="B366" s="6" t="s">
        <v>133</v>
      </c>
      <c r="C366" s="6" t="s">
        <v>528</v>
      </c>
      <c r="D366" s="25">
        <v>45176</v>
      </c>
      <c r="E366" s="7">
        <v>93.76</v>
      </c>
      <c r="F366" s="7">
        <v>0</v>
      </c>
      <c r="G366" s="7">
        <v>150036.29</v>
      </c>
      <c r="I366" s="8">
        <f t="shared" si="5"/>
        <v>0</v>
      </c>
    </row>
    <row r="367" spans="1:9" ht="14.4" x14ac:dyDescent="0.3">
      <c r="A367" s="25">
        <v>45176</v>
      </c>
      <c r="B367" s="6" t="s">
        <v>529</v>
      </c>
      <c r="C367" s="6" t="s">
        <v>530</v>
      </c>
      <c r="D367" s="25">
        <v>45176</v>
      </c>
      <c r="E367" s="7">
        <v>0</v>
      </c>
      <c r="F367" s="7">
        <v>100</v>
      </c>
      <c r="G367" s="7">
        <v>150136.29</v>
      </c>
      <c r="I367" s="8">
        <f t="shared" si="5"/>
        <v>0</v>
      </c>
    </row>
    <row r="368" spans="1:9" ht="14.4" x14ac:dyDescent="0.3">
      <c r="A368" s="25">
        <v>45176</v>
      </c>
      <c r="B368" s="6" t="s">
        <v>531</v>
      </c>
      <c r="C368" s="6" t="s">
        <v>532</v>
      </c>
      <c r="D368" s="25">
        <v>45176</v>
      </c>
      <c r="E368" s="7">
        <v>0</v>
      </c>
      <c r="F368" s="7">
        <v>1880</v>
      </c>
      <c r="G368" s="7">
        <v>152016.29</v>
      </c>
      <c r="I368" s="8">
        <f t="shared" si="5"/>
        <v>0</v>
      </c>
    </row>
    <row r="369" spans="1:9" ht="14.4" x14ac:dyDescent="0.3">
      <c r="A369" s="25">
        <v>45177</v>
      </c>
      <c r="B369" s="6" t="s">
        <v>496</v>
      </c>
      <c r="C369" s="6" t="s">
        <v>533</v>
      </c>
      <c r="D369" s="25">
        <v>45177</v>
      </c>
      <c r="E369" s="7">
        <v>0</v>
      </c>
      <c r="F369" s="7">
        <v>281.98</v>
      </c>
      <c r="G369" s="7">
        <v>152298.26999999999</v>
      </c>
      <c r="I369" s="8">
        <f t="shared" si="5"/>
        <v>0</v>
      </c>
    </row>
    <row r="370" spans="1:9" ht="14.4" x14ac:dyDescent="0.3">
      <c r="A370" s="25">
        <v>45177</v>
      </c>
      <c r="B370" s="6" t="s">
        <v>133</v>
      </c>
      <c r="C370" s="6" t="s">
        <v>534</v>
      </c>
      <c r="D370" s="25">
        <v>45177</v>
      </c>
      <c r="E370" s="7">
        <v>93.76</v>
      </c>
      <c r="F370" s="7">
        <v>0</v>
      </c>
      <c r="G370" s="7">
        <v>152204.51</v>
      </c>
      <c r="I370" s="8">
        <f t="shared" si="5"/>
        <v>0</v>
      </c>
    </row>
    <row r="371" spans="1:9" ht="14.4" x14ac:dyDescent="0.3">
      <c r="A371" s="25">
        <v>45180</v>
      </c>
      <c r="B371" s="6" t="s">
        <v>496</v>
      </c>
      <c r="C371" s="6" t="s">
        <v>535</v>
      </c>
      <c r="D371" s="25">
        <v>45180</v>
      </c>
      <c r="E371" s="7">
        <v>0</v>
      </c>
      <c r="F371" s="7">
        <v>160.02000000000001</v>
      </c>
      <c r="G371" s="7">
        <v>152364.53</v>
      </c>
      <c r="I371" s="8">
        <f t="shared" si="5"/>
        <v>0</v>
      </c>
    </row>
    <row r="372" spans="1:9" ht="14.4" x14ac:dyDescent="0.3">
      <c r="A372" s="25">
        <v>45180</v>
      </c>
      <c r="B372" s="6" t="s">
        <v>154</v>
      </c>
      <c r="C372" s="6" t="s">
        <v>536</v>
      </c>
      <c r="D372" s="25">
        <v>45180</v>
      </c>
      <c r="E372" s="7">
        <v>3000</v>
      </c>
      <c r="F372" s="7">
        <v>0</v>
      </c>
      <c r="G372" s="7">
        <v>149364.53</v>
      </c>
      <c r="I372" s="8">
        <f t="shared" si="5"/>
        <v>0</v>
      </c>
    </row>
    <row r="373" spans="1:9" ht="14.4" x14ac:dyDescent="0.3">
      <c r="A373" s="25">
        <v>45180</v>
      </c>
      <c r="B373" s="6" t="s">
        <v>133</v>
      </c>
      <c r="C373" s="6" t="s">
        <v>537</v>
      </c>
      <c r="D373" s="25">
        <v>45180</v>
      </c>
      <c r="E373" s="7">
        <v>281.7</v>
      </c>
      <c r="F373" s="7">
        <v>0</v>
      </c>
      <c r="G373" s="7">
        <v>149082.82999999999</v>
      </c>
      <c r="I373" s="8">
        <f t="shared" si="5"/>
        <v>0</v>
      </c>
    </row>
    <row r="374" spans="1:9" ht="14.4" x14ac:dyDescent="0.3">
      <c r="A374" s="25">
        <v>45180</v>
      </c>
      <c r="B374" s="6" t="s">
        <v>538</v>
      </c>
      <c r="C374" s="6" t="s">
        <v>539</v>
      </c>
      <c r="D374" s="25">
        <v>45180</v>
      </c>
      <c r="E374" s="7">
        <v>295</v>
      </c>
      <c r="F374" s="7">
        <v>0</v>
      </c>
      <c r="G374" s="7">
        <v>148787.82999999999</v>
      </c>
      <c r="I374" s="8">
        <f t="shared" si="5"/>
        <v>0</v>
      </c>
    </row>
    <row r="375" spans="1:9" ht="14.4" x14ac:dyDescent="0.3">
      <c r="A375" s="25">
        <v>45180</v>
      </c>
      <c r="B375" s="6" t="s">
        <v>133</v>
      </c>
      <c r="C375" s="6" t="s">
        <v>540</v>
      </c>
      <c r="D375" s="25">
        <v>45180</v>
      </c>
      <c r="E375" s="7">
        <v>32347.65</v>
      </c>
      <c r="F375" s="7">
        <v>0</v>
      </c>
      <c r="G375" s="7">
        <v>116440.18</v>
      </c>
      <c r="I375" s="8">
        <f t="shared" si="5"/>
        <v>0</v>
      </c>
    </row>
    <row r="376" spans="1:9" ht="14.4" x14ac:dyDescent="0.3">
      <c r="A376" s="25">
        <v>45180</v>
      </c>
      <c r="B376" s="6" t="s">
        <v>133</v>
      </c>
      <c r="C376" s="6" t="s">
        <v>541</v>
      </c>
      <c r="D376" s="25">
        <v>45180</v>
      </c>
      <c r="E376" s="7">
        <v>50678.87</v>
      </c>
      <c r="F376" s="7">
        <v>0</v>
      </c>
      <c r="G376" s="7">
        <v>65761.31</v>
      </c>
      <c r="I376" s="8">
        <f t="shared" si="5"/>
        <v>0</v>
      </c>
    </row>
    <row r="377" spans="1:9" ht="14.4" x14ac:dyDescent="0.3">
      <c r="A377" s="25">
        <v>45181</v>
      </c>
      <c r="B377" s="6" t="s">
        <v>133</v>
      </c>
      <c r="C377" s="6" t="s">
        <v>542</v>
      </c>
      <c r="D377" s="25">
        <v>45181</v>
      </c>
      <c r="E377" s="7">
        <v>56.49</v>
      </c>
      <c r="F377" s="7">
        <v>0</v>
      </c>
      <c r="G377" s="7">
        <v>65704.820000000007</v>
      </c>
      <c r="I377" s="8">
        <f t="shared" si="5"/>
        <v>0</v>
      </c>
    </row>
    <row r="378" spans="1:9" ht="14.4" x14ac:dyDescent="0.3">
      <c r="A378" s="25">
        <v>45181</v>
      </c>
      <c r="B378" s="6" t="s">
        <v>133</v>
      </c>
      <c r="C378" s="6" t="s">
        <v>543</v>
      </c>
      <c r="D378" s="25">
        <v>45181</v>
      </c>
      <c r="E378" s="7">
        <v>68.989999999999995</v>
      </c>
      <c r="F378" s="7">
        <v>0</v>
      </c>
      <c r="G378" s="7">
        <v>65635.83</v>
      </c>
      <c r="I378" s="8">
        <f t="shared" si="5"/>
        <v>0</v>
      </c>
    </row>
    <row r="379" spans="1:9" ht="14.4" x14ac:dyDescent="0.3">
      <c r="A379" s="25">
        <v>45181</v>
      </c>
      <c r="B379" s="6" t="s">
        <v>133</v>
      </c>
      <c r="C379" s="6" t="s">
        <v>544</v>
      </c>
      <c r="D379" s="25">
        <v>45181</v>
      </c>
      <c r="E379" s="7">
        <v>18742.47</v>
      </c>
      <c r="F379" s="7">
        <v>0</v>
      </c>
      <c r="G379" s="7">
        <v>46893.36</v>
      </c>
      <c r="I379" s="8">
        <f t="shared" si="5"/>
        <v>0</v>
      </c>
    </row>
    <row r="380" spans="1:9" ht="14.4" x14ac:dyDescent="0.3">
      <c r="A380" s="25">
        <v>45181</v>
      </c>
      <c r="B380" s="6" t="s">
        <v>133</v>
      </c>
      <c r="C380" s="6" t="s">
        <v>545</v>
      </c>
      <c r="D380" s="25">
        <v>45181</v>
      </c>
      <c r="E380" s="7">
        <v>8141.8</v>
      </c>
      <c r="F380" s="7">
        <v>0</v>
      </c>
      <c r="G380" s="7">
        <v>38751.56</v>
      </c>
      <c r="I380" s="8">
        <f t="shared" si="5"/>
        <v>0</v>
      </c>
    </row>
    <row r="381" spans="1:9" ht="14.4" x14ac:dyDescent="0.3">
      <c r="A381" s="25">
        <v>45182</v>
      </c>
      <c r="B381" s="6" t="s">
        <v>503</v>
      </c>
      <c r="C381" s="6" t="s">
        <v>546</v>
      </c>
      <c r="D381" s="25">
        <v>45182</v>
      </c>
      <c r="E381" s="7">
        <v>0</v>
      </c>
      <c r="F381" s="7">
        <v>200000</v>
      </c>
      <c r="G381" s="7">
        <v>238751.56</v>
      </c>
      <c r="I381" s="8">
        <f t="shared" si="5"/>
        <v>0</v>
      </c>
    </row>
    <row r="382" spans="1:9" ht="14.4" x14ac:dyDescent="0.3">
      <c r="A382" s="25">
        <v>45182</v>
      </c>
      <c r="B382" s="6" t="s">
        <v>133</v>
      </c>
      <c r="C382" s="6" t="s">
        <v>547</v>
      </c>
      <c r="D382" s="25">
        <v>45182</v>
      </c>
      <c r="E382" s="7">
        <v>79.7</v>
      </c>
      <c r="F382" s="7">
        <v>0</v>
      </c>
      <c r="G382" s="7">
        <v>238671.86</v>
      </c>
      <c r="I382" s="8">
        <f t="shared" si="5"/>
        <v>0</v>
      </c>
    </row>
    <row r="383" spans="1:9" ht="14.4" x14ac:dyDescent="0.3">
      <c r="A383" s="25">
        <v>45182</v>
      </c>
      <c r="B383" s="6" t="s">
        <v>133</v>
      </c>
      <c r="C383" s="6" t="s">
        <v>548</v>
      </c>
      <c r="D383" s="25">
        <v>45182</v>
      </c>
      <c r="E383" s="7">
        <v>99405.5</v>
      </c>
      <c r="F383" s="7">
        <v>0</v>
      </c>
      <c r="G383" s="7">
        <v>139266.35999999999</v>
      </c>
      <c r="I383" s="8">
        <f t="shared" si="5"/>
        <v>0</v>
      </c>
    </row>
    <row r="384" spans="1:9" ht="14.4" x14ac:dyDescent="0.3">
      <c r="A384" s="25">
        <v>45183</v>
      </c>
      <c r="B384" s="6" t="s">
        <v>204</v>
      </c>
      <c r="C384" s="6" t="s">
        <v>549</v>
      </c>
      <c r="D384" s="25">
        <v>45183</v>
      </c>
      <c r="E384" s="7">
        <v>3000</v>
      </c>
      <c r="F384" s="7">
        <v>0</v>
      </c>
      <c r="G384" s="7">
        <v>136266.35999999999</v>
      </c>
      <c r="I384" s="8">
        <f t="shared" si="5"/>
        <v>0</v>
      </c>
    </row>
    <row r="385" spans="1:9" ht="14.4" x14ac:dyDescent="0.3">
      <c r="A385" s="25">
        <v>45183</v>
      </c>
      <c r="B385" s="6" t="s">
        <v>133</v>
      </c>
      <c r="C385" s="6" t="s">
        <v>550</v>
      </c>
      <c r="D385" s="25">
        <v>45183</v>
      </c>
      <c r="E385" s="7">
        <v>41.67</v>
      </c>
      <c r="F385" s="7">
        <v>0</v>
      </c>
      <c r="G385" s="7">
        <v>136224.69</v>
      </c>
      <c r="I385" s="8">
        <f t="shared" si="5"/>
        <v>0</v>
      </c>
    </row>
    <row r="386" spans="1:9" ht="14.4" x14ac:dyDescent="0.3">
      <c r="A386" s="25">
        <v>45183</v>
      </c>
      <c r="B386" s="6" t="s">
        <v>133</v>
      </c>
      <c r="C386" s="6" t="s">
        <v>551</v>
      </c>
      <c r="D386" s="25">
        <v>45183</v>
      </c>
      <c r="E386" s="7">
        <v>338.47</v>
      </c>
      <c r="F386" s="7">
        <v>0</v>
      </c>
      <c r="G386" s="7">
        <v>135886.22</v>
      </c>
      <c r="I386" s="8">
        <f t="shared" si="5"/>
        <v>0</v>
      </c>
    </row>
    <row r="387" spans="1:9" ht="14.4" x14ac:dyDescent="0.3">
      <c r="A387" s="25">
        <v>45184</v>
      </c>
      <c r="B387" s="6" t="s">
        <v>154</v>
      </c>
      <c r="C387" s="6" t="s">
        <v>552</v>
      </c>
      <c r="D387" s="25">
        <v>45184</v>
      </c>
      <c r="E387" s="7">
        <v>2500</v>
      </c>
      <c r="F387" s="7">
        <v>0</v>
      </c>
      <c r="G387" s="7">
        <v>133386.22</v>
      </c>
      <c r="I387" s="8">
        <f t="shared" si="5"/>
        <v>0</v>
      </c>
    </row>
    <row r="388" spans="1:9" ht="14.4" x14ac:dyDescent="0.3">
      <c r="A388" s="25">
        <v>45185</v>
      </c>
      <c r="B388" s="6" t="s">
        <v>553</v>
      </c>
      <c r="C388" s="6" t="s">
        <v>554</v>
      </c>
      <c r="D388" s="25">
        <v>45185</v>
      </c>
      <c r="E388" s="7">
        <v>500</v>
      </c>
      <c r="F388" s="7">
        <v>0</v>
      </c>
      <c r="G388" s="7">
        <v>132886.22</v>
      </c>
      <c r="I388" s="8">
        <f t="shared" si="5"/>
        <v>0</v>
      </c>
    </row>
    <row r="389" spans="1:9" ht="14.4" x14ac:dyDescent="0.3">
      <c r="A389" s="25">
        <v>45187</v>
      </c>
      <c r="B389" s="6" t="s">
        <v>496</v>
      </c>
      <c r="C389" s="6" t="s">
        <v>555</v>
      </c>
      <c r="D389" s="25">
        <v>45187</v>
      </c>
      <c r="E389" s="7">
        <v>0</v>
      </c>
      <c r="F389" s="7">
        <v>751.91</v>
      </c>
      <c r="G389" s="7">
        <v>133638.13</v>
      </c>
      <c r="I389" s="8">
        <f t="shared" si="5"/>
        <v>0</v>
      </c>
    </row>
    <row r="390" spans="1:9" ht="14.4" x14ac:dyDescent="0.3">
      <c r="A390" s="25">
        <v>45187</v>
      </c>
      <c r="B390" s="6" t="s">
        <v>133</v>
      </c>
      <c r="C390" s="6" t="s">
        <v>556</v>
      </c>
      <c r="D390" s="25">
        <v>45187</v>
      </c>
      <c r="E390" s="7">
        <v>136.08000000000001</v>
      </c>
      <c r="F390" s="7">
        <v>0</v>
      </c>
      <c r="G390" s="7">
        <v>133502.04999999999</v>
      </c>
      <c r="I390" s="8">
        <f t="shared" si="5"/>
        <v>0</v>
      </c>
    </row>
    <row r="391" spans="1:9" ht="14.4" x14ac:dyDescent="0.3">
      <c r="A391" s="25">
        <v>45187</v>
      </c>
      <c r="B391" s="6" t="s">
        <v>557</v>
      </c>
      <c r="C391" s="6" t="s">
        <v>149</v>
      </c>
      <c r="D391" s="25">
        <v>45187</v>
      </c>
      <c r="E391" s="7">
        <v>224.2</v>
      </c>
      <c r="F391" s="7">
        <v>0</v>
      </c>
      <c r="G391" s="7">
        <v>133277.85</v>
      </c>
      <c r="I391" s="8">
        <f t="shared" si="5"/>
        <v>0</v>
      </c>
    </row>
    <row r="392" spans="1:9" ht="14.4" x14ac:dyDescent="0.3">
      <c r="A392" s="25">
        <v>45187</v>
      </c>
      <c r="B392" s="6" t="s">
        <v>133</v>
      </c>
      <c r="C392" s="6" t="s">
        <v>558</v>
      </c>
      <c r="D392" s="25">
        <v>45187</v>
      </c>
      <c r="E392" s="7">
        <v>15243.18</v>
      </c>
      <c r="F392" s="7">
        <v>0</v>
      </c>
      <c r="G392" s="7">
        <v>118034.67</v>
      </c>
      <c r="I392" s="8">
        <f t="shared" si="5"/>
        <v>0</v>
      </c>
    </row>
    <row r="393" spans="1:9" ht="14.4" x14ac:dyDescent="0.3">
      <c r="A393" s="25">
        <v>45189</v>
      </c>
      <c r="B393" s="6" t="s">
        <v>496</v>
      </c>
      <c r="C393" s="6" t="s">
        <v>559</v>
      </c>
      <c r="D393" s="25">
        <v>45189</v>
      </c>
      <c r="E393" s="7">
        <v>0</v>
      </c>
      <c r="F393" s="7">
        <v>8000</v>
      </c>
      <c r="G393" s="7">
        <v>126034.67</v>
      </c>
      <c r="I393" s="8">
        <f t="shared" si="5"/>
        <v>0</v>
      </c>
    </row>
    <row r="394" spans="1:9" ht="14.4" x14ac:dyDescent="0.3">
      <c r="A394" s="25">
        <v>45189</v>
      </c>
      <c r="B394" s="6" t="s">
        <v>133</v>
      </c>
      <c r="C394" s="6" t="s">
        <v>560</v>
      </c>
      <c r="D394" s="25">
        <v>45189</v>
      </c>
      <c r="E394" s="7">
        <v>76.42</v>
      </c>
      <c r="F394" s="7">
        <v>0</v>
      </c>
      <c r="G394" s="7">
        <v>125958.25</v>
      </c>
      <c r="I394" s="8">
        <f t="shared" si="5"/>
        <v>0</v>
      </c>
    </row>
    <row r="395" spans="1:9" ht="14.4" x14ac:dyDescent="0.3">
      <c r="A395" s="25">
        <v>45189</v>
      </c>
      <c r="B395" s="6" t="s">
        <v>133</v>
      </c>
      <c r="C395" s="6" t="s">
        <v>561</v>
      </c>
      <c r="D395" s="25">
        <v>45189</v>
      </c>
      <c r="E395" s="7">
        <v>13410.04</v>
      </c>
      <c r="F395" s="7">
        <v>0</v>
      </c>
      <c r="G395" s="7">
        <v>112548.21</v>
      </c>
      <c r="I395" s="8">
        <f t="shared" si="5"/>
        <v>0</v>
      </c>
    </row>
    <row r="396" spans="1:9" ht="14.4" x14ac:dyDescent="0.3">
      <c r="A396" s="25">
        <v>45189</v>
      </c>
      <c r="B396" s="6" t="s">
        <v>133</v>
      </c>
      <c r="C396" s="6" t="s">
        <v>562</v>
      </c>
      <c r="D396" s="25">
        <v>45189</v>
      </c>
      <c r="E396" s="7">
        <v>9742.31</v>
      </c>
      <c r="F396" s="7">
        <v>0</v>
      </c>
      <c r="G396" s="7">
        <v>102805.9</v>
      </c>
      <c r="I396" s="8">
        <f t="shared" si="5"/>
        <v>0</v>
      </c>
    </row>
    <row r="397" spans="1:9" ht="14.4" x14ac:dyDescent="0.3">
      <c r="A397" s="25">
        <v>45190</v>
      </c>
      <c r="B397" s="6" t="s">
        <v>133</v>
      </c>
      <c r="C397" s="6" t="s">
        <v>563</v>
      </c>
      <c r="D397" s="25">
        <v>45190</v>
      </c>
      <c r="E397" s="7">
        <v>57.69</v>
      </c>
      <c r="F397" s="7">
        <v>0</v>
      </c>
      <c r="G397" s="7">
        <v>102748.21</v>
      </c>
      <c r="I397" s="8">
        <f t="shared" si="5"/>
        <v>0</v>
      </c>
    </row>
    <row r="398" spans="1:9" ht="14.4" x14ac:dyDescent="0.3">
      <c r="A398" s="25">
        <v>45190</v>
      </c>
      <c r="B398" s="6" t="s">
        <v>133</v>
      </c>
      <c r="C398" s="6" t="s">
        <v>564</v>
      </c>
      <c r="D398" s="25">
        <v>45190</v>
      </c>
      <c r="E398" s="7">
        <v>10280.450000000001</v>
      </c>
      <c r="F398" s="7">
        <v>0</v>
      </c>
      <c r="G398" s="7">
        <v>92467.76</v>
      </c>
      <c r="I398" s="8">
        <f t="shared" si="5"/>
        <v>0</v>
      </c>
    </row>
    <row r="399" spans="1:9" ht="14.4" x14ac:dyDescent="0.3">
      <c r="A399" s="25">
        <v>45190</v>
      </c>
      <c r="B399" s="6" t="s">
        <v>565</v>
      </c>
      <c r="C399" s="6" t="s">
        <v>566</v>
      </c>
      <c r="D399" s="25">
        <v>45190</v>
      </c>
      <c r="E399" s="7">
        <v>30000</v>
      </c>
      <c r="F399" s="7">
        <v>0</v>
      </c>
      <c r="G399" s="7">
        <v>62467.76</v>
      </c>
      <c r="I399" s="8">
        <f t="shared" si="5"/>
        <v>0</v>
      </c>
    </row>
    <row r="400" spans="1:9" ht="14.4" x14ac:dyDescent="0.3">
      <c r="A400" s="25">
        <v>45191</v>
      </c>
      <c r="B400" s="6" t="s">
        <v>133</v>
      </c>
      <c r="C400" s="6" t="s">
        <v>567</v>
      </c>
      <c r="D400" s="25">
        <v>45191</v>
      </c>
      <c r="E400" s="7">
        <v>65.569999999999993</v>
      </c>
      <c r="F400" s="7">
        <v>0</v>
      </c>
      <c r="G400" s="7">
        <v>62402.19</v>
      </c>
      <c r="I400" s="8">
        <f t="shared" si="5"/>
        <v>0</v>
      </c>
    </row>
    <row r="401" spans="1:9" ht="14.4" x14ac:dyDescent="0.3">
      <c r="A401" s="25">
        <v>45191</v>
      </c>
      <c r="B401" s="6" t="s">
        <v>133</v>
      </c>
      <c r="C401" s="6" t="s">
        <v>568</v>
      </c>
      <c r="D401" s="25">
        <v>45191</v>
      </c>
      <c r="E401" s="7">
        <v>8145.09</v>
      </c>
      <c r="F401" s="7">
        <v>0</v>
      </c>
      <c r="G401" s="7">
        <v>54257.1</v>
      </c>
      <c r="I401" s="8">
        <f t="shared" si="5"/>
        <v>0</v>
      </c>
    </row>
    <row r="402" spans="1:9" ht="14.4" x14ac:dyDescent="0.3">
      <c r="A402" s="25">
        <v>45194</v>
      </c>
      <c r="B402" s="6" t="s">
        <v>496</v>
      </c>
      <c r="C402" s="6" t="s">
        <v>569</v>
      </c>
      <c r="D402" s="25">
        <v>45194</v>
      </c>
      <c r="E402" s="7">
        <v>0</v>
      </c>
      <c r="F402" s="7">
        <v>36925.730000000003</v>
      </c>
      <c r="G402" s="7">
        <v>91182.83</v>
      </c>
      <c r="I402" s="8">
        <f t="shared" si="5"/>
        <v>0</v>
      </c>
    </row>
    <row r="403" spans="1:9" ht="14.4" x14ac:dyDescent="0.3">
      <c r="A403" s="25">
        <v>45194</v>
      </c>
      <c r="B403" s="6" t="s">
        <v>154</v>
      </c>
      <c r="C403" s="6" t="s">
        <v>570</v>
      </c>
      <c r="D403" s="25">
        <v>45194</v>
      </c>
      <c r="E403" s="7">
        <v>2500</v>
      </c>
      <c r="F403" s="7">
        <v>0</v>
      </c>
      <c r="G403" s="7">
        <v>88682.83</v>
      </c>
      <c r="I403" s="8">
        <f t="shared" si="5"/>
        <v>0</v>
      </c>
    </row>
    <row r="404" spans="1:9" ht="14.4" x14ac:dyDescent="0.3">
      <c r="A404" s="25">
        <v>45194</v>
      </c>
      <c r="B404" s="6" t="s">
        <v>133</v>
      </c>
      <c r="C404" s="6" t="s">
        <v>571</v>
      </c>
      <c r="D404" s="25">
        <v>45194</v>
      </c>
      <c r="E404" s="7">
        <v>222.63</v>
      </c>
      <c r="F404" s="7">
        <v>0</v>
      </c>
      <c r="G404" s="7">
        <v>88460.2</v>
      </c>
      <c r="I404" s="8">
        <f t="shared" si="5"/>
        <v>0</v>
      </c>
    </row>
    <row r="405" spans="1:9" ht="14.4" x14ac:dyDescent="0.3">
      <c r="A405" s="25">
        <v>45194</v>
      </c>
      <c r="B405" s="6" t="s">
        <v>133</v>
      </c>
      <c r="C405" s="6" t="s">
        <v>572</v>
      </c>
      <c r="D405" s="25">
        <v>45194</v>
      </c>
      <c r="E405" s="7">
        <v>240.57</v>
      </c>
      <c r="F405" s="7">
        <v>0</v>
      </c>
      <c r="G405" s="7">
        <v>88219.63</v>
      </c>
      <c r="I405" s="8">
        <f t="shared" si="5"/>
        <v>0</v>
      </c>
    </row>
    <row r="406" spans="1:9" ht="14.4" x14ac:dyDescent="0.3">
      <c r="A406" s="25">
        <v>45195</v>
      </c>
      <c r="B406" s="6" t="s">
        <v>133</v>
      </c>
      <c r="C406" s="6" t="s">
        <v>573</v>
      </c>
      <c r="D406" s="25">
        <v>45195</v>
      </c>
      <c r="E406" s="7">
        <v>85.62</v>
      </c>
      <c r="F406" s="7">
        <v>0</v>
      </c>
      <c r="G406" s="7">
        <v>88134.01</v>
      </c>
      <c r="I406" s="8">
        <f t="shared" si="5"/>
        <v>0</v>
      </c>
    </row>
    <row r="407" spans="1:9" ht="14.4" x14ac:dyDescent="0.3">
      <c r="A407" s="25">
        <v>45196</v>
      </c>
      <c r="B407" s="6" t="s">
        <v>496</v>
      </c>
      <c r="C407" s="6" t="s">
        <v>574</v>
      </c>
      <c r="D407" s="25">
        <v>45196</v>
      </c>
      <c r="E407" s="7">
        <v>0</v>
      </c>
      <c r="F407" s="7">
        <v>15791.65</v>
      </c>
      <c r="G407" s="7">
        <v>103925.66</v>
      </c>
      <c r="I407" s="8">
        <f t="shared" si="5"/>
        <v>0</v>
      </c>
    </row>
    <row r="408" spans="1:9" ht="14.4" x14ac:dyDescent="0.3">
      <c r="A408" s="25">
        <v>45196</v>
      </c>
      <c r="B408" s="6" t="s">
        <v>133</v>
      </c>
      <c r="C408" s="6" t="s">
        <v>575</v>
      </c>
      <c r="D408" s="25">
        <v>45196</v>
      </c>
      <c r="E408" s="7">
        <v>85.62</v>
      </c>
      <c r="F408" s="7">
        <v>0</v>
      </c>
      <c r="G408" s="7">
        <v>103840.04</v>
      </c>
      <c r="I408" s="8">
        <f t="shared" ref="I408:I471" si="6">G407-E408+F408-G408</f>
        <v>0</v>
      </c>
    </row>
    <row r="409" spans="1:9" ht="14.4" x14ac:dyDescent="0.3">
      <c r="A409" s="25">
        <v>45196</v>
      </c>
      <c r="B409" s="6" t="s">
        <v>576</v>
      </c>
      <c r="C409" s="6" t="s">
        <v>577</v>
      </c>
      <c r="D409" s="25">
        <v>45196</v>
      </c>
      <c r="E409" s="7">
        <v>10000</v>
      </c>
      <c r="F409" s="7">
        <v>0</v>
      </c>
      <c r="G409" s="7">
        <v>93840.04</v>
      </c>
      <c r="I409" s="8">
        <f t="shared" si="6"/>
        <v>0</v>
      </c>
    </row>
    <row r="410" spans="1:9" ht="14.4" x14ac:dyDescent="0.3">
      <c r="A410" s="25">
        <v>45197</v>
      </c>
      <c r="B410" s="6" t="s">
        <v>133</v>
      </c>
      <c r="C410" s="6" t="s">
        <v>578</v>
      </c>
      <c r="D410" s="25">
        <v>45197</v>
      </c>
      <c r="E410" s="7">
        <v>98.13</v>
      </c>
      <c r="F410" s="7">
        <v>0</v>
      </c>
      <c r="G410" s="7">
        <v>93741.91</v>
      </c>
      <c r="I410" s="8">
        <f t="shared" si="6"/>
        <v>0</v>
      </c>
    </row>
    <row r="411" spans="1:9" ht="14.4" x14ac:dyDescent="0.3">
      <c r="A411" s="25">
        <v>45197</v>
      </c>
      <c r="B411" s="6" t="s">
        <v>496</v>
      </c>
      <c r="C411" s="6" t="s">
        <v>579</v>
      </c>
      <c r="D411" s="25">
        <v>45197</v>
      </c>
      <c r="E411" s="7">
        <v>0</v>
      </c>
      <c r="F411" s="7">
        <v>11623.62</v>
      </c>
      <c r="G411" s="7">
        <v>105365.53</v>
      </c>
      <c r="I411" s="8">
        <f t="shared" si="6"/>
        <v>0</v>
      </c>
    </row>
    <row r="412" spans="1:9" ht="14.4" x14ac:dyDescent="0.3">
      <c r="A412" s="25">
        <v>45197</v>
      </c>
      <c r="B412" s="6" t="s">
        <v>133</v>
      </c>
      <c r="C412" s="6" t="s">
        <v>580</v>
      </c>
      <c r="D412" s="25">
        <v>45197</v>
      </c>
      <c r="E412" s="7">
        <v>71.400000000000006</v>
      </c>
      <c r="F412" s="7">
        <v>0</v>
      </c>
      <c r="G412" s="7">
        <v>105294.13</v>
      </c>
      <c r="I412" s="8">
        <f t="shared" si="6"/>
        <v>0</v>
      </c>
    </row>
    <row r="413" spans="1:9" ht="14.4" x14ac:dyDescent="0.3">
      <c r="A413" s="25">
        <v>45197</v>
      </c>
      <c r="B413" s="6" t="s">
        <v>133</v>
      </c>
      <c r="C413" s="6" t="s">
        <v>581</v>
      </c>
      <c r="D413" s="25">
        <v>45197</v>
      </c>
      <c r="E413" s="7">
        <v>5105.12</v>
      </c>
      <c r="F413" s="7">
        <v>0</v>
      </c>
      <c r="G413" s="7">
        <v>100189.01</v>
      </c>
      <c r="I413" s="8">
        <f t="shared" si="6"/>
        <v>0</v>
      </c>
    </row>
    <row r="414" spans="1:9" ht="14.4" x14ac:dyDescent="0.3">
      <c r="A414" s="25">
        <v>45198</v>
      </c>
      <c r="B414" s="6" t="s">
        <v>133</v>
      </c>
      <c r="C414" s="6" t="s">
        <v>582</v>
      </c>
      <c r="D414" s="25">
        <v>45198</v>
      </c>
      <c r="E414" s="7">
        <v>10971.38</v>
      </c>
      <c r="F414" s="7">
        <v>0</v>
      </c>
      <c r="G414" s="7">
        <v>89217.63</v>
      </c>
      <c r="I414" s="8">
        <f t="shared" si="6"/>
        <v>0</v>
      </c>
    </row>
    <row r="415" spans="1:9" ht="14.4" x14ac:dyDescent="0.3">
      <c r="A415" s="25">
        <v>45198</v>
      </c>
      <c r="B415" s="6" t="s">
        <v>583</v>
      </c>
      <c r="C415" s="6" t="s">
        <v>584</v>
      </c>
      <c r="D415" s="25">
        <v>45198</v>
      </c>
      <c r="E415" s="7">
        <v>14994</v>
      </c>
      <c r="F415" s="7">
        <v>0</v>
      </c>
      <c r="G415" s="7">
        <v>74223.63</v>
      </c>
      <c r="I415" s="8">
        <f t="shared" si="6"/>
        <v>0</v>
      </c>
    </row>
    <row r="416" spans="1:9" ht="14.4" x14ac:dyDescent="0.3">
      <c r="A416" s="25">
        <v>45198</v>
      </c>
      <c r="B416" s="6" t="s">
        <v>133</v>
      </c>
      <c r="C416" s="6" t="s">
        <v>585</v>
      </c>
      <c r="D416" s="25">
        <v>45198</v>
      </c>
      <c r="E416" s="7">
        <v>65.989999999999995</v>
      </c>
      <c r="F416" s="7">
        <v>0</v>
      </c>
      <c r="G416" s="7">
        <v>74157.64</v>
      </c>
      <c r="I416" s="8">
        <f t="shared" si="6"/>
        <v>0</v>
      </c>
    </row>
    <row r="417" spans="1:9" ht="14.4" x14ac:dyDescent="0.3">
      <c r="A417" s="25">
        <v>45198</v>
      </c>
      <c r="B417" s="6" t="s">
        <v>586</v>
      </c>
      <c r="C417" s="6" t="s">
        <v>587</v>
      </c>
      <c r="D417" s="25">
        <v>45198</v>
      </c>
      <c r="E417" s="7">
        <v>0</v>
      </c>
      <c r="F417" s="7">
        <v>186</v>
      </c>
      <c r="G417" s="7">
        <v>74343.64</v>
      </c>
      <c r="I417" s="8">
        <f t="shared" si="6"/>
        <v>0</v>
      </c>
    </row>
    <row r="418" spans="1:9" ht="14.4" x14ac:dyDescent="0.3">
      <c r="A418" s="25">
        <v>45200</v>
      </c>
      <c r="B418" s="6" t="s">
        <v>343</v>
      </c>
      <c r="C418" s="6" t="s">
        <v>149</v>
      </c>
      <c r="D418" s="25">
        <v>45199</v>
      </c>
      <c r="E418" s="7">
        <v>0</v>
      </c>
      <c r="F418" s="7">
        <v>478</v>
      </c>
      <c r="G418" s="7">
        <v>74821.64</v>
      </c>
      <c r="I418" s="8">
        <f t="shared" si="6"/>
        <v>0</v>
      </c>
    </row>
    <row r="419" spans="1:9" ht="14.4" x14ac:dyDescent="0.3">
      <c r="A419" s="25">
        <v>45202</v>
      </c>
      <c r="B419" s="6" t="s">
        <v>496</v>
      </c>
      <c r="C419" s="6" t="s">
        <v>588</v>
      </c>
      <c r="D419" s="25">
        <v>45202</v>
      </c>
      <c r="E419" s="7">
        <v>0</v>
      </c>
      <c r="F419" s="7">
        <v>398.69</v>
      </c>
      <c r="G419" s="7">
        <v>75220.33</v>
      </c>
      <c r="I419" s="8">
        <f t="shared" si="6"/>
        <v>0</v>
      </c>
    </row>
    <row r="420" spans="1:9" ht="14.4" x14ac:dyDescent="0.3">
      <c r="A420" s="25">
        <v>45202</v>
      </c>
      <c r="B420" s="6" t="s">
        <v>589</v>
      </c>
      <c r="C420" s="6" t="s">
        <v>590</v>
      </c>
      <c r="D420" s="25">
        <v>45202</v>
      </c>
      <c r="E420" s="7">
        <v>5114</v>
      </c>
      <c r="F420" s="7">
        <v>0</v>
      </c>
      <c r="G420" s="7">
        <v>70106.33</v>
      </c>
      <c r="I420" s="8">
        <f t="shared" si="6"/>
        <v>0</v>
      </c>
    </row>
    <row r="421" spans="1:9" ht="14.4" x14ac:dyDescent="0.3">
      <c r="A421" s="25">
        <v>45203</v>
      </c>
      <c r="B421" s="6" t="s">
        <v>133</v>
      </c>
      <c r="C421" s="6" t="s">
        <v>591</v>
      </c>
      <c r="D421" s="25">
        <v>45203</v>
      </c>
      <c r="E421" s="7">
        <v>17886.740000000002</v>
      </c>
      <c r="F421" s="7">
        <v>0</v>
      </c>
      <c r="G421" s="7">
        <v>52219.59</v>
      </c>
      <c r="I421" s="8">
        <f t="shared" si="6"/>
        <v>0</v>
      </c>
    </row>
    <row r="422" spans="1:9" ht="14.4" x14ac:dyDescent="0.3">
      <c r="A422" s="25">
        <v>45203</v>
      </c>
      <c r="B422" s="6" t="s">
        <v>204</v>
      </c>
      <c r="C422" s="6" t="s">
        <v>592</v>
      </c>
      <c r="D422" s="25">
        <v>45203</v>
      </c>
      <c r="E422" s="7">
        <v>5000</v>
      </c>
      <c r="F422" s="7">
        <v>0</v>
      </c>
      <c r="G422" s="7">
        <v>47219.59</v>
      </c>
      <c r="I422" s="8">
        <f t="shared" si="6"/>
        <v>0</v>
      </c>
    </row>
    <row r="423" spans="1:9" ht="14.4" x14ac:dyDescent="0.3">
      <c r="A423" s="25">
        <v>45203</v>
      </c>
      <c r="B423" s="6" t="s">
        <v>133</v>
      </c>
      <c r="C423" s="6" t="s">
        <v>593</v>
      </c>
      <c r="D423" s="25">
        <v>45203</v>
      </c>
      <c r="E423" s="7">
        <v>73.19</v>
      </c>
      <c r="F423" s="7">
        <v>0</v>
      </c>
      <c r="G423" s="7">
        <v>47146.400000000001</v>
      </c>
      <c r="I423" s="8">
        <f t="shared" si="6"/>
        <v>0</v>
      </c>
    </row>
    <row r="424" spans="1:9" ht="14.4" x14ac:dyDescent="0.3">
      <c r="A424" s="25">
        <v>45203</v>
      </c>
      <c r="B424" s="6" t="s">
        <v>133</v>
      </c>
      <c r="C424" s="6" t="s">
        <v>594</v>
      </c>
      <c r="D424" s="25">
        <v>45203</v>
      </c>
      <c r="E424" s="7">
        <v>153.15</v>
      </c>
      <c r="F424" s="7">
        <v>0</v>
      </c>
      <c r="G424" s="7">
        <v>46993.25</v>
      </c>
      <c r="I424" s="8">
        <f t="shared" si="6"/>
        <v>0</v>
      </c>
    </row>
    <row r="425" spans="1:9" ht="14.4" x14ac:dyDescent="0.3">
      <c r="A425" s="25">
        <v>45204</v>
      </c>
      <c r="B425" s="6" t="s">
        <v>133</v>
      </c>
      <c r="C425" s="6" t="s">
        <v>595</v>
      </c>
      <c r="D425" s="25">
        <v>45204</v>
      </c>
      <c r="E425" s="7">
        <v>73.11</v>
      </c>
      <c r="F425" s="7">
        <v>0</v>
      </c>
      <c r="G425" s="7">
        <v>46920.14</v>
      </c>
      <c r="I425" s="8">
        <f t="shared" si="6"/>
        <v>0</v>
      </c>
    </row>
    <row r="426" spans="1:9" ht="14.4" x14ac:dyDescent="0.3">
      <c r="A426" s="25">
        <v>45205</v>
      </c>
      <c r="B426" s="6" t="s">
        <v>496</v>
      </c>
      <c r="C426" s="6" t="s">
        <v>596</v>
      </c>
      <c r="D426" s="25">
        <v>45205</v>
      </c>
      <c r="E426" s="7">
        <v>0</v>
      </c>
      <c r="F426" s="7">
        <v>974.64</v>
      </c>
      <c r="G426" s="7">
        <v>47894.78</v>
      </c>
      <c r="I426" s="8">
        <f t="shared" si="6"/>
        <v>0</v>
      </c>
    </row>
    <row r="427" spans="1:9" ht="14.4" x14ac:dyDescent="0.3">
      <c r="A427" s="25">
        <v>45205</v>
      </c>
      <c r="B427" s="6" t="s">
        <v>496</v>
      </c>
      <c r="C427" s="6" t="s">
        <v>597</v>
      </c>
      <c r="D427" s="25">
        <v>45205</v>
      </c>
      <c r="E427" s="7">
        <v>0</v>
      </c>
      <c r="F427" s="7">
        <v>54620.56</v>
      </c>
      <c r="G427" s="7">
        <v>102515.34</v>
      </c>
      <c r="I427" s="8">
        <f t="shared" si="6"/>
        <v>0</v>
      </c>
    </row>
    <row r="428" spans="1:9" ht="14.4" x14ac:dyDescent="0.3">
      <c r="A428" s="25">
        <v>45205</v>
      </c>
      <c r="B428" s="6" t="s">
        <v>133</v>
      </c>
      <c r="C428" s="6" t="s">
        <v>598</v>
      </c>
      <c r="D428" s="25">
        <v>45205</v>
      </c>
      <c r="E428" s="7">
        <v>73.11</v>
      </c>
      <c r="F428" s="7">
        <v>0</v>
      </c>
      <c r="G428" s="7">
        <v>102442.23</v>
      </c>
      <c r="I428" s="8">
        <f t="shared" si="6"/>
        <v>0</v>
      </c>
    </row>
    <row r="429" spans="1:9" ht="14.4" x14ac:dyDescent="0.3">
      <c r="A429" s="25">
        <v>45205</v>
      </c>
      <c r="B429" s="6" t="s">
        <v>133</v>
      </c>
      <c r="C429" s="6" t="s">
        <v>599</v>
      </c>
      <c r="D429" s="25">
        <v>45205</v>
      </c>
      <c r="E429" s="7">
        <v>22193.64</v>
      </c>
      <c r="F429" s="7">
        <v>0</v>
      </c>
      <c r="G429" s="7">
        <v>80248.59</v>
      </c>
      <c r="I429" s="8">
        <f t="shared" si="6"/>
        <v>0</v>
      </c>
    </row>
    <row r="430" spans="1:9" ht="14.4" x14ac:dyDescent="0.3">
      <c r="A430" s="25">
        <v>45206</v>
      </c>
      <c r="B430" s="6" t="s">
        <v>600</v>
      </c>
      <c r="C430" s="6" t="s">
        <v>601</v>
      </c>
      <c r="D430" s="25">
        <v>45206</v>
      </c>
      <c r="E430" s="7">
        <v>0</v>
      </c>
      <c r="F430" s="7">
        <v>1880</v>
      </c>
      <c r="G430" s="7">
        <v>82128.59</v>
      </c>
      <c r="I430" s="8">
        <f t="shared" si="6"/>
        <v>0</v>
      </c>
    </row>
    <row r="431" spans="1:9" ht="14.4" x14ac:dyDescent="0.3">
      <c r="A431" s="25">
        <v>45208</v>
      </c>
      <c r="B431" s="6" t="s">
        <v>133</v>
      </c>
      <c r="C431" s="6" t="s">
        <v>602</v>
      </c>
      <c r="D431" s="25">
        <v>45208</v>
      </c>
      <c r="E431" s="7">
        <v>187.95</v>
      </c>
      <c r="F431" s="7">
        <v>0</v>
      </c>
      <c r="G431" s="7">
        <v>81940.639999999999</v>
      </c>
      <c r="I431" s="8">
        <f t="shared" si="6"/>
        <v>0</v>
      </c>
    </row>
    <row r="432" spans="1:9" ht="14.4" x14ac:dyDescent="0.3">
      <c r="A432" s="25">
        <v>45208</v>
      </c>
      <c r="B432" s="6" t="s">
        <v>133</v>
      </c>
      <c r="C432" s="6" t="s">
        <v>603</v>
      </c>
      <c r="D432" s="25">
        <v>45208</v>
      </c>
      <c r="E432" s="7">
        <v>5614.82</v>
      </c>
      <c r="F432" s="7">
        <v>0</v>
      </c>
      <c r="G432" s="7">
        <v>76325.820000000007</v>
      </c>
      <c r="I432" s="8">
        <f t="shared" si="6"/>
        <v>0</v>
      </c>
    </row>
    <row r="433" spans="1:9" ht="14.4" x14ac:dyDescent="0.3">
      <c r="A433" s="25">
        <v>45209</v>
      </c>
      <c r="B433" s="6" t="s">
        <v>133</v>
      </c>
      <c r="C433" s="6" t="s">
        <v>604</v>
      </c>
      <c r="D433" s="25">
        <v>45209</v>
      </c>
      <c r="E433" s="7">
        <v>59.88</v>
      </c>
      <c r="F433" s="7">
        <v>0</v>
      </c>
      <c r="G433" s="7">
        <v>76265.94</v>
      </c>
      <c r="I433" s="8">
        <f t="shared" si="6"/>
        <v>0</v>
      </c>
    </row>
    <row r="434" spans="1:9" ht="14.4" x14ac:dyDescent="0.3">
      <c r="A434" s="25">
        <v>45210</v>
      </c>
      <c r="B434" s="6" t="s">
        <v>496</v>
      </c>
      <c r="C434" s="6" t="s">
        <v>605</v>
      </c>
      <c r="D434" s="25">
        <v>45210</v>
      </c>
      <c r="E434" s="7">
        <v>0</v>
      </c>
      <c r="F434" s="7">
        <v>349.91</v>
      </c>
      <c r="G434" s="7">
        <v>76615.850000000006</v>
      </c>
      <c r="I434" s="8">
        <f t="shared" si="6"/>
        <v>0</v>
      </c>
    </row>
    <row r="435" spans="1:9" ht="14.4" x14ac:dyDescent="0.3">
      <c r="A435" s="25">
        <v>45210</v>
      </c>
      <c r="B435" s="6" t="s">
        <v>154</v>
      </c>
      <c r="C435" s="6" t="s">
        <v>606</v>
      </c>
      <c r="D435" s="25">
        <v>45210</v>
      </c>
      <c r="E435" s="7">
        <v>3000</v>
      </c>
      <c r="F435" s="7">
        <v>0</v>
      </c>
      <c r="G435" s="7">
        <v>73615.850000000006</v>
      </c>
      <c r="I435" s="8">
        <f t="shared" si="6"/>
        <v>0</v>
      </c>
    </row>
    <row r="436" spans="1:9" ht="14.4" x14ac:dyDescent="0.3">
      <c r="A436" s="25">
        <v>45210</v>
      </c>
      <c r="B436" s="6" t="s">
        <v>133</v>
      </c>
      <c r="C436" s="6" t="s">
        <v>607</v>
      </c>
      <c r="D436" s="25">
        <v>45210</v>
      </c>
      <c r="E436" s="7">
        <v>69.08</v>
      </c>
      <c r="F436" s="7">
        <v>0</v>
      </c>
      <c r="G436" s="7">
        <v>73546.77</v>
      </c>
      <c r="I436" s="8">
        <f t="shared" si="6"/>
        <v>0</v>
      </c>
    </row>
    <row r="437" spans="1:9" ht="14.4" x14ac:dyDescent="0.3">
      <c r="A437" s="25">
        <v>45211</v>
      </c>
      <c r="B437" s="6" t="s">
        <v>496</v>
      </c>
      <c r="C437" s="6" t="s">
        <v>608</v>
      </c>
      <c r="D437" s="25">
        <v>45211</v>
      </c>
      <c r="E437" s="7">
        <v>0</v>
      </c>
      <c r="F437" s="7">
        <v>184.48</v>
      </c>
      <c r="G437" s="7">
        <v>73731.25</v>
      </c>
      <c r="I437" s="8">
        <f t="shared" si="6"/>
        <v>0</v>
      </c>
    </row>
    <row r="438" spans="1:9" ht="14.4" x14ac:dyDescent="0.3">
      <c r="A438" s="25">
        <v>45211</v>
      </c>
      <c r="B438" s="6" t="s">
        <v>133</v>
      </c>
      <c r="C438" s="6" t="s">
        <v>609</v>
      </c>
      <c r="D438" s="25">
        <v>45211</v>
      </c>
      <c r="E438" s="7">
        <v>69.25</v>
      </c>
      <c r="F438" s="7">
        <v>0</v>
      </c>
      <c r="G438" s="7">
        <v>73662</v>
      </c>
      <c r="I438" s="8">
        <f t="shared" si="6"/>
        <v>0</v>
      </c>
    </row>
    <row r="439" spans="1:9" ht="14.4" x14ac:dyDescent="0.3">
      <c r="A439" s="25">
        <v>45211</v>
      </c>
      <c r="B439" s="6" t="s">
        <v>610</v>
      </c>
      <c r="C439" s="6" t="s">
        <v>149</v>
      </c>
      <c r="D439" s="25">
        <v>45211</v>
      </c>
      <c r="E439" s="7">
        <v>1144.5999999999999</v>
      </c>
      <c r="F439" s="7">
        <v>0</v>
      </c>
      <c r="G439" s="7">
        <v>72517.399999999994</v>
      </c>
      <c r="I439" s="8">
        <f t="shared" si="6"/>
        <v>0</v>
      </c>
    </row>
    <row r="440" spans="1:9" ht="14.4" x14ac:dyDescent="0.3">
      <c r="A440" s="25">
        <v>45211</v>
      </c>
      <c r="B440" s="6" t="s">
        <v>611</v>
      </c>
      <c r="C440" s="6" t="s">
        <v>612</v>
      </c>
      <c r="D440" s="25">
        <v>45211</v>
      </c>
      <c r="E440" s="7">
        <v>0</v>
      </c>
      <c r="F440" s="7">
        <v>90</v>
      </c>
      <c r="G440" s="7">
        <v>72607.399999999994</v>
      </c>
      <c r="I440" s="8">
        <f t="shared" si="6"/>
        <v>0</v>
      </c>
    </row>
    <row r="441" spans="1:9" ht="14.4" x14ac:dyDescent="0.3">
      <c r="A441" s="25">
        <v>45211</v>
      </c>
      <c r="B441" s="6" t="s">
        <v>133</v>
      </c>
      <c r="C441" s="6" t="s">
        <v>613</v>
      </c>
      <c r="D441" s="25">
        <v>45211</v>
      </c>
      <c r="E441" s="7">
        <v>7309.53</v>
      </c>
      <c r="F441" s="7">
        <v>0</v>
      </c>
      <c r="G441" s="7">
        <v>65297.87</v>
      </c>
      <c r="I441" s="8">
        <f t="shared" si="6"/>
        <v>0</v>
      </c>
    </row>
    <row r="442" spans="1:9" ht="14.4" x14ac:dyDescent="0.3">
      <c r="A442" s="25">
        <v>45212</v>
      </c>
      <c r="B442" s="6" t="s">
        <v>496</v>
      </c>
      <c r="C442" s="6" t="s">
        <v>614</v>
      </c>
      <c r="D442" s="25">
        <v>45212</v>
      </c>
      <c r="E442" s="7">
        <v>0</v>
      </c>
      <c r="F442" s="7">
        <v>20649.04</v>
      </c>
      <c r="G442" s="7">
        <v>85946.91</v>
      </c>
      <c r="I442" s="8">
        <f t="shared" si="6"/>
        <v>0</v>
      </c>
    </row>
    <row r="443" spans="1:9" ht="14.4" x14ac:dyDescent="0.3">
      <c r="A443" s="25">
        <v>45212</v>
      </c>
      <c r="B443" s="6" t="s">
        <v>133</v>
      </c>
      <c r="C443" s="6" t="s">
        <v>615</v>
      </c>
      <c r="D443" s="25">
        <v>45212</v>
      </c>
      <c r="E443" s="7">
        <v>65.739999999999995</v>
      </c>
      <c r="F443" s="7">
        <v>0</v>
      </c>
      <c r="G443" s="7">
        <v>85881.17</v>
      </c>
      <c r="I443" s="8">
        <f t="shared" si="6"/>
        <v>0</v>
      </c>
    </row>
    <row r="444" spans="1:9" ht="14.4" x14ac:dyDescent="0.3">
      <c r="A444" s="25">
        <v>45212</v>
      </c>
      <c r="B444" s="6" t="s">
        <v>133</v>
      </c>
      <c r="C444" s="6" t="s">
        <v>616</v>
      </c>
      <c r="D444" s="25">
        <v>45212</v>
      </c>
      <c r="E444" s="7">
        <v>6551.64</v>
      </c>
      <c r="F444" s="7">
        <v>0</v>
      </c>
      <c r="G444" s="7">
        <v>79329.53</v>
      </c>
      <c r="I444" s="8">
        <f t="shared" si="6"/>
        <v>0</v>
      </c>
    </row>
    <row r="445" spans="1:9" ht="14.4" x14ac:dyDescent="0.3">
      <c r="A445" s="25">
        <v>45212</v>
      </c>
      <c r="B445" s="6" t="s">
        <v>133</v>
      </c>
      <c r="C445" s="6" t="s">
        <v>617</v>
      </c>
      <c r="D445" s="25">
        <v>45212</v>
      </c>
      <c r="E445" s="7">
        <v>647.80999999999995</v>
      </c>
      <c r="F445" s="7">
        <v>0</v>
      </c>
      <c r="G445" s="7">
        <v>78681.72</v>
      </c>
      <c r="I445" s="8">
        <f t="shared" si="6"/>
        <v>0</v>
      </c>
    </row>
    <row r="446" spans="1:9" ht="14.4" x14ac:dyDescent="0.3">
      <c r="A446" s="25">
        <v>45215</v>
      </c>
      <c r="B446" s="6" t="s">
        <v>133</v>
      </c>
      <c r="C446" s="6" t="s">
        <v>618</v>
      </c>
      <c r="D446" s="25">
        <v>45215</v>
      </c>
      <c r="E446" s="7">
        <v>227.46</v>
      </c>
      <c r="F446" s="7">
        <v>0</v>
      </c>
      <c r="G446" s="7">
        <v>78454.259999999995</v>
      </c>
      <c r="I446" s="8">
        <f t="shared" si="6"/>
        <v>0</v>
      </c>
    </row>
    <row r="447" spans="1:9" ht="14.4" x14ac:dyDescent="0.3">
      <c r="A447" s="25">
        <v>45215</v>
      </c>
      <c r="B447" s="6" t="s">
        <v>619</v>
      </c>
      <c r="C447" s="6" t="s">
        <v>620</v>
      </c>
      <c r="D447" s="25">
        <v>45215</v>
      </c>
      <c r="E447" s="7">
        <v>0</v>
      </c>
      <c r="F447" s="7">
        <v>30</v>
      </c>
      <c r="G447" s="7">
        <v>78484.259999999995</v>
      </c>
      <c r="I447" s="8">
        <f t="shared" si="6"/>
        <v>0</v>
      </c>
    </row>
    <row r="448" spans="1:9" ht="14.4" x14ac:dyDescent="0.3">
      <c r="A448" s="25">
        <v>45215</v>
      </c>
      <c r="B448" s="6" t="s">
        <v>133</v>
      </c>
      <c r="C448" s="6" t="s">
        <v>621</v>
      </c>
      <c r="D448" s="25">
        <v>45215</v>
      </c>
      <c r="E448" s="7">
        <v>319.22000000000003</v>
      </c>
      <c r="F448" s="7">
        <v>0</v>
      </c>
      <c r="G448" s="7">
        <v>78165.039999999994</v>
      </c>
      <c r="I448" s="8">
        <f t="shared" si="6"/>
        <v>0</v>
      </c>
    </row>
    <row r="449" spans="1:9" ht="14.4" x14ac:dyDescent="0.3">
      <c r="A449" s="25">
        <v>45216</v>
      </c>
      <c r="B449" s="6" t="s">
        <v>133</v>
      </c>
      <c r="C449" s="6" t="s">
        <v>622</v>
      </c>
      <c r="D449" s="25">
        <v>45216</v>
      </c>
      <c r="E449" s="7">
        <v>75.66</v>
      </c>
      <c r="F449" s="7">
        <v>0</v>
      </c>
      <c r="G449" s="7">
        <v>78089.38</v>
      </c>
      <c r="I449" s="8">
        <f t="shared" si="6"/>
        <v>0</v>
      </c>
    </row>
    <row r="450" spans="1:9" ht="14.4" x14ac:dyDescent="0.3">
      <c r="A450" s="25">
        <v>45216</v>
      </c>
      <c r="B450" s="6" t="s">
        <v>133</v>
      </c>
      <c r="C450" s="6" t="s">
        <v>623</v>
      </c>
      <c r="D450" s="25">
        <v>45216</v>
      </c>
      <c r="E450" s="7">
        <v>26216.46</v>
      </c>
      <c r="F450" s="7">
        <v>0</v>
      </c>
      <c r="G450" s="7">
        <v>51872.92</v>
      </c>
      <c r="I450" s="8">
        <f t="shared" si="6"/>
        <v>0</v>
      </c>
    </row>
    <row r="451" spans="1:9" ht="14.4" x14ac:dyDescent="0.3">
      <c r="A451" s="25">
        <v>45217</v>
      </c>
      <c r="B451" s="6" t="s">
        <v>496</v>
      </c>
      <c r="C451" s="6" t="s">
        <v>624</v>
      </c>
      <c r="D451" s="25">
        <v>45217</v>
      </c>
      <c r="E451" s="7">
        <v>0</v>
      </c>
      <c r="F451" s="7">
        <v>60857.97</v>
      </c>
      <c r="G451" s="7">
        <v>112730.89</v>
      </c>
      <c r="I451" s="8">
        <f t="shared" si="6"/>
        <v>0</v>
      </c>
    </row>
    <row r="452" spans="1:9" ht="14.4" x14ac:dyDescent="0.3">
      <c r="A452" s="25">
        <v>45217</v>
      </c>
      <c r="B452" s="6" t="s">
        <v>133</v>
      </c>
      <c r="C452" s="6" t="s">
        <v>625</v>
      </c>
      <c r="D452" s="25">
        <v>45217</v>
      </c>
      <c r="E452" s="7">
        <v>62.73</v>
      </c>
      <c r="F452" s="7">
        <v>0</v>
      </c>
      <c r="G452" s="7">
        <v>112668.16</v>
      </c>
      <c r="I452" s="8">
        <f t="shared" si="6"/>
        <v>0</v>
      </c>
    </row>
    <row r="453" spans="1:9" ht="14.4" x14ac:dyDescent="0.3">
      <c r="A453" s="25">
        <v>45217</v>
      </c>
      <c r="B453" s="6" t="s">
        <v>133</v>
      </c>
      <c r="C453" s="6" t="s">
        <v>626</v>
      </c>
      <c r="D453" s="25">
        <v>45217</v>
      </c>
      <c r="E453" s="7">
        <v>2873.28</v>
      </c>
      <c r="F453" s="7">
        <v>0</v>
      </c>
      <c r="G453" s="7">
        <v>109794.88</v>
      </c>
      <c r="I453" s="8">
        <f t="shared" si="6"/>
        <v>0</v>
      </c>
    </row>
    <row r="454" spans="1:9" ht="14.4" x14ac:dyDescent="0.3">
      <c r="A454" s="25">
        <v>45218</v>
      </c>
      <c r="B454" s="6" t="s">
        <v>133</v>
      </c>
      <c r="C454" s="6" t="s">
        <v>627</v>
      </c>
      <c r="D454" s="25">
        <v>45218</v>
      </c>
      <c r="E454" s="7">
        <v>61.32</v>
      </c>
      <c r="F454" s="7">
        <v>0</v>
      </c>
      <c r="G454" s="7">
        <v>109733.56</v>
      </c>
      <c r="I454" s="8">
        <f t="shared" si="6"/>
        <v>0</v>
      </c>
    </row>
    <row r="455" spans="1:9" ht="14.4" x14ac:dyDescent="0.3">
      <c r="A455" s="25">
        <v>45218</v>
      </c>
      <c r="B455" s="6" t="s">
        <v>133</v>
      </c>
      <c r="C455" s="6" t="s">
        <v>628</v>
      </c>
      <c r="D455" s="25">
        <v>45218</v>
      </c>
      <c r="E455" s="7">
        <v>31771.79</v>
      </c>
      <c r="F455" s="7">
        <v>0</v>
      </c>
      <c r="G455" s="7">
        <v>77961.77</v>
      </c>
      <c r="I455" s="8">
        <f t="shared" si="6"/>
        <v>0</v>
      </c>
    </row>
    <row r="456" spans="1:9" ht="14.4" x14ac:dyDescent="0.3">
      <c r="A456" s="25">
        <v>45219</v>
      </c>
      <c r="B456" s="6" t="s">
        <v>496</v>
      </c>
      <c r="C456" s="6" t="s">
        <v>629</v>
      </c>
      <c r="D456" s="25">
        <v>45219</v>
      </c>
      <c r="E456" s="7">
        <v>0</v>
      </c>
      <c r="F456" s="7">
        <v>1460.8</v>
      </c>
      <c r="G456" s="7">
        <v>79422.570000000007</v>
      </c>
      <c r="I456" s="8">
        <f t="shared" si="6"/>
        <v>0</v>
      </c>
    </row>
    <row r="457" spans="1:9" ht="14.4" x14ac:dyDescent="0.3">
      <c r="A457" s="25">
        <v>45219</v>
      </c>
      <c r="B457" s="6" t="s">
        <v>133</v>
      </c>
      <c r="C457" s="6" t="s">
        <v>630</v>
      </c>
      <c r="D457" s="25">
        <v>45219</v>
      </c>
      <c r="E457" s="7">
        <v>49.6</v>
      </c>
      <c r="F457" s="7">
        <v>0</v>
      </c>
      <c r="G457" s="7">
        <v>79372.97</v>
      </c>
      <c r="I457" s="8">
        <f t="shared" si="6"/>
        <v>0</v>
      </c>
    </row>
    <row r="458" spans="1:9" ht="14.4" x14ac:dyDescent="0.3">
      <c r="A458" s="25">
        <v>45219</v>
      </c>
      <c r="B458" s="6" t="s">
        <v>133</v>
      </c>
      <c r="C458" s="6" t="s">
        <v>631</v>
      </c>
      <c r="D458" s="25">
        <v>45219</v>
      </c>
      <c r="E458" s="7">
        <v>17985.04</v>
      </c>
      <c r="F458" s="7">
        <v>0</v>
      </c>
      <c r="G458" s="7">
        <v>61387.93</v>
      </c>
      <c r="I458" s="8">
        <f t="shared" si="6"/>
        <v>0</v>
      </c>
    </row>
    <row r="459" spans="1:9" ht="14.4" x14ac:dyDescent="0.3">
      <c r="A459" s="25">
        <v>45219</v>
      </c>
      <c r="B459" s="6" t="s">
        <v>133</v>
      </c>
      <c r="C459" s="6" t="s">
        <v>632</v>
      </c>
      <c r="D459" s="25">
        <v>45219</v>
      </c>
      <c r="E459" s="7">
        <v>9016.77</v>
      </c>
      <c r="F459" s="7">
        <v>0</v>
      </c>
      <c r="G459" s="7">
        <v>52371.16</v>
      </c>
      <c r="I459" s="8">
        <f t="shared" si="6"/>
        <v>0</v>
      </c>
    </row>
    <row r="460" spans="1:9" ht="14.4" x14ac:dyDescent="0.3">
      <c r="A460" s="25">
        <v>45221</v>
      </c>
      <c r="B460" s="6" t="s">
        <v>633</v>
      </c>
      <c r="C460" s="6" t="s">
        <v>634</v>
      </c>
      <c r="D460" s="25">
        <v>45221</v>
      </c>
      <c r="E460" s="7">
        <v>0</v>
      </c>
      <c r="F460" s="7">
        <v>30000</v>
      </c>
      <c r="G460" s="7">
        <v>82371.16</v>
      </c>
      <c r="I460" s="8">
        <f t="shared" si="6"/>
        <v>0</v>
      </c>
    </row>
    <row r="461" spans="1:9" ht="14.4" x14ac:dyDescent="0.3">
      <c r="A461" s="25">
        <v>45222</v>
      </c>
      <c r="B461" s="6" t="s">
        <v>133</v>
      </c>
      <c r="C461" s="6" t="s">
        <v>635</v>
      </c>
      <c r="D461" s="25">
        <v>45222</v>
      </c>
      <c r="E461" s="7">
        <v>263.10000000000002</v>
      </c>
      <c r="F461" s="7">
        <v>0</v>
      </c>
      <c r="G461" s="7">
        <v>82108.06</v>
      </c>
      <c r="I461" s="8">
        <f t="shared" si="6"/>
        <v>0</v>
      </c>
    </row>
    <row r="462" spans="1:9" ht="14.4" x14ac:dyDescent="0.3">
      <c r="A462" s="25">
        <v>45222</v>
      </c>
      <c r="B462" s="6" t="s">
        <v>133</v>
      </c>
      <c r="C462" s="6" t="s">
        <v>636</v>
      </c>
      <c r="D462" s="25">
        <v>45222</v>
      </c>
      <c r="E462" s="7">
        <v>21590.34</v>
      </c>
      <c r="F462" s="7">
        <v>0</v>
      </c>
      <c r="G462" s="7">
        <v>60517.72</v>
      </c>
      <c r="I462" s="8">
        <f t="shared" si="6"/>
        <v>0</v>
      </c>
    </row>
    <row r="463" spans="1:9" ht="14.4" x14ac:dyDescent="0.3">
      <c r="A463" s="25">
        <v>45223</v>
      </c>
      <c r="B463" s="6" t="s">
        <v>637</v>
      </c>
      <c r="C463" s="6" t="s">
        <v>638</v>
      </c>
      <c r="D463" s="25">
        <v>45223</v>
      </c>
      <c r="E463" s="7">
        <v>0</v>
      </c>
      <c r="F463" s="7">
        <v>1</v>
      </c>
      <c r="G463" s="7">
        <v>60518.720000000001</v>
      </c>
      <c r="I463" s="8">
        <f t="shared" si="6"/>
        <v>0</v>
      </c>
    </row>
    <row r="464" spans="1:9" ht="14.4" x14ac:dyDescent="0.3">
      <c r="A464" s="25">
        <v>45223</v>
      </c>
      <c r="B464" s="6" t="s">
        <v>639</v>
      </c>
      <c r="C464" s="6" t="s">
        <v>640</v>
      </c>
      <c r="D464" s="25">
        <v>45223</v>
      </c>
      <c r="E464" s="7">
        <v>0</v>
      </c>
      <c r="F464" s="7">
        <v>250000</v>
      </c>
      <c r="G464" s="7">
        <v>310518.71999999997</v>
      </c>
      <c r="I464" s="8">
        <f t="shared" si="6"/>
        <v>0</v>
      </c>
    </row>
    <row r="465" spans="1:9" ht="14.4" x14ac:dyDescent="0.3">
      <c r="A465" s="25">
        <v>45223</v>
      </c>
      <c r="B465" s="6" t="s">
        <v>641</v>
      </c>
      <c r="C465" s="6" t="s">
        <v>642</v>
      </c>
      <c r="D465" s="25">
        <v>45223</v>
      </c>
      <c r="E465" s="7">
        <v>256000</v>
      </c>
      <c r="F465" s="7">
        <v>0</v>
      </c>
      <c r="G465" s="7">
        <v>54518.720000000001</v>
      </c>
      <c r="I465" s="8">
        <f t="shared" si="6"/>
        <v>0</v>
      </c>
    </row>
    <row r="466" spans="1:9" ht="14.4" x14ac:dyDescent="0.3">
      <c r="A466" s="25">
        <v>45224</v>
      </c>
      <c r="B466" s="6" t="s">
        <v>496</v>
      </c>
      <c r="C466" s="6" t="s">
        <v>643</v>
      </c>
      <c r="D466" s="25">
        <v>45224</v>
      </c>
      <c r="E466" s="7">
        <v>0</v>
      </c>
      <c r="F466" s="7">
        <v>12403.87</v>
      </c>
      <c r="G466" s="7">
        <v>66922.59</v>
      </c>
      <c r="I466" s="8">
        <f t="shared" si="6"/>
        <v>0</v>
      </c>
    </row>
    <row r="467" spans="1:9" ht="14.4" x14ac:dyDescent="0.3">
      <c r="A467" s="25">
        <v>45224</v>
      </c>
      <c r="B467" s="6" t="s">
        <v>133</v>
      </c>
      <c r="C467" s="6" t="s">
        <v>644</v>
      </c>
      <c r="D467" s="25">
        <v>45224</v>
      </c>
      <c r="E467" s="7">
        <v>128.96</v>
      </c>
      <c r="F467" s="7">
        <v>0</v>
      </c>
      <c r="G467" s="7">
        <v>66793.63</v>
      </c>
      <c r="I467" s="8">
        <f t="shared" si="6"/>
        <v>0</v>
      </c>
    </row>
    <row r="468" spans="1:9" ht="14.4" x14ac:dyDescent="0.3">
      <c r="A468" s="25">
        <v>45224</v>
      </c>
      <c r="B468" s="6" t="s">
        <v>133</v>
      </c>
      <c r="C468" s="6" t="s">
        <v>645</v>
      </c>
      <c r="D468" s="25">
        <v>45224</v>
      </c>
      <c r="E468" s="7">
        <v>7555.81</v>
      </c>
      <c r="F468" s="7">
        <v>0</v>
      </c>
      <c r="G468" s="7">
        <v>59237.82</v>
      </c>
      <c r="I468" s="8">
        <f t="shared" si="6"/>
        <v>0</v>
      </c>
    </row>
    <row r="469" spans="1:9" ht="14.4" x14ac:dyDescent="0.3">
      <c r="A469" s="25">
        <v>45224</v>
      </c>
      <c r="B469" s="6" t="s">
        <v>133</v>
      </c>
      <c r="C469" s="6" t="s">
        <v>646</v>
      </c>
      <c r="D469" s="25">
        <v>45224</v>
      </c>
      <c r="E469" s="7">
        <v>9150.0300000000007</v>
      </c>
      <c r="F469" s="7">
        <v>0</v>
      </c>
      <c r="G469" s="7">
        <v>50087.79</v>
      </c>
      <c r="I469" s="8">
        <f t="shared" si="6"/>
        <v>0</v>
      </c>
    </row>
    <row r="470" spans="1:9" ht="14.4" x14ac:dyDescent="0.3">
      <c r="A470" s="25">
        <v>45225</v>
      </c>
      <c r="B470" s="6" t="s">
        <v>133</v>
      </c>
      <c r="C470" s="6" t="s">
        <v>647</v>
      </c>
      <c r="D470" s="25">
        <v>45225</v>
      </c>
      <c r="E470" s="7">
        <v>37.340000000000003</v>
      </c>
      <c r="F470" s="7">
        <v>0</v>
      </c>
      <c r="G470" s="7">
        <v>50050.45</v>
      </c>
      <c r="I470" s="8">
        <f t="shared" si="6"/>
        <v>0</v>
      </c>
    </row>
    <row r="471" spans="1:9" ht="14.4" x14ac:dyDescent="0.3">
      <c r="A471" s="25">
        <v>45225</v>
      </c>
      <c r="B471" s="6" t="s">
        <v>133</v>
      </c>
      <c r="C471" s="6" t="s">
        <v>648</v>
      </c>
      <c r="D471" s="25">
        <v>45225</v>
      </c>
      <c r="E471" s="7">
        <v>289.73</v>
      </c>
      <c r="F471" s="7">
        <v>0</v>
      </c>
      <c r="G471" s="7">
        <v>49760.72</v>
      </c>
      <c r="I471" s="8">
        <f t="shared" si="6"/>
        <v>0</v>
      </c>
    </row>
    <row r="472" spans="1:9" ht="14.4" x14ac:dyDescent="0.3">
      <c r="A472" s="25">
        <v>45226</v>
      </c>
      <c r="B472" s="6" t="s">
        <v>133</v>
      </c>
      <c r="C472" s="6" t="s">
        <v>649</v>
      </c>
      <c r="D472" s="25">
        <v>45226</v>
      </c>
      <c r="E472" s="7">
        <v>43.52</v>
      </c>
      <c r="F472" s="7">
        <v>0</v>
      </c>
      <c r="G472" s="7">
        <v>49717.2</v>
      </c>
      <c r="I472" s="8">
        <f t="shared" ref="I472:I535" si="7">G471-E472+F472-G472</f>
        <v>0</v>
      </c>
    </row>
    <row r="473" spans="1:9" ht="14.4" x14ac:dyDescent="0.3">
      <c r="A473" s="25">
        <v>45226</v>
      </c>
      <c r="B473" s="6" t="s">
        <v>133</v>
      </c>
      <c r="C473" s="6" t="s">
        <v>650</v>
      </c>
      <c r="D473" s="25">
        <v>45226</v>
      </c>
      <c r="E473" s="7">
        <v>7392.07</v>
      </c>
      <c r="F473" s="7">
        <v>0</v>
      </c>
      <c r="G473" s="7">
        <v>42325.13</v>
      </c>
      <c r="I473" s="8">
        <f t="shared" si="7"/>
        <v>0</v>
      </c>
    </row>
    <row r="474" spans="1:9" ht="14.4" x14ac:dyDescent="0.3">
      <c r="A474" s="25">
        <v>45229</v>
      </c>
      <c r="B474" s="6" t="s">
        <v>496</v>
      </c>
      <c r="C474" s="6" t="s">
        <v>651</v>
      </c>
      <c r="D474" s="25">
        <v>45229</v>
      </c>
      <c r="E474" s="7">
        <v>0</v>
      </c>
      <c r="F474" s="7">
        <v>1729.24</v>
      </c>
      <c r="G474" s="7">
        <v>44054.37</v>
      </c>
      <c r="I474" s="8">
        <f t="shared" si="7"/>
        <v>0</v>
      </c>
    </row>
    <row r="475" spans="1:9" ht="14.4" x14ac:dyDescent="0.3">
      <c r="A475" s="25">
        <v>45229</v>
      </c>
      <c r="B475" s="6" t="s">
        <v>652</v>
      </c>
      <c r="C475" s="6" t="s">
        <v>653</v>
      </c>
      <c r="D475" s="25">
        <v>45229</v>
      </c>
      <c r="E475" s="7">
        <v>5000</v>
      </c>
      <c r="F475" s="7">
        <v>0</v>
      </c>
      <c r="G475" s="7">
        <v>39054.370000000003</v>
      </c>
      <c r="I475" s="8">
        <f t="shared" si="7"/>
        <v>0</v>
      </c>
    </row>
    <row r="476" spans="1:9" ht="14.4" x14ac:dyDescent="0.3">
      <c r="A476" s="25">
        <v>45229</v>
      </c>
      <c r="B476" s="6" t="s">
        <v>652</v>
      </c>
      <c r="C476" s="6" t="s">
        <v>654</v>
      </c>
      <c r="D476" s="25">
        <v>45229</v>
      </c>
      <c r="E476" s="7">
        <v>5000</v>
      </c>
      <c r="F476" s="7">
        <v>0</v>
      </c>
      <c r="G476" s="7">
        <v>34054.370000000003</v>
      </c>
      <c r="I476" s="8">
        <f t="shared" si="7"/>
        <v>0</v>
      </c>
    </row>
    <row r="477" spans="1:9" ht="14.4" x14ac:dyDescent="0.3">
      <c r="A477" s="25">
        <v>45229</v>
      </c>
      <c r="B477" s="6" t="s">
        <v>133</v>
      </c>
      <c r="C477" s="6" t="s">
        <v>655</v>
      </c>
      <c r="D477" s="25">
        <v>45229</v>
      </c>
      <c r="E477" s="7">
        <v>130.56</v>
      </c>
      <c r="F477" s="7">
        <v>0</v>
      </c>
      <c r="G477" s="7">
        <v>33923.81</v>
      </c>
      <c r="I477" s="8">
        <f t="shared" si="7"/>
        <v>0</v>
      </c>
    </row>
    <row r="478" spans="1:9" ht="14.4" x14ac:dyDescent="0.3">
      <c r="A478" s="25">
        <v>45229</v>
      </c>
      <c r="B478" s="6" t="s">
        <v>133</v>
      </c>
      <c r="C478" s="6" t="s">
        <v>656</v>
      </c>
      <c r="D478" s="25">
        <v>45229</v>
      </c>
      <c r="E478" s="7">
        <v>6269.96</v>
      </c>
      <c r="F478" s="7">
        <v>0</v>
      </c>
      <c r="G478" s="7">
        <v>27653.85</v>
      </c>
      <c r="I478" s="8">
        <f t="shared" si="7"/>
        <v>0</v>
      </c>
    </row>
    <row r="479" spans="1:9" ht="14.4" x14ac:dyDescent="0.3">
      <c r="A479" s="25">
        <v>45230</v>
      </c>
      <c r="B479" s="6" t="s">
        <v>496</v>
      </c>
      <c r="C479" s="6" t="s">
        <v>657</v>
      </c>
      <c r="D479" s="25">
        <v>45230</v>
      </c>
      <c r="E479" s="7">
        <v>0</v>
      </c>
      <c r="F479" s="7">
        <v>12214.38</v>
      </c>
      <c r="G479" s="7">
        <v>39868.230000000003</v>
      </c>
      <c r="I479" s="8">
        <f t="shared" si="7"/>
        <v>0</v>
      </c>
    </row>
    <row r="480" spans="1:9" ht="14.4" x14ac:dyDescent="0.3">
      <c r="A480" s="25">
        <v>45230</v>
      </c>
      <c r="B480" s="6" t="s">
        <v>133</v>
      </c>
      <c r="C480" s="6" t="s">
        <v>658</v>
      </c>
      <c r="D480" s="25">
        <v>45230</v>
      </c>
      <c r="E480" s="7">
        <v>41.91</v>
      </c>
      <c r="F480" s="7">
        <v>0</v>
      </c>
      <c r="G480" s="7">
        <v>39826.32</v>
      </c>
      <c r="I480" s="8">
        <f t="shared" si="7"/>
        <v>0</v>
      </c>
    </row>
    <row r="481" spans="1:9" ht="14.4" x14ac:dyDescent="0.3">
      <c r="A481" s="25">
        <v>45230</v>
      </c>
      <c r="B481" s="6" t="s">
        <v>133</v>
      </c>
      <c r="C481" s="6" t="s">
        <v>659</v>
      </c>
      <c r="D481" s="25">
        <v>45230</v>
      </c>
      <c r="E481" s="7">
        <v>2122.5500000000002</v>
      </c>
      <c r="F481" s="7">
        <v>0</v>
      </c>
      <c r="G481" s="7">
        <v>37703.769999999997</v>
      </c>
      <c r="I481" s="8">
        <f t="shared" si="7"/>
        <v>0</v>
      </c>
    </row>
    <row r="482" spans="1:9" ht="14.4" x14ac:dyDescent="0.3">
      <c r="A482" s="25">
        <v>45231</v>
      </c>
      <c r="B482" s="6" t="s">
        <v>496</v>
      </c>
      <c r="C482" s="6" t="s">
        <v>660</v>
      </c>
      <c r="D482" s="25">
        <v>45231</v>
      </c>
      <c r="E482" s="7">
        <v>0</v>
      </c>
      <c r="F482" s="7">
        <v>18367.21</v>
      </c>
      <c r="G482" s="7">
        <v>56070.98</v>
      </c>
      <c r="I482" s="8">
        <f t="shared" si="7"/>
        <v>0</v>
      </c>
    </row>
    <row r="483" spans="1:9" ht="14.4" x14ac:dyDescent="0.3">
      <c r="A483" s="25">
        <v>45231</v>
      </c>
      <c r="B483" s="6" t="s">
        <v>133</v>
      </c>
      <c r="C483" s="6" t="s">
        <v>661</v>
      </c>
      <c r="D483" s="25">
        <v>45231</v>
      </c>
      <c r="E483" s="7">
        <v>47.48</v>
      </c>
      <c r="F483" s="7">
        <v>0</v>
      </c>
      <c r="G483" s="7">
        <v>56023.5</v>
      </c>
      <c r="I483" s="8">
        <f t="shared" si="7"/>
        <v>0</v>
      </c>
    </row>
    <row r="484" spans="1:9" ht="14.4" x14ac:dyDescent="0.3">
      <c r="A484" s="25">
        <v>45231</v>
      </c>
      <c r="B484" s="6" t="s">
        <v>133</v>
      </c>
      <c r="C484" s="6" t="s">
        <v>662</v>
      </c>
      <c r="D484" s="25">
        <v>45231</v>
      </c>
      <c r="E484" s="7">
        <v>29121.75</v>
      </c>
      <c r="F484" s="7">
        <v>0</v>
      </c>
      <c r="G484" s="7">
        <v>26901.75</v>
      </c>
      <c r="I484" s="8">
        <f t="shared" si="7"/>
        <v>0</v>
      </c>
    </row>
    <row r="485" spans="1:9" ht="14.4" x14ac:dyDescent="0.3">
      <c r="A485" s="25">
        <v>45232</v>
      </c>
      <c r="B485" s="6" t="s">
        <v>133</v>
      </c>
      <c r="C485" s="6" t="s">
        <v>663</v>
      </c>
      <c r="D485" s="25">
        <v>45232</v>
      </c>
      <c r="E485" s="7">
        <v>39.53</v>
      </c>
      <c r="F485" s="7">
        <v>0</v>
      </c>
      <c r="G485" s="7">
        <v>26862.22</v>
      </c>
      <c r="I485" s="8">
        <f t="shared" si="7"/>
        <v>0</v>
      </c>
    </row>
    <row r="486" spans="1:9" ht="14.4" x14ac:dyDescent="0.3">
      <c r="A486" s="25">
        <v>45232</v>
      </c>
      <c r="B486" s="6" t="s">
        <v>133</v>
      </c>
      <c r="C486" s="6" t="s">
        <v>664</v>
      </c>
      <c r="D486" s="25">
        <v>45232</v>
      </c>
      <c r="E486" s="7">
        <v>5685.38</v>
      </c>
      <c r="F486" s="7">
        <v>0</v>
      </c>
      <c r="G486" s="7">
        <v>21176.84</v>
      </c>
      <c r="I486" s="8">
        <f t="shared" si="7"/>
        <v>0</v>
      </c>
    </row>
    <row r="487" spans="1:9" ht="14.4" x14ac:dyDescent="0.3">
      <c r="A487" s="25">
        <v>45233</v>
      </c>
      <c r="B487" s="6" t="s">
        <v>496</v>
      </c>
      <c r="C487" s="6" t="s">
        <v>665</v>
      </c>
      <c r="D487" s="25">
        <v>45233</v>
      </c>
      <c r="E487" s="7">
        <v>0</v>
      </c>
      <c r="F487" s="7">
        <v>2837.4</v>
      </c>
      <c r="G487" s="7">
        <v>24014.240000000002</v>
      </c>
      <c r="I487" s="8">
        <f t="shared" si="7"/>
        <v>0</v>
      </c>
    </row>
    <row r="488" spans="1:9" ht="14.4" x14ac:dyDescent="0.3">
      <c r="A488" s="25">
        <v>45233</v>
      </c>
      <c r="B488" s="6" t="s">
        <v>133</v>
      </c>
      <c r="C488" s="6" t="s">
        <v>666</v>
      </c>
      <c r="D488" s="25">
        <v>45233</v>
      </c>
      <c r="E488" s="7">
        <v>68.67</v>
      </c>
      <c r="F488" s="7">
        <v>0</v>
      </c>
      <c r="G488" s="7">
        <v>23945.57</v>
      </c>
      <c r="I488" s="8">
        <f t="shared" si="7"/>
        <v>0</v>
      </c>
    </row>
    <row r="489" spans="1:9" ht="14.4" x14ac:dyDescent="0.3">
      <c r="A489" s="25">
        <v>45233</v>
      </c>
      <c r="B489" s="6" t="s">
        <v>496</v>
      </c>
      <c r="C489" s="6" t="s">
        <v>667</v>
      </c>
      <c r="D489" s="25">
        <v>45233</v>
      </c>
      <c r="E489" s="7">
        <v>0</v>
      </c>
      <c r="F489" s="7">
        <v>14987.68</v>
      </c>
      <c r="G489" s="7">
        <v>38933.25</v>
      </c>
      <c r="I489" s="8">
        <f t="shared" si="7"/>
        <v>0</v>
      </c>
    </row>
    <row r="490" spans="1:9" ht="14.4" x14ac:dyDescent="0.3">
      <c r="A490" s="25">
        <v>45235</v>
      </c>
      <c r="B490" s="6" t="s">
        <v>668</v>
      </c>
      <c r="C490" s="6" t="s">
        <v>669</v>
      </c>
      <c r="D490" s="25">
        <v>45235</v>
      </c>
      <c r="E490" s="7">
        <v>0</v>
      </c>
      <c r="F490" s="7">
        <v>30000</v>
      </c>
      <c r="G490" s="7">
        <v>68933.25</v>
      </c>
      <c r="I490" s="8">
        <f t="shared" si="7"/>
        <v>0</v>
      </c>
    </row>
    <row r="491" spans="1:9" ht="14.4" x14ac:dyDescent="0.3">
      <c r="A491" s="25">
        <v>45236</v>
      </c>
      <c r="B491" s="6" t="s">
        <v>496</v>
      </c>
      <c r="C491" s="6" t="s">
        <v>670</v>
      </c>
      <c r="D491" s="25">
        <v>45236</v>
      </c>
      <c r="E491" s="7">
        <v>0</v>
      </c>
      <c r="F491" s="7">
        <v>1324.43</v>
      </c>
      <c r="G491" s="7">
        <v>70257.679999999993</v>
      </c>
      <c r="I491" s="8">
        <f t="shared" si="7"/>
        <v>0</v>
      </c>
    </row>
    <row r="492" spans="1:9" ht="14.4" x14ac:dyDescent="0.3">
      <c r="A492" s="25">
        <v>45236</v>
      </c>
      <c r="B492" s="6" t="s">
        <v>496</v>
      </c>
      <c r="C492" s="6" t="s">
        <v>671</v>
      </c>
      <c r="D492" s="25">
        <v>45236</v>
      </c>
      <c r="E492" s="7">
        <v>0</v>
      </c>
      <c r="F492" s="7">
        <v>9526.77</v>
      </c>
      <c r="G492" s="7">
        <v>79784.45</v>
      </c>
      <c r="I492" s="8">
        <f t="shared" si="7"/>
        <v>0</v>
      </c>
    </row>
    <row r="493" spans="1:9" ht="14.4" x14ac:dyDescent="0.3">
      <c r="A493" s="25">
        <v>45236</v>
      </c>
      <c r="B493" s="6" t="s">
        <v>133</v>
      </c>
      <c r="C493" s="6" t="s">
        <v>672</v>
      </c>
      <c r="D493" s="25">
        <v>45236</v>
      </c>
      <c r="E493" s="7">
        <v>225.45</v>
      </c>
      <c r="F493" s="7">
        <v>0</v>
      </c>
      <c r="G493" s="7">
        <v>79559</v>
      </c>
      <c r="I493" s="8">
        <f t="shared" si="7"/>
        <v>0</v>
      </c>
    </row>
    <row r="494" spans="1:9" ht="14.4" x14ac:dyDescent="0.3">
      <c r="A494" s="25">
        <v>45236</v>
      </c>
      <c r="B494" s="6" t="s">
        <v>673</v>
      </c>
      <c r="C494" s="6" t="s">
        <v>674</v>
      </c>
      <c r="D494" s="25">
        <v>45236</v>
      </c>
      <c r="E494" s="7">
        <v>0</v>
      </c>
      <c r="F494" s="7">
        <v>660</v>
      </c>
      <c r="G494" s="7">
        <v>80219</v>
      </c>
      <c r="I494" s="8">
        <f t="shared" si="7"/>
        <v>0</v>
      </c>
    </row>
    <row r="495" spans="1:9" ht="14.4" x14ac:dyDescent="0.3">
      <c r="A495" s="25">
        <v>45236</v>
      </c>
      <c r="B495" s="6" t="s">
        <v>675</v>
      </c>
      <c r="C495" s="6" t="s">
        <v>676</v>
      </c>
      <c r="D495" s="25">
        <v>45236</v>
      </c>
      <c r="E495" s="7">
        <v>0</v>
      </c>
      <c r="F495" s="7">
        <v>450</v>
      </c>
      <c r="G495" s="7">
        <v>80669</v>
      </c>
      <c r="I495" s="8">
        <f t="shared" si="7"/>
        <v>0</v>
      </c>
    </row>
    <row r="496" spans="1:9" ht="14.4" x14ac:dyDescent="0.3">
      <c r="A496" s="25">
        <v>45236</v>
      </c>
      <c r="B496" s="6" t="s">
        <v>133</v>
      </c>
      <c r="C496" s="6" t="s">
        <v>677</v>
      </c>
      <c r="D496" s="25">
        <v>45236</v>
      </c>
      <c r="E496" s="7">
        <v>42899.1</v>
      </c>
      <c r="F496" s="7">
        <v>0</v>
      </c>
      <c r="G496" s="7">
        <v>37769.9</v>
      </c>
      <c r="I496" s="8">
        <f t="shared" si="7"/>
        <v>0</v>
      </c>
    </row>
    <row r="497" spans="1:9" ht="14.4" x14ac:dyDescent="0.3">
      <c r="A497" s="25">
        <v>45237</v>
      </c>
      <c r="B497" s="6" t="s">
        <v>496</v>
      </c>
      <c r="C497" s="6" t="s">
        <v>678</v>
      </c>
      <c r="D497" s="25">
        <v>45237</v>
      </c>
      <c r="E497" s="7">
        <v>0</v>
      </c>
      <c r="F497" s="7">
        <v>6342.6</v>
      </c>
      <c r="G497" s="7">
        <v>44112.5</v>
      </c>
      <c r="I497" s="8">
        <f t="shared" si="7"/>
        <v>0</v>
      </c>
    </row>
    <row r="498" spans="1:9" ht="14.4" x14ac:dyDescent="0.3">
      <c r="A498" s="25">
        <v>45237</v>
      </c>
      <c r="B498" s="6" t="s">
        <v>133</v>
      </c>
      <c r="C498" s="6" t="s">
        <v>679</v>
      </c>
      <c r="D498" s="25">
        <v>45237</v>
      </c>
      <c r="E498" s="7">
        <v>60.78</v>
      </c>
      <c r="F498" s="7">
        <v>0</v>
      </c>
      <c r="G498" s="7">
        <v>44051.72</v>
      </c>
      <c r="I498" s="8">
        <f t="shared" si="7"/>
        <v>0</v>
      </c>
    </row>
    <row r="499" spans="1:9" ht="14.4" x14ac:dyDescent="0.3">
      <c r="A499" s="25">
        <v>45237</v>
      </c>
      <c r="B499" s="6" t="s">
        <v>680</v>
      </c>
      <c r="C499" s="6" t="s">
        <v>681</v>
      </c>
      <c r="D499" s="25">
        <v>45237</v>
      </c>
      <c r="E499" s="7">
        <v>0</v>
      </c>
      <c r="F499" s="7">
        <v>189</v>
      </c>
      <c r="G499" s="7">
        <v>44240.72</v>
      </c>
      <c r="I499" s="8">
        <f t="shared" si="7"/>
        <v>0</v>
      </c>
    </row>
    <row r="500" spans="1:9" ht="14.4" x14ac:dyDescent="0.3">
      <c r="A500" s="25">
        <v>45237</v>
      </c>
      <c r="B500" s="6" t="s">
        <v>133</v>
      </c>
      <c r="C500" s="6" t="s">
        <v>682</v>
      </c>
      <c r="D500" s="25">
        <v>45237</v>
      </c>
      <c r="E500" s="7">
        <v>8223.7199999999993</v>
      </c>
      <c r="F500" s="7">
        <v>0</v>
      </c>
      <c r="G500" s="7">
        <v>36017</v>
      </c>
      <c r="I500" s="8">
        <f t="shared" si="7"/>
        <v>0</v>
      </c>
    </row>
    <row r="501" spans="1:9" ht="14.4" x14ac:dyDescent="0.3">
      <c r="A501" s="25">
        <v>45237</v>
      </c>
      <c r="B501" s="6" t="s">
        <v>683</v>
      </c>
      <c r="C501" s="6" t="s">
        <v>684</v>
      </c>
      <c r="D501" s="25">
        <v>45237</v>
      </c>
      <c r="E501" s="7">
        <v>0</v>
      </c>
      <c r="F501" s="7">
        <v>1880</v>
      </c>
      <c r="G501" s="7">
        <v>37897</v>
      </c>
      <c r="I501" s="8">
        <f t="shared" si="7"/>
        <v>0</v>
      </c>
    </row>
    <row r="502" spans="1:9" ht="14.4" x14ac:dyDescent="0.3">
      <c r="A502" s="25">
        <v>45237</v>
      </c>
      <c r="B502" s="6" t="s">
        <v>133</v>
      </c>
      <c r="C502" s="6" t="s">
        <v>685</v>
      </c>
      <c r="D502" s="25">
        <v>45237</v>
      </c>
      <c r="E502" s="7">
        <v>414.74</v>
      </c>
      <c r="F502" s="7">
        <v>0</v>
      </c>
      <c r="G502" s="7">
        <v>37482.26</v>
      </c>
      <c r="I502" s="8">
        <f t="shared" si="7"/>
        <v>0</v>
      </c>
    </row>
    <row r="503" spans="1:9" ht="14.4" x14ac:dyDescent="0.3">
      <c r="A503" s="25">
        <v>45238</v>
      </c>
      <c r="B503" s="6" t="s">
        <v>133</v>
      </c>
      <c r="C503" s="6" t="s">
        <v>686</v>
      </c>
      <c r="D503" s="25">
        <v>45238</v>
      </c>
      <c r="E503" s="7">
        <v>56.74</v>
      </c>
      <c r="F503" s="7">
        <v>0</v>
      </c>
      <c r="G503" s="7">
        <v>37425.519999999997</v>
      </c>
      <c r="I503" s="8">
        <f t="shared" si="7"/>
        <v>0</v>
      </c>
    </row>
    <row r="504" spans="1:9" ht="14.4" x14ac:dyDescent="0.3">
      <c r="A504" s="25">
        <v>45238</v>
      </c>
      <c r="B504" s="6" t="s">
        <v>133</v>
      </c>
      <c r="C504" s="6" t="s">
        <v>687</v>
      </c>
      <c r="D504" s="25">
        <v>45238</v>
      </c>
      <c r="E504" s="7">
        <v>17091.830000000002</v>
      </c>
      <c r="F504" s="7">
        <v>0</v>
      </c>
      <c r="G504" s="7">
        <v>20333.689999999999</v>
      </c>
      <c r="I504" s="8">
        <f t="shared" si="7"/>
        <v>0</v>
      </c>
    </row>
    <row r="505" spans="1:9" ht="14.4" x14ac:dyDescent="0.3">
      <c r="A505" s="25">
        <v>45239</v>
      </c>
      <c r="B505" s="6" t="s">
        <v>496</v>
      </c>
      <c r="C505" s="6" t="s">
        <v>688</v>
      </c>
      <c r="D505" s="25">
        <v>45239</v>
      </c>
      <c r="E505" s="7">
        <v>0</v>
      </c>
      <c r="F505" s="7">
        <v>13493.54</v>
      </c>
      <c r="G505" s="7">
        <v>33827.230000000003</v>
      </c>
      <c r="I505" s="8">
        <f t="shared" si="7"/>
        <v>0</v>
      </c>
    </row>
    <row r="506" spans="1:9" ht="14.4" x14ac:dyDescent="0.3">
      <c r="A506" s="25">
        <v>45239</v>
      </c>
      <c r="B506" s="6" t="s">
        <v>133</v>
      </c>
      <c r="C506" s="6" t="s">
        <v>689</v>
      </c>
      <c r="D506" s="25">
        <v>45239</v>
      </c>
      <c r="E506" s="7">
        <v>50.65</v>
      </c>
      <c r="F506" s="7">
        <v>0</v>
      </c>
      <c r="G506" s="7">
        <v>33776.58</v>
      </c>
      <c r="I506" s="8">
        <f t="shared" si="7"/>
        <v>0</v>
      </c>
    </row>
    <row r="507" spans="1:9" ht="14.4" x14ac:dyDescent="0.3">
      <c r="A507" s="25">
        <v>45239</v>
      </c>
      <c r="B507" s="6" t="s">
        <v>133</v>
      </c>
      <c r="C507" s="6" t="s">
        <v>690</v>
      </c>
      <c r="D507" s="25">
        <v>45239</v>
      </c>
      <c r="E507" s="7">
        <v>1653.99</v>
      </c>
      <c r="F507" s="7">
        <v>0</v>
      </c>
      <c r="G507" s="7">
        <v>32122.59</v>
      </c>
      <c r="I507" s="8">
        <f t="shared" si="7"/>
        <v>0</v>
      </c>
    </row>
    <row r="508" spans="1:9" ht="14.4" x14ac:dyDescent="0.3">
      <c r="A508" s="25">
        <v>45240</v>
      </c>
      <c r="B508" s="6" t="s">
        <v>496</v>
      </c>
      <c r="C508" s="6" t="s">
        <v>691</v>
      </c>
      <c r="D508" s="25">
        <v>45240</v>
      </c>
      <c r="E508" s="7">
        <v>0</v>
      </c>
      <c r="F508" s="7">
        <v>21125.9</v>
      </c>
      <c r="G508" s="7">
        <v>53248.49</v>
      </c>
      <c r="I508" s="8">
        <f t="shared" si="7"/>
        <v>0</v>
      </c>
    </row>
    <row r="509" spans="1:9" ht="14.4" x14ac:dyDescent="0.3">
      <c r="A509" s="25">
        <v>45240</v>
      </c>
      <c r="B509" s="6" t="s">
        <v>692</v>
      </c>
      <c r="C509" s="6" t="s">
        <v>693</v>
      </c>
      <c r="D509" s="25">
        <v>45240</v>
      </c>
      <c r="E509" s="7">
        <v>295</v>
      </c>
      <c r="F509" s="7">
        <v>0</v>
      </c>
      <c r="G509" s="7">
        <v>52953.49</v>
      </c>
      <c r="I509" s="8">
        <f t="shared" si="7"/>
        <v>0</v>
      </c>
    </row>
    <row r="510" spans="1:9" ht="14.4" x14ac:dyDescent="0.3">
      <c r="A510" s="25">
        <v>45240</v>
      </c>
      <c r="B510" s="6" t="s">
        <v>694</v>
      </c>
      <c r="C510" s="6" t="s">
        <v>695</v>
      </c>
      <c r="D510" s="25">
        <v>45240</v>
      </c>
      <c r="E510" s="7">
        <v>12.28</v>
      </c>
      <c r="F510" s="7">
        <v>0</v>
      </c>
      <c r="G510" s="7">
        <v>52941.21</v>
      </c>
      <c r="I510" s="8">
        <f t="shared" si="7"/>
        <v>0</v>
      </c>
    </row>
    <row r="511" spans="1:9" ht="14.4" x14ac:dyDescent="0.3">
      <c r="A511" s="25">
        <v>45240</v>
      </c>
      <c r="B511" s="6" t="s">
        <v>133</v>
      </c>
      <c r="C511" s="6" t="s">
        <v>696</v>
      </c>
      <c r="D511" s="25">
        <v>45240</v>
      </c>
      <c r="E511" s="7">
        <v>63.78</v>
      </c>
      <c r="F511" s="7">
        <v>0</v>
      </c>
      <c r="G511" s="7">
        <v>52877.43</v>
      </c>
      <c r="I511" s="8">
        <f t="shared" si="7"/>
        <v>0</v>
      </c>
    </row>
    <row r="512" spans="1:9" ht="14.4" x14ac:dyDescent="0.3">
      <c r="A512" s="25">
        <v>45240</v>
      </c>
      <c r="B512" s="6" t="s">
        <v>133</v>
      </c>
      <c r="C512" s="6" t="s">
        <v>697</v>
      </c>
      <c r="D512" s="25">
        <v>45240</v>
      </c>
      <c r="E512" s="7">
        <v>464.7</v>
      </c>
      <c r="F512" s="7">
        <v>0</v>
      </c>
      <c r="G512" s="7">
        <v>52412.73</v>
      </c>
      <c r="I512" s="8">
        <f t="shared" si="7"/>
        <v>0</v>
      </c>
    </row>
    <row r="513" spans="1:9" ht="14.4" x14ac:dyDescent="0.3">
      <c r="A513" s="25">
        <v>45243</v>
      </c>
      <c r="B513" s="6" t="s">
        <v>133</v>
      </c>
      <c r="C513" s="6" t="s">
        <v>698</v>
      </c>
      <c r="D513" s="25">
        <v>45243</v>
      </c>
      <c r="E513" s="7">
        <v>5332.47</v>
      </c>
      <c r="F513" s="7">
        <v>0</v>
      </c>
      <c r="G513" s="7">
        <v>47080.26</v>
      </c>
      <c r="I513" s="8">
        <f t="shared" si="7"/>
        <v>0</v>
      </c>
    </row>
    <row r="514" spans="1:9" ht="14.4" x14ac:dyDescent="0.3">
      <c r="A514" s="25">
        <v>45243</v>
      </c>
      <c r="B514" s="6" t="s">
        <v>496</v>
      </c>
      <c r="C514" s="6" t="s">
        <v>699</v>
      </c>
      <c r="D514" s="25">
        <v>45243</v>
      </c>
      <c r="E514" s="7">
        <v>0</v>
      </c>
      <c r="F514" s="7">
        <v>1693.79</v>
      </c>
      <c r="G514" s="7">
        <v>48774.05</v>
      </c>
      <c r="I514" s="8">
        <f t="shared" si="7"/>
        <v>0</v>
      </c>
    </row>
    <row r="515" spans="1:9" ht="14.4" x14ac:dyDescent="0.3">
      <c r="A515" s="25">
        <v>45243</v>
      </c>
      <c r="B515" s="6" t="s">
        <v>133</v>
      </c>
      <c r="C515" s="6" t="s">
        <v>700</v>
      </c>
      <c r="D515" s="25">
        <v>45243</v>
      </c>
      <c r="E515" s="7">
        <v>730.22</v>
      </c>
      <c r="F515" s="7">
        <v>0</v>
      </c>
      <c r="G515" s="7">
        <v>48043.83</v>
      </c>
      <c r="I515" s="8">
        <f t="shared" si="7"/>
        <v>0</v>
      </c>
    </row>
    <row r="516" spans="1:9" ht="14.4" x14ac:dyDescent="0.3">
      <c r="A516" s="25">
        <v>45244</v>
      </c>
      <c r="B516" s="6" t="s">
        <v>701</v>
      </c>
      <c r="C516" s="6" t="s">
        <v>702</v>
      </c>
      <c r="D516" s="25">
        <v>45244</v>
      </c>
      <c r="E516" s="7">
        <v>30000</v>
      </c>
      <c r="F516" s="7">
        <v>0</v>
      </c>
      <c r="G516" s="7">
        <v>18043.830000000002</v>
      </c>
      <c r="I516" s="8">
        <f t="shared" si="7"/>
        <v>0</v>
      </c>
    </row>
    <row r="517" spans="1:9" ht="14.4" x14ac:dyDescent="0.3">
      <c r="A517" s="25">
        <v>45245</v>
      </c>
      <c r="B517" s="6" t="s">
        <v>496</v>
      </c>
      <c r="C517" s="6" t="s">
        <v>703</v>
      </c>
      <c r="D517" s="25">
        <v>45245</v>
      </c>
      <c r="E517" s="7">
        <v>0</v>
      </c>
      <c r="F517" s="7">
        <v>16142.02</v>
      </c>
      <c r="G517" s="7">
        <v>34185.85</v>
      </c>
      <c r="I517" s="8">
        <f t="shared" si="7"/>
        <v>0</v>
      </c>
    </row>
    <row r="518" spans="1:9" ht="14.4" x14ac:dyDescent="0.3">
      <c r="A518" s="25">
        <v>45245</v>
      </c>
      <c r="B518" s="6" t="s">
        <v>133</v>
      </c>
      <c r="C518" s="6" t="s">
        <v>704</v>
      </c>
      <c r="D518" s="25">
        <v>45245</v>
      </c>
      <c r="E518" s="7">
        <v>128.06</v>
      </c>
      <c r="F518" s="7">
        <v>0</v>
      </c>
      <c r="G518" s="7">
        <v>34057.79</v>
      </c>
      <c r="I518" s="8">
        <f t="shared" si="7"/>
        <v>0</v>
      </c>
    </row>
    <row r="519" spans="1:9" ht="14.4" x14ac:dyDescent="0.3">
      <c r="A519" s="25">
        <v>45245</v>
      </c>
      <c r="B519" s="6" t="s">
        <v>705</v>
      </c>
      <c r="C519" s="6" t="s">
        <v>149</v>
      </c>
      <c r="D519" s="25">
        <v>45245</v>
      </c>
      <c r="E519" s="7">
        <v>2147.6</v>
      </c>
      <c r="F519" s="7">
        <v>0</v>
      </c>
      <c r="G519" s="7">
        <v>31910.19</v>
      </c>
      <c r="I519" s="8">
        <f t="shared" si="7"/>
        <v>0</v>
      </c>
    </row>
    <row r="520" spans="1:9" ht="14.4" x14ac:dyDescent="0.3">
      <c r="A520" s="25">
        <v>45245</v>
      </c>
      <c r="B520" s="6" t="s">
        <v>133</v>
      </c>
      <c r="C520" s="6" t="s">
        <v>706</v>
      </c>
      <c r="D520" s="25">
        <v>45245</v>
      </c>
      <c r="E520" s="7">
        <v>4344.3900000000003</v>
      </c>
      <c r="F520" s="7">
        <v>0</v>
      </c>
      <c r="G520" s="7">
        <v>27565.8</v>
      </c>
      <c r="I520" s="8">
        <f t="shared" si="7"/>
        <v>0</v>
      </c>
    </row>
    <row r="521" spans="1:9" ht="14.4" x14ac:dyDescent="0.3">
      <c r="A521" s="25">
        <v>45246</v>
      </c>
      <c r="B521" s="6" t="s">
        <v>133</v>
      </c>
      <c r="C521" s="6" t="s">
        <v>707</v>
      </c>
      <c r="D521" s="25">
        <v>45246</v>
      </c>
      <c r="E521" s="7">
        <v>62.48</v>
      </c>
      <c r="F521" s="7">
        <v>0</v>
      </c>
      <c r="G521" s="7">
        <v>27503.32</v>
      </c>
      <c r="I521" s="8">
        <f t="shared" si="7"/>
        <v>0</v>
      </c>
    </row>
    <row r="522" spans="1:9" ht="14.4" x14ac:dyDescent="0.3">
      <c r="A522" s="25">
        <v>45246</v>
      </c>
      <c r="B522" s="6" t="s">
        <v>708</v>
      </c>
      <c r="C522" s="6" t="s">
        <v>709</v>
      </c>
      <c r="D522" s="25">
        <v>45246</v>
      </c>
      <c r="E522" s="7">
        <v>0</v>
      </c>
      <c r="F522" s="7">
        <v>30000</v>
      </c>
      <c r="G522" s="7">
        <v>57503.32</v>
      </c>
      <c r="I522" s="8">
        <f t="shared" si="7"/>
        <v>0</v>
      </c>
    </row>
    <row r="523" spans="1:9" ht="14.4" x14ac:dyDescent="0.3">
      <c r="A523" s="25">
        <v>45247</v>
      </c>
      <c r="B523" s="6" t="s">
        <v>496</v>
      </c>
      <c r="C523" s="6" t="s">
        <v>710</v>
      </c>
      <c r="D523" s="25">
        <v>45247</v>
      </c>
      <c r="E523" s="7">
        <v>0</v>
      </c>
      <c r="F523" s="7">
        <v>487.28</v>
      </c>
      <c r="G523" s="7">
        <v>57990.6</v>
      </c>
      <c r="I523" s="8">
        <f t="shared" si="7"/>
        <v>0</v>
      </c>
    </row>
    <row r="524" spans="1:9" ht="14.4" x14ac:dyDescent="0.3">
      <c r="A524" s="25">
        <v>45247</v>
      </c>
      <c r="B524" s="6" t="s">
        <v>496</v>
      </c>
      <c r="C524" s="6" t="s">
        <v>711</v>
      </c>
      <c r="D524" s="25">
        <v>45247</v>
      </c>
      <c r="E524" s="7">
        <v>0</v>
      </c>
      <c r="F524" s="7">
        <v>14895.95</v>
      </c>
      <c r="G524" s="7">
        <v>72886.55</v>
      </c>
      <c r="I524" s="8">
        <f t="shared" si="7"/>
        <v>0</v>
      </c>
    </row>
    <row r="525" spans="1:9" ht="14.4" x14ac:dyDescent="0.3">
      <c r="A525" s="25">
        <v>45247</v>
      </c>
      <c r="B525" s="6" t="s">
        <v>133</v>
      </c>
      <c r="C525" s="6" t="s">
        <v>712</v>
      </c>
      <c r="D525" s="25">
        <v>45247</v>
      </c>
      <c r="E525" s="7">
        <v>67.790000000000006</v>
      </c>
      <c r="F525" s="7">
        <v>0</v>
      </c>
      <c r="G525" s="7">
        <v>72818.759999999995</v>
      </c>
      <c r="I525" s="8">
        <f t="shared" si="7"/>
        <v>0</v>
      </c>
    </row>
    <row r="526" spans="1:9" ht="14.4" x14ac:dyDescent="0.3">
      <c r="A526" s="25">
        <v>45247</v>
      </c>
      <c r="B526" s="6" t="s">
        <v>133</v>
      </c>
      <c r="C526" s="6" t="s">
        <v>713</v>
      </c>
      <c r="D526" s="25">
        <v>45247</v>
      </c>
      <c r="E526" s="7">
        <v>32348.32</v>
      </c>
      <c r="F526" s="7">
        <v>0</v>
      </c>
      <c r="G526" s="7">
        <v>40470.44</v>
      </c>
      <c r="I526" s="8">
        <f t="shared" si="7"/>
        <v>0</v>
      </c>
    </row>
    <row r="527" spans="1:9" ht="14.4" x14ac:dyDescent="0.3">
      <c r="A527" s="25">
        <v>45250</v>
      </c>
      <c r="B527" s="6" t="s">
        <v>133</v>
      </c>
      <c r="C527" s="6" t="s">
        <v>714</v>
      </c>
      <c r="D527" s="25">
        <v>45250</v>
      </c>
      <c r="E527" s="7">
        <v>169.32</v>
      </c>
      <c r="F527" s="7">
        <v>0</v>
      </c>
      <c r="G527" s="7">
        <v>40301.120000000003</v>
      </c>
      <c r="I527" s="8">
        <f t="shared" si="7"/>
        <v>0</v>
      </c>
    </row>
    <row r="528" spans="1:9" ht="14.4" x14ac:dyDescent="0.3">
      <c r="A528" s="25">
        <v>45251</v>
      </c>
      <c r="B528" s="6" t="s">
        <v>496</v>
      </c>
      <c r="C528" s="6" t="s">
        <v>715</v>
      </c>
      <c r="D528" s="25">
        <v>45251</v>
      </c>
      <c r="E528" s="7">
        <v>0</v>
      </c>
      <c r="F528" s="7">
        <v>235.17</v>
      </c>
      <c r="G528" s="7">
        <v>40536.29</v>
      </c>
      <c r="I528" s="8">
        <f t="shared" si="7"/>
        <v>0</v>
      </c>
    </row>
    <row r="529" spans="1:9" ht="14.4" x14ac:dyDescent="0.3">
      <c r="A529" s="25">
        <v>45251</v>
      </c>
      <c r="B529" s="6" t="s">
        <v>496</v>
      </c>
      <c r="C529" s="6" t="s">
        <v>716</v>
      </c>
      <c r="D529" s="25">
        <v>45251</v>
      </c>
      <c r="E529" s="7">
        <v>0</v>
      </c>
      <c r="F529" s="7">
        <v>33194.83</v>
      </c>
      <c r="G529" s="7">
        <v>73731.12</v>
      </c>
      <c r="I529" s="8">
        <f t="shared" si="7"/>
        <v>0</v>
      </c>
    </row>
    <row r="530" spans="1:9" ht="14.4" x14ac:dyDescent="0.3">
      <c r="A530" s="25">
        <v>45251</v>
      </c>
      <c r="B530" s="6" t="s">
        <v>133</v>
      </c>
      <c r="C530" s="6" t="s">
        <v>717</v>
      </c>
      <c r="D530" s="25">
        <v>45251</v>
      </c>
      <c r="E530" s="7">
        <v>73.680000000000007</v>
      </c>
      <c r="F530" s="7">
        <v>0</v>
      </c>
      <c r="G530" s="7">
        <v>73657.440000000002</v>
      </c>
      <c r="I530" s="8">
        <f t="shared" si="7"/>
        <v>0</v>
      </c>
    </row>
    <row r="531" spans="1:9" ht="14.4" x14ac:dyDescent="0.3">
      <c r="A531" s="25">
        <v>45252</v>
      </c>
      <c r="B531" s="6" t="s">
        <v>496</v>
      </c>
      <c r="C531" s="6" t="s">
        <v>718</v>
      </c>
      <c r="D531" s="25">
        <v>45252</v>
      </c>
      <c r="E531" s="7">
        <v>0</v>
      </c>
      <c r="F531" s="7">
        <v>147.43</v>
      </c>
      <c r="G531" s="7">
        <v>73804.87</v>
      </c>
      <c r="I531" s="8">
        <f t="shared" si="7"/>
        <v>0</v>
      </c>
    </row>
    <row r="532" spans="1:9" ht="14.4" x14ac:dyDescent="0.3">
      <c r="A532" s="25">
        <v>45252</v>
      </c>
      <c r="B532" s="6" t="s">
        <v>496</v>
      </c>
      <c r="C532" s="6" t="s">
        <v>719</v>
      </c>
      <c r="D532" s="25">
        <v>45252</v>
      </c>
      <c r="E532" s="7">
        <v>0</v>
      </c>
      <c r="F532" s="7">
        <v>14746.87</v>
      </c>
      <c r="G532" s="7">
        <v>88551.74</v>
      </c>
      <c r="I532" s="8">
        <f t="shared" si="7"/>
        <v>0</v>
      </c>
    </row>
    <row r="533" spans="1:9" ht="14.4" x14ac:dyDescent="0.3">
      <c r="A533" s="25">
        <v>45252</v>
      </c>
      <c r="B533" s="6" t="s">
        <v>133</v>
      </c>
      <c r="C533" s="6" t="s">
        <v>720</v>
      </c>
      <c r="D533" s="25">
        <v>45252</v>
      </c>
      <c r="E533" s="7">
        <v>73.77</v>
      </c>
      <c r="F533" s="7">
        <v>0</v>
      </c>
      <c r="G533" s="7">
        <v>88477.97</v>
      </c>
      <c r="I533" s="8">
        <f t="shared" si="7"/>
        <v>0</v>
      </c>
    </row>
    <row r="534" spans="1:9" ht="14.4" x14ac:dyDescent="0.3">
      <c r="A534" s="25">
        <v>45252</v>
      </c>
      <c r="B534" s="6" t="s">
        <v>133</v>
      </c>
      <c r="C534" s="6" t="s">
        <v>721</v>
      </c>
      <c r="D534" s="25">
        <v>45252</v>
      </c>
      <c r="E534" s="7">
        <v>9623.81</v>
      </c>
      <c r="F534" s="7">
        <v>0</v>
      </c>
      <c r="G534" s="7">
        <v>78854.16</v>
      </c>
      <c r="I534" s="8">
        <f t="shared" si="7"/>
        <v>0</v>
      </c>
    </row>
    <row r="535" spans="1:9" ht="14.4" x14ac:dyDescent="0.3">
      <c r="A535" s="25">
        <v>45252</v>
      </c>
      <c r="B535" s="6" t="s">
        <v>133</v>
      </c>
      <c r="C535" s="6" t="s">
        <v>722</v>
      </c>
      <c r="D535" s="25">
        <v>45252</v>
      </c>
      <c r="E535" s="7">
        <v>10582.64</v>
      </c>
      <c r="F535" s="7">
        <v>0</v>
      </c>
      <c r="G535" s="7">
        <v>68271.520000000004</v>
      </c>
      <c r="I535" s="8">
        <f t="shared" si="7"/>
        <v>0</v>
      </c>
    </row>
    <row r="536" spans="1:9" ht="14.4" x14ac:dyDescent="0.3">
      <c r="A536" s="25">
        <v>45253</v>
      </c>
      <c r="B536" s="6" t="s">
        <v>133</v>
      </c>
      <c r="C536" s="6" t="s">
        <v>723</v>
      </c>
      <c r="D536" s="25">
        <v>45253</v>
      </c>
      <c r="E536" s="7">
        <v>70.05</v>
      </c>
      <c r="F536" s="7">
        <v>0</v>
      </c>
      <c r="G536" s="7">
        <v>68201.47</v>
      </c>
      <c r="I536" s="8">
        <f t="shared" ref="I536:I599" si="8">G535-E536+F536-G536</f>
        <v>0</v>
      </c>
    </row>
    <row r="537" spans="1:9" ht="14.4" x14ac:dyDescent="0.3">
      <c r="A537" s="25">
        <v>45253</v>
      </c>
      <c r="B537" s="6" t="s">
        <v>724</v>
      </c>
      <c r="C537" s="6" t="s">
        <v>725</v>
      </c>
      <c r="D537" s="25">
        <v>45253</v>
      </c>
      <c r="E537" s="7">
        <v>0</v>
      </c>
      <c r="F537" s="7">
        <v>100</v>
      </c>
      <c r="G537" s="7">
        <v>68301.47</v>
      </c>
      <c r="I537" s="8">
        <f t="shared" si="8"/>
        <v>0</v>
      </c>
    </row>
    <row r="538" spans="1:9" ht="14.4" x14ac:dyDescent="0.3">
      <c r="A538" s="25">
        <v>45253</v>
      </c>
      <c r="B538" s="6" t="s">
        <v>133</v>
      </c>
      <c r="C538" s="6" t="s">
        <v>726</v>
      </c>
      <c r="D538" s="25">
        <v>45253</v>
      </c>
      <c r="E538" s="7">
        <v>1</v>
      </c>
      <c r="F538" s="7">
        <v>0</v>
      </c>
      <c r="G538" s="7">
        <v>68300.47</v>
      </c>
      <c r="I538" s="8">
        <f t="shared" si="8"/>
        <v>0</v>
      </c>
    </row>
    <row r="539" spans="1:9" ht="14.4" x14ac:dyDescent="0.3">
      <c r="A539" s="25">
        <v>45253</v>
      </c>
      <c r="B539" s="6" t="s">
        <v>133</v>
      </c>
      <c r="C539" s="6" t="s">
        <v>727</v>
      </c>
      <c r="D539" s="25">
        <v>45253</v>
      </c>
      <c r="E539" s="7">
        <v>656.5</v>
      </c>
      <c r="F539" s="7">
        <v>0</v>
      </c>
      <c r="G539" s="7">
        <v>67643.97</v>
      </c>
      <c r="I539" s="8">
        <f t="shared" si="8"/>
        <v>0</v>
      </c>
    </row>
    <row r="540" spans="1:9" ht="14.4" x14ac:dyDescent="0.3">
      <c r="A540" s="25">
        <v>45254</v>
      </c>
      <c r="B540" s="6" t="s">
        <v>133</v>
      </c>
      <c r="C540" s="6" t="s">
        <v>728</v>
      </c>
      <c r="D540" s="25">
        <v>45254</v>
      </c>
      <c r="E540" s="7">
        <v>82.93</v>
      </c>
      <c r="F540" s="7">
        <v>0</v>
      </c>
      <c r="G540" s="7">
        <v>67561.039999999994</v>
      </c>
      <c r="I540" s="8">
        <f t="shared" si="8"/>
        <v>0</v>
      </c>
    </row>
    <row r="541" spans="1:9" ht="14.4" x14ac:dyDescent="0.3">
      <c r="A541" s="25">
        <v>45254</v>
      </c>
      <c r="B541" s="6" t="s">
        <v>729</v>
      </c>
      <c r="C541" s="6" t="s">
        <v>730</v>
      </c>
      <c r="D541" s="25">
        <v>45254</v>
      </c>
      <c r="E541" s="7">
        <v>0</v>
      </c>
      <c r="F541" s="7">
        <v>300</v>
      </c>
      <c r="G541" s="7">
        <v>67861.039999999994</v>
      </c>
      <c r="I541" s="8">
        <f t="shared" si="8"/>
        <v>0</v>
      </c>
    </row>
    <row r="542" spans="1:9" ht="14.4" x14ac:dyDescent="0.3">
      <c r="A542" s="25">
        <v>45254</v>
      </c>
      <c r="B542" s="6" t="s">
        <v>496</v>
      </c>
      <c r="C542" s="6" t="s">
        <v>731</v>
      </c>
      <c r="D542" s="25">
        <v>45254</v>
      </c>
      <c r="E542" s="7">
        <v>0</v>
      </c>
      <c r="F542" s="7">
        <v>2668.78</v>
      </c>
      <c r="G542" s="7">
        <v>70529.820000000007</v>
      </c>
      <c r="I542" s="8">
        <f t="shared" si="8"/>
        <v>0</v>
      </c>
    </row>
    <row r="543" spans="1:9" ht="14.4" x14ac:dyDescent="0.3">
      <c r="A543" s="25">
        <v>45258</v>
      </c>
      <c r="B543" s="6" t="s">
        <v>652</v>
      </c>
      <c r="C543" s="6" t="s">
        <v>732</v>
      </c>
      <c r="D543" s="25">
        <v>45258</v>
      </c>
      <c r="E543" s="7">
        <v>5000</v>
      </c>
      <c r="F543" s="7">
        <v>0</v>
      </c>
      <c r="G543" s="7">
        <v>65529.82</v>
      </c>
      <c r="I543" s="8">
        <f t="shared" si="8"/>
        <v>0</v>
      </c>
    </row>
    <row r="544" spans="1:9" ht="14.4" x14ac:dyDescent="0.3">
      <c r="A544" s="25">
        <v>45258</v>
      </c>
      <c r="B544" s="6" t="s">
        <v>133</v>
      </c>
      <c r="C544" s="6" t="s">
        <v>733</v>
      </c>
      <c r="D544" s="25">
        <v>45258</v>
      </c>
      <c r="E544" s="7">
        <v>335.52</v>
      </c>
      <c r="F544" s="7">
        <v>0</v>
      </c>
      <c r="G544" s="7">
        <v>65194.3</v>
      </c>
      <c r="I544" s="8">
        <f t="shared" si="8"/>
        <v>0</v>
      </c>
    </row>
    <row r="545" spans="1:9" ht="14.4" x14ac:dyDescent="0.3">
      <c r="A545" s="25">
        <v>45259</v>
      </c>
      <c r="B545" s="6" t="s">
        <v>496</v>
      </c>
      <c r="C545" s="6" t="s">
        <v>734</v>
      </c>
      <c r="D545" s="25">
        <v>45259</v>
      </c>
      <c r="E545" s="7">
        <v>0</v>
      </c>
      <c r="F545" s="7">
        <v>8847.2900000000009</v>
      </c>
      <c r="G545" s="7">
        <v>74041.59</v>
      </c>
      <c r="I545" s="8">
        <f t="shared" si="8"/>
        <v>0</v>
      </c>
    </row>
    <row r="546" spans="1:9" ht="14.4" x14ac:dyDescent="0.3">
      <c r="A546" s="25">
        <v>45259</v>
      </c>
      <c r="B546" s="6" t="s">
        <v>133</v>
      </c>
      <c r="C546" s="6" t="s">
        <v>735</v>
      </c>
      <c r="D546" s="25">
        <v>45259</v>
      </c>
      <c r="E546" s="7">
        <v>83.88</v>
      </c>
      <c r="F546" s="7">
        <v>0</v>
      </c>
      <c r="G546" s="7">
        <v>73957.710000000006</v>
      </c>
      <c r="I546" s="8">
        <f t="shared" si="8"/>
        <v>0</v>
      </c>
    </row>
    <row r="547" spans="1:9" ht="14.4" x14ac:dyDescent="0.3">
      <c r="A547" s="25">
        <v>45259</v>
      </c>
      <c r="B547" s="6" t="s">
        <v>736</v>
      </c>
      <c r="C547" s="6" t="s">
        <v>737</v>
      </c>
      <c r="D547" s="25">
        <v>45259</v>
      </c>
      <c r="E547" s="7">
        <v>0</v>
      </c>
      <c r="F547" s="7">
        <v>470</v>
      </c>
      <c r="G547" s="7">
        <v>74427.710000000006</v>
      </c>
      <c r="I547" s="8">
        <f t="shared" si="8"/>
        <v>0</v>
      </c>
    </row>
    <row r="548" spans="1:9" ht="14.4" x14ac:dyDescent="0.3">
      <c r="A548" s="25">
        <v>45259</v>
      </c>
      <c r="B548" s="6" t="s">
        <v>738</v>
      </c>
      <c r="C548" s="6" t="s">
        <v>739</v>
      </c>
      <c r="D548" s="25">
        <v>45259</v>
      </c>
      <c r="E548" s="7">
        <v>15000</v>
      </c>
      <c r="F548" s="7">
        <v>0</v>
      </c>
      <c r="G548" s="7">
        <v>59427.71</v>
      </c>
      <c r="I548" s="8">
        <f t="shared" si="8"/>
        <v>0</v>
      </c>
    </row>
    <row r="549" spans="1:9" ht="14.4" x14ac:dyDescent="0.3">
      <c r="A549" s="25">
        <v>45260</v>
      </c>
      <c r="B549" s="6" t="s">
        <v>496</v>
      </c>
      <c r="C549" s="6" t="s">
        <v>740</v>
      </c>
      <c r="D549" s="25">
        <v>45260</v>
      </c>
      <c r="E549" s="7">
        <v>0</v>
      </c>
      <c r="F549" s="7">
        <v>1316.94</v>
      </c>
      <c r="G549" s="7">
        <v>60744.65</v>
      </c>
      <c r="I549" s="8">
        <f t="shared" si="8"/>
        <v>0</v>
      </c>
    </row>
    <row r="550" spans="1:9" ht="14.4" x14ac:dyDescent="0.3">
      <c r="A550" s="25">
        <v>45260</v>
      </c>
      <c r="B550" s="6" t="s">
        <v>496</v>
      </c>
      <c r="C550" s="6" t="s">
        <v>741</v>
      </c>
      <c r="D550" s="25">
        <v>45260</v>
      </c>
      <c r="E550" s="7">
        <v>0</v>
      </c>
      <c r="F550" s="7">
        <v>82752.33</v>
      </c>
      <c r="G550" s="7">
        <v>143496.98000000001</v>
      </c>
      <c r="I550" s="8">
        <f t="shared" si="8"/>
        <v>0</v>
      </c>
    </row>
    <row r="551" spans="1:9" ht="14.4" x14ac:dyDescent="0.3">
      <c r="A551" s="25">
        <v>45260</v>
      </c>
      <c r="B551" s="6" t="s">
        <v>652</v>
      </c>
      <c r="C551" s="6" t="s">
        <v>742</v>
      </c>
      <c r="D551" s="25">
        <v>45260</v>
      </c>
      <c r="E551" s="7">
        <v>5000</v>
      </c>
      <c r="F551" s="7">
        <v>0</v>
      </c>
      <c r="G551" s="7">
        <v>138496.98000000001</v>
      </c>
      <c r="I551" s="8">
        <f t="shared" si="8"/>
        <v>0</v>
      </c>
    </row>
    <row r="552" spans="1:9" ht="14.4" x14ac:dyDescent="0.3">
      <c r="A552" s="25">
        <v>45260</v>
      </c>
      <c r="B552" s="6" t="s">
        <v>133</v>
      </c>
      <c r="C552" s="6" t="s">
        <v>743</v>
      </c>
      <c r="D552" s="25">
        <v>45260</v>
      </c>
      <c r="E552" s="7">
        <v>78.900000000000006</v>
      </c>
      <c r="F552" s="7">
        <v>0</v>
      </c>
      <c r="G552" s="7">
        <v>138418.07999999999</v>
      </c>
      <c r="I552" s="8">
        <f t="shared" si="8"/>
        <v>0</v>
      </c>
    </row>
    <row r="553" spans="1:9" ht="14.4" x14ac:dyDescent="0.3">
      <c r="A553" s="25">
        <v>45260</v>
      </c>
      <c r="B553" s="6" t="s">
        <v>744</v>
      </c>
      <c r="C553" s="6" t="s">
        <v>745</v>
      </c>
      <c r="D553" s="25">
        <v>45260</v>
      </c>
      <c r="E553" s="7">
        <v>0</v>
      </c>
      <c r="F553" s="7">
        <v>75</v>
      </c>
      <c r="G553" s="7">
        <v>138493.07999999999</v>
      </c>
      <c r="I553" s="8">
        <f t="shared" si="8"/>
        <v>0</v>
      </c>
    </row>
    <row r="554" spans="1:9" ht="14.4" x14ac:dyDescent="0.3">
      <c r="A554" s="25">
        <v>45260</v>
      </c>
      <c r="B554" s="6" t="s">
        <v>133</v>
      </c>
      <c r="C554" s="6" t="s">
        <v>746</v>
      </c>
      <c r="D554" s="25">
        <v>45261</v>
      </c>
      <c r="E554" s="7">
        <v>11211.63</v>
      </c>
      <c r="F554" s="7">
        <v>0</v>
      </c>
      <c r="G554" s="7">
        <v>127281.45</v>
      </c>
      <c r="I554" s="8">
        <f t="shared" si="8"/>
        <v>0</v>
      </c>
    </row>
    <row r="555" spans="1:9" ht="14.4" x14ac:dyDescent="0.3">
      <c r="A555" s="25">
        <v>45261</v>
      </c>
      <c r="B555" s="6" t="s">
        <v>133</v>
      </c>
      <c r="C555" s="6" t="s">
        <v>747</v>
      </c>
      <c r="D555" s="25">
        <v>45261</v>
      </c>
      <c r="E555" s="7">
        <v>75.38</v>
      </c>
      <c r="F555" s="7">
        <v>0</v>
      </c>
      <c r="G555" s="7">
        <v>127206.07</v>
      </c>
      <c r="I555" s="8">
        <f t="shared" si="8"/>
        <v>0</v>
      </c>
    </row>
    <row r="556" spans="1:9" ht="14.4" x14ac:dyDescent="0.3">
      <c r="A556" s="25">
        <v>45261</v>
      </c>
      <c r="B556" s="6" t="s">
        <v>748</v>
      </c>
      <c r="C556" s="6" t="s">
        <v>749</v>
      </c>
      <c r="D556" s="25">
        <v>45261</v>
      </c>
      <c r="E556" s="7">
        <v>295</v>
      </c>
      <c r="F556" s="7">
        <v>0</v>
      </c>
      <c r="G556" s="7">
        <v>126911.07</v>
      </c>
      <c r="I556" s="8">
        <f t="shared" si="8"/>
        <v>0</v>
      </c>
    </row>
    <row r="557" spans="1:9" ht="14.4" x14ac:dyDescent="0.3">
      <c r="A557" s="25">
        <v>45261</v>
      </c>
      <c r="B557" s="6" t="s">
        <v>750</v>
      </c>
      <c r="C557" s="6" t="s">
        <v>751</v>
      </c>
      <c r="D557" s="25">
        <v>45261</v>
      </c>
      <c r="E557" s="7">
        <v>75000</v>
      </c>
      <c r="F557" s="7">
        <v>0</v>
      </c>
      <c r="G557" s="7">
        <v>51911.07</v>
      </c>
      <c r="I557" s="8">
        <f t="shared" si="8"/>
        <v>0</v>
      </c>
    </row>
    <row r="558" spans="1:9" ht="14.4" x14ac:dyDescent="0.3">
      <c r="A558" s="25">
        <v>45261</v>
      </c>
      <c r="B558" s="6" t="s">
        <v>496</v>
      </c>
      <c r="C558" s="6" t="s">
        <v>752</v>
      </c>
      <c r="D558" s="25">
        <v>45261</v>
      </c>
      <c r="E558" s="7">
        <v>0</v>
      </c>
      <c r="F558" s="7">
        <v>520.55999999999995</v>
      </c>
      <c r="G558" s="7">
        <v>52431.63</v>
      </c>
      <c r="I558" s="8">
        <f t="shared" si="8"/>
        <v>0</v>
      </c>
    </row>
    <row r="559" spans="1:9" ht="14.4" x14ac:dyDescent="0.3">
      <c r="A559" s="25">
        <v>45264</v>
      </c>
      <c r="B559" s="6" t="s">
        <v>496</v>
      </c>
      <c r="C559" s="6" t="s">
        <v>753</v>
      </c>
      <c r="D559" s="25">
        <v>45264</v>
      </c>
      <c r="E559" s="7">
        <v>0</v>
      </c>
      <c r="F559" s="7">
        <v>36344.18</v>
      </c>
      <c r="G559" s="7">
        <v>88775.81</v>
      </c>
      <c r="I559" s="8">
        <f t="shared" si="8"/>
        <v>0</v>
      </c>
    </row>
    <row r="560" spans="1:9" ht="14.4" x14ac:dyDescent="0.3">
      <c r="A560" s="25">
        <v>45264</v>
      </c>
      <c r="B560" s="6" t="s">
        <v>133</v>
      </c>
      <c r="C560" s="6" t="s">
        <v>754</v>
      </c>
      <c r="D560" s="25">
        <v>45264</v>
      </c>
      <c r="E560" s="7">
        <v>267.60000000000002</v>
      </c>
      <c r="F560" s="7">
        <v>0</v>
      </c>
      <c r="G560" s="7">
        <v>88508.21</v>
      </c>
      <c r="I560" s="8">
        <f t="shared" si="8"/>
        <v>0</v>
      </c>
    </row>
    <row r="561" spans="1:9" ht="14.4" x14ac:dyDescent="0.3">
      <c r="A561" s="25">
        <v>45264</v>
      </c>
      <c r="B561" s="6" t="s">
        <v>133</v>
      </c>
      <c r="C561" s="6" t="s">
        <v>755</v>
      </c>
      <c r="D561" s="25">
        <v>45264</v>
      </c>
      <c r="E561" s="7">
        <v>16222.68</v>
      </c>
      <c r="F561" s="7">
        <v>0</v>
      </c>
      <c r="G561" s="7">
        <v>72285.53</v>
      </c>
      <c r="I561" s="8">
        <f t="shared" si="8"/>
        <v>0</v>
      </c>
    </row>
    <row r="562" spans="1:9" ht="14.4" x14ac:dyDescent="0.3">
      <c r="A562" s="25">
        <v>45264</v>
      </c>
      <c r="B562" s="6" t="s">
        <v>133</v>
      </c>
      <c r="C562" s="6" t="s">
        <v>756</v>
      </c>
      <c r="D562" s="25">
        <v>45264</v>
      </c>
      <c r="E562" s="7">
        <v>9331.7900000000009</v>
      </c>
      <c r="F562" s="7">
        <v>0</v>
      </c>
      <c r="G562" s="7">
        <v>62953.74</v>
      </c>
      <c r="I562" s="8">
        <f t="shared" si="8"/>
        <v>0</v>
      </c>
    </row>
    <row r="563" spans="1:9" ht="14.4" x14ac:dyDescent="0.3">
      <c r="A563" s="25">
        <v>45265</v>
      </c>
      <c r="B563" s="6" t="s">
        <v>133</v>
      </c>
      <c r="C563" s="6" t="s">
        <v>757</v>
      </c>
      <c r="D563" s="25">
        <v>45265</v>
      </c>
      <c r="E563" s="7">
        <v>85.87</v>
      </c>
      <c r="F563" s="7">
        <v>0</v>
      </c>
      <c r="G563" s="7">
        <v>62867.87</v>
      </c>
      <c r="I563" s="8">
        <f t="shared" si="8"/>
        <v>0</v>
      </c>
    </row>
    <row r="564" spans="1:9" ht="14.4" x14ac:dyDescent="0.3">
      <c r="A564" s="25">
        <v>45265</v>
      </c>
      <c r="B564" s="6" t="s">
        <v>758</v>
      </c>
      <c r="C564" s="6" t="s">
        <v>759</v>
      </c>
      <c r="D564" s="25">
        <v>45265</v>
      </c>
      <c r="E564" s="7">
        <v>2000</v>
      </c>
      <c r="F564" s="7">
        <v>0</v>
      </c>
      <c r="G564" s="7">
        <v>60867.87</v>
      </c>
      <c r="I564" s="8">
        <f t="shared" si="8"/>
        <v>0</v>
      </c>
    </row>
    <row r="565" spans="1:9" ht="14.4" x14ac:dyDescent="0.3">
      <c r="A565" s="25">
        <v>45265</v>
      </c>
      <c r="B565" s="6" t="s">
        <v>133</v>
      </c>
      <c r="C565" s="6" t="s">
        <v>760</v>
      </c>
      <c r="D565" s="25">
        <v>45265</v>
      </c>
      <c r="E565" s="7">
        <v>7773.14</v>
      </c>
      <c r="F565" s="7">
        <v>0</v>
      </c>
      <c r="G565" s="7">
        <v>53094.73</v>
      </c>
      <c r="I565" s="8">
        <f t="shared" si="8"/>
        <v>0</v>
      </c>
    </row>
    <row r="566" spans="1:9" ht="14.4" x14ac:dyDescent="0.3">
      <c r="A566" s="25">
        <v>45266</v>
      </c>
      <c r="B566" s="6" t="s">
        <v>496</v>
      </c>
      <c r="C566" s="6" t="s">
        <v>761</v>
      </c>
      <c r="D566" s="25">
        <v>45266</v>
      </c>
      <c r="E566" s="7">
        <v>0</v>
      </c>
      <c r="F566" s="7">
        <v>46569.07</v>
      </c>
      <c r="G566" s="7">
        <v>99663.8</v>
      </c>
      <c r="I566" s="8">
        <f t="shared" si="8"/>
        <v>0</v>
      </c>
    </row>
    <row r="567" spans="1:9" ht="14.4" x14ac:dyDescent="0.3">
      <c r="A567" s="25">
        <v>45266</v>
      </c>
      <c r="B567" s="6" t="s">
        <v>133</v>
      </c>
      <c r="C567" s="6" t="s">
        <v>762</v>
      </c>
      <c r="D567" s="25">
        <v>45266</v>
      </c>
      <c r="E567" s="7">
        <v>94.99</v>
      </c>
      <c r="F567" s="7">
        <v>0</v>
      </c>
      <c r="G567" s="7">
        <v>99568.81</v>
      </c>
      <c r="I567" s="8">
        <f t="shared" si="8"/>
        <v>0</v>
      </c>
    </row>
    <row r="568" spans="1:9" ht="14.4" x14ac:dyDescent="0.3">
      <c r="A568" s="25">
        <v>45266</v>
      </c>
      <c r="B568" s="6" t="s">
        <v>133</v>
      </c>
      <c r="C568" s="6" t="s">
        <v>763</v>
      </c>
      <c r="D568" s="25">
        <v>45266</v>
      </c>
      <c r="E568" s="7">
        <v>83125.399999999994</v>
      </c>
      <c r="F568" s="7">
        <v>0</v>
      </c>
      <c r="G568" s="7">
        <v>16443.41</v>
      </c>
      <c r="I568" s="8">
        <f t="shared" si="8"/>
        <v>0</v>
      </c>
    </row>
    <row r="569" spans="1:9" ht="14.4" x14ac:dyDescent="0.3">
      <c r="A569" s="25">
        <v>45267</v>
      </c>
      <c r="B569" s="6" t="s">
        <v>496</v>
      </c>
      <c r="C569" s="6" t="s">
        <v>764</v>
      </c>
      <c r="D569" s="25">
        <v>45267</v>
      </c>
      <c r="E569" s="7">
        <v>0</v>
      </c>
      <c r="F569" s="7">
        <v>45687.85</v>
      </c>
      <c r="G569" s="7">
        <v>62131.26</v>
      </c>
      <c r="I569" s="8">
        <f t="shared" si="8"/>
        <v>0</v>
      </c>
    </row>
    <row r="570" spans="1:9" ht="14.4" x14ac:dyDescent="0.3">
      <c r="A570" s="25">
        <v>45267</v>
      </c>
      <c r="B570" s="6" t="s">
        <v>765</v>
      </c>
      <c r="C570" s="6" t="s">
        <v>766</v>
      </c>
      <c r="D570" s="25">
        <v>45267</v>
      </c>
      <c r="E570" s="7">
        <v>0</v>
      </c>
      <c r="F570" s="7">
        <v>118595.14</v>
      </c>
      <c r="G570" s="7">
        <v>180726.39999999999</v>
      </c>
      <c r="I570" s="8">
        <f t="shared" si="8"/>
        <v>0</v>
      </c>
    </row>
    <row r="571" spans="1:9" ht="14.4" x14ac:dyDescent="0.3">
      <c r="A571" s="25">
        <v>45267</v>
      </c>
      <c r="B571" s="6" t="s">
        <v>133</v>
      </c>
      <c r="C571" s="6" t="s">
        <v>767</v>
      </c>
      <c r="D571" s="25">
        <v>45267</v>
      </c>
      <c r="E571" s="7">
        <v>72.64</v>
      </c>
      <c r="F571" s="7">
        <v>0</v>
      </c>
      <c r="G571" s="7">
        <v>180653.76</v>
      </c>
      <c r="I571" s="8">
        <f t="shared" si="8"/>
        <v>0</v>
      </c>
    </row>
    <row r="572" spans="1:9" ht="14.4" x14ac:dyDescent="0.3">
      <c r="A572" s="25">
        <v>45267</v>
      </c>
      <c r="B572" s="6" t="s">
        <v>768</v>
      </c>
      <c r="C572" s="6" t="s">
        <v>769</v>
      </c>
      <c r="D572" s="25">
        <v>45267</v>
      </c>
      <c r="E572" s="7">
        <v>120000</v>
      </c>
      <c r="F572" s="7">
        <v>0</v>
      </c>
      <c r="G572" s="7">
        <v>60653.760000000002</v>
      </c>
      <c r="I572" s="8">
        <f t="shared" si="8"/>
        <v>0</v>
      </c>
    </row>
    <row r="573" spans="1:9" ht="14.4" x14ac:dyDescent="0.3">
      <c r="A573" s="25">
        <v>45267</v>
      </c>
      <c r="B573" s="6" t="s">
        <v>770</v>
      </c>
      <c r="C573" s="6" t="s">
        <v>771</v>
      </c>
      <c r="D573" s="25">
        <v>45267</v>
      </c>
      <c r="E573" s="7">
        <v>0</v>
      </c>
      <c r="F573" s="7">
        <v>81</v>
      </c>
      <c r="G573" s="7">
        <v>60734.76</v>
      </c>
      <c r="I573" s="8">
        <f t="shared" si="8"/>
        <v>0</v>
      </c>
    </row>
    <row r="574" spans="1:9" ht="14.4" x14ac:dyDescent="0.3">
      <c r="A574" s="25">
        <v>45267</v>
      </c>
      <c r="B574" s="6" t="s">
        <v>772</v>
      </c>
      <c r="C574" s="6" t="s">
        <v>773</v>
      </c>
      <c r="D574" s="25">
        <v>45267</v>
      </c>
      <c r="E574" s="7">
        <v>0</v>
      </c>
      <c r="F574" s="7">
        <v>1880</v>
      </c>
      <c r="G574" s="7">
        <v>62614.76</v>
      </c>
      <c r="I574" s="8">
        <f t="shared" si="8"/>
        <v>0</v>
      </c>
    </row>
    <row r="575" spans="1:9" ht="14.4" x14ac:dyDescent="0.3">
      <c r="A575" s="25">
        <v>45267</v>
      </c>
      <c r="B575" s="6" t="s">
        <v>133</v>
      </c>
      <c r="C575" s="6" t="s">
        <v>774</v>
      </c>
      <c r="D575" s="25">
        <v>45267</v>
      </c>
      <c r="E575" s="7">
        <v>22187.200000000001</v>
      </c>
      <c r="F575" s="7">
        <v>0</v>
      </c>
      <c r="G575" s="7">
        <v>40427.56</v>
      </c>
      <c r="I575" s="8">
        <f t="shared" si="8"/>
        <v>0</v>
      </c>
    </row>
    <row r="576" spans="1:9" ht="14.4" x14ac:dyDescent="0.3">
      <c r="A576" s="25">
        <v>45268</v>
      </c>
      <c r="B576" s="6" t="s">
        <v>133</v>
      </c>
      <c r="C576" s="6" t="s">
        <v>775</v>
      </c>
      <c r="D576" s="25">
        <v>45268</v>
      </c>
      <c r="E576" s="7">
        <v>101.43</v>
      </c>
      <c r="F576" s="7">
        <v>0</v>
      </c>
      <c r="G576" s="7">
        <v>40326.129999999997</v>
      </c>
      <c r="I576" s="8">
        <f t="shared" si="8"/>
        <v>0</v>
      </c>
    </row>
    <row r="577" spans="1:9" ht="14.4" x14ac:dyDescent="0.3">
      <c r="A577" s="25">
        <v>45268</v>
      </c>
      <c r="B577" s="6" t="s">
        <v>776</v>
      </c>
      <c r="C577" s="6" t="s">
        <v>149</v>
      </c>
      <c r="D577" s="25">
        <v>45268</v>
      </c>
      <c r="E577" s="7">
        <v>1101.32</v>
      </c>
      <c r="F577" s="7">
        <v>0</v>
      </c>
      <c r="G577" s="7">
        <v>39224.81</v>
      </c>
      <c r="I577" s="8">
        <f t="shared" si="8"/>
        <v>0</v>
      </c>
    </row>
    <row r="578" spans="1:9" ht="14.4" x14ac:dyDescent="0.3">
      <c r="A578" s="25">
        <v>45268</v>
      </c>
      <c r="B578" s="6" t="s">
        <v>133</v>
      </c>
      <c r="C578" s="6" t="s">
        <v>777</v>
      </c>
      <c r="D578" s="25">
        <v>45268</v>
      </c>
      <c r="E578" s="7">
        <v>1117.75</v>
      </c>
      <c r="F578" s="7">
        <v>0</v>
      </c>
      <c r="G578" s="7">
        <v>38107.06</v>
      </c>
      <c r="I578" s="8">
        <f t="shared" si="8"/>
        <v>0</v>
      </c>
    </row>
    <row r="579" spans="1:9" ht="14.4" x14ac:dyDescent="0.3">
      <c r="A579" s="25">
        <v>45271</v>
      </c>
      <c r="B579" s="6" t="s">
        <v>133</v>
      </c>
      <c r="C579" s="6" t="s">
        <v>778</v>
      </c>
      <c r="D579" s="25">
        <v>45271</v>
      </c>
      <c r="E579" s="7">
        <v>366.69</v>
      </c>
      <c r="F579" s="7">
        <v>0</v>
      </c>
      <c r="G579" s="7">
        <v>37740.370000000003</v>
      </c>
      <c r="I579" s="8">
        <f t="shared" si="8"/>
        <v>0</v>
      </c>
    </row>
    <row r="580" spans="1:9" ht="14.4" x14ac:dyDescent="0.3">
      <c r="A580" s="25">
        <v>45271</v>
      </c>
      <c r="B580" s="6" t="s">
        <v>779</v>
      </c>
      <c r="C580" s="6" t="s">
        <v>780</v>
      </c>
      <c r="D580" s="25">
        <v>45271</v>
      </c>
      <c r="E580" s="7">
        <v>10000</v>
      </c>
      <c r="F580" s="7">
        <v>0</v>
      </c>
      <c r="G580" s="7">
        <v>27740.37</v>
      </c>
      <c r="I580" s="8">
        <f t="shared" si="8"/>
        <v>0</v>
      </c>
    </row>
    <row r="581" spans="1:9" ht="14.4" x14ac:dyDescent="0.3">
      <c r="A581" s="25">
        <v>45272</v>
      </c>
      <c r="B581" s="6" t="s">
        <v>496</v>
      </c>
      <c r="C581" s="6" t="s">
        <v>781</v>
      </c>
      <c r="D581" s="25">
        <v>45272</v>
      </c>
      <c r="E581" s="7">
        <v>0</v>
      </c>
      <c r="F581" s="7">
        <v>1448.7</v>
      </c>
      <c r="G581" s="7">
        <v>29189.07</v>
      </c>
      <c r="I581" s="8">
        <f t="shared" si="8"/>
        <v>0</v>
      </c>
    </row>
    <row r="582" spans="1:9" ht="14.4" x14ac:dyDescent="0.3">
      <c r="A582" s="25">
        <v>45272</v>
      </c>
      <c r="B582" s="6" t="s">
        <v>496</v>
      </c>
      <c r="C582" s="6" t="s">
        <v>782</v>
      </c>
      <c r="D582" s="25">
        <v>45272</v>
      </c>
      <c r="E582" s="7">
        <v>0</v>
      </c>
      <c r="F582" s="7">
        <v>24070.43</v>
      </c>
      <c r="G582" s="7">
        <v>53259.5</v>
      </c>
      <c r="I582" s="8">
        <f t="shared" si="8"/>
        <v>0</v>
      </c>
    </row>
    <row r="583" spans="1:9" ht="14.4" x14ac:dyDescent="0.3">
      <c r="A583" s="25">
        <v>45272</v>
      </c>
      <c r="B583" s="6" t="s">
        <v>783</v>
      </c>
      <c r="C583" s="6" t="s">
        <v>784</v>
      </c>
      <c r="D583" s="25">
        <v>45272</v>
      </c>
      <c r="E583" s="7">
        <v>0</v>
      </c>
      <c r="F583" s="7">
        <v>10000</v>
      </c>
      <c r="G583" s="7">
        <v>63259.5</v>
      </c>
      <c r="I583" s="8">
        <f t="shared" si="8"/>
        <v>0</v>
      </c>
    </row>
    <row r="584" spans="1:9" ht="14.4" x14ac:dyDescent="0.3">
      <c r="A584" s="25">
        <v>45272</v>
      </c>
      <c r="B584" s="6" t="s">
        <v>133</v>
      </c>
      <c r="C584" s="6" t="s">
        <v>785</v>
      </c>
      <c r="D584" s="25">
        <v>45272</v>
      </c>
      <c r="E584" s="7">
        <v>122.23</v>
      </c>
      <c r="F584" s="7">
        <v>0</v>
      </c>
      <c r="G584" s="7">
        <v>63137.27</v>
      </c>
      <c r="I584" s="8">
        <f t="shared" si="8"/>
        <v>0</v>
      </c>
    </row>
    <row r="585" spans="1:9" ht="14.4" x14ac:dyDescent="0.3">
      <c r="A585" s="25">
        <v>45272</v>
      </c>
      <c r="B585" s="6" t="s">
        <v>133</v>
      </c>
      <c r="C585" s="6" t="s">
        <v>786</v>
      </c>
      <c r="D585" s="25">
        <v>45272</v>
      </c>
      <c r="E585" s="7">
        <v>1555.7</v>
      </c>
      <c r="F585" s="7">
        <v>0</v>
      </c>
      <c r="G585" s="7">
        <v>61581.57</v>
      </c>
      <c r="I585" s="8">
        <f t="shared" si="8"/>
        <v>0</v>
      </c>
    </row>
    <row r="586" spans="1:9" ht="14.4" x14ac:dyDescent="0.3">
      <c r="A586" s="25">
        <v>45273</v>
      </c>
      <c r="B586" s="6" t="s">
        <v>496</v>
      </c>
      <c r="C586" s="6" t="s">
        <v>787</v>
      </c>
      <c r="D586" s="25">
        <v>45273</v>
      </c>
      <c r="E586" s="7">
        <v>0</v>
      </c>
      <c r="F586" s="7">
        <v>29050</v>
      </c>
      <c r="G586" s="7">
        <v>90631.57</v>
      </c>
      <c r="I586" s="8">
        <f t="shared" si="8"/>
        <v>0</v>
      </c>
    </row>
    <row r="587" spans="1:9" ht="14.4" x14ac:dyDescent="0.3">
      <c r="A587" s="25">
        <v>45273</v>
      </c>
      <c r="B587" s="6" t="s">
        <v>133</v>
      </c>
      <c r="C587" s="6" t="s">
        <v>788</v>
      </c>
      <c r="D587" s="25">
        <v>45273</v>
      </c>
      <c r="E587" s="7">
        <v>122.19</v>
      </c>
      <c r="F587" s="7">
        <v>0</v>
      </c>
      <c r="G587" s="7">
        <v>90509.38</v>
      </c>
      <c r="I587" s="8">
        <f t="shared" si="8"/>
        <v>0</v>
      </c>
    </row>
    <row r="588" spans="1:9" ht="14.4" x14ac:dyDescent="0.3">
      <c r="A588" s="25">
        <v>45273</v>
      </c>
      <c r="B588" s="6" t="s">
        <v>133</v>
      </c>
      <c r="C588" s="6" t="s">
        <v>789</v>
      </c>
      <c r="D588" s="25">
        <v>45273</v>
      </c>
      <c r="E588" s="7">
        <v>44091.23</v>
      </c>
      <c r="F588" s="7">
        <v>0</v>
      </c>
      <c r="G588" s="7">
        <v>46418.15</v>
      </c>
      <c r="I588" s="8">
        <f t="shared" si="8"/>
        <v>0</v>
      </c>
    </row>
    <row r="589" spans="1:9" ht="14.4" x14ac:dyDescent="0.3">
      <c r="A589" s="25">
        <v>45274</v>
      </c>
      <c r="B589" s="6" t="s">
        <v>790</v>
      </c>
      <c r="C589" s="6" t="s">
        <v>791</v>
      </c>
      <c r="D589" s="25">
        <v>45274</v>
      </c>
      <c r="E589" s="7">
        <v>0</v>
      </c>
      <c r="F589" s="7">
        <v>100000</v>
      </c>
      <c r="G589" s="7">
        <v>146418.15</v>
      </c>
      <c r="I589" s="8">
        <f t="shared" si="8"/>
        <v>0</v>
      </c>
    </row>
    <row r="590" spans="1:9" ht="14.4" x14ac:dyDescent="0.3">
      <c r="A590" s="25">
        <v>45274</v>
      </c>
      <c r="B590" s="6" t="s">
        <v>133</v>
      </c>
      <c r="C590" s="6" t="s">
        <v>792</v>
      </c>
      <c r="D590" s="25">
        <v>45274</v>
      </c>
      <c r="E590" s="7">
        <v>106.49</v>
      </c>
      <c r="F590" s="7">
        <v>0</v>
      </c>
      <c r="G590" s="7">
        <v>146311.66</v>
      </c>
      <c r="I590" s="8">
        <f t="shared" si="8"/>
        <v>0</v>
      </c>
    </row>
    <row r="591" spans="1:9" ht="14.4" x14ac:dyDescent="0.3">
      <c r="A591" s="25">
        <v>45274</v>
      </c>
      <c r="B591" s="6" t="s">
        <v>793</v>
      </c>
      <c r="C591" s="6" t="s">
        <v>794</v>
      </c>
      <c r="D591" s="25">
        <v>45274</v>
      </c>
      <c r="E591" s="7">
        <v>0</v>
      </c>
      <c r="F591" s="7">
        <v>30000</v>
      </c>
      <c r="G591" s="7">
        <v>176311.66</v>
      </c>
      <c r="I591" s="8">
        <f t="shared" si="8"/>
        <v>0</v>
      </c>
    </row>
    <row r="592" spans="1:9" ht="14.4" x14ac:dyDescent="0.3">
      <c r="A592" s="25">
        <v>45275</v>
      </c>
      <c r="B592" s="6" t="s">
        <v>133</v>
      </c>
      <c r="C592" s="6" t="s">
        <v>795</v>
      </c>
      <c r="D592" s="25">
        <v>45275</v>
      </c>
      <c r="E592" s="7">
        <v>115366.85</v>
      </c>
      <c r="F592" s="7">
        <v>0</v>
      </c>
      <c r="G592" s="7">
        <v>60944.81</v>
      </c>
      <c r="I592" s="8">
        <f t="shared" si="8"/>
        <v>0</v>
      </c>
    </row>
    <row r="593" spans="1:9" ht="14.4" x14ac:dyDescent="0.3">
      <c r="A593" s="25">
        <v>45275</v>
      </c>
      <c r="B593" s="6" t="s">
        <v>496</v>
      </c>
      <c r="C593" s="6" t="s">
        <v>796</v>
      </c>
      <c r="D593" s="25">
        <v>45275</v>
      </c>
      <c r="E593" s="7">
        <v>0</v>
      </c>
      <c r="F593" s="7">
        <v>16614.38</v>
      </c>
      <c r="G593" s="7">
        <v>77559.19</v>
      </c>
      <c r="I593" s="8">
        <f t="shared" si="8"/>
        <v>0</v>
      </c>
    </row>
    <row r="594" spans="1:9" ht="14.4" x14ac:dyDescent="0.3">
      <c r="A594" s="25">
        <v>45275</v>
      </c>
      <c r="B594" s="6" t="s">
        <v>133</v>
      </c>
      <c r="C594" s="6" t="s">
        <v>797</v>
      </c>
      <c r="D594" s="25">
        <v>45275</v>
      </c>
      <c r="E594" s="7">
        <v>65.400000000000006</v>
      </c>
      <c r="F594" s="7">
        <v>0</v>
      </c>
      <c r="G594" s="7">
        <v>77493.789999999994</v>
      </c>
      <c r="I594" s="8">
        <f t="shared" si="8"/>
        <v>0</v>
      </c>
    </row>
    <row r="595" spans="1:9" ht="14.4" x14ac:dyDescent="0.3">
      <c r="A595" s="25">
        <v>45277</v>
      </c>
      <c r="B595" s="6" t="s">
        <v>565</v>
      </c>
      <c r="C595" s="6" t="s">
        <v>798</v>
      </c>
      <c r="D595" s="25">
        <v>45277</v>
      </c>
      <c r="E595" s="7">
        <v>10000</v>
      </c>
      <c r="F595" s="7">
        <v>0</v>
      </c>
      <c r="G595" s="7">
        <v>67493.789999999994</v>
      </c>
      <c r="I595" s="8">
        <f t="shared" si="8"/>
        <v>0</v>
      </c>
    </row>
    <row r="596" spans="1:9" ht="14.4" x14ac:dyDescent="0.3">
      <c r="A596" s="25">
        <v>45278</v>
      </c>
      <c r="B596" s="6" t="s">
        <v>496</v>
      </c>
      <c r="C596" s="6" t="s">
        <v>799</v>
      </c>
      <c r="D596" s="25">
        <v>45278</v>
      </c>
      <c r="E596" s="7">
        <v>0</v>
      </c>
      <c r="F596" s="7">
        <v>547.20000000000005</v>
      </c>
      <c r="G596" s="7">
        <v>68040.990000000005</v>
      </c>
      <c r="I596" s="8">
        <f t="shared" si="8"/>
        <v>0</v>
      </c>
    </row>
    <row r="597" spans="1:9" ht="14.4" x14ac:dyDescent="0.3">
      <c r="A597" s="25">
        <v>45278</v>
      </c>
      <c r="B597" s="6" t="s">
        <v>133</v>
      </c>
      <c r="C597" s="6" t="s">
        <v>800</v>
      </c>
      <c r="D597" s="25">
        <v>45278</v>
      </c>
      <c r="E597" s="7">
        <v>564.99</v>
      </c>
      <c r="F597" s="7">
        <v>0</v>
      </c>
      <c r="G597" s="7">
        <v>67476</v>
      </c>
      <c r="I597" s="8">
        <f t="shared" si="8"/>
        <v>0</v>
      </c>
    </row>
    <row r="598" spans="1:9" ht="14.4" x14ac:dyDescent="0.3">
      <c r="A598" s="25">
        <v>45279</v>
      </c>
      <c r="B598" s="6" t="s">
        <v>496</v>
      </c>
      <c r="C598" s="6" t="s">
        <v>801</v>
      </c>
      <c r="D598" s="25">
        <v>45279</v>
      </c>
      <c r="E598" s="7">
        <v>0</v>
      </c>
      <c r="F598" s="7">
        <v>22577.66</v>
      </c>
      <c r="G598" s="7">
        <v>90053.66</v>
      </c>
      <c r="I598" s="8">
        <f t="shared" si="8"/>
        <v>0</v>
      </c>
    </row>
    <row r="599" spans="1:9" ht="14.4" x14ac:dyDescent="0.3">
      <c r="A599" s="25">
        <v>45279</v>
      </c>
      <c r="B599" s="6" t="s">
        <v>133</v>
      </c>
      <c r="C599" s="6" t="s">
        <v>802</v>
      </c>
      <c r="D599" s="25">
        <v>45279</v>
      </c>
      <c r="E599" s="7">
        <v>188.52</v>
      </c>
      <c r="F599" s="7">
        <v>0</v>
      </c>
      <c r="G599" s="7">
        <v>89865.14</v>
      </c>
      <c r="I599" s="8">
        <f t="shared" si="8"/>
        <v>0</v>
      </c>
    </row>
    <row r="600" spans="1:9" ht="14.4" x14ac:dyDescent="0.3">
      <c r="A600" s="25">
        <v>45280</v>
      </c>
      <c r="B600" s="6" t="s">
        <v>496</v>
      </c>
      <c r="C600" s="6" t="s">
        <v>803</v>
      </c>
      <c r="D600" s="25">
        <v>45280</v>
      </c>
      <c r="E600" s="7">
        <v>0</v>
      </c>
      <c r="F600" s="7">
        <v>12168.37</v>
      </c>
      <c r="G600" s="7">
        <v>102033.51</v>
      </c>
      <c r="I600" s="8">
        <f t="shared" ref="I600:I663" si="9">G599-E600+F600-G600</f>
        <v>0</v>
      </c>
    </row>
    <row r="601" spans="1:9" ht="14.4" x14ac:dyDescent="0.3">
      <c r="A601" s="25">
        <v>45280</v>
      </c>
      <c r="B601" s="6" t="s">
        <v>496</v>
      </c>
      <c r="C601" s="6" t="s">
        <v>804</v>
      </c>
      <c r="D601" s="25">
        <v>45280</v>
      </c>
      <c r="E601" s="7">
        <v>0</v>
      </c>
      <c r="F601" s="7">
        <v>52195.67</v>
      </c>
      <c r="G601" s="7">
        <v>154229.18</v>
      </c>
      <c r="I601" s="8">
        <f t="shared" si="9"/>
        <v>0</v>
      </c>
    </row>
    <row r="602" spans="1:9" ht="14.4" x14ac:dyDescent="0.3">
      <c r="A602" s="25">
        <v>45280</v>
      </c>
      <c r="B602" s="6" t="s">
        <v>133</v>
      </c>
      <c r="C602" s="6" t="s">
        <v>805</v>
      </c>
      <c r="D602" s="25">
        <v>45280</v>
      </c>
      <c r="E602" s="7">
        <v>174.49</v>
      </c>
      <c r="F602" s="7">
        <v>0</v>
      </c>
      <c r="G602" s="7">
        <v>154054.69</v>
      </c>
      <c r="I602" s="8">
        <f t="shared" si="9"/>
        <v>0</v>
      </c>
    </row>
    <row r="603" spans="1:9" ht="14.4" x14ac:dyDescent="0.3">
      <c r="A603" s="25">
        <v>45281</v>
      </c>
      <c r="B603" s="6" t="s">
        <v>496</v>
      </c>
      <c r="C603" s="6" t="s">
        <v>806</v>
      </c>
      <c r="D603" s="25">
        <v>45281</v>
      </c>
      <c r="E603" s="7">
        <v>0</v>
      </c>
      <c r="F603" s="7">
        <v>47174.26</v>
      </c>
      <c r="G603" s="7">
        <v>201228.95</v>
      </c>
      <c r="I603" s="8">
        <f t="shared" si="9"/>
        <v>0</v>
      </c>
    </row>
    <row r="604" spans="1:9" ht="14.4" x14ac:dyDescent="0.3">
      <c r="A604" s="25">
        <v>45281</v>
      </c>
      <c r="B604" s="6" t="s">
        <v>496</v>
      </c>
      <c r="C604" s="6" t="s">
        <v>807</v>
      </c>
      <c r="D604" s="25">
        <v>45281</v>
      </c>
      <c r="E604" s="7">
        <v>0</v>
      </c>
      <c r="F604" s="7">
        <v>38358.06</v>
      </c>
      <c r="G604" s="7">
        <v>239587.01</v>
      </c>
      <c r="I604" s="8">
        <f t="shared" si="9"/>
        <v>0</v>
      </c>
    </row>
    <row r="605" spans="1:9" ht="14.4" x14ac:dyDescent="0.3">
      <c r="A605" s="25">
        <v>45281</v>
      </c>
      <c r="B605" s="6" t="s">
        <v>133</v>
      </c>
      <c r="C605" s="6" t="s">
        <v>808</v>
      </c>
      <c r="D605" s="25">
        <v>45281</v>
      </c>
      <c r="E605" s="7">
        <v>167.69</v>
      </c>
      <c r="F605" s="7">
        <v>0</v>
      </c>
      <c r="G605" s="7">
        <v>239419.32</v>
      </c>
      <c r="I605" s="8">
        <f t="shared" si="9"/>
        <v>0</v>
      </c>
    </row>
    <row r="606" spans="1:9" ht="14.4" x14ac:dyDescent="0.3">
      <c r="A606" s="25">
        <v>45281</v>
      </c>
      <c r="B606" s="6" t="s">
        <v>133</v>
      </c>
      <c r="C606" s="6" t="s">
        <v>809</v>
      </c>
      <c r="D606" s="25">
        <v>45281</v>
      </c>
      <c r="E606" s="7">
        <v>1624.73</v>
      </c>
      <c r="F606" s="7">
        <v>0</v>
      </c>
      <c r="G606" s="7">
        <v>237794.59</v>
      </c>
      <c r="I606" s="8">
        <f t="shared" si="9"/>
        <v>0</v>
      </c>
    </row>
    <row r="607" spans="1:9" ht="14.4" x14ac:dyDescent="0.3">
      <c r="A607" s="25">
        <v>45282</v>
      </c>
      <c r="B607" s="6" t="s">
        <v>133</v>
      </c>
      <c r="C607" s="6" t="s">
        <v>810</v>
      </c>
      <c r="D607" s="25">
        <v>45282</v>
      </c>
      <c r="E607" s="7">
        <v>137.1</v>
      </c>
      <c r="F607" s="7">
        <v>0</v>
      </c>
      <c r="G607" s="7">
        <v>237657.49</v>
      </c>
      <c r="I607" s="8">
        <f t="shared" si="9"/>
        <v>0</v>
      </c>
    </row>
    <row r="608" spans="1:9" ht="14.4" x14ac:dyDescent="0.3">
      <c r="A608" s="25">
        <v>45282</v>
      </c>
      <c r="B608" s="6" t="s">
        <v>133</v>
      </c>
      <c r="C608" s="6" t="s">
        <v>811</v>
      </c>
      <c r="D608" s="25">
        <v>45282</v>
      </c>
      <c r="E608" s="7">
        <v>43088.45</v>
      </c>
      <c r="F608" s="7">
        <v>0</v>
      </c>
      <c r="G608" s="7">
        <v>194569.04</v>
      </c>
      <c r="I608" s="8">
        <f t="shared" si="9"/>
        <v>0</v>
      </c>
    </row>
    <row r="609" spans="1:9" ht="14.4" x14ac:dyDescent="0.3">
      <c r="A609" s="25">
        <v>45286</v>
      </c>
      <c r="B609" s="6" t="s">
        <v>133</v>
      </c>
      <c r="C609" s="6" t="s">
        <v>812</v>
      </c>
      <c r="D609" s="25">
        <v>45286</v>
      </c>
      <c r="E609" s="7">
        <v>508.32</v>
      </c>
      <c r="F609" s="7">
        <v>0</v>
      </c>
      <c r="G609" s="7">
        <v>194060.72</v>
      </c>
      <c r="I609" s="8">
        <f t="shared" si="9"/>
        <v>0</v>
      </c>
    </row>
    <row r="610" spans="1:9" ht="14.4" x14ac:dyDescent="0.3">
      <c r="A610" s="25">
        <v>45286</v>
      </c>
      <c r="B610" s="6" t="s">
        <v>133</v>
      </c>
      <c r="C610" s="6" t="s">
        <v>813</v>
      </c>
      <c r="D610" s="25">
        <v>45286</v>
      </c>
      <c r="E610" s="7">
        <v>60341.51</v>
      </c>
      <c r="F610" s="7">
        <v>0</v>
      </c>
      <c r="G610" s="7">
        <v>133719.21</v>
      </c>
      <c r="I610" s="8">
        <f t="shared" si="9"/>
        <v>0</v>
      </c>
    </row>
    <row r="611" spans="1:9" ht="14.4" x14ac:dyDescent="0.3">
      <c r="A611" s="25">
        <v>45287</v>
      </c>
      <c r="B611" s="6" t="s">
        <v>133</v>
      </c>
      <c r="C611" s="6" t="s">
        <v>814</v>
      </c>
      <c r="D611" s="25">
        <v>45287</v>
      </c>
      <c r="E611" s="7">
        <v>153.84</v>
      </c>
      <c r="F611" s="7">
        <v>0</v>
      </c>
      <c r="G611" s="7">
        <v>133565.37</v>
      </c>
      <c r="I611" s="8">
        <f t="shared" si="9"/>
        <v>0</v>
      </c>
    </row>
    <row r="612" spans="1:9" ht="14.4" x14ac:dyDescent="0.3">
      <c r="A612" s="25">
        <v>45288</v>
      </c>
      <c r="B612" s="6" t="s">
        <v>133</v>
      </c>
      <c r="C612" s="6" t="s">
        <v>815</v>
      </c>
      <c r="D612" s="25">
        <v>45288</v>
      </c>
      <c r="E612" s="7">
        <v>18479.919999999998</v>
      </c>
      <c r="F612" s="7">
        <v>0</v>
      </c>
      <c r="G612" s="7">
        <v>115085.45</v>
      </c>
      <c r="I612" s="8">
        <f t="shared" si="9"/>
        <v>0</v>
      </c>
    </row>
    <row r="613" spans="1:9" ht="14.4" x14ac:dyDescent="0.3">
      <c r="A613" s="25">
        <v>45288</v>
      </c>
      <c r="B613" s="6" t="s">
        <v>816</v>
      </c>
      <c r="C613" s="6" t="s">
        <v>817</v>
      </c>
      <c r="D613" s="25">
        <v>45288</v>
      </c>
      <c r="E613" s="7">
        <v>5000</v>
      </c>
      <c r="F613" s="7">
        <v>0</v>
      </c>
      <c r="G613" s="7">
        <v>110085.45</v>
      </c>
      <c r="I613" s="8">
        <f t="shared" si="9"/>
        <v>0</v>
      </c>
    </row>
    <row r="614" spans="1:9" ht="14.4" x14ac:dyDescent="0.3">
      <c r="A614" s="25">
        <v>45288</v>
      </c>
      <c r="B614" s="6" t="s">
        <v>133</v>
      </c>
      <c r="C614" s="6" t="s">
        <v>818</v>
      </c>
      <c r="D614" s="25">
        <v>45288</v>
      </c>
      <c r="E614" s="7">
        <v>147.26</v>
      </c>
      <c r="F614" s="7">
        <v>0</v>
      </c>
      <c r="G614" s="7">
        <v>109938.19</v>
      </c>
      <c r="I614" s="8">
        <f t="shared" si="9"/>
        <v>0</v>
      </c>
    </row>
    <row r="615" spans="1:9" ht="14.4" x14ac:dyDescent="0.3">
      <c r="A615" s="25">
        <v>45289</v>
      </c>
      <c r="B615" s="6" t="s">
        <v>496</v>
      </c>
      <c r="C615" s="6" t="s">
        <v>819</v>
      </c>
      <c r="D615" s="25">
        <v>45289</v>
      </c>
      <c r="E615" s="7">
        <v>0</v>
      </c>
      <c r="F615" s="7">
        <v>321.45</v>
      </c>
      <c r="G615" s="7">
        <v>110259.64</v>
      </c>
      <c r="I615" s="8">
        <f t="shared" si="9"/>
        <v>0</v>
      </c>
    </row>
    <row r="616" spans="1:9" ht="14.4" x14ac:dyDescent="0.3">
      <c r="A616" s="25">
        <v>45289</v>
      </c>
      <c r="B616" s="6" t="s">
        <v>133</v>
      </c>
      <c r="C616" s="6" t="s">
        <v>820</v>
      </c>
      <c r="D616" s="25">
        <v>45289</v>
      </c>
      <c r="E616" s="7">
        <v>170.11</v>
      </c>
      <c r="F616" s="7">
        <v>0</v>
      </c>
      <c r="G616" s="7">
        <v>110089.53</v>
      </c>
      <c r="I616" s="8">
        <f t="shared" si="9"/>
        <v>0</v>
      </c>
    </row>
    <row r="617" spans="1:9" ht="14.4" x14ac:dyDescent="0.3">
      <c r="A617" s="25">
        <v>45289</v>
      </c>
      <c r="B617" s="6" t="s">
        <v>133</v>
      </c>
      <c r="C617" s="6" t="s">
        <v>821</v>
      </c>
      <c r="D617" s="25">
        <v>45289</v>
      </c>
      <c r="E617" s="7">
        <v>65206.15</v>
      </c>
      <c r="F617" s="7">
        <v>0</v>
      </c>
      <c r="G617" s="7">
        <v>44883.38</v>
      </c>
      <c r="I617" s="8">
        <f t="shared" si="9"/>
        <v>0</v>
      </c>
    </row>
    <row r="618" spans="1:9" ht="14.4" x14ac:dyDescent="0.3">
      <c r="A618" s="25">
        <v>45291</v>
      </c>
      <c r="B618" s="6" t="s">
        <v>822</v>
      </c>
      <c r="C618" s="6" t="s">
        <v>823</v>
      </c>
      <c r="D618" s="25">
        <v>45291</v>
      </c>
      <c r="E618" s="7">
        <v>0</v>
      </c>
      <c r="F618" s="7">
        <v>10000</v>
      </c>
      <c r="G618" s="7">
        <v>54883.38</v>
      </c>
      <c r="I618" s="8">
        <f t="shared" si="9"/>
        <v>0</v>
      </c>
    </row>
    <row r="619" spans="1:9" ht="14.4" x14ac:dyDescent="0.3">
      <c r="A619" s="25">
        <v>45292</v>
      </c>
      <c r="B619" s="6" t="s">
        <v>343</v>
      </c>
      <c r="C619" s="6" t="s">
        <v>149</v>
      </c>
      <c r="D619" s="25">
        <v>45291</v>
      </c>
      <c r="E619" s="7">
        <v>0</v>
      </c>
      <c r="F619" s="7">
        <v>524</v>
      </c>
      <c r="G619" s="7">
        <v>55407.38</v>
      </c>
      <c r="I619" s="8">
        <f t="shared" si="9"/>
        <v>0</v>
      </c>
    </row>
    <row r="620" spans="1:9" ht="14.4" x14ac:dyDescent="0.3">
      <c r="A620" s="25">
        <v>45292</v>
      </c>
      <c r="B620" s="6" t="s">
        <v>824</v>
      </c>
      <c r="C620" s="6" t="s">
        <v>825</v>
      </c>
      <c r="D620" s="25">
        <v>45292</v>
      </c>
      <c r="E620" s="7">
        <v>5000</v>
      </c>
      <c r="F620" s="7">
        <v>0</v>
      </c>
      <c r="G620" s="7">
        <v>50407.38</v>
      </c>
      <c r="I620" s="8">
        <f t="shared" si="9"/>
        <v>0</v>
      </c>
    </row>
    <row r="621" spans="1:9" ht="14.4" x14ac:dyDescent="0.3">
      <c r="A621" s="25">
        <v>45292</v>
      </c>
      <c r="B621" s="6" t="s">
        <v>133</v>
      </c>
      <c r="C621" s="6" t="s">
        <v>826</v>
      </c>
      <c r="D621" s="25">
        <v>45292</v>
      </c>
      <c r="E621" s="7">
        <v>441</v>
      </c>
      <c r="F621" s="7">
        <v>0</v>
      </c>
      <c r="G621" s="7">
        <v>49966.38</v>
      </c>
      <c r="I621" s="8">
        <f t="shared" si="9"/>
        <v>0</v>
      </c>
    </row>
    <row r="622" spans="1:9" ht="14.4" x14ac:dyDescent="0.3">
      <c r="A622" s="25">
        <v>45292</v>
      </c>
      <c r="B622" s="6" t="s">
        <v>133</v>
      </c>
      <c r="C622" s="6" t="s">
        <v>827</v>
      </c>
      <c r="D622" s="25">
        <v>45292</v>
      </c>
      <c r="E622" s="7">
        <v>41407.31</v>
      </c>
      <c r="F622" s="7">
        <v>0</v>
      </c>
      <c r="G622" s="7">
        <v>8559.07</v>
      </c>
      <c r="I622" s="8">
        <f t="shared" si="9"/>
        <v>0</v>
      </c>
    </row>
    <row r="623" spans="1:9" ht="14.4" x14ac:dyDescent="0.3">
      <c r="A623" s="25">
        <v>45293</v>
      </c>
      <c r="B623" s="6" t="s">
        <v>133</v>
      </c>
      <c r="C623" s="6" t="s">
        <v>828</v>
      </c>
      <c r="D623" s="25">
        <v>45293</v>
      </c>
      <c r="E623" s="7">
        <v>132.25</v>
      </c>
      <c r="F623" s="7">
        <v>0</v>
      </c>
      <c r="G623" s="7">
        <v>8426.82</v>
      </c>
      <c r="I623" s="8">
        <f t="shared" si="9"/>
        <v>0</v>
      </c>
    </row>
    <row r="624" spans="1:9" ht="14.4" x14ac:dyDescent="0.3">
      <c r="A624" s="25">
        <v>45293</v>
      </c>
      <c r="B624" s="6" t="s">
        <v>829</v>
      </c>
      <c r="C624" s="6" t="s">
        <v>830</v>
      </c>
      <c r="D624" s="25">
        <v>45293</v>
      </c>
      <c r="E624" s="7">
        <v>0</v>
      </c>
      <c r="F624" s="7">
        <v>30000</v>
      </c>
      <c r="G624" s="7">
        <v>38426.82</v>
      </c>
      <c r="I624" s="8">
        <f t="shared" si="9"/>
        <v>0</v>
      </c>
    </row>
    <row r="625" spans="1:9" ht="14.4" x14ac:dyDescent="0.3">
      <c r="A625" s="25">
        <v>45293</v>
      </c>
      <c r="B625" s="6" t="s">
        <v>133</v>
      </c>
      <c r="C625" s="6" t="s">
        <v>831</v>
      </c>
      <c r="D625" s="25">
        <v>45293</v>
      </c>
      <c r="E625" s="7">
        <v>16611.3</v>
      </c>
      <c r="F625" s="7">
        <v>0</v>
      </c>
      <c r="G625" s="7">
        <v>21815.52</v>
      </c>
      <c r="I625" s="8">
        <f t="shared" si="9"/>
        <v>0</v>
      </c>
    </row>
    <row r="626" spans="1:9" ht="14.4" x14ac:dyDescent="0.3">
      <c r="A626" s="25">
        <v>45294</v>
      </c>
      <c r="B626" s="6" t="s">
        <v>133</v>
      </c>
      <c r="C626" s="6" t="s">
        <v>832</v>
      </c>
      <c r="D626" s="25">
        <v>45294</v>
      </c>
      <c r="E626" s="7">
        <v>175.25</v>
      </c>
      <c r="F626" s="7">
        <v>0</v>
      </c>
      <c r="G626" s="7">
        <v>21640.27</v>
      </c>
      <c r="I626" s="8">
        <f t="shared" si="9"/>
        <v>0</v>
      </c>
    </row>
    <row r="627" spans="1:9" ht="14.4" x14ac:dyDescent="0.3">
      <c r="A627" s="25">
        <v>45294</v>
      </c>
      <c r="B627" s="6" t="s">
        <v>133</v>
      </c>
      <c r="C627" s="6" t="s">
        <v>833</v>
      </c>
      <c r="D627" s="25">
        <v>45294</v>
      </c>
      <c r="E627" s="7">
        <v>12535.13</v>
      </c>
      <c r="F627" s="7">
        <v>0</v>
      </c>
      <c r="G627" s="7">
        <v>9105.14</v>
      </c>
      <c r="I627" s="8">
        <f t="shared" si="9"/>
        <v>0</v>
      </c>
    </row>
    <row r="628" spans="1:9" ht="14.4" x14ac:dyDescent="0.3">
      <c r="A628" s="25">
        <v>45295</v>
      </c>
      <c r="B628" s="6" t="s">
        <v>133</v>
      </c>
      <c r="C628" s="6" t="s">
        <v>834</v>
      </c>
      <c r="D628" s="25">
        <v>45295</v>
      </c>
      <c r="E628" s="7">
        <v>195.72</v>
      </c>
      <c r="F628" s="7">
        <v>0</v>
      </c>
      <c r="G628" s="7">
        <v>8909.42</v>
      </c>
      <c r="I628" s="8">
        <f t="shared" si="9"/>
        <v>0</v>
      </c>
    </row>
    <row r="629" spans="1:9" ht="14.4" x14ac:dyDescent="0.3">
      <c r="A629" s="25">
        <v>45296</v>
      </c>
      <c r="B629" s="6" t="s">
        <v>496</v>
      </c>
      <c r="C629" s="6" t="s">
        <v>835</v>
      </c>
      <c r="D629" s="25">
        <v>45296</v>
      </c>
      <c r="E629" s="7">
        <v>0</v>
      </c>
      <c r="F629" s="7">
        <v>10025.81</v>
      </c>
      <c r="G629" s="7">
        <v>18935.23</v>
      </c>
      <c r="I629" s="8">
        <f t="shared" si="9"/>
        <v>0</v>
      </c>
    </row>
    <row r="630" spans="1:9" ht="14.4" x14ac:dyDescent="0.3">
      <c r="A630" s="25">
        <v>45296</v>
      </c>
      <c r="B630" s="6" t="s">
        <v>133</v>
      </c>
      <c r="C630" s="6" t="s">
        <v>836</v>
      </c>
      <c r="D630" s="25">
        <v>45296</v>
      </c>
      <c r="E630" s="7">
        <v>824.52</v>
      </c>
      <c r="F630" s="7">
        <v>0</v>
      </c>
      <c r="G630" s="7">
        <v>18110.71</v>
      </c>
      <c r="I630" s="8">
        <f t="shared" si="9"/>
        <v>0</v>
      </c>
    </row>
    <row r="631" spans="1:9" ht="14.4" x14ac:dyDescent="0.3">
      <c r="A631" s="25">
        <v>45299</v>
      </c>
      <c r="B631" s="6" t="s">
        <v>837</v>
      </c>
      <c r="C631" s="6" t="s">
        <v>838</v>
      </c>
      <c r="D631" s="25">
        <v>45299</v>
      </c>
      <c r="E631" s="7">
        <v>0</v>
      </c>
      <c r="F631" s="7">
        <v>1880</v>
      </c>
      <c r="G631" s="7">
        <v>19990.71</v>
      </c>
      <c r="I631" s="8">
        <f t="shared" si="9"/>
        <v>0</v>
      </c>
    </row>
    <row r="632" spans="1:9" ht="14.4" x14ac:dyDescent="0.3">
      <c r="A632" s="25">
        <v>45299</v>
      </c>
      <c r="B632" s="6" t="s">
        <v>133</v>
      </c>
      <c r="C632" s="6" t="s">
        <v>839</v>
      </c>
      <c r="D632" s="25">
        <v>45299</v>
      </c>
      <c r="E632" s="7">
        <v>2764.57</v>
      </c>
      <c r="F632" s="7">
        <v>0</v>
      </c>
      <c r="G632" s="7">
        <v>17226.14</v>
      </c>
      <c r="I632" s="8">
        <f t="shared" si="9"/>
        <v>0</v>
      </c>
    </row>
    <row r="633" spans="1:9" ht="14.4" x14ac:dyDescent="0.3">
      <c r="A633" s="25">
        <v>45300</v>
      </c>
      <c r="B633" s="6" t="s">
        <v>496</v>
      </c>
      <c r="C633" s="6" t="s">
        <v>840</v>
      </c>
      <c r="D633" s="25">
        <v>45300</v>
      </c>
      <c r="E633" s="7">
        <v>0</v>
      </c>
      <c r="F633" s="7">
        <v>40963.519999999997</v>
      </c>
      <c r="G633" s="7">
        <v>58189.66</v>
      </c>
      <c r="I633" s="8">
        <f t="shared" si="9"/>
        <v>0</v>
      </c>
    </row>
    <row r="634" spans="1:9" ht="14.4" x14ac:dyDescent="0.3">
      <c r="A634" s="25">
        <v>45300</v>
      </c>
      <c r="B634" s="6" t="s">
        <v>133</v>
      </c>
      <c r="C634" s="6" t="s">
        <v>841</v>
      </c>
      <c r="D634" s="25">
        <v>45300</v>
      </c>
      <c r="E634" s="7">
        <v>204.72</v>
      </c>
      <c r="F634" s="7">
        <v>0</v>
      </c>
      <c r="G634" s="7">
        <v>57984.94</v>
      </c>
      <c r="I634" s="8">
        <f t="shared" si="9"/>
        <v>0</v>
      </c>
    </row>
    <row r="635" spans="1:9" ht="14.4" x14ac:dyDescent="0.3">
      <c r="A635" s="25">
        <v>45301</v>
      </c>
      <c r="B635" s="6" t="s">
        <v>496</v>
      </c>
      <c r="C635" s="6" t="s">
        <v>842</v>
      </c>
      <c r="D635" s="25">
        <v>45301</v>
      </c>
      <c r="E635" s="7">
        <v>0</v>
      </c>
      <c r="F635" s="7">
        <v>40931.08</v>
      </c>
      <c r="G635" s="7">
        <v>98916.02</v>
      </c>
      <c r="I635" s="8">
        <f t="shared" si="9"/>
        <v>0</v>
      </c>
    </row>
    <row r="636" spans="1:9" ht="14.4" x14ac:dyDescent="0.3">
      <c r="A636" s="25">
        <v>45301</v>
      </c>
      <c r="B636" s="6" t="s">
        <v>496</v>
      </c>
      <c r="C636" s="6" t="s">
        <v>843</v>
      </c>
      <c r="D636" s="25">
        <v>45301</v>
      </c>
      <c r="E636" s="7">
        <v>0</v>
      </c>
      <c r="F636" s="7">
        <v>18461.61</v>
      </c>
      <c r="G636" s="7">
        <v>117377.63</v>
      </c>
      <c r="I636" s="8">
        <f t="shared" si="9"/>
        <v>0</v>
      </c>
    </row>
    <row r="637" spans="1:9" ht="14.4" x14ac:dyDescent="0.3">
      <c r="A637" s="25">
        <v>45301</v>
      </c>
      <c r="B637" s="6" t="s">
        <v>133</v>
      </c>
      <c r="C637" s="6" t="s">
        <v>844</v>
      </c>
      <c r="D637" s="25">
        <v>45301</v>
      </c>
      <c r="E637" s="7">
        <v>204.72</v>
      </c>
      <c r="F637" s="7">
        <v>0</v>
      </c>
      <c r="G637" s="7">
        <v>117172.91</v>
      </c>
      <c r="I637" s="8">
        <f t="shared" si="9"/>
        <v>0</v>
      </c>
    </row>
    <row r="638" spans="1:9" ht="14.4" x14ac:dyDescent="0.3">
      <c r="A638" s="25">
        <v>45301</v>
      </c>
      <c r="B638" s="6" t="s">
        <v>133</v>
      </c>
      <c r="C638" s="6" t="s">
        <v>845</v>
      </c>
      <c r="D638" s="25">
        <v>45301</v>
      </c>
      <c r="E638" s="7">
        <v>72572.81</v>
      </c>
      <c r="F638" s="7">
        <v>0</v>
      </c>
      <c r="G638" s="7">
        <v>44600.1</v>
      </c>
      <c r="I638" s="8">
        <f t="shared" si="9"/>
        <v>0</v>
      </c>
    </row>
    <row r="639" spans="1:9" ht="14.4" x14ac:dyDescent="0.3">
      <c r="A639" s="25">
        <v>45302</v>
      </c>
      <c r="B639" s="6" t="s">
        <v>496</v>
      </c>
      <c r="C639" s="6" t="s">
        <v>846</v>
      </c>
      <c r="D639" s="25">
        <v>45302</v>
      </c>
      <c r="E639" s="7">
        <v>0</v>
      </c>
      <c r="F639" s="7">
        <v>36828.800000000003</v>
      </c>
      <c r="G639" s="7">
        <v>81428.899999999994</v>
      </c>
      <c r="I639" s="8">
        <f t="shared" si="9"/>
        <v>0</v>
      </c>
    </row>
    <row r="640" spans="1:9" ht="14.4" x14ac:dyDescent="0.3">
      <c r="A640" s="25">
        <v>45302</v>
      </c>
      <c r="B640" s="6" t="s">
        <v>133</v>
      </c>
      <c r="C640" s="6" t="s">
        <v>847</v>
      </c>
      <c r="D640" s="25">
        <v>45302</v>
      </c>
      <c r="E640" s="7">
        <v>173.41</v>
      </c>
      <c r="F640" s="7">
        <v>0</v>
      </c>
      <c r="G640" s="7">
        <v>81255.490000000005</v>
      </c>
      <c r="I640" s="8">
        <f t="shared" si="9"/>
        <v>0</v>
      </c>
    </row>
    <row r="641" spans="1:9" ht="14.4" x14ac:dyDescent="0.3">
      <c r="A641" s="25">
        <v>45302</v>
      </c>
      <c r="B641" s="6" t="s">
        <v>848</v>
      </c>
      <c r="C641" s="6" t="s">
        <v>149</v>
      </c>
      <c r="D641" s="25">
        <v>45302</v>
      </c>
      <c r="E641" s="7">
        <v>1617.67</v>
      </c>
      <c r="F641" s="7">
        <v>0</v>
      </c>
      <c r="G641" s="7">
        <v>79637.820000000007</v>
      </c>
      <c r="I641" s="8">
        <f t="shared" si="9"/>
        <v>0</v>
      </c>
    </row>
    <row r="642" spans="1:9" ht="14.4" x14ac:dyDescent="0.3">
      <c r="A642" s="25">
        <v>45302</v>
      </c>
      <c r="B642" s="6" t="s">
        <v>133</v>
      </c>
      <c r="C642" s="6" t="s">
        <v>849</v>
      </c>
      <c r="D642" s="25">
        <v>45302</v>
      </c>
      <c r="E642" s="7">
        <v>6897</v>
      </c>
      <c r="F642" s="7">
        <v>0</v>
      </c>
      <c r="G642" s="7">
        <v>72740.820000000007</v>
      </c>
      <c r="I642" s="8">
        <f t="shared" si="9"/>
        <v>0</v>
      </c>
    </row>
    <row r="643" spans="1:9" ht="14.4" x14ac:dyDescent="0.3">
      <c r="A643" s="25">
        <v>45303</v>
      </c>
      <c r="B643" s="6" t="s">
        <v>496</v>
      </c>
      <c r="C643" s="6" t="s">
        <v>850</v>
      </c>
      <c r="D643" s="25">
        <v>45303</v>
      </c>
      <c r="E643" s="7">
        <v>0</v>
      </c>
      <c r="F643" s="7">
        <v>1681</v>
      </c>
      <c r="G643" s="7">
        <v>74421.820000000007</v>
      </c>
      <c r="I643" s="8">
        <f t="shared" si="9"/>
        <v>0</v>
      </c>
    </row>
    <row r="644" spans="1:9" ht="14.4" x14ac:dyDescent="0.3">
      <c r="A644" s="25">
        <v>45303</v>
      </c>
      <c r="B644" s="6" t="s">
        <v>496</v>
      </c>
      <c r="C644" s="6" t="s">
        <v>851</v>
      </c>
      <c r="D644" s="25">
        <v>45303</v>
      </c>
      <c r="E644" s="7">
        <v>0</v>
      </c>
      <c r="F644" s="7">
        <v>28606.73</v>
      </c>
      <c r="G644" s="7">
        <v>103028.55</v>
      </c>
      <c r="I644" s="8">
        <f t="shared" si="9"/>
        <v>0</v>
      </c>
    </row>
    <row r="645" spans="1:9" ht="14.4" x14ac:dyDescent="0.3">
      <c r="A645" s="25">
        <v>45303</v>
      </c>
      <c r="B645" s="6" t="s">
        <v>133</v>
      </c>
      <c r="C645" s="6" t="s">
        <v>852</v>
      </c>
      <c r="D645" s="25">
        <v>45303</v>
      </c>
      <c r="E645" s="7">
        <v>191.9</v>
      </c>
      <c r="F645" s="7">
        <v>0</v>
      </c>
      <c r="G645" s="7">
        <v>102836.65</v>
      </c>
      <c r="I645" s="8">
        <f t="shared" si="9"/>
        <v>0</v>
      </c>
    </row>
    <row r="646" spans="1:9" ht="14.4" x14ac:dyDescent="0.3">
      <c r="A646" s="25">
        <v>45303</v>
      </c>
      <c r="B646" s="6" t="s">
        <v>133</v>
      </c>
      <c r="C646" s="6" t="s">
        <v>853</v>
      </c>
      <c r="D646" s="25">
        <v>45303</v>
      </c>
      <c r="E646" s="7">
        <v>30998.58</v>
      </c>
      <c r="F646" s="7">
        <v>0</v>
      </c>
      <c r="G646" s="7">
        <v>71838.070000000007</v>
      </c>
      <c r="I646" s="8">
        <f t="shared" si="9"/>
        <v>0</v>
      </c>
    </row>
    <row r="647" spans="1:9" ht="14.4" x14ac:dyDescent="0.3">
      <c r="A647" s="25">
        <v>45306</v>
      </c>
      <c r="B647" s="6" t="s">
        <v>496</v>
      </c>
      <c r="C647" s="6" t="s">
        <v>854</v>
      </c>
      <c r="D647" s="25">
        <v>45306</v>
      </c>
      <c r="E647" s="7">
        <v>0</v>
      </c>
      <c r="F647" s="7">
        <v>1431.43</v>
      </c>
      <c r="G647" s="7">
        <v>73269.5</v>
      </c>
      <c r="I647" s="8">
        <f t="shared" si="9"/>
        <v>0</v>
      </c>
    </row>
    <row r="648" spans="1:9" ht="14.4" x14ac:dyDescent="0.3">
      <c r="A648" s="25">
        <v>45306</v>
      </c>
      <c r="B648" s="6" t="s">
        <v>133</v>
      </c>
      <c r="C648" s="6" t="s">
        <v>855</v>
      </c>
      <c r="D648" s="25">
        <v>45306</v>
      </c>
      <c r="E648" s="7">
        <v>568.41</v>
      </c>
      <c r="F648" s="7">
        <v>0</v>
      </c>
      <c r="G648" s="7">
        <v>72701.09</v>
      </c>
      <c r="I648" s="8">
        <f t="shared" si="9"/>
        <v>0</v>
      </c>
    </row>
    <row r="649" spans="1:9" ht="14.4" x14ac:dyDescent="0.3">
      <c r="A649" s="25">
        <v>45306</v>
      </c>
      <c r="B649" s="6" t="s">
        <v>133</v>
      </c>
      <c r="C649" s="6" t="s">
        <v>856</v>
      </c>
      <c r="D649" s="25">
        <v>45306</v>
      </c>
      <c r="E649" s="7">
        <v>8950.17</v>
      </c>
      <c r="F649" s="7">
        <v>0</v>
      </c>
      <c r="G649" s="7">
        <v>63750.92</v>
      </c>
      <c r="I649" s="8">
        <f t="shared" si="9"/>
        <v>0</v>
      </c>
    </row>
    <row r="650" spans="1:9" ht="14.4" x14ac:dyDescent="0.3">
      <c r="A650" s="25">
        <v>45307</v>
      </c>
      <c r="B650" s="6" t="s">
        <v>496</v>
      </c>
      <c r="C650" s="6" t="s">
        <v>857</v>
      </c>
      <c r="D650" s="25">
        <v>45307</v>
      </c>
      <c r="E650" s="7">
        <v>0</v>
      </c>
      <c r="F650" s="7">
        <v>301.02999999999997</v>
      </c>
      <c r="G650" s="7">
        <v>64051.95</v>
      </c>
      <c r="I650" s="8">
        <f t="shared" si="9"/>
        <v>0</v>
      </c>
    </row>
    <row r="651" spans="1:9" ht="14.4" x14ac:dyDescent="0.3">
      <c r="A651" s="25">
        <v>45307</v>
      </c>
      <c r="B651" s="6" t="s">
        <v>133</v>
      </c>
      <c r="C651" s="6" t="s">
        <v>858</v>
      </c>
      <c r="D651" s="25">
        <v>45307</v>
      </c>
      <c r="E651" s="7">
        <v>216.37</v>
      </c>
      <c r="F651" s="7">
        <v>0</v>
      </c>
      <c r="G651" s="7">
        <v>63835.58</v>
      </c>
      <c r="I651" s="8">
        <f t="shared" si="9"/>
        <v>0</v>
      </c>
    </row>
    <row r="652" spans="1:9" ht="14.4" x14ac:dyDescent="0.3">
      <c r="A652" s="25">
        <v>45307</v>
      </c>
      <c r="B652" s="6" t="s">
        <v>133</v>
      </c>
      <c r="C652" s="6" t="s">
        <v>859</v>
      </c>
      <c r="D652" s="25">
        <v>45307</v>
      </c>
      <c r="E652" s="7">
        <v>35367.75</v>
      </c>
      <c r="F652" s="7">
        <v>0</v>
      </c>
      <c r="G652" s="7">
        <v>28467.83</v>
      </c>
      <c r="I652" s="8">
        <f t="shared" si="9"/>
        <v>0</v>
      </c>
    </row>
    <row r="653" spans="1:9" ht="14.4" x14ac:dyDescent="0.3">
      <c r="A653" s="25">
        <v>45308</v>
      </c>
      <c r="B653" s="6" t="s">
        <v>133</v>
      </c>
      <c r="C653" s="6" t="s">
        <v>860</v>
      </c>
      <c r="D653" s="25">
        <v>45308</v>
      </c>
      <c r="E653" s="7">
        <v>197.24</v>
      </c>
      <c r="F653" s="7">
        <v>0</v>
      </c>
      <c r="G653" s="7">
        <v>28270.59</v>
      </c>
      <c r="I653" s="8">
        <f t="shared" si="9"/>
        <v>0</v>
      </c>
    </row>
    <row r="654" spans="1:9" ht="14.4" x14ac:dyDescent="0.3">
      <c r="A654" s="25">
        <v>45309</v>
      </c>
      <c r="B654" s="6" t="s">
        <v>133</v>
      </c>
      <c r="C654" s="6" t="s">
        <v>861</v>
      </c>
      <c r="D654" s="25">
        <v>45309</v>
      </c>
      <c r="E654" s="7">
        <v>11949.82</v>
      </c>
      <c r="F654" s="7">
        <v>0</v>
      </c>
      <c r="G654" s="7">
        <v>16320.77</v>
      </c>
      <c r="I654" s="8">
        <f t="shared" si="9"/>
        <v>0</v>
      </c>
    </row>
    <row r="655" spans="1:9" ht="14.4" x14ac:dyDescent="0.3">
      <c r="A655" s="25">
        <v>45309</v>
      </c>
      <c r="B655" s="6" t="s">
        <v>496</v>
      </c>
      <c r="C655" s="6" t="s">
        <v>862</v>
      </c>
      <c r="D655" s="25">
        <v>45309</v>
      </c>
      <c r="E655" s="7">
        <v>0</v>
      </c>
      <c r="F655" s="7">
        <v>36868.81</v>
      </c>
      <c r="G655" s="7">
        <v>53189.58</v>
      </c>
      <c r="I655" s="8">
        <f t="shared" si="9"/>
        <v>0</v>
      </c>
    </row>
    <row r="656" spans="1:9" ht="14.4" x14ac:dyDescent="0.3">
      <c r="A656" s="25">
        <v>45309</v>
      </c>
      <c r="B656" s="6" t="s">
        <v>133</v>
      </c>
      <c r="C656" s="6" t="s">
        <v>863</v>
      </c>
      <c r="D656" s="25">
        <v>45309</v>
      </c>
      <c r="E656" s="7">
        <v>192.98</v>
      </c>
      <c r="F656" s="7">
        <v>0</v>
      </c>
      <c r="G656" s="7">
        <v>52996.6</v>
      </c>
      <c r="I656" s="8">
        <f t="shared" si="9"/>
        <v>0</v>
      </c>
    </row>
    <row r="657" spans="1:9" ht="14.4" x14ac:dyDescent="0.3">
      <c r="A657" s="25">
        <v>45309</v>
      </c>
      <c r="B657" s="6" t="s">
        <v>133</v>
      </c>
      <c r="C657" s="6" t="s">
        <v>864</v>
      </c>
      <c r="D657" s="25">
        <v>45309</v>
      </c>
      <c r="E657" s="7">
        <v>2791.46</v>
      </c>
      <c r="F657" s="7">
        <v>0</v>
      </c>
      <c r="G657" s="7">
        <v>50205.14</v>
      </c>
      <c r="I657" s="8">
        <f t="shared" si="9"/>
        <v>0</v>
      </c>
    </row>
    <row r="658" spans="1:9" ht="14.4" x14ac:dyDescent="0.3">
      <c r="A658" s="25">
        <v>45310</v>
      </c>
      <c r="B658" s="6" t="s">
        <v>133</v>
      </c>
      <c r="C658" s="6" t="s">
        <v>865</v>
      </c>
      <c r="D658" s="25">
        <v>45310</v>
      </c>
      <c r="E658" s="7">
        <v>200.49</v>
      </c>
      <c r="F658" s="7">
        <v>0</v>
      </c>
      <c r="G658" s="7">
        <v>50004.65</v>
      </c>
      <c r="I658" s="8">
        <f t="shared" si="9"/>
        <v>0</v>
      </c>
    </row>
    <row r="659" spans="1:9" ht="14.4" x14ac:dyDescent="0.3">
      <c r="A659" s="25">
        <v>45310</v>
      </c>
      <c r="B659" s="6" t="s">
        <v>133</v>
      </c>
      <c r="C659" s="6" t="s">
        <v>866</v>
      </c>
      <c r="D659" s="25">
        <v>45310</v>
      </c>
      <c r="E659" s="7">
        <v>34795.31</v>
      </c>
      <c r="F659" s="7">
        <v>0</v>
      </c>
      <c r="G659" s="7">
        <v>15209.34</v>
      </c>
      <c r="I659" s="8">
        <f t="shared" si="9"/>
        <v>0</v>
      </c>
    </row>
    <row r="660" spans="1:9" ht="14.4" x14ac:dyDescent="0.3">
      <c r="A660" s="25">
        <v>45311</v>
      </c>
      <c r="B660" s="6" t="s">
        <v>496</v>
      </c>
      <c r="C660" s="6" t="s">
        <v>867</v>
      </c>
      <c r="D660" s="25">
        <v>45311</v>
      </c>
      <c r="E660" s="7">
        <v>0</v>
      </c>
      <c r="F660" s="7">
        <v>24264.54</v>
      </c>
      <c r="G660" s="7">
        <v>39473.879999999997</v>
      </c>
      <c r="I660" s="8">
        <f t="shared" si="9"/>
        <v>0</v>
      </c>
    </row>
    <row r="661" spans="1:9" ht="14.4" x14ac:dyDescent="0.3">
      <c r="A661" s="25">
        <v>45311</v>
      </c>
      <c r="B661" s="6" t="s">
        <v>496</v>
      </c>
      <c r="C661" s="6" t="s">
        <v>868</v>
      </c>
      <c r="D661" s="25">
        <v>45311</v>
      </c>
      <c r="E661" s="7">
        <v>0</v>
      </c>
      <c r="F661" s="7">
        <v>34795.31</v>
      </c>
      <c r="G661" s="7">
        <v>74269.19</v>
      </c>
      <c r="I661" s="8">
        <f t="shared" si="9"/>
        <v>0</v>
      </c>
    </row>
    <row r="662" spans="1:9" ht="14.4" x14ac:dyDescent="0.3">
      <c r="A662" s="25">
        <v>45311</v>
      </c>
      <c r="B662" s="6" t="s">
        <v>133</v>
      </c>
      <c r="C662" s="6" t="s">
        <v>869</v>
      </c>
      <c r="D662" s="25">
        <v>45311</v>
      </c>
      <c r="E662" s="7">
        <v>209.13</v>
      </c>
      <c r="F662" s="7">
        <v>0</v>
      </c>
      <c r="G662" s="7">
        <v>74060.06</v>
      </c>
      <c r="I662" s="8">
        <f t="shared" si="9"/>
        <v>0</v>
      </c>
    </row>
    <row r="663" spans="1:9" ht="14.4" x14ac:dyDescent="0.3">
      <c r="A663" s="25">
        <v>45311</v>
      </c>
      <c r="B663" s="6" t="s">
        <v>870</v>
      </c>
      <c r="C663" s="6" t="s">
        <v>871</v>
      </c>
      <c r="D663" s="25">
        <v>45311</v>
      </c>
      <c r="E663" s="7">
        <v>6.38</v>
      </c>
      <c r="F663" s="7">
        <v>0</v>
      </c>
      <c r="G663" s="7">
        <v>74053.679999999993</v>
      </c>
      <c r="I663" s="8">
        <f t="shared" si="9"/>
        <v>0</v>
      </c>
    </row>
    <row r="664" spans="1:9" ht="14.4" x14ac:dyDescent="0.3">
      <c r="A664" s="25">
        <v>45311</v>
      </c>
      <c r="B664" s="6" t="s">
        <v>133</v>
      </c>
      <c r="C664" s="6" t="s">
        <v>872</v>
      </c>
      <c r="D664" s="25">
        <v>45311</v>
      </c>
      <c r="E664" s="7">
        <v>25340.33</v>
      </c>
      <c r="F664" s="7">
        <v>0</v>
      </c>
      <c r="G664" s="7">
        <v>48713.35</v>
      </c>
      <c r="I664" s="8">
        <f t="shared" ref="I664:I727" si="10">G663-E664+F664-G664</f>
        <v>0</v>
      </c>
    </row>
    <row r="665" spans="1:9" ht="14.4" x14ac:dyDescent="0.3">
      <c r="A665" s="25">
        <v>45314</v>
      </c>
      <c r="B665" s="6" t="s">
        <v>496</v>
      </c>
      <c r="C665" s="6" t="s">
        <v>873</v>
      </c>
      <c r="D665" s="25">
        <v>45314</v>
      </c>
      <c r="E665" s="7">
        <v>0</v>
      </c>
      <c r="F665" s="7">
        <v>4184.24</v>
      </c>
      <c r="G665" s="7">
        <v>52897.59</v>
      </c>
      <c r="I665" s="8">
        <f t="shared" si="10"/>
        <v>0</v>
      </c>
    </row>
    <row r="666" spans="1:9" ht="14.4" x14ac:dyDescent="0.3">
      <c r="A666" s="25">
        <v>45314</v>
      </c>
      <c r="B666" s="6" t="s">
        <v>133</v>
      </c>
      <c r="C666" s="6" t="s">
        <v>874</v>
      </c>
      <c r="D666" s="25">
        <v>45314</v>
      </c>
      <c r="E666" s="7">
        <v>600.33000000000004</v>
      </c>
      <c r="F666" s="7">
        <v>0</v>
      </c>
      <c r="G666" s="7">
        <v>52297.26</v>
      </c>
      <c r="I666" s="8">
        <f t="shared" si="10"/>
        <v>0</v>
      </c>
    </row>
    <row r="667" spans="1:9" ht="14.4" x14ac:dyDescent="0.3">
      <c r="A667" s="25">
        <v>45315</v>
      </c>
      <c r="B667" s="6" t="s">
        <v>133</v>
      </c>
      <c r="C667" s="6" t="s">
        <v>875</v>
      </c>
      <c r="D667" s="25">
        <v>45315</v>
      </c>
      <c r="E667" s="7">
        <v>8592.98</v>
      </c>
      <c r="F667" s="7">
        <v>0</v>
      </c>
      <c r="G667" s="7">
        <v>43704.28</v>
      </c>
      <c r="I667" s="8">
        <f t="shared" si="10"/>
        <v>0</v>
      </c>
    </row>
    <row r="668" spans="1:9" ht="14.4" x14ac:dyDescent="0.3">
      <c r="A668" s="25">
        <v>45315</v>
      </c>
      <c r="B668" s="6" t="s">
        <v>133</v>
      </c>
      <c r="C668" s="6" t="s">
        <v>876</v>
      </c>
      <c r="D668" s="25">
        <v>45315</v>
      </c>
      <c r="E668" s="7">
        <v>197.93</v>
      </c>
      <c r="F668" s="7">
        <v>0</v>
      </c>
      <c r="G668" s="7">
        <v>43506.35</v>
      </c>
      <c r="I668" s="8">
        <f t="shared" si="10"/>
        <v>0</v>
      </c>
    </row>
    <row r="669" spans="1:9" ht="14.4" x14ac:dyDescent="0.3">
      <c r="A669" s="25">
        <v>45316</v>
      </c>
      <c r="B669" s="6" t="s">
        <v>496</v>
      </c>
      <c r="C669" s="6" t="s">
        <v>877</v>
      </c>
      <c r="D669" s="25">
        <v>45316</v>
      </c>
      <c r="E669" s="7">
        <v>0</v>
      </c>
      <c r="F669" s="7">
        <v>61708.6</v>
      </c>
      <c r="G669" s="7">
        <v>105214.95</v>
      </c>
      <c r="I669" s="8">
        <f t="shared" si="10"/>
        <v>0</v>
      </c>
    </row>
    <row r="670" spans="1:9" ht="14.4" x14ac:dyDescent="0.3">
      <c r="A670" s="25">
        <v>45316</v>
      </c>
      <c r="B670" s="6" t="s">
        <v>133</v>
      </c>
      <c r="C670" s="6" t="s">
        <v>878</v>
      </c>
      <c r="D670" s="25">
        <v>45316</v>
      </c>
      <c r="E670" s="7">
        <v>197.93</v>
      </c>
      <c r="F670" s="7">
        <v>0</v>
      </c>
      <c r="G670" s="7">
        <v>105017.02</v>
      </c>
      <c r="I670" s="8">
        <f t="shared" si="10"/>
        <v>0</v>
      </c>
    </row>
    <row r="671" spans="1:9" ht="14.4" x14ac:dyDescent="0.3">
      <c r="A671" s="25">
        <v>45317</v>
      </c>
      <c r="B671" s="6" t="s">
        <v>133</v>
      </c>
      <c r="C671" s="6" t="s">
        <v>879</v>
      </c>
      <c r="D671" s="25">
        <v>45317</v>
      </c>
      <c r="E671" s="7">
        <v>73510.929999999993</v>
      </c>
      <c r="F671" s="7">
        <v>0</v>
      </c>
      <c r="G671" s="7">
        <v>31506.09</v>
      </c>
      <c r="I671" s="8">
        <f t="shared" si="10"/>
        <v>0</v>
      </c>
    </row>
    <row r="672" spans="1:9" ht="14.4" x14ac:dyDescent="0.3">
      <c r="A672" s="25">
        <v>45317</v>
      </c>
      <c r="B672" s="6" t="s">
        <v>880</v>
      </c>
      <c r="C672" s="6" t="s">
        <v>881</v>
      </c>
      <c r="D672" s="25">
        <v>45317</v>
      </c>
      <c r="E672" s="7">
        <v>20000</v>
      </c>
      <c r="F672" s="7">
        <v>0</v>
      </c>
      <c r="G672" s="7">
        <v>11506.09</v>
      </c>
      <c r="I672" s="8">
        <f t="shared" si="10"/>
        <v>0</v>
      </c>
    </row>
    <row r="673" spans="1:9" ht="14.4" x14ac:dyDescent="0.3">
      <c r="A673" s="25">
        <v>45320</v>
      </c>
      <c r="B673" s="6" t="s">
        <v>882</v>
      </c>
      <c r="C673" s="6" t="s">
        <v>883</v>
      </c>
      <c r="D673" s="25">
        <v>45320</v>
      </c>
      <c r="E673" s="7">
        <v>5000</v>
      </c>
      <c r="F673" s="7">
        <v>0</v>
      </c>
      <c r="G673" s="7">
        <v>6506.09</v>
      </c>
      <c r="I673" s="8">
        <f t="shared" si="10"/>
        <v>0</v>
      </c>
    </row>
    <row r="674" spans="1:9" ht="14.4" x14ac:dyDescent="0.3">
      <c r="A674" s="25">
        <v>45320</v>
      </c>
      <c r="B674" s="6" t="s">
        <v>133</v>
      </c>
      <c r="C674" s="6" t="s">
        <v>884</v>
      </c>
      <c r="D674" s="25">
        <v>45320</v>
      </c>
      <c r="E674" s="7">
        <v>577.36</v>
      </c>
      <c r="F674" s="7">
        <v>0</v>
      </c>
      <c r="G674" s="7">
        <v>5928.73</v>
      </c>
      <c r="I674" s="8">
        <f t="shared" si="10"/>
        <v>0</v>
      </c>
    </row>
    <row r="675" spans="1:9" ht="14.4" x14ac:dyDescent="0.3">
      <c r="A675" s="25">
        <v>45321</v>
      </c>
      <c r="B675" s="6" t="s">
        <v>496</v>
      </c>
      <c r="C675" s="6" t="s">
        <v>885</v>
      </c>
      <c r="D675" s="25">
        <v>45321</v>
      </c>
      <c r="E675" s="7">
        <v>0</v>
      </c>
      <c r="F675" s="7">
        <v>3426.38</v>
      </c>
      <c r="G675" s="7">
        <v>9355.11</v>
      </c>
      <c r="I675" s="8">
        <f t="shared" si="10"/>
        <v>0</v>
      </c>
    </row>
    <row r="676" spans="1:9" ht="14.4" x14ac:dyDescent="0.3">
      <c r="A676" s="25">
        <v>45321</v>
      </c>
      <c r="B676" s="6" t="s">
        <v>886</v>
      </c>
      <c r="C676" s="6" t="s">
        <v>887</v>
      </c>
      <c r="D676" s="25">
        <v>45321</v>
      </c>
      <c r="E676" s="7">
        <v>5000</v>
      </c>
      <c r="F676" s="7">
        <v>0</v>
      </c>
      <c r="G676" s="7">
        <v>4355.1099999999997</v>
      </c>
      <c r="I676" s="8">
        <f t="shared" si="10"/>
        <v>0</v>
      </c>
    </row>
    <row r="677" spans="1:9" ht="14.4" x14ac:dyDescent="0.3">
      <c r="A677" s="25">
        <v>45321</v>
      </c>
      <c r="B677" s="6" t="s">
        <v>888</v>
      </c>
      <c r="C677" s="6" t="s">
        <v>889</v>
      </c>
      <c r="D677" s="25">
        <v>45321</v>
      </c>
      <c r="E677" s="7">
        <v>295</v>
      </c>
      <c r="F677" s="7">
        <v>0</v>
      </c>
      <c r="G677" s="7">
        <v>4060.11</v>
      </c>
      <c r="I677" s="8">
        <f t="shared" si="10"/>
        <v>0</v>
      </c>
    </row>
    <row r="678" spans="1:9" ht="14.4" x14ac:dyDescent="0.3">
      <c r="A678" s="25">
        <v>45321</v>
      </c>
      <c r="B678" s="6" t="s">
        <v>890</v>
      </c>
      <c r="C678" s="6" t="s">
        <v>891</v>
      </c>
      <c r="D678" s="25">
        <v>45321</v>
      </c>
      <c r="E678" s="7">
        <v>236</v>
      </c>
      <c r="F678" s="7">
        <v>0</v>
      </c>
      <c r="G678" s="7">
        <v>3824.11</v>
      </c>
      <c r="I678" s="8">
        <f t="shared" si="10"/>
        <v>0</v>
      </c>
    </row>
    <row r="679" spans="1:9" ht="14.4" x14ac:dyDescent="0.3">
      <c r="A679" s="25">
        <v>45321</v>
      </c>
      <c r="B679" s="6" t="s">
        <v>133</v>
      </c>
      <c r="C679" s="6" t="s">
        <v>892</v>
      </c>
      <c r="D679" s="25">
        <v>45321</v>
      </c>
      <c r="E679" s="7">
        <v>180.33</v>
      </c>
      <c r="F679" s="7">
        <v>0</v>
      </c>
      <c r="G679" s="7">
        <v>3643.78</v>
      </c>
      <c r="I679" s="8">
        <f t="shared" si="10"/>
        <v>0</v>
      </c>
    </row>
    <row r="680" spans="1:9" ht="14.4" x14ac:dyDescent="0.3">
      <c r="A680" s="25">
        <v>45322</v>
      </c>
      <c r="B680" s="6" t="s">
        <v>496</v>
      </c>
      <c r="C680" s="6" t="s">
        <v>893</v>
      </c>
      <c r="D680" s="25">
        <v>45322</v>
      </c>
      <c r="E680" s="7">
        <v>0</v>
      </c>
      <c r="F680" s="7">
        <v>11450.46</v>
      </c>
      <c r="G680" s="7">
        <v>15094.24</v>
      </c>
      <c r="I680" s="8">
        <f t="shared" si="10"/>
        <v>0</v>
      </c>
    </row>
    <row r="681" spans="1:9" ht="14.4" x14ac:dyDescent="0.3">
      <c r="A681" s="25">
        <v>45322</v>
      </c>
      <c r="B681" s="6" t="s">
        <v>133</v>
      </c>
      <c r="C681" s="6" t="s">
        <v>894</v>
      </c>
      <c r="D681" s="25">
        <v>45322</v>
      </c>
      <c r="E681" s="7">
        <v>181.55</v>
      </c>
      <c r="F681" s="7">
        <v>0</v>
      </c>
      <c r="G681" s="7">
        <v>14912.69</v>
      </c>
      <c r="I681" s="8">
        <f t="shared" si="10"/>
        <v>0</v>
      </c>
    </row>
    <row r="682" spans="1:9" ht="14.4" x14ac:dyDescent="0.3">
      <c r="A682" s="25">
        <v>45323</v>
      </c>
      <c r="B682" s="6" t="s">
        <v>496</v>
      </c>
      <c r="C682" s="6" t="s">
        <v>895</v>
      </c>
      <c r="D682" s="25">
        <v>45323</v>
      </c>
      <c r="E682" s="7">
        <v>0</v>
      </c>
      <c r="F682" s="7">
        <v>17235.04</v>
      </c>
      <c r="G682" s="7">
        <v>32147.73</v>
      </c>
      <c r="I682" s="8">
        <f t="shared" si="10"/>
        <v>0</v>
      </c>
    </row>
    <row r="683" spans="1:9" ht="14.4" x14ac:dyDescent="0.3">
      <c r="A683" s="25">
        <v>45323</v>
      </c>
      <c r="B683" s="6" t="s">
        <v>496</v>
      </c>
      <c r="C683" s="6" t="s">
        <v>896</v>
      </c>
      <c r="D683" s="25">
        <v>45323</v>
      </c>
      <c r="E683" s="7">
        <v>0</v>
      </c>
      <c r="F683" s="7">
        <v>43496.53</v>
      </c>
      <c r="G683" s="7">
        <v>75644.259999999995</v>
      </c>
      <c r="I683" s="8">
        <f t="shared" si="10"/>
        <v>0</v>
      </c>
    </row>
    <row r="684" spans="1:9" ht="14.4" x14ac:dyDescent="0.3">
      <c r="A684" s="25">
        <v>45323</v>
      </c>
      <c r="B684" s="6" t="s">
        <v>133</v>
      </c>
      <c r="C684" s="6" t="s">
        <v>897</v>
      </c>
      <c r="D684" s="25">
        <v>45323</v>
      </c>
      <c r="E684" s="7">
        <v>177.06</v>
      </c>
      <c r="F684" s="7">
        <v>0</v>
      </c>
      <c r="G684" s="7">
        <v>75467.199999999997</v>
      </c>
      <c r="I684" s="8">
        <f t="shared" si="10"/>
        <v>0</v>
      </c>
    </row>
    <row r="685" spans="1:9" ht="14.4" x14ac:dyDescent="0.3">
      <c r="A685" s="25">
        <v>45323</v>
      </c>
      <c r="B685" s="6" t="s">
        <v>133</v>
      </c>
      <c r="C685" s="6" t="s">
        <v>898</v>
      </c>
      <c r="D685" s="25">
        <v>45323</v>
      </c>
      <c r="E685" s="7">
        <v>37574.6</v>
      </c>
      <c r="F685" s="7">
        <v>0</v>
      </c>
      <c r="G685" s="7">
        <v>37892.6</v>
      </c>
      <c r="I685" s="8">
        <f t="shared" si="10"/>
        <v>0</v>
      </c>
    </row>
    <row r="686" spans="1:9" ht="14.4" x14ac:dyDescent="0.3">
      <c r="A686" s="25">
        <v>45323</v>
      </c>
      <c r="B686" s="6" t="s">
        <v>133</v>
      </c>
      <c r="C686" s="6" t="s">
        <v>899</v>
      </c>
      <c r="D686" s="25">
        <v>45323</v>
      </c>
      <c r="E686" s="7">
        <v>15263.75</v>
      </c>
      <c r="F686" s="7">
        <v>0</v>
      </c>
      <c r="G686" s="7">
        <v>22628.85</v>
      </c>
      <c r="I686" s="8">
        <f t="shared" si="10"/>
        <v>0</v>
      </c>
    </row>
    <row r="687" spans="1:9" ht="14.4" x14ac:dyDescent="0.3">
      <c r="A687" s="25">
        <v>45324</v>
      </c>
      <c r="B687" s="6" t="s">
        <v>133</v>
      </c>
      <c r="C687" s="6" t="s">
        <v>900</v>
      </c>
      <c r="D687" s="25">
        <v>45324</v>
      </c>
      <c r="E687" s="7">
        <v>166.79</v>
      </c>
      <c r="F687" s="7">
        <v>0</v>
      </c>
      <c r="G687" s="7">
        <v>22462.06</v>
      </c>
      <c r="I687" s="8">
        <f t="shared" si="10"/>
        <v>0</v>
      </c>
    </row>
    <row r="688" spans="1:9" ht="14.4" x14ac:dyDescent="0.3">
      <c r="A688" s="25">
        <v>45324</v>
      </c>
      <c r="B688" s="6" t="s">
        <v>496</v>
      </c>
      <c r="C688" s="6" t="s">
        <v>901</v>
      </c>
      <c r="D688" s="25">
        <v>45324</v>
      </c>
      <c r="E688" s="7">
        <v>0</v>
      </c>
      <c r="F688" s="7">
        <v>7492.75</v>
      </c>
      <c r="G688" s="7">
        <v>29954.81</v>
      </c>
      <c r="I688" s="8">
        <f t="shared" si="10"/>
        <v>0</v>
      </c>
    </row>
    <row r="689" spans="1:9" ht="14.4" x14ac:dyDescent="0.3">
      <c r="A689" s="25">
        <v>45327</v>
      </c>
      <c r="B689" s="6" t="s">
        <v>496</v>
      </c>
      <c r="C689" s="6" t="s">
        <v>902</v>
      </c>
      <c r="D689" s="25">
        <v>45327</v>
      </c>
      <c r="E689" s="7">
        <v>0</v>
      </c>
      <c r="F689" s="7">
        <v>300.77</v>
      </c>
      <c r="G689" s="7">
        <v>30255.58</v>
      </c>
      <c r="I689" s="8">
        <f t="shared" si="10"/>
        <v>0</v>
      </c>
    </row>
    <row r="690" spans="1:9" ht="14.4" x14ac:dyDescent="0.3">
      <c r="A690" s="25">
        <v>45327</v>
      </c>
      <c r="B690" s="6" t="s">
        <v>903</v>
      </c>
      <c r="C690" s="6" t="s">
        <v>904</v>
      </c>
      <c r="D690" s="25">
        <v>45327</v>
      </c>
      <c r="E690" s="7">
        <v>0</v>
      </c>
      <c r="F690" s="7">
        <v>432</v>
      </c>
      <c r="G690" s="7">
        <v>30687.58</v>
      </c>
      <c r="I690" s="8">
        <f t="shared" si="10"/>
        <v>0</v>
      </c>
    </row>
    <row r="691" spans="1:9" ht="14.4" x14ac:dyDescent="0.3">
      <c r="A691" s="25">
        <v>45328</v>
      </c>
      <c r="B691" s="6" t="s">
        <v>496</v>
      </c>
      <c r="C691" s="6" t="s">
        <v>905</v>
      </c>
      <c r="D691" s="25">
        <v>45328</v>
      </c>
      <c r="E691" s="7">
        <v>0</v>
      </c>
      <c r="F691" s="7">
        <v>9327.3700000000008</v>
      </c>
      <c r="G691" s="7">
        <v>40014.949999999997</v>
      </c>
      <c r="I691" s="8">
        <f t="shared" si="10"/>
        <v>0</v>
      </c>
    </row>
    <row r="692" spans="1:9" ht="14.4" x14ac:dyDescent="0.3">
      <c r="A692" s="25">
        <v>45328</v>
      </c>
      <c r="B692" s="6" t="s">
        <v>133</v>
      </c>
      <c r="C692" s="6" t="s">
        <v>906</v>
      </c>
      <c r="D692" s="25">
        <v>45328</v>
      </c>
      <c r="E692" s="7">
        <v>178.43</v>
      </c>
      <c r="F692" s="7">
        <v>0</v>
      </c>
      <c r="G692" s="7">
        <v>39836.519999999997</v>
      </c>
      <c r="I692" s="8">
        <f t="shared" si="10"/>
        <v>0</v>
      </c>
    </row>
    <row r="693" spans="1:9" ht="14.4" x14ac:dyDescent="0.3">
      <c r="A693" s="25">
        <v>45328</v>
      </c>
      <c r="B693" s="6" t="s">
        <v>133</v>
      </c>
      <c r="C693" s="6" t="s">
        <v>907</v>
      </c>
      <c r="D693" s="25">
        <v>45328</v>
      </c>
      <c r="E693" s="7">
        <v>12313.45</v>
      </c>
      <c r="F693" s="7">
        <v>0</v>
      </c>
      <c r="G693" s="7">
        <v>27523.07</v>
      </c>
      <c r="I693" s="8">
        <f t="shared" si="10"/>
        <v>0</v>
      </c>
    </row>
    <row r="694" spans="1:9" ht="14.4" x14ac:dyDescent="0.3">
      <c r="A694" s="25">
        <v>45329</v>
      </c>
      <c r="B694" s="6" t="s">
        <v>496</v>
      </c>
      <c r="C694" s="6" t="s">
        <v>908</v>
      </c>
      <c r="D694" s="25">
        <v>45329</v>
      </c>
      <c r="E694" s="7">
        <v>0</v>
      </c>
      <c r="F694" s="7">
        <v>2364.11</v>
      </c>
      <c r="G694" s="7">
        <v>29887.18</v>
      </c>
      <c r="I694" s="8">
        <f t="shared" si="10"/>
        <v>0</v>
      </c>
    </row>
    <row r="695" spans="1:9" ht="14.4" x14ac:dyDescent="0.3">
      <c r="A695" s="25">
        <v>45329</v>
      </c>
      <c r="B695" s="6" t="s">
        <v>496</v>
      </c>
      <c r="C695" s="6" t="s">
        <v>909</v>
      </c>
      <c r="D695" s="25">
        <v>45329</v>
      </c>
      <c r="E695" s="7">
        <v>0</v>
      </c>
      <c r="F695" s="7">
        <v>68498.41</v>
      </c>
      <c r="G695" s="7">
        <v>98385.59</v>
      </c>
      <c r="I695" s="8">
        <f t="shared" si="10"/>
        <v>0</v>
      </c>
    </row>
    <row r="696" spans="1:9" ht="14.4" x14ac:dyDescent="0.3">
      <c r="A696" s="25">
        <v>45329</v>
      </c>
      <c r="B696" s="6" t="s">
        <v>133</v>
      </c>
      <c r="C696" s="6" t="s">
        <v>910</v>
      </c>
      <c r="D696" s="25">
        <v>45329</v>
      </c>
      <c r="E696" s="7">
        <v>171.34</v>
      </c>
      <c r="F696" s="7">
        <v>0</v>
      </c>
      <c r="G696" s="7">
        <v>98214.25</v>
      </c>
      <c r="I696" s="8">
        <f t="shared" si="10"/>
        <v>0</v>
      </c>
    </row>
    <row r="697" spans="1:9" ht="14.4" x14ac:dyDescent="0.3">
      <c r="A697" s="25">
        <v>45329</v>
      </c>
      <c r="B697" s="6" t="s">
        <v>911</v>
      </c>
      <c r="C697" s="6" t="s">
        <v>912</v>
      </c>
      <c r="D697" s="25">
        <v>45329</v>
      </c>
      <c r="E697" s="7">
        <v>0</v>
      </c>
      <c r="F697" s="7">
        <v>1880</v>
      </c>
      <c r="G697" s="7">
        <v>100094.25</v>
      </c>
      <c r="I697" s="8">
        <f t="shared" si="10"/>
        <v>0</v>
      </c>
    </row>
    <row r="698" spans="1:9" ht="14.4" x14ac:dyDescent="0.3">
      <c r="A698" s="25">
        <v>45329</v>
      </c>
      <c r="B698" s="6" t="s">
        <v>133</v>
      </c>
      <c r="C698" s="6" t="s">
        <v>913</v>
      </c>
      <c r="D698" s="25">
        <v>45329</v>
      </c>
      <c r="E698" s="7">
        <v>72149.03</v>
      </c>
      <c r="F698" s="7">
        <v>0</v>
      </c>
      <c r="G698" s="7">
        <v>27945.22</v>
      </c>
      <c r="I698" s="8">
        <f t="shared" si="10"/>
        <v>0</v>
      </c>
    </row>
    <row r="699" spans="1:9" ht="14.4" x14ac:dyDescent="0.3">
      <c r="A699" s="25">
        <v>45330</v>
      </c>
      <c r="B699" s="6" t="s">
        <v>133</v>
      </c>
      <c r="C699" s="6" t="s">
        <v>914</v>
      </c>
      <c r="D699" s="25">
        <v>45330</v>
      </c>
      <c r="E699" s="7">
        <v>159.99</v>
      </c>
      <c r="F699" s="7">
        <v>0</v>
      </c>
      <c r="G699" s="7">
        <v>27785.23</v>
      </c>
      <c r="I699" s="8">
        <f t="shared" si="10"/>
        <v>0</v>
      </c>
    </row>
    <row r="700" spans="1:9" ht="14.4" x14ac:dyDescent="0.3">
      <c r="A700" s="25">
        <v>45330</v>
      </c>
      <c r="B700" s="6" t="s">
        <v>133</v>
      </c>
      <c r="C700" s="6" t="s">
        <v>915</v>
      </c>
      <c r="D700" s="25">
        <v>45330</v>
      </c>
      <c r="E700" s="7">
        <v>5756.81</v>
      </c>
      <c r="F700" s="7">
        <v>0</v>
      </c>
      <c r="G700" s="7">
        <v>22028.42</v>
      </c>
      <c r="I700" s="8">
        <f t="shared" si="10"/>
        <v>0</v>
      </c>
    </row>
    <row r="701" spans="1:9" ht="14.4" x14ac:dyDescent="0.3">
      <c r="A701" s="25">
        <v>45331</v>
      </c>
      <c r="B701" s="6" t="s">
        <v>133</v>
      </c>
      <c r="C701" s="6" t="s">
        <v>916</v>
      </c>
      <c r="D701" s="25">
        <v>45331</v>
      </c>
      <c r="E701" s="7">
        <v>186.47</v>
      </c>
      <c r="F701" s="7">
        <v>0</v>
      </c>
      <c r="G701" s="7">
        <v>21841.95</v>
      </c>
      <c r="I701" s="8">
        <f t="shared" si="10"/>
        <v>0</v>
      </c>
    </row>
    <row r="702" spans="1:9" ht="14.4" x14ac:dyDescent="0.3">
      <c r="A702" s="25">
        <v>45331</v>
      </c>
      <c r="B702" s="6" t="s">
        <v>496</v>
      </c>
      <c r="C702" s="6" t="s">
        <v>917</v>
      </c>
      <c r="D702" s="25">
        <v>45331</v>
      </c>
      <c r="E702" s="7">
        <v>0</v>
      </c>
      <c r="F702" s="7">
        <v>10311.6</v>
      </c>
      <c r="G702" s="7">
        <v>32153.55</v>
      </c>
      <c r="I702" s="8">
        <f t="shared" si="10"/>
        <v>0</v>
      </c>
    </row>
    <row r="703" spans="1:9" ht="14.4" x14ac:dyDescent="0.3">
      <c r="A703" s="25">
        <v>45334</v>
      </c>
      <c r="B703" s="6" t="s">
        <v>133</v>
      </c>
      <c r="C703" s="6" t="s">
        <v>918</v>
      </c>
      <c r="D703" s="25">
        <v>45334</v>
      </c>
      <c r="E703" s="7">
        <v>589.26</v>
      </c>
      <c r="F703" s="7">
        <v>0</v>
      </c>
      <c r="G703" s="7">
        <v>31564.29</v>
      </c>
      <c r="I703" s="8">
        <f t="shared" si="10"/>
        <v>0</v>
      </c>
    </row>
    <row r="704" spans="1:9" ht="14.4" x14ac:dyDescent="0.3">
      <c r="A704" s="25">
        <v>45334</v>
      </c>
      <c r="B704" s="6" t="s">
        <v>133</v>
      </c>
      <c r="C704" s="6" t="s">
        <v>919</v>
      </c>
      <c r="D704" s="25">
        <v>45334</v>
      </c>
      <c r="E704" s="7">
        <v>19464.98</v>
      </c>
      <c r="F704" s="7">
        <v>0</v>
      </c>
      <c r="G704" s="7">
        <v>12099.31</v>
      </c>
      <c r="I704" s="8">
        <f t="shared" si="10"/>
        <v>0</v>
      </c>
    </row>
    <row r="705" spans="1:9" ht="14.4" x14ac:dyDescent="0.3">
      <c r="A705" s="25">
        <v>45335</v>
      </c>
      <c r="B705" s="6" t="s">
        <v>920</v>
      </c>
      <c r="C705" s="6" t="s">
        <v>149</v>
      </c>
      <c r="D705" s="25">
        <v>45335</v>
      </c>
      <c r="E705" s="7">
        <v>1817.2</v>
      </c>
      <c r="F705" s="7">
        <v>0</v>
      </c>
      <c r="G705" s="7">
        <v>10282.11</v>
      </c>
      <c r="I705" s="8">
        <f t="shared" si="10"/>
        <v>0</v>
      </c>
    </row>
    <row r="706" spans="1:9" ht="14.4" x14ac:dyDescent="0.3">
      <c r="A706" s="25">
        <v>45336</v>
      </c>
      <c r="B706" s="6" t="s">
        <v>496</v>
      </c>
      <c r="C706" s="6" t="s">
        <v>921</v>
      </c>
      <c r="D706" s="25">
        <v>45336</v>
      </c>
      <c r="E706" s="7">
        <v>0</v>
      </c>
      <c r="F706" s="7">
        <v>31633.27</v>
      </c>
      <c r="G706" s="7">
        <v>41915.379999999997</v>
      </c>
      <c r="I706" s="8">
        <f t="shared" si="10"/>
        <v>0</v>
      </c>
    </row>
    <row r="707" spans="1:9" ht="14.4" x14ac:dyDescent="0.3">
      <c r="A707" s="25">
        <v>45336</v>
      </c>
      <c r="B707" s="6" t="s">
        <v>496</v>
      </c>
      <c r="C707" s="6" t="s">
        <v>922</v>
      </c>
      <c r="D707" s="25">
        <v>45336</v>
      </c>
      <c r="E707" s="7">
        <v>0</v>
      </c>
      <c r="F707" s="7">
        <v>53119.4</v>
      </c>
      <c r="G707" s="7">
        <v>95034.78</v>
      </c>
      <c r="I707" s="8">
        <f t="shared" si="10"/>
        <v>0</v>
      </c>
    </row>
    <row r="708" spans="1:9" ht="14.4" x14ac:dyDescent="0.3">
      <c r="A708" s="25">
        <v>45336</v>
      </c>
      <c r="B708" s="6" t="s">
        <v>133</v>
      </c>
      <c r="C708" s="6" t="s">
        <v>923</v>
      </c>
      <c r="D708" s="25">
        <v>45336</v>
      </c>
      <c r="E708" s="7">
        <v>166.17</v>
      </c>
      <c r="F708" s="7">
        <v>0</v>
      </c>
      <c r="G708" s="7">
        <v>94868.61</v>
      </c>
      <c r="I708" s="8">
        <f t="shared" si="10"/>
        <v>0</v>
      </c>
    </row>
    <row r="709" spans="1:9" ht="14.4" x14ac:dyDescent="0.3">
      <c r="A709" s="25">
        <v>45336</v>
      </c>
      <c r="B709" s="6" t="s">
        <v>133</v>
      </c>
      <c r="C709" s="6" t="s">
        <v>924</v>
      </c>
      <c r="D709" s="25">
        <v>45336</v>
      </c>
      <c r="E709" s="7">
        <v>45350.64</v>
      </c>
      <c r="F709" s="7">
        <v>0</v>
      </c>
      <c r="G709" s="7">
        <v>49517.97</v>
      </c>
      <c r="I709" s="8">
        <f t="shared" si="10"/>
        <v>0</v>
      </c>
    </row>
    <row r="710" spans="1:9" ht="14.4" x14ac:dyDescent="0.3">
      <c r="A710" s="25">
        <v>45337</v>
      </c>
      <c r="B710" s="6" t="s">
        <v>133</v>
      </c>
      <c r="C710" s="6" t="s">
        <v>925</v>
      </c>
      <c r="D710" s="25">
        <v>45337</v>
      </c>
      <c r="E710" s="7">
        <v>137.31</v>
      </c>
      <c r="F710" s="7">
        <v>0</v>
      </c>
      <c r="G710" s="7">
        <v>49380.66</v>
      </c>
      <c r="I710" s="8">
        <f t="shared" si="10"/>
        <v>0</v>
      </c>
    </row>
    <row r="711" spans="1:9" ht="14.4" x14ac:dyDescent="0.3">
      <c r="A711" s="25">
        <v>45337</v>
      </c>
      <c r="B711" s="6" t="s">
        <v>926</v>
      </c>
      <c r="C711" s="6" t="s">
        <v>927</v>
      </c>
      <c r="D711" s="25">
        <v>45337</v>
      </c>
      <c r="E711" s="7">
        <v>0</v>
      </c>
      <c r="F711" s="7">
        <v>107.1</v>
      </c>
      <c r="G711" s="7">
        <v>49487.76</v>
      </c>
      <c r="I711" s="8">
        <f t="shared" si="10"/>
        <v>0</v>
      </c>
    </row>
    <row r="712" spans="1:9" ht="14.4" x14ac:dyDescent="0.3">
      <c r="A712" s="25">
        <v>45338</v>
      </c>
      <c r="B712" s="6" t="s">
        <v>496</v>
      </c>
      <c r="C712" s="6" t="s">
        <v>928</v>
      </c>
      <c r="D712" s="25">
        <v>45338</v>
      </c>
      <c r="E712" s="7">
        <v>0</v>
      </c>
      <c r="F712" s="7">
        <v>32534.16</v>
      </c>
      <c r="G712" s="7">
        <v>82021.919999999998</v>
      </c>
      <c r="I712" s="8">
        <f t="shared" si="10"/>
        <v>0</v>
      </c>
    </row>
    <row r="713" spans="1:9" ht="14.4" x14ac:dyDescent="0.3">
      <c r="A713" s="25">
        <v>45338</v>
      </c>
      <c r="B713" s="6" t="s">
        <v>133</v>
      </c>
      <c r="C713" s="6" t="s">
        <v>929</v>
      </c>
      <c r="D713" s="25">
        <v>45338</v>
      </c>
      <c r="E713" s="7">
        <v>159.31</v>
      </c>
      <c r="F713" s="7">
        <v>0</v>
      </c>
      <c r="G713" s="7">
        <v>81862.61</v>
      </c>
      <c r="I713" s="8">
        <f t="shared" si="10"/>
        <v>0</v>
      </c>
    </row>
    <row r="714" spans="1:9" ht="14.4" x14ac:dyDescent="0.3">
      <c r="A714" s="25">
        <v>45338</v>
      </c>
      <c r="B714" s="6" t="s">
        <v>496</v>
      </c>
      <c r="C714" s="6" t="s">
        <v>930</v>
      </c>
      <c r="D714" s="25">
        <v>45338</v>
      </c>
      <c r="E714" s="7">
        <v>0</v>
      </c>
      <c r="F714" s="7">
        <v>1447.36</v>
      </c>
      <c r="G714" s="7">
        <v>83309.97</v>
      </c>
      <c r="I714" s="8">
        <f t="shared" si="10"/>
        <v>0</v>
      </c>
    </row>
    <row r="715" spans="1:9" ht="14.4" x14ac:dyDescent="0.3">
      <c r="A715" s="25">
        <v>45341</v>
      </c>
      <c r="B715" s="6" t="s">
        <v>133</v>
      </c>
      <c r="C715" s="6" t="s">
        <v>931</v>
      </c>
      <c r="D715" s="25">
        <v>45341</v>
      </c>
      <c r="E715" s="7">
        <v>435.18</v>
      </c>
      <c r="F715" s="7">
        <v>0</v>
      </c>
      <c r="G715" s="7">
        <v>82874.789999999994</v>
      </c>
      <c r="I715" s="8">
        <f t="shared" si="10"/>
        <v>0</v>
      </c>
    </row>
    <row r="716" spans="1:9" ht="14.4" x14ac:dyDescent="0.3">
      <c r="A716" s="25">
        <v>45342</v>
      </c>
      <c r="B716" s="6" t="s">
        <v>496</v>
      </c>
      <c r="C716" s="6" t="s">
        <v>932</v>
      </c>
      <c r="D716" s="25">
        <v>45342</v>
      </c>
      <c r="E716" s="7">
        <v>0</v>
      </c>
      <c r="F716" s="7">
        <v>7216.93</v>
      </c>
      <c r="G716" s="7">
        <v>90091.72</v>
      </c>
      <c r="I716" s="8">
        <f t="shared" si="10"/>
        <v>0</v>
      </c>
    </row>
    <row r="717" spans="1:9" ht="14.4" x14ac:dyDescent="0.3">
      <c r="A717" s="25">
        <v>45342</v>
      </c>
      <c r="B717" s="6" t="s">
        <v>496</v>
      </c>
      <c r="C717" s="6" t="s">
        <v>933</v>
      </c>
      <c r="D717" s="25">
        <v>45342</v>
      </c>
      <c r="E717" s="7">
        <v>0</v>
      </c>
      <c r="F717" s="7">
        <v>23823.55</v>
      </c>
      <c r="G717" s="7">
        <v>113915.27</v>
      </c>
      <c r="I717" s="8">
        <f t="shared" si="10"/>
        <v>0</v>
      </c>
    </row>
    <row r="718" spans="1:9" ht="14.4" x14ac:dyDescent="0.3">
      <c r="A718" s="25">
        <v>45342</v>
      </c>
      <c r="B718" s="6" t="s">
        <v>133</v>
      </c>
      <c r="C718" s="6" t="s">
        <v>934</v>
      </c>
      <c r="D718" s="25">
        <v>45342</v>
      </c>
      <c r="E718" s="7">
        <v>145.06</v>
      </c>
      <c r="F718" s="7">
        <v>0</v>
      </c>
      <c r="G718" s="7">
        <v>113770.21</v>
      </c>
      <c r="I718" s="8">
        <f t="shared" si="10"/>
        <v>0</v>
      </c>
    </row>
    <row r="719" spans="1:9" ht="14.4" x14ac:dyDescent="0.3">
      <c r="A719" s="25">
        <v>45343</v>
      </c>
      <c r="B719" s="6" t="s">
        <v>496</v>
      </c>
      <c r="C719" s="6" t="s">
        <v>935</v>
      </c>
      <c r="D719" s="25">
        <v>45343</v>
      </c>
      <c r="E719" s="7">
        <v>0</v>
      </c>
      <c r="F719" s="7">
        <v>1837.18</v>
      </c>
      <c r="G719" s="7">
        <v>115607.39</v>
      </c>
      <c r="I719" s="8">
        <f t="shared" si="10"/>
        <v>0</v>
      </c>
    </row>
    <row r="720" spans="1:9" ht="14.4" x14ac:dyDescent="0.3">
      <c r="A720" s="25">
        <v>45343</v>
      </c>
      <c r="B720" s="6" t="s">
        <v>133</v>
      </c>
      <c r="C720" s="6" t="s">
        <v>936</v>
      </c>
      <c r="D720" s="25">
        <v>45343</v>
      </c>
      <c r="E720" s="7">
        <v>139.5</v>
      </c>
      <c r="F720" s="7">
        <v>0</v>
      </c>
      <c r="G720" s="7">
        <v>115467.89</v>
      </c>
      <c r="I720" s="8">
        <f t="shared" si="10"/>
        <v>0</v>
      </c>
    </row>
    <row r="721" spans="1:9" ht="14.4" x14ac:dyDescent="0.3">
      <c r="A721" s="25">
        <v>45343</v>
      </c>
      <c r="B721" s="6" t="s">
        <v>133</v>
      </c>
      <c r="C721" s="6" t="s">
        <v>937</v>
      </c>
      <c r="D721" s="25">
        <v>45343</v>
      </c>
      <c r="E721" s="7">
        <v>2183.3000000000002</v>
      </c>
      <c r="F721" s="7">
        <v>0</v>
      </c>
      <c r="G721" s="7">
        <v>113284.59</v>
      </c>
      <c r="I721" s="8">
        <f t="shared" si="10"/>
        <v>0</v>
      </c>
    </row>
    <row r="722" spans="1:9" ht="14.4" x14ac:dyDescent="0.3">
      <c r="A722" s="25">
        <v>45344</v>
      </c>
      <c r="B722" s="6" t="s">
        <v>133</v>
      </c>
      <c r="C722" s="6" t="s">
        <v>938</v>
      </c>
      <c r="D722" s="25">
        <v>45344</v>
      </c>
      <c r="E722" s="7">
        <v>139.38</v>
      </c>
      <c r="F722" s="7">
        <v>0</v>
      </c>
      <c r="G722" s="7">
        <v>113145.21</v>
      </c>
      <c r="I722" s="8">
        <f t="shared" si="10"/>
        <v>0</v>
      </c>
    </row>
    <row r="723" spans="1:9" ht="14.4" x14ac:dyDescent="0.3">
      <c r="A723" s="25">
        <v>45344</v>
      </c>
      <c r="B723" s="6" t="s">
        <v>939</v>
      </c>
      <c r="C723" s="6" t="s">
        <v>940</v>
      </c>
      <c r="D723" s="25">
        <v>45344</v>
      </c>
      <c r="E723" s="7">
        <v>0</v>
      </c>
      <c r="F723" s="7">
        <v>52.5</v>
      </c>
      <c r="G723" s="7">
        <v>113197.71</v>
      </c>
      <c r="I723" s="8">
        <f t="shared" si="10"/>
        <v>0</v>
      </c>
    </row>
    <row r="724" spans="1:9" ht="14.4" x14ac:dyDescent="0.3">
      <c r="A724" s="25">
        <v>45344</v>
      </c>
      <c r="B724" s="6" t="s">
        <v>133</v>
      </c>
      <c r="C724" s="6" t="s">
        <v>941</v>
      </c>
      <c r="D724" s="25">
        <v>45344</v>
      </c>
      <c r="E724" s="7">
        <v>23164.73</v>
      </c>
      <c r="F724" s="7">
        <v>0</v>
      </c>
      <c r="G724" s="7">
        <v>90032.98</v>
      </c>
      <c r="I724" s="8">
        <f t="shared" si="10"/>
        <v>0</v>
      </c>
    </row>
    <row r="725" spans="1:9" ht="14.4" x14ac:dyDescent="0.3">
      <c r="A725" s="25">
        <v>45345</v>
      </c>
      <c r="B725" s="6" t="s">
        <v>133</v>
      </c>
      <c r="C725" s="6" t="s">
        <v>942</v>
      </c>
      <c r="D725" s="25">
        <v>45345</v>
      </c>
      <c r="E725" s="7">
        <v>131.13</v>
      </c>
      <c r="F725" s="7">
        <v>0</v>
      </c>
      <c r="G725" s="7">
        <v>89901.85</v>
      </c>
      <c r="I725" s="8">
        <f t="shared" si="10"/>
        <v>0</v>
      </c>
    </row>
    <row r="726" spans="1:9" ht="14.4" x14ac:dyDescent="0.3">
      <c r="A726" s="25">
        <v>45345</v>
      </c>
      <c r="B726" s="6" t="s">
        <v>496</v>
      </c>
      <c r="C726" s="6" t="s">
        <v>943</v>
      </c>
      <c r="D726" s="25">
        <v>45345</v>
      </c>
      <c r="E726" s="7">
        <v>0</v>
      </c>
      <c r="F726" s="7">
        <v>14593.32</v>
      </c>
      <c r="G726" s="7">
        <v>104495.17</v>
      </c>
      <c r="I726" s="8">
        <f t="shared" si="10"/>
        <v>0</v>
      </c>
    </row>
    <row r="727" spans="1:9" ht="14.4" x14ac:dyDescent="0.3">
      <c r="A727" s="25">
        <v>45348</v>
      </c>
      <c r="B727" s="6" t="s">
        <v>496</v>
      </c>
      <c r="C727" s="6" t="s">
        <v>944</v>
      </c>
      <c r="D727" s="25">
        <v>45348</v>
      </c>
      <c r="E727" s="7">
        <v>0</v>
      </c>
      <c r="F727" s="7">
        <v>7777.98</v>
      </c>
      <c r="G727" s="7">
        <v>112273.15</v>
      </c>
      <c r="I727" s="8">
        <f t="shared" si="10"/>
        <v>0</v>
      </c>
    </row>
    <row r="728" spans="1:9" ht="14.4" x14ac:dyDescent="0.3">
      <c r="A728" s="25">
        <v>45348</v>
      </c>
      <c r="B728" s="6" t="s">
        <v>133</v>
      </c>
      <c r="C728" s="6" t="s">
        <v>945</v>
      </c>
      <c r="D728" s="25">
        <v>45348</v>
      </c>
      <c r="E728" s="7">
        <v>8031.85</v>
      </c>
      <c r="F728" s="7">
        <v>0</v>
      </c>
      <c r="G728" s="7">
        <v>104241.3</v>
      </c>
      <c r="I728" s="8">
        <f t="shared" ref="I728:I791" si="11">G727-E728+F728-G728</f>
        <v>0</v>
      </c>
    </row>
    <row r="729" spans="1:9" ht="14.4" x14ac:dyDescent="0.3">
      <c r="A729" s="25">
        <v>45349</v>
      </c>
      <c r="B729" s="6" t="s">
        <v>496</v>
      </c>
      <c r="C729" s="6" t="s">
        <v>946</v>
      </c>
      <c r="D729" s="25">
        <v>45349</v>
      </c>
      <c r="E729" s="7">
        <v>0</v>
      </c>
      <c r="F729" s="7">
        <v>25818.62</v>
      </c>
      <c r="G729" s="7">
        <v>130059.92</v>
      </c>
      <c r="I729" s="8">
        <f t="shared" si="11"/>
        <v>0</v>
      </c>
    </row>
    <row r="730" spans="1:9" ht="14.4" x14ac:dyDescent="0.3">
      <c r="A730" s="25">
        <v>45349</v>
      </c>
      <c r="B730" s="6" t="s">
        <v>133</v>
      </c>
      <c r="C730" s="6" t="s">
        <v>947</v>
      </c>
      <c r="D730" s="25">
        <v>45349</v>
      </c>
      <c r="E730" s="7">
        <v>138.19</v>
      </c>
      <c r="F730" s="7">
        <v>0</v>
      </c>
      <c r="G730" s="7">
        <v>129921.73</v>
      </c>
      <c r="I730" s="8">
        <f t="shared" si="11"/>
        <v>0</v>
      </c>
    </row>
    <row r="731" spans="1:9" ht="14.4" x14ac:dyDescent="0.3">
      <c r="A731" s="25">
        <v>45349</v>
      </c>
      <c r="B731" s="6" t="s">
        <v>948</v>
      </c>
      <c r="C731" s="6" t="s">
        <v>949</v>
      </c>
      <c r="D731" s="25">
        <v>45349</v>
      </c>
      <c r="E731" s="7">
        <v>0</v>
      </c>
      <c r="F731" s="7">
        <v>230</v>
      </c>
      <c r="G731" s="7">
        <v>130151.73</v>
      </c>
      <c r="I731" s="8">
        <f t="shared" si="11"/>
        <v>0</v>
      </c>
    </row>
    <row r="732" spans="1:9" ht="14.4" x14ac:dyDescent="0.3">
      <c r="A732" s="25">
        <v>45349</v>
      </c>
      <c r="B732" s="6" t="s">
        <v>133</v>
      </c>
      <c r="C732" s="6" t="s">
        <v>950</v>
      </c>
      <c r="D732" s="25">
        <v>45349</v>
      </c>
      <c r="E732" s="7">
        <v>16855.75</v>
      </c>
      <c r="F732" s="7">
        <v>0</v>
      </c>
      <c r="G732" s="7">
        <v>113295.98</v>
      </c>
      <c r="I732" s="8">
        <f t="shared" si="11"/>
        <v>0</v>
      </c>
    </row>
    <row r="733" spans="1:9" ht="14.4" x14ac:dyDescent="0.3">
      <c r="A733" s="25">
        <v>45350</v>
      </c>
      <c r="B733" s="6" t="s">
        <v>496</v>
      </c>
      <c r="C733" s="6" t="s">
        <v>951</v>
      </c>
      <c r="D733" s="25">
        <v>45350</v>
      </c>
      <c r="E733" s="7">
        <v>0</v>
      </c>
      <c r="F733" s="7">
        <v>45377.68</v>
      </c>
      <c r="G733" s="7">
        <v>158673.66</v>
      </c>
      <c r="I733" s="8">
        <f t="shared" si="11"/>
        <v>0</v>
      </c>
    </row>
    <row r="734" spans="1:9" ht="14.4" x14ac:dyDescent="0.3">
      <c r="A734" s="25">
        <v>45350</v>
      </c>
      <c r="B734" s="6" t="s">
        <v>952</v>
      </c>
      <c r="C734" s="6" t="s">
        <v>953</v>
      </c>
      <c r="D734" s="25">
        <v>45350</v>
      </c>
      <c r="E734" s="7">
        <v>5000</v>
      </c>
      <c r="F734" s="7">
        <v>0</v>
      </c>
      <c r="G734" s="7">
        <v>153673.66</v>
      </c>
      <c r="I734" s="8">
        <f t="shared" si="11"/>
        <v>0</v>
      </c>
    </row>
    <row r="735" spans="1:9" ht="14.4" x14ac:dyDescent="0.3">
      <c r="A735" s="25">
        <v>45350</v>
      </c>
      <c r="B735" s="6" t="s">
        <v>133</v>
      </c>
      <c r="C735" s="6" t="s">
        <v>954</v>
      </c>
      <c r="D735" s="25">
        <v>45350</v>
      </c>
      <c r="E735" s="7">
        <v>140.76</v>
      </c>
      <c r="F735" s="7">
        <v>0</v>
      </c>
      <c r="G735" s="7">
        <v>153532.9</v>
      </c>
      <c r="I735" s="8">
        <f t="shared" si="11"/>
        <v>0</v>
      </c>
    </row>
    <row r="736" spans="1:9" ht="14.4" x14ac:dyDescent="0.3">
      <c r="A736" s="25">
        <v>45350</v>
      </c>
      <c r="B736" s="6" t="s">
        <v>133</v>
      </c>
      <c r="C736" s="6" t="s">
        <v>955</v>
      </c>
      <c r="D736" s="25">
        <v>45350</v>
      </c>
      <c r="E736" s="7">
        <v>49984.6</v>
      </c>
      <c r="F736" s="7">
        <v>0</v>
      </c>
      <c r="G736" s="7">
        <v>103548.3</v>
      </c>
      <c r="I736" s="8">
        <f t="shared" si="11"/>
        <v>0</v>
      </c>
    </row>
    <row r="737" spans="1:9" ht="14.4" x14ac:dyDescent="0.3">
      <c r="A737" s="25">
        <v>45351</v>
      </c>
      <c r="B737" s="6" t="s">
        <v>956</v>
      </c>
      <c r="C737" s="6" t="s">
        <v>957</v>
      </c>
      <c r="D737" s="25">
        <v>45351</v>
      </c>
      <c r="E737" s="7">
        <v>5000</v>
      </c>
      <c r="F737" s="7">
        <v>0</v>
      </c>
      <c r="G737" s="7">
        <v>98548.3</v>
      </c>
      <c r="I737" s="8">
        <f t="shared" si="11"/>
        <v>0</v>
      </c>
    </row>
    <row r="738" spans="1:9" ht="14.4" x14ac:dyDescent="0.3">
      <c r="A738" s="25">
        <v>45351</v>
      </c>
      <c r="B738" s="6" t="s">
        <v>133</v>
      </c>
      <c r="C738" s="6" t="s">
        <v>958</v>
      </c>
      <c r="D738" s="25">
        <v>45351</v>
      </c>
      <c r="E738" s="7">
        <v>122.95</v>
      </c>
      <c r="F738" s="7">
        <v>0</v>
      </c>
      <c r="G738" s="7">
        <v>98425.35</v>
      </c>
      <c r="I738" s="8">
        <f t="shared" si="11"/>
        <v>0</v>
      </c>
    </row>
    <row r="739" spans="1:9" ht="14.4" x14ac:dyDescent="0.3">
      <c r="A739" s="25">
        <v>45351</v>
      </c>
      <c r="B739" s="6" t="s">
        <v>959</v>
      </c>
      <c r="C739" s="6" t="s">
        <v>960</v>
      </c>
      <c r="D739" s="25">
        <v>45351</v>
      </c>
      <c r="E739" s="7">
        <v>0</v>
      </c>
      <c r="F739" s="7">
        <v>63</v>
      </c>
      <c r="G739" s="7">
        <v>98488.35</v>
      </c>
      <c r="I739" s="8">
        <f t="shared" si="11"/>
        <v>0</v>
      </c>
    </row>
    <row r="740" spans="1:9" ht="14.4" x14ac:dyDescent="0.3">
      <c r="A740" s="25">
        <v>45351</v>
      </c>
      <c r="B740" s="6" t="s">
        <v>334</v>
      </c>
      <c r="C740" s="6" t="s">
        <v>961</v>
      </c>
      <c r="D740" s="25">
        <v>45351</v>
      </c>
      <c r="E740" s="7">
        <v>0</v>
      </c>
      <c r="F740" s="7">
        <v>50000</v>
      </c>
      <c r="G740" s="7">
        <v>148488.35</v>
      </c>
      <c r="I740" s="8">
        <f t="shared" si="11"/>
        <v>0</v>
      </c>
    </row>
    <row r="741" spans="1:9" ht="14.4" x14ac:dyDescent="0.3">
      <c r="A741" s="25">
        <v>45352</v>
      </c>
      <c r="B741" s="6" t="s">
        <v>496</v>
      </c>
      <c r="C741" s="6" t="s">
        <v>962</v>
      </c>
      <c r="D741" s="25">
        <v>45352</v>
      </c>
      <c r="E741" s="7">
        <v>0</v>
      </c>
      <c r="F741" s="7">
        <v>13227.26</v>
      </c>
      <c r="G741" s="7">
        <v>161715.60999999999</v>
      </c>
      <c r="I741" s="8">
        <f t="shared" si="11"/>
        <v>0</v>
      </c>
    </row>
    <row r="742" spans="1:9" ht="14.4" x14ac:dyDescent="0.3">
      <c r="A742" s="25">
        <v>45352</v>
      </c>
      <c r="B742" s="6" t="s">
        <v>496</v>
      </c>
      <c r="C742" s="6" t="s">
        <v>963</v>
      </c>
      <c r="D742" s="25">
        <v>45352</v>
      </c>
      <c r="E742" s="7">
        <v>0</v>
      </c>
      <c r="F742" s="7">
        <v>36237.339999999997</v>
      </c>
      <c r="G742" s="7">
        <v>197952.95</v>
      </c>
      <c r="I742" s="8">
        <f t="shared" si="11"/>
        <v>0</v>
      </c>
    </row>
    <row r="743" spans="1:9" ht="14.4" x14ac:dyDescent="0.3">
      <c r="A743" s="25">
        <v>45352</v>
      </c>
      <c r="B743" s="6" t="s">
        <v>133</v>
      </c>
      <c r="C743" s="6" t="s">
        <v>964</v>
      </c>
      <c r="D743" s="25">
        <v>45352</v>
      </c>
      <c r="E743" s="7">
        <v>122.95</v>
      </c>
      <c r="F743" s="7">
        <v>0</v>
      </c>
      <c r="G743" s="7">
        <v>197830</v>
      </c>
      <c r="I743" s="8">
        <f t="shared" si="11"/>
        <v>0</v>
      </c>
    </row>
    <row r="744" spans="1:9" ht="14.4" x14ac:dyDescent="0.3">
      <c r="A744" s="25">
        <v>45352</v>
      </c>
      <c r="B744" s="6" t="s">
        <v>965</v>
      </c>
      <c r="C744" s="6" t="s">
        <v>966</v>
      </c>
      <c r="D744" s="25">
        <v>45352</v>
      </c>
      <c r="E744" s="7">
        <v>0</v>
      </c>
      <c r="F744" s="7">
        <v>84</v>
      </c>
      <c r="G744" s="7">
        <v>197914</v>
      </c>
      <c r="I744" s="8">
        <f t="shared" si="11"/>
        <v>0</v>
      </c>
    </row>
    <row r="745" spans="1:9" ht="14.4" x14ac:dyDescent="0.3">
      <c r="A745" s="25">
        <v>45352</v>
      </c>
      <c r="B745" s="6" t="s">
        <v>496</v>
      </c>
      <c r="C745" s="6" t="s">
        <v>967</v>
      </c>
      <c r="D745" s="25">
        <v>45352</v>
      </c>
      <c r="E745" s="7">
        <v>0</v>
      </c>
      <c r="F745" s="7">
        <v>1807.09</v>
      </c>
      <c r="G745" s="7">
        <v>199721.09</v>
      </c>
      <c r="I745" s="8">
        <f t="shared" si="11"/>
        <v>0</v>
      </c>
    </row>
    <row r="746" spans="1:9" ht="14.4" x14ac:dyDescent="0.3">
      <c r="A746" s="25">
        <v>45353</v>
      </c>
      <c r="B746" s="6" t="s">
        <v>968</v>
      </c>
      <c r="C746" s="6" t="s">
        <v>969</v>
      </c>
      <c r="D746" s="25">
        <v>45353</v>
      </c>
      <c r="E746" s="7">
        <v>50000</v>
      </c>
      <c r="F746" s="7">
        <v>0</v>
      </c>
      <c r="G746" s="7">
        <v>149721.09</v>
      </c>
      <c r="I746" s="8">
        <f t="shared" si="11"/>
        <v>0</v>
      </c>
    </row>
    <row r="747" spans="1:9" ht="14.4" x14ac:dyDescent="0.3">
      <c r="A747" s="25">
        <v>45353</v>
      </c>
      <c r="B747" s="6" t="s">
        <v>970</v>
      </c>
      <c r="C747" s="6" t="s">
        <v>971</v>
      </c>
      <c r="D747" s="25">
        <v>45353</v>
      </c>
      <c r="E747" s="7">
        <v>10000</v>
      </c>
      <c r="F747" s="7">
        <v>0</v>
      </c>
      <c r="G747" s="7">
        <v>139721.09</v>
      </c>
      <c r="I747" s="8">
        <f t="shared" si="11"/>
        <v>0</v>
      </c>
    </row>
    <row r="748" spans="1:9" ht="14.4" x14ac:dyDescent="0.3">
      <c r="A748" s="25">
        <v>45353</v>
      </c>
      <c r="B748" s="6" t="s">
        <v>133</v>
      </c>
      <c r="C748" s="6" t="s">
        <v>972</v>
      </c>
      <c r="D748" s="25">
        <v>45353</v>
      </c>
      <c r="E748" s="7">
        <v>7149.85</v>
      </c>
      <c r="F748" s="7">
        <v>0</v>
      </c>
      <c r="G748" s="7">
        <v>132571.24</v>
      </c>
      <c r="I748" s="8">
        <f t="shared" si="11"/>
        <v>0</v>
      </c>
    </row>
    <row r="749" spans="1:9" ht="14.4" x14ac:dyDescent="0.3">
      <c r="A749" s="25">
        <v>45355</v>
      </c>
      <c r="B749" s="6" t="s">
        <v>133</v>
      </c>
      <c r="C749" s="6" t="s">
        <v>973</v>
      </c>
      <c r="D749" s="25">
        <v>45355</v>
      </c>
      <c r="E749" s="7">
        <v>349.17</v>
      </c>
      <c r="F749" s="7">
        <v>0</v>
      </c>
      <c r="G749" s="7">
        <v>132222.07</v>
      </c>
      <c r="I749" s="8">
        <f t="shared" si="11"/>
        <v>0</v>
      </c>
    </row>
    <row r="750" spans="1:9" ht="14.4" x14ac:dyDescent="0.3">
      <c r="A750" s="25">
        <v>45356</v>
      </c>
      <c r="B750" s="6" t="s">
        <v>133</v>
      </c>
      <c r="C750" s="6" t="s">
        <v>974</v>
      </c>
      <c r="D750" s="25">
        <v>45356</v>
      </c>
      <c r="E750" s="7">
        <v>228</v>
      </c>
      <c r="F750" s="7">
        <v>0</v>
      </c>
      <c r="G750" s="7">
        <v>131994.07</v>
      </c>
      <c r="I750" s="8">
        <f t="shared" si="11"/>
        <v>0</v>
      </c>
    </row>
    <row r="751" spans="1:9" ht="14.4" x14ac:dyDescent="0.3">
      <c r="A751" s="25">
        <v>45356</v>
      </c>
      <c r="B751" s="6" t="s">
        <v>133</v>
      </c>
      <c r="C751" s="6" t="s">
        <v>975</v>
      </c>
      <c r="D751" s="25">
        <v>45356</v>
      </c>
      <c r="E751" s="7">
        <v>122.56</v>
      </c>
      <c r="F751" s="7">
        <v>0</v>
      </c>
      <c r="G751" s="7">
        <v>131871.51</v>
      </c>
      <c r="I751" s="8">
        <f t="shared" si="11"/>
        <v>0</v>
      </c>
    </row>
    <row r="752" spans="1:9" ht="14.4" x14ac:dyDescent="0.3">
      <c r="A752" s="25">
        <v>45356</v>
      </c>
      <c r="B752" s="6" t="s">
        <v>133</v>
      </c>
      <c r="C752" s="6" t="s">
        <v>976</v>
      </c>
      <c r="D752" s="25">
        <v>45356</v>
      </c>
      <c r="E752" s="7">
        <v>412.95</v>
      </c>
      <c r="F752" s="7">
        <v>0</v>
      </c>
      <c r="G752" s="7">
        <v>131458.56</v>
      </c>
      <c r="I752" s="8">
        <f t="shared" si="11"/>
        <v>0</v>
      </c>
    </row>
    <row r="753" spans="1:9" ht="14.4" x14ac:dyDescent="0.3">
      <c r="A753" s="25">
        <v>45357</v>
      </c>
      <c r="B753" s="6" t="s">
        <v>133</v>
      </c>
      <c r="C753" s="6" t="s">
        <v>977</v>
      </c>
      <c r="D753" s="25">
        <v>45357</v>
      </c>
      <c r="E753" s="7">
        <v>122.41</v>
      </c>
      <c r="F753" s="7">
        <v>0</v>
      </c>
      <c r="G753" s="7">
        <v>131336.15</v>
      </c>
      <c r="I753" s="8">
        <f t="shared" si="11"/>
        <v>0</v>
      </c>
    </row>
    <row r="754" spans="1:9" ht="14.4" x14ac:dyDescent="0.3">
      <c r="A754" s="25">
        <v>45357</v>
      </c>
      <c r="B754" s="6" t="s">
        <v>133</v>
      </c>
      <c r="C754" s="6" t="s">
        <v>978</v>
      </c>
      <c r="D754" s="25">
        <v>45357</v>
      </c>
      <c r="E754" s="7">
        <v>2509.54</v>
      </c>
      <c r="F754" s="7">
        <v>0</v>
      </c>
      <c r="G754" s="7">
        <v>128826.61</v>
      </c>
      <c r="I754" s="8">
        <f t="shared" si="11"/>
        <v>0</v>
      </c>
    </row>
    <row r="755" spans="1:9" ht="14.4" x14ac:dyDescent="0.3">
      <c r="A755" s="25">
        <v>45358</v>
      </c>
      <c r="B755" s="6" t="s">
        <v>979</v>
      </c>
      <c r="C755" s="6" t="s">
        <v>149</v>
      </c>
      <c r="D755" s="25">
        <v>45358</v>
      </c>
      <c r="E755" s="7">
        <v>102250</v>
      </c>
      <c r="F755" s="7">
        <v>0</v>
      </c>
      <c r="G755" s="7">
        <v>26576.61</v>
      </c>
      <c r="I755" s="8">
        <f t="shared" si="11"/>
        <v>0</v>
      </c>
    </row>
    <row r="756" spans="1:9" ht="14.4" x14ac:dyDescent="0.3">
      <c r="A756" s="25">
        <v>45358</v>
      </c>
      <c r="B756" s="6" t="s">
        <v>496</v>
      </c>
      <c r="C756" s="6" t="s">
        <v>980</v>
      </c>
      <c r="D756" s="25">
        <v>45358</v>
      </c>
      <c r="E756" s="7">
        <v>0</v>
      </c>
      <c r="F756" s="7">
        <v>21341.39</v>
      </c>
      <c r="G756" s="7">
        <v>47918</v>
      </c>
      <c r="I756" s="8">
        <f t="shared" si="11"/>
        <v>0</v>
      </c>
    </row>
    <row r="757" spans="1:9" ht="14.4" x14ac:dyDescent="0.3">
      <c r="A757" s="25">
        <v>45358</v>
      </c>
      <c r="B757" s="6" t="s">
        <v>133</v>
      </c>
      <c r="C757" s="6" t="s">
        <v>981</v>
      </c>
      <c r="D757" s="25">
        <v>45358</v>
      </c>
      <c r="E757" s="7">
        <v>121.52</v>
      </c>
      <c r="F757" s="7">
        <v>0</v>
      </c>
      <c r="G757" s="7">
        <v>47796.480000000003</v>
      </c>
      <c r="I757" s="8">
        <f t="shared" si="11"/>
        <v>0</v>
      </c>
    </row>
    <row r="758" spans="1:9" ht="14.4" x14ac:dyDescent="0.3">
      <c r="A758" s="25">
        <v>45358</v>
      </c>
      <c r="B758" s="6" t="s">
        <v>982</v>
      </c>
      <c r="C758" s="6" t="s">
        <v>983</v>
      </c>
      <c r="D758" s="25">
        <v>45358</v>
      </c>
      <c r="E758" s="7">
        <v>0</v>
      </c>
      <c r="F758" s="7">
        <v>1880</v>
      </c>
      <c r="G758" s="7">
        <v>49676.480000000003</v>
      </c>
      <c r="I758" s="8">
        <f t="shared" si="11"/>
        <v>0</v>
      </c>
    </row>
    <row r="759" spans="1:9" ht="14.4" x14ac:dyDescent="0.3">
      <c r="A759" s="25">
        <v>45358</v>
      </c>
      <c r="B759" s="6" t="s">
        <v>133</v>
      </c>
      <c r="C759" s="6" t="s">
        <v>984</v>
      </c>
      <c r="D759" s="25">
        <v>45358</v>
      </c>
      <c r="E759" s="7">
        <v>28006.35</v>
      </c>
      <c r="F759" s="7">
        <v>0</v>
      </c>
      <c r="G759" s="7">
        <v>21670.13</v>
      </c>
      <c r="I759" s="8">
        <f t="shared" si="11"/>
        <v>0</v>
      </c>
    </row>
    <row r="760" spans="1:9" ht="14.4" x14ac:dyDescent="0.3">
      <c r="A760" s="25">
        <v>45361</v>
      </c>
      <c r="B760" s="6" t="s">
        <v>985</v>
      </c>
      <c r="C760" s="6" t="s">
        <v>986</v>
      </c>
      <c r="D760" s="25">
        <v>45361</v>
      </c>
      <c r="E760" s="7">
        <v>0</v>
      </c>
      <c r="F760" s="7">
        <v>10000</v>
      </c>
      <c r="G760" s="7">
        <v>31670.13</v>
      </c>
      <c r="I760" s="8">
        <f t="shared" si="11"/>
        <v>0</v>
      </c>
    </row>
    <row r="761" spans="1:9" ht="14.4" x14ac:dyDescent="0.3">
      <c r="A761" s="25">
        <v>45362</v>
      </c>
      <c r="B761" s="6" t="s">
        <v>133</v>
      </c>
      <c r="C761" s="6" t="s">
        <v>987</v>
      </c>
      <c r="D761" s="25">
        <v>45362</v>
      </c>
      <c r="E761" s="7">
        <v>446.16</v>
      </c>
      <c r="F761" s="7">
        <v>0</v>
      </c>
      <c r="G761" s="7">
        <v>31223.97</v>
      </c>
      <c r="I761" s="8">
        <f t="shared" si="11"/>
        <v>0</v>
      </c>
    </row>
    <row r="762" spans="1:9" ht="14.4" x14ac:dyDescent="0.3">
      <c r="A762" s="25">
        <v>45362</v>
      </c>
      <c r="B762" s="6" t="s">
        <v>133</v>
      </c>
      <c r="C762" s="6" t="s">
        <v>988</v>
      </c>
      <c r="D762" s="25">
        <v>45362</v>
      </c>
      <c r="E762" s="7">
        <v>22735.05</v>
      </c>
      <c r="F762" s="7">
        <v>0</v>
      </c>
      <c r="G762" s="7">
        <v>8488.92</v>
      </c>
      <c r="I762" s="8">
        <f t="shared" si="11"/>
        <v>0</v>
      </c>
    </row>
    <row r="763" spans="1:9" ht="14.4" x14ac:dyDescent="0.3">
      <c r="A763" s="25">
        <v>45362</v>
      </c>
      <c r="B763" s="6" t="s">
        <v>133</v>
      </c>
      <c r="C763" s="6" t="s">
        <v>989</v>
      </c>
      <c r="D763" s="25">
        <v>45362</v>
      </c>
      <c r="E763" s="7">
        <v>2667.69</v>
      </c>
      <c r="F763" s="7">
        <v>0</v>
      </c>
      <c r="G763" s="7">
        <v>5821.23</v>
      </c>
      <c r="I763" s="8">
        <f t="shared" si="11"/>
        <v>0</v>
      </c>
    </row>
    <row r="764" spans="1:9" ht="14.4" x14ac:dyDescent="0.3">
      <c r="A764" s="25">
        <v>45363</v>
      </c>
      <c r="B764" s="6" t="s">
        <v>990</v>
      </c>
      <c r="C764" s="6" t="s">
        <v>991</v>
      </c>
      <c r="D764" s="25">
        <v>45363</v>
      </c>
      <c r="E764" s="7">
        <v>0</v>
      </c>
      <c r="F764" s="7">
        <v>600</v>
      </c>
      <c r="G764" s="7">
        <v>6421.23</v>
      </c>
      <c r="I764" s="8">
        <f t="shared" si="11"/>
        <v>0</v>
      </c>
    </row>
    <row r="765" spans="1:9" ht="14.4" x14ac:dyDescent="0.3">
      <c r="A765" s="25">
        <v>45363</v>
      </c>
      <c r="B765" s="6" t="s">
        <v>133</v>
      </c>
      <c r="C765" s="6" t="s">
        <v>992</v>
      </c>
      <c r="D765" s="25">
        <v>45363</v>
      </c>
      <c r="E765" s="7">
        <v>1818.06</v>
      </c>
      <c r="F765" s="7">
        <v>0</v>
      </c>
      <c r="G765" s="7">
        <v>4603.17</v>
      </c>
      <c r="I765" s="8">
        <f t="shared" si="11"/>
        <v>0</v>
      </c>
    </row>
    <row r="766" spans="1:9" ht="14.4" x14ac:dyDescent="0.3">
      <c r="A766" s="25">
        <v>45364</v>
      </c>
      <c r="B766" s="6" t="s">
        <v>496</v>
      </c>
      <c r="C766" s="6" t="s">
        <v>993</v>
      </c>
      <c r="D766" s="25">
        <v>45364</v>
      </c>
      <c r="E766" s="7">
        <v>0</v>
      </c>
      <c r="F766" s="7">
        <v>41461.06</v>
      </c>
      <c r="G766" s="7">
        <v>46064.23</v>
      </c>
      <c r="I766" s="8">
        <f t="shared" si="11"/>
        <v>0</v>
      </c>
    </row>
    <row r="767" spans="1:9" ht="14.4" x14ac:dyDescent="0.3">
      <c r="A767" s="25">
        <v>45364</v>
      </c>
      <c r="B767" s="6" t="s">
        <v>994</v>
      </c>
      <c r="C767" s="6" t="s">
        <v>995</v>
      </c>
      <c r="D767" s="25">
        <v>45364</v>
      </c>
      <c r="E767" s="7">
        <v>0</v>
      </c>
      <c r="F767" s="7">
        <v>10000</v>
      </c>
      <c r="G767" s="7">
        <v>56064.23</v>
      </c>
      <c r="I767" s="8">
        <f t="shared" si="11"/>
        <v>0</v>
      </c>
    </row>
    <row r="768" spans="1:9" ht="14.4" x14ac:dyDescent="0.3">
      <c r="A768" s="25">
        <v>45364</v>
      </c>
      <c r="B768" s="6" t="s">
        <v>996</v>
      </c>
      <c r="C768" s="6" t="s">
        <v>997</v>
      </c>
      <c r="D768" s="25">
        <v>45364</v>
      </c>
      <c r="E768" s="7">
        <v>20000</v>
      </c>
      <c r="F768" s="7">
        <v>0</v>
      </c>
      <c r="G768" s="7">
        <v>36064.230000000003</v>
      </c>
      <c r="I768" s="8">
        <f t="shared" si="11"/>
        <v>0</v>
      </c>
    </row>
    <row r="769" spans="1:9" ht="14.4" x14ac:dyDescent="0.3">
      <c r="A769" s="25">
        <v>45364</v>
      </c>
      <c r="B769" s="6" t="s">
        <v>133</v>
      </c>
      <c r="C769" s="6" t="s">
        <v>998</v>
      </c>
      <c r="D769" s="25">
        <v>45364</v>
      </c>
      <c r="E769" s="7">
        <v>137.99</v>
      </c>
      <c r="F769" s="7">
        <v>0</v>
      </c>
      <c r="G769" s="7">
        <v>35926.239999999998</v>
      </c>
      <c r="I769" s="8">
        <f t="shared" si="11"/>
        <v>0</v>
      </c>
    </row>
    <row r="770" spans="1:9" ht="14.4" x14ac:dyDescent="0.3">
      <c r="A770" s="25">
        <v>45364</v>
      </c>
      <c r="B770" s="6" t="s">
        <v>999</v>
      </c>
      <c r="C770" s="6" t="s">
        <v>149</v>
      </c>
      <c r="D770" s="25">
        <v>45364</v>
      </c>
      <c r="E770" s="7">
        <v>1706.62</v>
      </c>
      <c r="F770" s="7">
        <v>0</v>
      </c>
      <c r="G770" s="7">
        <v>34219.620000000003</v>
      </c>
      <c r="I770" s="8">
        <f t="shared" si="11"/>
        <v>0</v>
      </c>
    </row>
    <row r="771" spans="1:9" ht="14.4" x14ac:dyDescent="0.3">
      <c r="A771" s="25">
        <v>45364</v>
      </c>
      <c r="B771" s="6" t="s">
        <v>133</v>
      </c>
      <c r="C771" s="6" t="s">
        <v>1000</v>
      </c>
      <c r="D771" s="25">
        <v>45364</v>
      </c>
      <c r="E771" s="7">
        <v>12617.13</v>
      </c>
      <c r="F771" s="7">
        <v>0</v>
      </c>
      <c r="G771" s="7">
        <v>21602.49</v>
      </c>
      <c r="I771" s="8">
        <f t="shared" si="11"/>
        <v>0</v>
      </c>
    </row>
    <row r="772" spans="1:9" ht="14.4" x14ac:dyDescent="0.3">
      <c r="A772" s="25">
        <v>45365</v>
      </c>
      <c r="B772" s="6" t="s">
        <v>133</v>
      </c>
      <c r="C772" s="6" t="s">
        <v>1001</v>
      </c>
      <c r="D772" s="25">
        <v>45365</v>
      </c>
      <c r="E772" s="7">
        <v>133.5</v>
      </c>
      <c r="F772" s="7">
        <v>0</v>
      </c>
      <c r="G772" s="7">
        <v>21468.99</v>
      </c>
      <c r="I772" s="8">
        <f t="shared" si="11"/>
        <v>0</v>
      </c>
    </row>
    <row r="773" spans="1:9" ht="14.4" x14ac:dyDescent="0.3">
      <c r="A773" s="25">
        <v>45366</v>
      </c>
      <c r="B773" s="6" t="s">
        <v>496</v>
      </c>
      <c r="C773" s="6" t="s">
        <v>1002</v>
      </c>
      <c r="D773" s="25">
        <v>45366</v>
      </c>
      <c r="E773" s="7">
        <v>0</v>
      </c>
      <c r="F773" s="7">
        <v>5523.9</v>
      </c>
      <c r="G773" s="7">
        <v>26992.89</v>
      </c>
      <c r="I773" s="8">
        <f t="shared" si="11"/>
        <v>0</v>
      </c>
    </row>
    <row r="774" spans="1:9" ht="14.4" x14ac:dyDescent="0.3">
      <c r="A774" s="25">
        <v>45366</v>
      </c>
      <c r="B774" s="6" t="s">
        <v>133</v>
      </c>
      <c r="C774" s="6" t="s">
        <v>1003</v>
      </c>
      <c r="D774" s="25">
        <v>45366</v>
      </c>
      <c r="E774" s="7">
        <v>138.61000000000001</v>
      </c>
      <c r="F774" s="7">
        <v>0</v>
      </c>
      <c r="G774" s="7">
        <v>26854.28</v>
      </c>
      <c r="I774" s="8">
        <f t="shared" si="11"/>
        <v>0</v>
      </c>
    </row>
    <row r="775" spans="1:9" ht="14.4" x14ac:dyDescent="0.3">
      <c r="A775" s="25">
        <v>45366</v>
      </c>
      <c r="B775" s="6" t="s">
        <v>496</v>
      </c>
      <c r="C775" s="6" t="s">
        <v>1004</v>
      </c>
      <c r="D775" s="25">
        <v>45366</v>
      </c>
      <c r="E775" s="7">
        <v>0</v>
      </c>
      <c r="F775" s="7">
        <v>751.22</v>
      </c>
      <c r="G775" s="7">
        <v>27605.5</v>
      </c>
      <c r="I775" s="8">
        <f t="shared" si="11"/>
        <v>0</v>
      </c>
    </row>
    <row r="776" spans="1:9" ht="14.4" x14ac:dyDescent="0.3">
      <c r="A776" s="25">
        <v>45369</v>
      </c>
      <c r="B776" s="6" t="s">
        <v>133</v>
      </c>
      <c r="C776" s="6" t="s">
        <v>1005</v>
      </c>
      <c r="D776" s="25">
        <v>45369</v>
      </c>
      <c r="E776" s="7">
        <v>422.52</v>
      </c>
      <c r="F776" s="7">
        <v>0</v>
      </c>
      <c r="G776" s="7">
        <v>27182.98</v>
      </c>
      <c r="I776" s="8">
        <f t="shared" si="11"/>
        <v>0</v>
      </c>
    </row>
    <row r="777" spans="1:9" ht="14.4" x14ac:dyDescent="0.3">
      <c r="A777" s="25">
        <v>45369</v>
      </c>
      <c r="B777" s="6" t="s">
        <v>133</v>
      </c>
      <c r="C777" s="6" t="s">
        <v>1006</v>
      </c>
      <c r="D777" s="25">
        <v>45369</v>
      </c>
      <c r="E777" s="7">
        <v>2206.38</v>
      </c>
      <c r="F777" s="7">
        <v>0</v>
      </c>
      <c r="G777" s="7">
        <v>24976.6</v>
      </c>
      <c r="I777" s="8">
        <f t="shared" si="11"/>
        <v>0</v>
      </c>
    </row>
    <row r="778" spans="1:9" ht="14.4" x14ac:dyDescent="0.3">
      <c r="A778" s="25">
        <v>45370</v>
      </c>
      <c r="B778" s="6" t="s">
        <v>133</v>
      </c>
      <c r="C778" s="6" t="s">
        <v>1007</v>
      </c>
      <c r="D778" s="25">
        <v>45370</v>
      </c>
      <c r="E778" s="7">
        <v>140.06</v>
      </c>
      <c r="F778" s="7">
        <v>0</v>
      </c>
      <c r="G778" s="7">
        <v>24836.54</v>
      </c>
      <c r="I778" s="8">
        <f t="shared" si="11"/>
        <v>0</v>
      </c>
    </row>
    <row r="779" spans="1:9" ht="14.4" x14ac:dyDescent="0.3">
      <c r="A779" s="25">
        <v>45370</v>
      </c>
      <c r="B779" s="6" t="s">
        <v>133</v>
      </c>
      <c r="C779" s="6" t="s">
        <v>1008</v>
      </c>
      <c r="D779" s="25">
        <v>45370</v>
      </c>
      <c r="E779" s="7">
        <v>594.47</v>
      </c>
      <c r="F779" s="7">
        <v>0</v>
      </c>
      <c r="G779" s="7">
        <v>24242.07</v>
      </c>
      <c r="I779" s="8">
        <f t="shared" si="11"/>
        <v>0</v>
      </c>
    </row>
    <row r="780" spans="1:9" ht="14.4" x14ac:dyDescent="0.3">
      <c r="A780" s="25">
        <v>45370</v>
      </c>
      <c r="B780" s="6" t="s">
        <v>133</v>
      </c>
      <c r="C780" s="6" t="s">
        <v>1009</v>
      </c>
      <c r="D780" s="25">
        <v>45370</v>
      </c>
      <c r="E780" s="7">
        <v>213.09</v>
      </c>
      <c r="F780" s="7">
        <v>0</v>
      </c>
      <c r="G780" s="7">
        <v>24028.98</v>
      </c>
      <c r="I780" s="8">
        <f t="shared" si="11"/>
        <v>0</v>
      </c>
    </row>
    <row r="781" spans="1:9" ht="14.4" x14ac:dyDescent="0.3">
      <c r="A781" s="25">
        <v>45371</v>
      </c>
      <c r="B781" s="6" t="s">
        <v>1010</v>
      </c>
      <c r="C781" s="6" t="s">
        <v>1011</v>
      </c>
      <c r="D781" s="25">
        <v>45371</v>
      </c>
      <c r="E781" s="7">
        <v>0</v>
      </c>
      <c r="F781" s="7">
        <v>74144.56</v>
      </c>
      <c r="G781" s="7">
        <v>98173.54</v>
      </c>
      <c r="I781" s="8">
        <f t="shared" si="11"/>
        <v>0</v>
      </c>
    </row>
    <row r="782" spans="1:9" ht="14.4" x14ac:dyDescent="0.3">
      <c r="A782" s="25">
        <v>45371</v>
      </c>
      <c r="B782" s="6" t="s">
        <v>1012</v>
      </c>
      <c r="C782" s="6" t="s">
        <v>1013</v>
      </c>
      <c r="D782" s="25">
        <v>45371</v>
      </c>
      <c r="E782" s="7">
        <v>0</v>
      </c>
      <c r="F782" s="7">
        <v>293411.76</v>
      </c>
      <c r="G782" s="7">
        <v>391585.3</v>
      </c>
      <c r="I782" s="8">
        <f t="shared" si="11"/>
        <v>0</v>
      </c>
    </row>
    <row r="783" spans="1:9" ht="14.4" x14ac:dyDescent="0.3">
      <c r="A783" s="25">
        <v>45371</v>
      </c>
      <c r="B783" s="6" t="s">
        <v>1014</v>
      </c>
      <c r="C783" s="6" t="s">
        <v>1015</v>
      </c>
      <c r="D783" s="25">
        <v>45371</v>
      </c>
      <c r="E783" s="7">
        <v>0</v>
      </c>
      <c r="F783" s="7">
        <v>117705.12</v>
      </c>
      <c r="G783" s="7">
        <v>509290.42</v>
      </c>
      <c r="I783" s="8">
        <f t="shared" si="11"/>
        <v>0</v>
      </c>
    </row>
    <row r="784" spans="1:9" ht="14.4" x14ac:dyDescent="0.3">
      <c r="A784" s="25">
        <v>45371</v>
      </c>
      <c r="B784" s="6" t="s">
        <v>133</v>
      </c>
      <c r="C784" s="6" t="s">
        <v>1016</v>
      </c>
      <c r="D784" s="25">
        <v>45371</v>
      </c>
      <c r="E784" s="7">
        <v>139.85</v>
      </c>
      <c r="F784" s="7">
        <v>0</v>
      </c>
      <c r="G784" s="7">
        <v>509150.57</v>
      </c>
      <c r="I784" s="8">
        <f t="shared" si="11"/>
        <v>0</v>
      </c>
    </row>
    <row r="785" spans="1:9" ht="14.4" x14ac:dyDescent="0.3">
      <c r="A785" s="25">
        <v>45371</v>
      </c>
      <c r="B785" s="6" t="s">
        <v>1017</v>
      </c>
      <c r="C785" s="6" t="s">
        <v>1018</v>
      </c>
      <c r="D785" s="25">
        <v>45371</v>
      </c>
      <c r="E785" s="7">
        <v>100000</v>
      </c>
      <c r="F785" s="7">
        <v>0</v>
      </c>
      <c r="G785" s="7">
        <v>409150.57</v>
      </c>
      <c r="I785" s="8">
        <f t="shared" si="11"/>
        <v>0</v>
      </c>
    </row>
    <row r="786" spans="1:9" ht="14.4" x14ac:dyDescent="0.3">
      <c r="A786" s="25">
        <v>45371</v>
      </c>
      <c r="B786" s="6" t="s">
        <v>1019</v>
      </c>
      <c r="C786" s="6" t="s">
        <v>1020</v>
      </c>
      <c r="D786" s="25">
        <v>45371</v>
      </c>
      <c r="E786" s="7">
        <v>50000</v>
      </c>
      <c r="F786" s="7">
        <v>0</v>
      </c>
      <c r="G786" s="7">
        <v>359150.57</v>
      </c>
      <c r="I786" s="8">
        <f t="shared" si="11"/>
        <v>0</v>
      </c>
    </row>
    <row r="787" spans="1:9" ht="14.4" x14ac:dyDescent="0.3">
      <c r="A787" s="25">
        <v>45371</v>
      </c>
      <c r="B787" s="6" t="s">
        <v>565</v>
      </c>
      <c r="C787" s="6" t="s">
        <v>1021</v>
      </c>
      <c r="D787" s="25">
        <v>45371</v>
      </c>
      <c r="E787" s="7">
        <v>50000</v>
      </c>
      <c r="F787" s="7">
        <v>0</v>
      </c>
      <c r="G787" s="7">
        <v>309150.57</v>
      </c>
      <c r="I787" s="8">
        <f t="shared" si="11"/>
        <v>0</v>
      </c>
    </row>
    <row r="788" spans="1:9" ht="14.4" x14ac:dyDescent="0.3">
      <c r="A788" s="25">
        <v>45371</v>
      </c>
      <c r="B788" s="6" t="s">
        <v>968</v>
      </c>
      <c r="C788" s="6" t="s">
        <v>1022</v>
      </c>
      <c r="D788" s="25">
        <v>45371</v>
      </c>
      <c r="E788" s="7">
        <v>100000</v>
      </c>
      <c r="F788" s="7">
        <v>0</v>
      </c>
      <c r="G788" s="7">
        <v>209150.57</v>
      </c>
      <c r="I788" s="8">
        <f t="shared" si="11"/>
        <v>0</v>
      </c>
    </row>
    <row r="789" spans="1:9" ht="14.4" x14ac:dyDescent="0.3">
      <c r="A789" s="25">
        <v>45371</v>
      </c>
      <c r="B789" s="6" t="s">
        <v>133</v>
      </c>
      <c r="C789" s="6" t="s">
        <v>1023</v>
      </c>
      <c r="D789" s="25">
        <v>45371</v>
      </c>
      <c r="E789" s="7">
        <v>56641.91</v>
      </c>
      <c r="F789" s="7">
        <v>0</v>
      </c>
      <c r="G789" s="7">
        <v>152508.66</v>
      </c>
      <c r="I789" s="8">
        <f t="shared" si="11"/>
        <v>0</v>
      </c>
    </row>
    <row r="790" spans="1:9" ht="14.4" x14ac:dyDescent="0.3">
      <c r="A790" s="25">
        <v>45372</v>
      </c>
      <c r="B790" s="6" t="s">
        <v>496</v>
      </c>
      <c r="C790" s="6" t="s">
        <v>1024</v>
      </c>
      <c r="D790" s="25">
        <v>45372</v>
      </c>
      <c r="E790" s="7">
        <v>0</v>
      </c>
      <c r="F790" s="7">
        <v>30000</v>
      </c>
      <c r="G790" s="7">
        <v>182508.66</v>
      </c>
      <c r="I790" s="8">
        <f t="shared" si="11"/>
        <v>0</v>
      </c>
    </row>
    <row r="791" spans="1:9" ht="14.4" x14ac:dyDescent="0.3">
      <c r="A791" s="25">
        <v>45372</v>
      </c>
      <c r="B791" s="6" t="s">
        <v>1025</v>
      </c>
      <c r="C791" s="6" t="s">
        <v>1026</v>
      </c>
      <c r="D791" s="25">
        <v>45372</v>
      </c>
      <c r="E791" s="7">
        <v>50000</v>
      </c>
      <c r="F791" s="7">
        <v>0</v>
      </c>
      <c r="G791" s="7">
        <v>132508.66</v>
      </c>
      <c r="I791" s="8">
        <f t="shared" si="11"/>
        <v>0</v>
      </c>
    </row>
    <row r="792" spans="1:9" ht="14.4" x14ac:dyDescent="0.3">
      <c r="A792" s="25">
        <v>45372</v>
      </c>
      <c r="B792" s="6" t="s">
        <v>133</v>
      </c>
      <c r="C792" s="6" t="s">
        <v>1027</v>
      </c>
      <c r="D792" s="25">
        <v>45372</v>
      </c>
      <c r="E792" s="7">
        <v>119.67</v>
      </c>
      <c r="F792" s="7">
        <v>0</v>
      </c>
      <c r="G792" s="7">
        <v>132388.99</v>
      </c>
      <c r="I792" s="8">
        <f t="shared" ref="I792:I807" si="12">G791-E792+F792-G792</f>
        <v>0</v>
      </c>
    </row>
    <row r="793" spans="1:9" ht="14.4" x14ac:dyDescent="0.3">
      <c r="A793" s="25">
        <v>45372</v>
      </c>
      <c r="B793" s="6" t="s">
        <v>133</v>
      </c>
      <c r="C793" s="6" t="s">
        <v>1028</v>
      </c>
      <c r="D793" s="25">
        <v>45372</v>
      </c>
      <c r="E793" s="7">
        <v>20343.95</v>
      </c>
      <c r="F793" s="7">
        <v>0</v>
      </c>
      <c r="G793" s="7">
        <v>112045.04</v>
      </c>
      <c r="I793" s="8">
        <f t="shared" si="12"/>
        <v>0</v>
      </c>
    </row>
    <row r="794" spans="1:9" ht="14.4" x14ac:dyDescent="0.3">
      <c r="A794" s="25">
        <v>45372</v>
      </c>
      <c r="B794" s="6" t="s">
        <v>133</v>
      </c>
      <c r="C794" s="6" t="s">
        <v>1029</v>
      </c>
      <c r="D794" s="25">
        <v>45372</v>
      </c>
      <c r="E794" s="7">
        <v>69314.38</v>
      </c>
      <c r="F794" s="7">
        <v>0</v>
      </c>
      <c r="G794" s="7">
        <v>42730.66</v>
      </c>
      <c r="I794" s="8">
        <f t="shared" si="12"/>
        <v>0</v>
      </c>
    </row>
    <row r="795" spans="1:9" ht="14.4" x14ac:dyDescent="0.3">
      <c r="A795" s="25">
        <v>45373</v>
      </c>
      <c r="B795" s="6" t="s">
        <v>133</v>
      </c>
      <c r="C795" s="6" t="s">
        <v>1030</v>
      </c>
      <c r="D795" s="25">
        <v>45373</v>
      </c>
      <c r="E795" s="7">
        <v>94.99</v>
      </c>
      <c r="F795" s="7">
        <v>0</v>
      </c>
      <c r="G795" s="7">
        <v>42635.67</v>
      </c>
      <c r="I795" s="8">
        <f t="shared" si="12"/>
        <v>0</v>
      </c>
    </row>
    <row r="796" spans="1:9" ht="14.4" x14ac:dyDescent="0.3">
      <c r="A796" s="25">
        <v>45373</v>
      </c>
      <c r="B796" s="6" t="s">
        <v>133</v>
      </c>
      <c r="C796" s="6" t="s">
        <v>1031</v>
      </c>
      <c r="D796" s="25">
        <v>45373</v>
      </c>
      <c r="E796" s="7">
        <v>175.21</v>
      </c>
      <c r="F796" s="7">
        <v>0</v>
      </c>
      <c r="G796" s="7">
        <v>42460.46</v>
      </c>
      <c r="I796" s="8">
        <f t="shared" si="12"/>
        <v>0</v>
      </c>
    </row>
    <row r="797" spans="1:9" ht="14.4" x14ac:dyDescent="0.3">
      <c r="A797" s="25">
        <v>45377</v>
      </c>
      <c r="B797" s="6" t="s">
        <v>496</v>
      </c>
      <c r="C797" s="6" t="s">
        <v>1032</v>
      </c>
      <c r="D797" s="25">
        <v>45377</v>
      </c>
      <c r="E797" s="7">
        <v>0</v>
      </c>
      <c r="F797" s="7">
        <v>21837.43</v>
      </c>
      <c r="G797" s="7">
        <v>64297.89</v>
      </c>
      <c r="I797" s="8">
        <f t="shared" si="12"/>
        <v>0</v>
      </c>
    </row>
    <row r="798" spans="1:9" ht="14.4" x14ac:dyDescent="0.3">
      <c r="A798" s="25">
        <v>45377</v>
      </c>
      <c r="B798" s="6" t="s">
        <v>133</v>
      </c>
      <c r="C798" s="6" t="s">
        <v>1033</v>
      </c>
      <c r="D798" s="25">
        <v>45377</v>
      </c>
      <c r="E798" s="7">
        <v>635.6</v>
      </c>
      <c r="F798" s="7">
        <v>0</v>
      </c>
      <c r="G798" s="7">
        <v>63662.29</v>
      </c>
      <c r="I798" s="8">
        <f t="shared" si="12"/>
        <v>0</v>
      </c>
    </row>
    <row r="799" spans="1:9" ht="14.4" x14ac:dyDescent="0.3">
      <c r="A799" s="25">
        <v>45377</v>
      </c>
      <c r="B799" s="6" t="s">
        <v>133</v>
      </c>
      <c r="C799" s="6" t="s">
        <v>1034</v>
      </c>
      <c r="D799" s="25">
        <v>45377</v>
      </c>
      <c r="E799" s="7">
        <v>1671.29</v>
      </c>
      <c r="F799" s="7">
        <v>0</v>
      </c>
      <c r="G799" s="7">
        <v>61991</v>
      </c>
      <c r="I799" s="8">
        <f t="shared" si="12"/>
        <v>0</v>
      </c>
    </row>
    <row r="800" spans="1:9" ht="14.4" x14ac:dyDescent="0.3">
      <c r="A800" s="25">
        <v>45378</v>
      </c>
      <c r="B800" s="6" t="s">
        <v>133</v>
      </c>
      <c r="C800" s="6" t="s">
        <v>1035</v>
      </c>
      <c r="D800" s="25">
        <v>45378</v>
      </c>
      <c r="E800" s="7">
        <v>158.31</v>
      </c>
      <c r="F800" s="7">
        <v>0</v>
      </c>
      <c r="G800" s="7">
        <v>61832.69</v>
      </c>
      <c r="I800" s="8">
        <f t="shared" si="12"/>
        <v>0</v>
      </c>
    </row>
    <row r="801" spans="1:9" ht="14.4" x14ac:dyDescent="0.3">
      <c r="A801" s="25">
        <v>45378</v>
      </c>
      <c r="B801" s="6" t="s">
        <v>133</v>
      </c>
      <c r="C801" s="6" t="s">
        <v>1036</v>
      </c>
      <c r="D801" s="25">
        <v>45378</v>
      </c>
      <c r="E801" s="7">
        <v>10731.98</v>
      </c>
      <c r="F801" s="7">
        <v>0</v>
      </c>
      <c r="G801" s="7">
        <v>51100.71</v>
      </c>
      <c r="I801" s="8">
        <f t="shared" si="12"/>
        <v>0</v>
      </c>
    </row>
    <row r="802" spans="1:9" ht="14.4" x14ac:dyDescent="0.3">
      <c r="A802" s="25">
        <v>45379</v>
      </c>
      <c r="B802" s="6" t="s">
        <v>1037</v>
      </c>
      <c r="C802" s="6" t="s">
        <v>1038</v>
      </c>
      <c r="D802" s="25">
        <v>45379</v>
      </c>
      <c r="E802" s="7">
        <v>5000</v>
      </c>
      <c r="F802" s="7">
        <v>0</v>
      </c>
      <c r="G802" s="7">
        <v>46100.71</v>
      </c>
      <c r="I802" s="8">
        <f t="shared" si="12"/>
        <v>0</v>
      </c>
    </row>
    <row r="803" spans="1:9" ht="14.4" x14ac:dyDescent="0.3">
      <c r="A803" s="25">
        <v>45379</v>
      </c>
      <c r="B803" s="6" t="s">
        <v>133</v>
      </c>
      <c r="C803" s="6" t="s">
        <v>1039</v>
      </c>
      <c r="D803" s="25">
        <v>45379</v>
      </c>
      <c r="E803" s="7">
        <v>154.47999999999999</v>
      </c>
      <c r="F803" s="7">
        <v>0</v>
      </c>
      <c r="G803" s="7">
        <v>45946.23</v>
      </c>
      <c r="I803" s="8">
        <f t="shared" si="12"/>
        <v>0</v>
      </c>
    </row>
    <row r="804" spans="1:9" ht="14.4" x14ac:dyDescent="0.3">
      <c r="A804" s="25">
        <v>45379</v>
      </c>
      <c r="B804" s="6" t="s">
        <v>496</v>
      </c>
      <c r="C804" s="6" t="s">
        <v>1040</v>
      </c>
      <c r="D804" s="25">
        <v>45379</v>
      </c>
      <c r="E804" s="7">
        <v>0</v>
      </c>
      <c r="F804" s="7">
        <v>11656.66</v>
      </c>
      <c r="G804" s="7">
        <v>57602.89</v>
      </c>
      <c r="I804" s="8">
        <f t="shared" si="12"/>
        <v>0</v>
      </c>
    </row>
    <row r="805" spans="1:9" ht="14.4" x14ac:dyDescent="0.3">
      <c r="A805" s="25">
        <v>45381</v>
      </c>
      <c r="B805" s="6" t="s">
        <v>1041</v>
      </c>
      <c r="C805" s="6" t="s">
        <v>1042</v>
      </c>
      <c r="D805" s="25">
        <v>45381</v>
      </c>
      <c r="E805" s="7">
        <v>0</v>
      </c>
      <c r="F805" s="7">
        <v>54</v>
      </c>
      <c r="G805" s="7">
        <v>57656.89</v>
      </c>
      <c r="I805" s="8">
        <f t="shared" si="12"/>
        <v>0</v>
      </c>
    </row>
    <row r="806" spans="1:9" ht="14.4" x14ac:dyDescent="0.3">
      <c r="A806" s="25">
        <v>45382</v>
      </c>
      <c r="B806" s="6" t="s">
        <v>1043</v>
      </c>
      <c r="C806" s="6" t="s">
        <v>1044</v>
      </c>
      <c r="D806" s="25">
        <v>45382</v>
      </c>
      <c r="E806" s="7">
        <v>15000</v>
      </c>
      <c r="F806" s="7">
        <v>0</v>
      </c>
      <c r="G806" s="7">
        <v>42656.89</v>
      </c>
      <c r="I806" s="8">
        <f t="shared" si="12"/>
        <v>0</v>
      </c>
    </row>
    <row r="807" spans="1:9" ht="14.4" x14ac:dyDescent="0.3">
      <c r="A807" s="25">
        <v>45383</v>
      </c>
      <c r="B807" s="6" t="s">
        <v>343</v>
      </c>
      <c r="C807" s="6" t="s">
        <v>149</v>
      </c>
      <c r="D807" s="25">
        <v>45382</v>
      </c>
      <c r="E807" s="7">
        <v>0</v>
      </c>
      <c r="F807" s="7">
        <v>394</v>
      </c>
      <c r="G807" s="7">
        <v>43050.89</v>
      </c>
      <c r="I807" s="8">
        <f t="shared" si="12"/>
        <v>0</v>
      </c>
    </row>
    <row r="810" spans="1:9" x14ac:dyDescent="0.25">
      <c r="A810" s="6" t="s">
        <v>1045</v>
      </c>
    </row>
    <row r="811" spans="1:9" x14ac:dyDescent="0.25">
      <c r="A811" s="6" t="s">
        <v>1046</v>
      </c>
      <c r="E811" s="6" t="s">
        <v>1047</v>
      </c>
      <c r="F811" s="6" t="s">
        <v>1048</v>
      </c>
      <c r="G811" s="6" t="s">
        <v>1049</v>
      </c>
    </row>
    <row r="812" spans="1:9" x14ac:dyDescent="0.25">
      <c r="A812" s="6">
        <v>83618.17</v>
      </c>
      <c r="E812" s="6">
        <v>4097807.36</v>
      </c>
      <c r="F812" s="6">
        <v>4057240.08</v>
      </c>
      <c r="G812" s="6">
        <v>43050.89</v>
      </c>
    </row>
    <row r="814" spans="1:9" x14ac:dyDescent="0.25">
      <c r="E814" s="6" t="s">
        <v>1050</v>
      </c>
      <c r="F814" s="6" t="s">
        <v>1051</v>
      </c>
    </row>
    <row r="815" spans="1:9" x14ac:dyDescent="0.25">
      <c r="E815" s="6">
        <v>510</v>
      </c>
      <c r="F815" s="6">
        <v>276</v>
      </c>
    </row>
  </sheetData>
  <autoFilter ref="A21:G807" xr:uid="{00000000-0009-0000-0000-000000000000}"/>
  <pageMargins left="0.25" right="0.25" top="0.5" bottom="1" header="0" footer="0"/>
  <pageSetup orientation="landscape" horizontalDpi="300" verticalDpi="300" copies="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A7FDC-17B9-4BAA-9C77-98819F498CA0}">
  <dimension ref="A1:J879"/>
  <sheetViews>
    <sheetView topLeftCell="B849" workbookViewId="0">
      <selection activeCell="H857" sqref="H857"/>
    </sheetView>
  </sheetViews>
  <sheetFormatPr defaultColWidth="14.44140625" defaultRowHeight="15" customHeight="1" x14ac:dyDescent="0.3"/>
  <cols>
    <col min="1" max="1" width="30" style="12" customWidth="1"/>
    <col min="2" max="2" width="35" style="12" customWidth="1"/>
    <col min="3" max="3" width="50" style="12" customWidth="1"/>
    <col min="4" max="4" width="13" style="12" customWidth="1"/>
    <col min="5" max="5" width="20" style="12" customWidth="1"/>
    <col min="6" max="6" width="35" style="12" customWidth="1"/>
    <col min="7" max="9" width="13" style="12" customWidth="1"/>
    <col min="10" max="11" width="8.6640625" style="12" customWidth="1"/>
    <col min="12" max="16384" width="14.44140625" style="12"/>
  </cols>
  <sheetData>
    <row r="1" spans="1:9" ht="14.4" x14ac:dyDescent="0.3">
      <c r="A1" s="12" t="s">
        <v>1485</v>
      </c>
      <c r="B1" s="12" t="s">
        <v>1439</v>
      </c>
      <c r="E1" s="12" t="s">
        <v>1486</v>
      </c>
      <c r="F1" s="12" t="s">
        <v>1487</v>
      </c>
    </row>
    <row r="2" spans="1:9" ht="198" customHeight="1" x14ac:dyDescent="0.3">
      <c r="A2" s="12" t="s">
        <v>1488</v>
      </c>
      <c r="B2" s="13" t="s">
        <v>1489</v>
      </c>
      <c r="E2" s="12" t="s">
        <v>1490</v>
      </c>
      <c r="F2" s="13" t="s">
        <v>1491</v>
      </c>
    </row>
    <row r="3" spans="1:9" ht="14.4" x14ac:dyDescent="0.3">
      <c r="A3" s="12" t="s">
        <v>1492</v>
      </c>
      <c r="B3" s="12" t="s">
        <v>1493</v>
      </c>
      <c r="E3" s="12" t="s">
        <v>1494</v>
      </c>
      <c r="F3" s="12" t="s">
        <v>1495</v>
      </c>
    </row>
    <row r="4" spans="1:9" ht="14.4" x14ac:dyDescent="0.3">
      <c r="A4" s="12" t="s">
        <v>1496</v>
      </c>
      <c r="B4" s="12" t="s">
        <v>1497</v>
      </c>
      <c r="E4" s="12" t="s">
        <v>1498</v>
      </c>
      <c r="F4" s="12" t="s">
        <v>1499</v>
      </c>
    </row>
    <row r="5" spans="1:9" ht="14.4" x14ac:dyDescent="0.3">
      <c r="A5" s="12" t="s">
        <v>1500</v>
      </c>
      <c r="B5" s="12" t="s">
        <v>1501</v>
      </c>
      <c r="E5" s="12" t="s">
        <v>1502</v>
      </c>
      <c r="F5" s="12" t="s">
        <v>1503</v>
      </c>
    </row>
    <row r="6" spans="1:9" ht="14.4" x14ac:dyDescent="0.3">
      <c r="A6" s="12" t="s">
        <v>1504</v>
      </c>
      <c r="B6" s="12" t="s">
        <v>1505</v>
      </c>
      <c r="E6" s="12" t="s">
        <v>1506</v>
      </c>
      <c r="F6" s="12" t="s">
        <v>1493</v>
      </c>
    </row>
    <row r="7" spans="1:9" ht="14.4" x14ac:dyDescent="0.3">
      <c r="A7" s="12" t="s">
        <v>1507</v>
      </c>
      <c r="B7" s="12" t="s">
        <v>1508</v>
      </c>
      <c r="E7" s="12" t="s">
        <v>1509</v>
      </c>
      <c r="F7" s="12" t="s">
        <v>1510</v>
      </c>
    </row>
    <row r="8" spans="1:9" ht="14.4" x14ac:dyDescent="0.3">
      <c r="A8" s="12" t="s">
        <v>1511</v>
      </c>
      <c r="B8" s="12" t="s">
        <v>1512</v>
      </c>
      <c r="E8" s="12" t="s">
        <v>1513</v>
      </c>
      <c r="F8" s="12" t="s">
        <v>1514</v>
      </c>
    </row>
    <row r="9" spans="1:9" ht="14.4" x14ac:dyDescent="0.3">
      <c r="A9" s="12" t="s">
        <v>1515</v>
      </c>
      <c r="B9" s="12" t="s">
        <v>1516</v>
      </c>
      <c r="E9" s="12" t="s">
        <v>1517</v>
      </c>
      <c r="F9" s="12" t="s">
        <v>1518</v>
      </c>
    </row>
    <row r="10" spans="1:9" ht="14.4" x14ac:dyDescent="0.3">
      <c r="A10" s="12" t="s">
        <v>1519</v>
      </c>
      <c r="B10" s="12" t="s">
        <v>1520</v>
      </c>
      <c r="E10" s="12" t="s">
        <v>1521</v>
      </c>
      <c r="F10" s="12" t="s">
        <v>1522</v>
      </c>
    </row>
    <row r="11" spans="1:9" ht="14.4" x14ac:dyDescent="0.3">
      <c r="A11" s="12" t="s">
        <v>1523</v>
      </c>
      <c r="B11" s="12" t="s">
        <v>1524</v>
      </c>
      <c r="E11" s="12" t="s">
        <v>1525</v>
      </c>
      <c r="F11" s="12" t="s">
        <v>1526</v>
      </c>
    </row>
    <row r="12" spans="1:9" ht="14.4" x14ac:dyDescent="0.3">
      <c r="A12" s="12" t="s">
        <v>1527</v>
      </c>
      <c r="B12" s="12" t="s">
        <v>1448</v>
      </c>
      <c r="C12" s="14"/>
    </row>
    <row r="13" spans="1:9" ht="14.4" x14ac:dyDescent="0.3">
      <c r="C13" s="14"/>
    </row>
    <row r="14" spans="1:9" ht="14.4" x14ac:dyDescent="0.3">
      <c r="A14" s="43" t="s">
        <v>1528</v>
      </c>
      <c r="B14" s="42"/>
      <c r="C14" s="42"/>
      <c r="D14" s="42"/>
      <c r="E14" s="42"/>
      <c r="F14" s="42"/>
      <c r="G14" s="42"/>
      <c r="H14" s="42"/>
      <c r="I14" s="42"/>
    </row>
    <row r="15" spans="1:9" ht="14.4" x14ac:dyDescent="0.3">
      <c r="A15" s="15"/>
      <c r="C15" s="14"/>
    </row>
    <row r="16" spans="1:9" ht="14.4" x14ac:dyDescent="0.3">
      <c r="A16" s="15" t="s">
        <v>122</v>
      </c>
      <c r="B16" s="15" t="s">
        <v>1077</v>
      </c>
      <c r="C16" s="15" t="s">
        <v>1529</v>
      </c>
      <c r="D16" s="15" t="s">
        <v>1530</v>
      </c>
      <c r="E16" s="15" t="s">
        <v>1531</v>
      </c>
      <c r="F16" s="15" t="s">
        <v>1532</v>
      </c>
      <c r="G16" s="15" t="s">
        <v>1533</v>
      </c>
      <c r="H16" s="15" t="s">
        <v>1082</v>
      </c>
      <c r="I16" s="15" t="s">
        <v>1534</v>
      </c>
    </row>
    <row r="17" spans="1:10" ht="14.4" x14ac:dyDescent="0.3">
      <c r="A17" s="15"/>
      <c r="B17" s="15"/>
      <c r="C17" s="15" t="s">
        <v>1046</v>
      </c>
      <c r="D17" s="15"/>
      <c r="E17" s="15"/>
      <c r="F17" s="16"/>
      <c r="G17" s="16"/>
      <c r="H17" s="16">
        <v>29.86</v>
      </c>
      <c r="I17" s="15"/>
    </row>
    <row r="18" spans="1:10" ht="14.4" x14ac:dyDescent="0.3">
      <c r="A18" s="18">
        <v>45024</v>
      </c>
      <c r="B18" s="18">
        <v>45024</v>
      </c>
      <c r="C18" s="15" t="s">
        <v>1535</v>
      </c>
      <c r="D18" s="15" t="s">
        <v>1536</v>
      </c>
      <c r="E18" s="15"/>
      <c r="F18" s="16">
        <v>10</v>
      </c>
      <c r="G18" s="16">
        <v>0</v>
      </c>
      <c r="H18" s="16">
        <v>19.86</v>
      </c>
      <c r="I18" s="15" t="s">
        <v>1537</v>
      </c>
      <c r="J18" s="17">
        <f>H17-F18+G18-H18</f>
        <v>0</v>
      </c>
    </row>
    <row r="19" spans="1:10" ht="14.4" x14ac:dyDescent="0.3">
      <c r="A19" s="18">
        <v>45038</v>
      </c>
      <c r="B19" s="18">
        <v>45038</v>
      </c>
      <c r="C19" s="15" t="s">
        <v>1538</v>
      </c>
      <c r="D19" s="15" t="s">
        <v>1536</v>
      </c>
      <c r="E19" s="15"/>
      <c r="F19" s="16">
        <v>9</v>
      </c>
      <c r="G19" s="16">
        <v>0</v>
      </c>
      <c r="H19" s="16">
        <v>10.86</v>
      </c>
      <c r="I19" s="15" t="s">
        <v>1537</v>
      </c>
      <c r="J19" s="17">
        <f t="shared" ref="J19:J82" si="0">H18-F19+G19-H19</f>
        <v>0</v>
      </c>
    </row>
    <row r="20" spans="1:10" ht="15.75" customHeight="1" x14ac:dyDescent="0.3">
      <c r="A20" s="18">
        <v>45099</v>
      </c>
      <c r="B20" s="18">
        <v>45099</v>
      </c>
      <c r="C20" s="15" t="s">
        <v>1539</v>
      </c>
      <c r="D20" s="15" t="s">
        <v>1536</v>
      </c>
      <c r="E20" s="15"/>
      <c r="F20" s="16">
        <v>0</v>
      </c>
      <c r="G20" s="16">
        <v>190</v>
      </c>
      <c r="H20" s="16">
        <v>200.86</v>
      </c>
      <c r="I20" s="15" t="s">
        <v>1540</v>
      </c>
      <c r="J20" s="17">
        <f t="shared" si="0"/>
        <v>0</v>
      </c>
    </row>
    <row r="21" spans="1:10" ht="15.75" customHeight="1" x14ac:dyDescent="0.3">
      <c r="A21" s="18">
        <v>45099</v>
      </c>
      <c r="B21" s="18">
        <v>45099</v>
      </c>
      <c r="C21" s="15" t="s">
        <v>1541</v>
      </c>
      <c r="D21" s="15" t="s">
        <v>1536</v>
      </c>
      <c r="E21" s="15"/>
      <c r="F21" s="16">
        <v>199</v>
      </c>
      <c r="G21" s="16">
        <v>0</v>
      </c>
      <c r="H21" s="16">
        <v>1.86</v>
      </c>
      <c r="I21" s="15" t="s">
        <v>1537</v>
      </c>
      <c r="J21" s="17">
        <f t="shared" si="0"/>
        <v>1.354472090042691E-14</v>
      </c>
    </row>
    <row r="22" spans="1:10" ht="15.75" customHeight="1" x14ac:dyDescent="0.3">
      <c r="A22" s="18">
        <v>45130</v>
      </c>
      <c r="B22" s="18">
        <v>45130</v>
      </c>
      <c r="C22" s="15" t="s">
        <v>1542</v>
      </c>
      <c r="D22" s="15" t="s">
        <v>1536</v>
      </c>
      <c r="E22" s="15"/>
      <c r="F22" s="16">
        <v>0</v>
      </c>
      <c r="G22" s="16">
        <v>199</v>
      </c>
      <c r="H22" s="16">
        <v>200.86</v>
      </c>
      <c r="I22" s="15" t="s">
        <v>1540</v>
      </c>
      <c r="J22" s="17">
        <f t="shared" si="0"/>
        <v>0</v>
      </c>
    </row>
    <row r="23" spans="1:10" ht="15.75" customHeight="1" x14ac:dyDescent="0.3">
      <c r="A23" s="18">
        <v>45138</v>
      </c>
      <c r="B23" s="18">
        <v>45138</v>
      </c>
      <c r="C23" s="15" t="s">
        <v>1543</v>
      </c>
      <c r="D23" s="15" t="s">
        <v>1536</v>
      </c>
      <c r="E23" s="15"/>
      <c r="F23" s="16">
        <v>0</v>
      </c>
      <c r="G23" s="16">
        <v>1000</v>
      </c>
      <c r="H23" s="16">
        <v>1200.8599999999999</v>
      </c>
      <c r="I23" s="15" t="s">
        <v>1540</v>
      </c>
      <c r="J23" s="17">
        <f t="shared" si="0"/>
        <v>0</v>
      </c>
    </row>
    <row r="24" spans="1:10" ht="15.75" customHeight="1" x14ac:dyDescent="0.3">
      <c r="A24" s="18">
        <v>45138</v>
      </c>
      <c r="B24" s="18">
        <v>45138</v>
      </c>
      <c r="C24" s="15" t="s">
        <v>1544</v>
      </c>
      <c r="D24" s="15" t="s">
        <v>1536</v>
      </c>
      <c r="E24" s="15"/>
      <c r="F24" s="16">
        <v>400</v>
      </c>
      <c r="G24" s="16">
        <v>0</v>
      </c>
      <c r="H24" s="16">
        <v>800.86</v>
      </c>
      <c r="I24" s="15" t="s">
        <v>1537</v>
      </c>
      <c r="J24" s="17">
        <f t="shared" si="0"/>
        <v>0</v>
      </c>
    </row>
    <row r="25" spans="1:10" ht="15.75" customHeight="1" x14ac:dyDescent="0.3">
      <c r="A25" s="18">
        <v>45138</v>
      </c>
      <c r="B25" s="18">
        <v>45138</v>
      </c>
      <c r="C25" s="15" t="s">
        <v>1545</v>
      </c>
      <c r="D25" s="15" t="s">
        <v>1536</v>
      </c>
      <c r="E25" s="15"/>
      <c r="F25" s="16">
        <v>200</v>
      </c>
      <c r="G25" s="16">
        <v>0</v>
      </c>
      <c r="H25" s="16">
        <v>600.86</v>
      </c>
      <c r="I25" s="15" t="s">
        <v>1537</v>
      </c>
      <c r="J25" s="17">
        <f t="shared" si="0"/>
        <v>0</v>
      </c>
    </row>
    <row r="26" spans="1:10" ht="15.75" customHeight="1" x14ac:dyDescent="0.3">
      <c r="A26" s="18">
        <v>45138</v>
      </c>
      <c r="B26" s="18">
        <v>45138</v>
      </c>
      <c r="C26" s="15" t="s">
        <v>1546</v>
      </c>
      <c r="D26" s="15" t="s">
        <v>1536</v>
      </c>
      <c r="E26" s="15"/>
      <c r="F26" s="16">
        <v>600</v>
      </c>
      <c r="G26" s="16">
        <v>0</v>
      </c>
      <c r="H26" s="16">
        <v>0.86</v>
      </c>
      <c r="I26" s="15" t="s">
        <v>1537</v>
      </c>
      <c r="J26" s="17">
        <f t="shared" si="0"/>
        <v>1.3655743202889425E-14</v>
      </c>
    </row>
    <row r="27" spans="1:10" ht="15.75" customHeight="1" x14ac:dyDescent="0.3">
      <c r="A27" s="18">
        <v>45185</v>
      </c>
      <c r="B27" s="18">
        <v>45185</v>
      </c>
      <c r="C27" s="15" t="s">
        <v>1547</v>
      </c>
      <c r="D27" s="15" t="s">
        <v>1536</v>
      </c>
      <c r="E27" s="15"/>
      <c r="F27" s="16">
        <v>0</v>
      </c>
      <c r="G27" s="16">
        <v>100</v>
      </c>
      <c r="H27" s="16">
        <v>100.86</v>
      </c>
      <c r="I27" s="15" t="s">
        <v>1540</v>
      </c>
      <c r="J27" s="17">
        <f t="shared" si="0"/>
        <v>0</v>
      </c>
    </row>
    <row r="28" spans="1:10" ht="15.75" customHeight="1" x14ac:dyDescent="0.3">
      <c r="A28" s="18">
        <v>45185</v>
      </c>
      <c r="B28" s="18">
        <v>45185</v>
      </c>
      <c r="C28" s="15" t="s">
        <v>1548</v>
      </c>
      <c r="D28" s="15" t="s">
        <v>1536</v>
      </c>
      <c r="E28" s="15"/>
      <c r="F28" s="16">
        <v>50</v>
      </c>
      <c r="G28" s="16">
        <v>0</v>
      </c>
      <c r="H28" s="16">
        <v>50.86</v>
      </c>
      <c r="I28" s="15" t="s">
        <v>1537</v>
      </c>
      <c r="J28" s="17">
        <f t="shared" si="0"/>
        <v>0</v>
      </c>
    </row>
    <row r="29" spans="1:10" ht="15.75" customHeight="1" x14ac:dyDescent="0.3">
      <c r="A29" s="18">
        <v>45185</v>
      </c>
      <c r="B29" s="18">
        <v>45185</v>
      </c>
      <c r="C29" s="15" t="s">
        <v>1549</v>
      </c>
      <c r="D29" s="15" t="s">
        <v>1536</v>
      </c>
      <c r="E29" s="15"/>
      <c r="F29" s="16">
        <v>50</v>
      </c>
      <c r="G29" s="16">
        <v>0</v>
      </c>
      <c r="H29" s="16">
        <v>0.86</v>
      </c>
      <c r="I29" s="15" t="s">
        <v>1537</v>
      </c>
      <c r="J29" s="17">
        <f t="shared" si="0"/>
        <v>0</v>
      </c>
    </row>
    <row r="30" spans="1:10" ht="15.75" customHeight="1" x14ac:dyDescent="0.3">
      <c r="A30" s="18">
        <v>45185</v>
      </c>
      <c r="B30" s="18">
        <v>45185</v>
      </c>
      <c r="C30" s="15" t="s">
        <v>1550</v>
      </c>
      <c r="D30" s="15" t="s">
        <v>1536</v>
      </c>
      <c r="E30" s="15"/>
      <c r="F30" s="16">
        <v>0</v>
      </c>
      <c r="G30" s="16">
        <v>1000</v>
      </c>
      <c r="H30" s="16">
        <v>1000.86</v>
      </c>
      <c r="I30" s="15" t="s">
        <v>1540</v>
      </c>
      <c r="J30" s="17">
        <f t="shared" si="0"/>
        <v>0</v>
      </c>
    </row>
    <row r="31" spans="1:10" ht="15.75" customHeight="1" x14ac:dyDescent="0.3">
      <c r="A31" s="18">
        <v>45185</v>
      </c>
      <c r="B31" s="18">
        <v>45185</v>
      </c>
      <c r="C31" s="15" t="s">
        <v>1551</v>
      </c>
      <c r="D31" s="15" t="s">
        <v>1536</v>
      </c>
      <c r="E31" s="15"/>
      <c r="F31" s="16">
        <v>50</v>
      </c>
      <c r="G31" s="16">
        <v>0</v>
      </c>
      <c r="H31" s="16">
        <v>950.86</v>
      </c>
      <c r="I31" s="15" t="s">
        <v>1537</v>
      </c>
      <c r="J31" s="17">
        <f t="shared" si="0"/>
        <v>0</v>
      </c>
    </row>
    <row r="32" spans="1:10" ht="15.75" customHeight="1" x14ac:dyDescent="0.3">
      <c r="A32" s="18">
        <v>45185</v>
      </c>
      <c r="B32" s="18">
        <v>45185</v>
      </c>
      <c r="C32" s="15" t="s">
        <v>1552</v>
      </c>
      <c r="D32" s="15" t="s">
        <v>1536</v>
      </c>
      <c r="E32" s="15"/>
      <c r="F32" s="16">
        <v>50</v>
      </c>
      <c r="G32" s="16">
        <v>0</v>
      </c>
      <c r="H32" s="16">
        <v>900.86</v>
      </c>
      <c r="I32" s="15" t="s">
        <v>1537</v>
      </c>
      <c r="J32" s="17">
        <f t="shared" si="0"/>
        <v>0</v>
      </c>
    </row>
    <row r="33" spans="1:10" ht="15.75" customHeight="1" x14ac:dyDescent="0.3">
      <c r="A33" s="18">
        <v>45185</v>
      </c>
      <c r="B33" s="18">
        <v>45185</v>
      </c>
      <c r="C33" s="15" t="s">
        <v>1553</v>
      </c>
      <c r="D33" s="15" t="s">
        <v>1536</v>
      </c>
      <c r="E33" s="15"/>
      <c r="F33" s="16">
        <v>50</v>
      </c>
      <c r="G33" s="16">
        <v>0</v>
      </c>
      <c r="H33" s="16">
        <v>850.86</v>
      </c>
      <c r="I33" s="15" t="s">
        <v>1537</v>
      </c>
      <c r="J33" s="17">
        <f t="shared" si="0"/>
        <v>0</v>
      </c>
    </row>
    <row r="34" spans="1:10" ht="15.75" customHeight="1" x14ac:dyDescent="0.3">
      <c r="A34" s="18">
        <v>45185</v>
      </c>
      <c r="B34" s="18">
        <v>45185</v>
      </c>
      <c r="C34" s="15" t="s">
        <v>1554</v>
      </c>
      <c r="D34" s="15" t="s">
        <v>1536</v>
      </c>
      <c r="E34" s="15"/>
      <c r="F34" s="16">
        <v>50</v>
      </c>
      <c r="G34" s="16">
        <v>0</v>
      </c>
      <c r="H34" s="16">
        <v>800.86</v>
      </c>
      <c r="I34" s="15" t="s">
        <v>1537</v>
      </c>
      <c r="J34" s="17">
        <f t="shared" si="0"/>
        <v>0</v>
      </c>
    </row>
    <row r="35" spans="1:10" ht="15.75" customHeight="1" x14ac:dyDescent="0.3">
      <c r="A35" s="18">
        <v>45185</v>
      </c>
      <c r="B35" s="18">
        <v>45185</v>
      </c>
      <c r="C35" s="15" t="s">
        <v>1555</v>
      </c>
      <c r="D35" s="15" t="s">
        <v>1536</v>
      </c>
      <c r="E35" s="15"/>
      <c r="F35" s="16">
        <v>50</v>
      </c>
      <c r="G35" s="16">
        <v>0</v>
      </c>
      <c r="H35" s="16">
        <v>750.86</v>
      </c>
      <c r="I35" s="15" t="s">
        <v>1537</v>
      </c>
      <c r="J35" s="17">
        <f t="shared" si="0"/>
        <v>0</v>
      </c>
    </row>
    <row r="36" spans="1:10" ht="15.75" customHeight="1" x14ac:dyDescent="0.3">
      <c r="A36" s="18">
        <v>45185</v>
      </c>
      <c r="B36" s="18">
        <v>45185</v>
      </c>
      <c r="C36" s="15" t="s">
        <v>1556</v>
      </c>
      <c r="D36" s="15" t="s">
        <v>1536</v>
      </c>
      <c r="E36" s="15"/>
      <c r="F36" s="16">
        <v>50</v>
      </c>
      <c r="G36" s="16">
        <v>0</v>
      </c>
      <c r="H36" s="16">
        <v>700.86</v>
      </c>
      <c r="I36" s="15" t="s">
        <v>1537</v>
      </c>
      <c r="J36" s="17">
        <f t="shared" si="0"/>
        <v>0</v>
      </c>
    </row>
    <row r="37" spans="1:10" ht="15.75" customHeight="1" x14ac:dyDescent="0.3">
      <c r="A37" s="18">
        <v>45185</v>
      </c>
      <c r="B37" s="18">
        <v>45185</v>
      </c>
      <c r="C37" s="15" t="s">
        <v>1557</v>
      </c>
      <c r="D37" s="15" t="s">
        <v>1536</v>
      </c>
      <c r="E37" s="15"/>
      <c r="F37" s="16">
        <v>50</v>
      </c>
      <c r="G37" s="16">
        <v>0</v>
      </c>
      <c r="H37" s="16">
        <v>650.86</v>
      </c>
      <c r="I37" s="15" t="s">
        <v>1537</v>
      </c>
      <c r="J37" s="17">
        <f t="shared" si="0"/>
        <v>0</v>
      </c>
    </row>
    <row r="38" spans="1:10" ht="15.75" customHeight="1" x14ac:dyDescent="0.3">
      <c r="A38" s="18">
        <v>45185</v>
      </c>
      <c r="B38" s="18">
        <v>45185</v>
      </c>
      <c r="C38" s="15" t="s">
        <v>1558</v>
      </c>
      <c r="D38" s="15" t="s">
        <v>1536</v>
      </c>
      <c r="E38" s="15"/>
      <c r="F38" s="16">
        <v>50</v>
      </c>
      <c r="G38" s="16">
        <v>0</v>
      </c>
      <c r="H38" s="16">
        <v>600.86</v>
      </c>
      <c r="I38" s="15" t="s">
        <v>1537</v>
      </c>
      <c r="J38" s="17">
        <f t="shared" si="0"/>
        <v>0</v>
      </c>
    </row>
    <row r="39" spans="1:10" ht="15.75" customHeight="1" x14ac:dyDescent="0.3">
      <c r="A39" s="18">
        <v>45185</v>
      </c>
      <c r="B39" s="18">
        <v>45185</v>
      </c>
      <c r="C39" s="15" t="s">
        <v>1559</v>
      </c>
      <c r="D39" s="15" t="s">
        <v>1536</v>
      </c>
      <c r="E39" s="15"/>
      <c r="F39" s="16">
        <v>50</v>
      </c>
      <c r="G39" s="16">
        <v>0</v>
      </c>
      <c r="H39" s="16">
        <v>550.86</v>
      </c>
      <c r="I39" s="15" t="s">
        <v>1537</v>
      </c>
      <c r="J39" s="17">
        <f t="shared" si="0"/>
        <v>0</v>
      </c>
    </row>
    <row r="40" spans="1:10" ht="15.75" customHeight="1" x14ac:dyDescent="0.3">
      <c r="A40" s="18">
        <v>45185</v>
      </c>
      <c r="B40" s="18">
        <v>45185</v>
      </c>
      <c r="C40" s="15" t="s">
        <v>1560</v>
      </c>
      <c r="D40" s="15" t="s">
        <v>1536</v>
      </c>
      <c r="E40" s="15"/>
      <c r="F40" s="16">
        <v>50</v>
      </c>
      <c r="G40" s="16">
        <v>0</v>
      </c>
      <c r="H40" s="16">
        <v>500.86</v>
      </c>
      <c r="I40" s="15" t="s">
        <v>1537</v>
      </c>
      <c r="J40" s="17">
        <f t="shared" si="0"/>
        <v>0</v>
      </c>
    </row>
    <row r="41" spans="1:10" ht="15.75" customHeight="1" x14ac:dyDescent="0.3">
      <c r="A41" s="18">
        <v>45185</v>
      </c>
      <c r="B41" s="18">
        <v>45185</v>
      </c>
      <c r="C41" s="15" t="s">
        <v>1561</v>
      </c>
      <c r="D41" s="15" t="s">
        <v>1536</v>
      </c>
      <c r="E41" s="15"/>
      <c r="F41" s="16">
        <v>50</v>
      </c>
      <c r="G41" s="16">
        <v>0</v>
      </c>
      <c r="H41" s="16">
        <v>450.86</v>
      </c>
      <c r="I41" s="15" t="s">
        <v>1537</v>
      </c>
      <c r="J41" s="17">
        <f t="shared" si="0"/>
        <v>0</v>
      </c>
    </row>
    <row r="42" spans="1:10" ht="15.75" customHeight="1" x14ac:dyDescent="0.3">
      <c r="A42" s="18">
        <v>45185</v>
      </c>
      <c r="B42" s="18">
        <v>45185</v>
      </c>
      <c r="C42" s="15" t="s">
        <v>1562</v>
      </c>
      <c r="D42" s="15" t="s">
        <v>1536</v>
      </c>
      <c r="E42" s="15"/>
      <c r="F42" s="16">
        <v>50</v>
      </c>
      <c r="G42" s="16">
        <v>0</v>
      </c>
      <c r="H42" s="16">
        <v>400.86</v>
      </c>
      <c r="I42" s="15" t="s">
        <v>1537</v>
      </c>
      <c r="J42" s="17">
        <f t="shared" si="0"/>
        <v>0</v>
      </c>
    </row>
    <row r="43" spans="1:10" ht="15.75" customHeight="1" x14ac:dyDescent="0.3">
      <c r="A43" s="18">
        <v>45185</v>
      </c>
      <c r="B43" s="18">
        <v>45185</v>
      </c>
      <c r="C43" s="15" t="s">
        <v>1563</v>
      </c>
      <c r="D43" s="15" t="s">
        <v>1536</v>
      </c>
      <c r="E43" s="15"/>
      <c r="F43" s="16">
        <v>50</v>
      </c>
      <c r="G43" s="16">
        <v>0</v>
      </c>
      <c r="H43" s="16">
        <v>350.86</v>
      </c>
      <c r="I43" s="15" t="s">
        <v>1537</v>
      </c>
      <c r="J43" s="17">
        <f t="shared" si="0"/>
        <v>0</v>
      </c>
    </row>
    <row r="44" spans="1:10" ht="15.75" customHeight="1" x14ac:dyDescent="0.3">
      <c r="A44" s="18">
        <v>45185</v>
      </c>
      <c r="B44" s="18">
        <v>45185</v>
      </c>
      <c r="C44" s="15" t="s">
        <v>1564</v>
      </c>
      <c r="D44" s="15" t="s">
        <v>1536</v>
      </c>
      <c r="E44" s="15"/>
      <c r="F44" s="16">
        <v>50</v>
      </c>
      <c r="G44" s="16">
        <v>0</v>
      </c>
      <c r="H44" s="16">
        <v>300.86</v>
      </c>
      <c r="I44" s="15" t="s">
        <v>1537</v>
      </c>
      <c r="J44" s="17">
        <f t="shared" si="0"/>
        <v>0</v>
      </c>
    </row>
    <row r="45" spans="1:10" ht="15.75" customHeight="1" x14ac:dyDescent="0.3">
      <c r="A45" s="18">
        <v>45186</v>
      </c>
      <c r="B45" s="18">
        <v>45186</v>
      </c>
      <c r="C45" s="15" t="s">
        <v>1565</v>
      </c>
      <c r="D45" s="15" t="s">
        <v>1536</v>
      </c>
      <c r="E45" s="15"/>
      <c r="F45" s="16">
        <v>50</v>
      </c>
      <c r="G45" s="16">
        <v>0</v>
      </c>
      <c r="H45" s="16">
        <v>250.86</v>
      </c>
      <c r="I45" s="15" t="s">
        <v>1537</v>
      </c>
      <c r="J45" s="17">
        <f t="shared" si="0"/>
        <v>0</v>
      </c>
    </row>
    <row r="46" spans="1:10" ht="15.75" customHeight="1" x14ac:dyDescent="0.3">
      <c r="A46" s="18">
        <v>45189</v>
      </c>
      <c r="B46" s="18">
        <v>45189</v>
      </c>
      <c r="C46" s="15" t="s">
        <v>1566</v>
      </c>
      <c r="D46" s="15" t="s">
        <v>1536</v>
      </c>
      <c r="E46" s="15"/>
      <c r="F46" s="16">
        <v>88</v>
      </c>
      <c r="G46" s="16">
        <v>0</v>
      </c>
      <c r="H46" s="16">
        <v>162.86000000000001</v>
      </c>
      <c r="I46" s="15" t="s">
        <v>1537</v>
      </c>
      <c r="J46" s="17">
        <f t="shared" si="0"/>
        <v>0</v>
      </c>
    </row>
    <row r="47" spans="1:10" ht="15.75" customHeight="1" x14ac:dyDescent="0.3">
      <c r="A47" s="18">
        <v>45189</v>
      </c>
      <c r="B47" s="18">
        <v>45189</v>
      </c>
      <c r="C47" s="15" t="s">
        <v>1567</v>
      </c>
      <c r="D47" s="15" t="s">
        <v>1536</v>
      </c>
      <c r="E47" s="15"/>
      <c r="F47" s="16">
        <v>48</v>
      </c>
      <c r="G47" s="16">
        <v>0</v>
      </c>
      <c r="H47" s="16">
        <v>114.86</v>
      </c>
      <c r="I47" s="15" t="s">
        <v>1537</v>
      </c>
      <c r="J47" s="17">
        <f t="shared" si="0"/>
        <v>0</v>
      </c>
    </row>
    <row r="48" spans="1:10" ht="15.75" customHeight="1" x14ac:dyDescent="0.3">
      <c r="A48" s="18">
        <v>45189</v>
      </c>
      <c r="B48" s="18">
        <v>45189</v>
      </c>
      <c r="C48" s="15" t="s">
        <v>1568</v>
      </c>
      <c r="D48" s="15" t="s">
        <v>1536</v>
      </c>
      <c r="E48" s="15"/>
      <c r="F48" s="16">
        <v>30</v>
      </c>
      <c r="G48" s="16">
        <v>0</v>
      </c>
      <c r="H48" s="16">
        <v>84.86</v>
      </c>
      <c r="I48" s="15" t="s">
        <v>1537</v>
      </c>
      <c r="J48" s="17">
        <f t="shared" si="0"/>
        <v>0</v>
      </c>
    </row>
    <row r="49" spans="1:10" ht="15.75" customHeight="1" x14ac:dyDescent="0.3">
      <c r="A49" s="18">
        <v>45199</v>
      </c>
      <c r="B49" s="18">
        <v>45199</v>
      </c>
      <c r="C49" s="15" t="s">
        <v>1569</v>
      </c>
      <c r="D49" s="15" t="s">
        <v>1536</v>
      </c>
      <c r="E49" s="15"/>
      <c r="F49" s="16">
        <v>50</v>
      </c>
      <c r="G49" s="16">
        <v>0</v>
      </c>
      <c r="H49" s="16">
        <v>34.86</v>
      </c>
      <c r="I49" s="15" t="s">
        <v>1537</v>
      </c>
      <c r="J49" s="17">
        <f t="shared" si="0"/>
        <v>0</v>
      </c>
    </row>
    <row r="50" spans="1:10" ht="15.75" customHeight="1" x14ac:dyDescent="0.3">
      <c r="A50" s="18">
        <v>45199</v>
      </c>
      <c r="B50" s="18">
        <v>45199</v>
      </c>
      <c r="C50" s="15" t="s">
        <v>1570</v>
      </c>
      <c r="D50" s="15" t="s">
        <v>1536</v>
      </c>
      <c r="E50" s="15"/>
      <c r="F50" s="16">
        <v>0</v>
      </c>
      <c r="G50" s="16">
        <v>1000</v>
      </c>
      <c r="H50" s="16">
        <v>1034.8599999999999</v>
      </c>
      <c r="I50" s="15" t="s">
        <v>1540</v>
      </c>
      <c r="J50" s="17">
        <f t="shared" si="0"/>
        <v>0</v>
      </c>
    </row>
    <row r="51" spans="1:10" ht="15.75" customHeight="1" x14ac:dyDescent="0.3">
      <c r="A51" s="18">
        <v>45199</v>
      </c>
      <c r="B51" s="18">
        <v>45199</v>
      </c>
      <c r="C51" s="15" t="s">
        <v>1571</v>
      </c>
      <c r="D51" s="15" t="s">
        <v>1536</v>
      </c>
      <c r="E51" s="15"/>
      <c r="F51" s="16">
        <v>50</v>
      </c>
      <c r="G51" s="16">
        <v>0</v>
      </c>
      <c r="H51" s="16">
        <v>984.86</v>
      </c>
      <c r="I51" s="15" t="s">
        <v>1537</v>
      </c>
      <c r="J51" s="17">
        <f t="shared" si="0"/>
        <v>0</v>
      </c>
    </row>
    <row r="52" spans="1:10" ht="15.75" customHeight="1" x14ac:dyDescent="0.3">
      <c r="A52" s="18">
        <v>45199</v>
      </c>
      <c r="B52" s="18">
        <v>45199</v>
      </c>
      <c r="C52" s="15" t="s">
        <v>1572</v>
      </c>
      <c r="D52" s="15" t="s">
        <v>1536</v>
      </c>
      <c r="E52" s="15"/>
      <c r="F52" s="16">
        <v>50</v>
      </c>
      <c r="G52" s="16">
        <v>0</v>
      </c>
      <c r="H52" s="16">
        <v>934.86</v>
      </c>
      <c r="I52" s="15" t="s">
        <v>1537</v>
      </c>
      <c r="J52" s="17">
        <f t="shared" si="0"/>
        <v>0</v>
      </c>
    </row>
    <row r="53" spans="1:10" ht="15.75" customHeight="1" x14ac:dyDescent="0.3">
      <c r="A53" s="18">
        <v>45199</v>
      </c>
      <c r="B53" s="18">
        <v>45199</v>
      </c>
      <c r="C53" s="15" t="s">
        <v>1573</v>
      </c>
      <c r="D53" s="15" t="s">
        <v>1536</v>
      </c>
      <c r="E53" s="15"/>
      <c r="F53" s="16">
        <v>50</v>
      </c>
      <c r="G53" s="16">
        <v>0</v>
      </c>
      <c r="H53" s="16">
        <v>884.86</v>
      </c>
      <c r="I53" s="15" t="s">
        <v>1537</v>
      </c>
      <c r="J53" s="17">
        <f t="shared" si="0"/>
        <v>0</v>
      </c>
    </row>
    <row r="54" spans="1:10" ht="15.75" customHeight="1" x14ac:dyDescent="0.3">
      <c r="A54" s="18">
        <v>45199</v>
      </c>
      <c r="B54" s="18">
        <v>45199</v>
      </c>
      <c r="C54" s="15" t="s">
        <v>1574</v>
      </c>
      <c r="D54" s="15" t="s">
        <v>1536</v>
      </c>
      <c r="E54" s="15"/>
      <c r="F54" s="16">
        <v>50</v>
      </c>
      <c r="G54" s="16">
        <v>0</v>
      </c>
      <c r="H54" s="16">
        <v>834.86</v>
      </c>
      <c r="I54" s="15" t="s">
        <v>1537</v>
      </c>
      <c r="J54" s="17">
        <f t="shared" si="0"/>
        <v>0</v>
      </c>
    </row>
    <row r="55" spans="1:10" ht="15.75" customHeight="1" x14ac:dyDescent="0.3">
      <c r="A55" s="18">
        <v>45199</v>
      </c>
      <c r="B55" s="18">
        <v>45199</v>
      </c>
      <c r="C55" s="15" t="s">
        <v>1575</v>
      </c>
      <c r="D55" s="15" t="s">
        <v>1536</v>
      </c>
      <c r="E55" s="15"/>
      <c r="F55" s="16">
        <v>50</v>
      </c>
      <c r="G55" s="16">
        <v>0</v>
      </c>
      <c r="H55" s="16">
        <v>784.86</v>
      </c>
      <c r="I55" s="15" t="s">
        <v>1537</v>
      </c>
      <c r="J55" s="17">
        <f t="shared" si="0"/>
        <v>0</v>
      </c>
    </row>
    <row r="56" spans="1:10" ht="15.75" customHeight="1" x14ac:dyDescent="0.3">
      <c r="A56" s="18">
        <v>45199</v>
      </c>
      <c r="B56" s="18">
        <v>45199</v>
      </c>
      <c r="C56" s="15" t="s">
        <v>1576</v>
      </c>
      <c r="D56" s="15" t="s">
        <v>1536</v>
      </c>
      <c r="E56" s="15"/>
      <c r="F56" s="16">
        <v>50</v>
      </c>
      <c r="G56" s="16">
        <v>0</v>
      </c>
      <c r="H56" s="16">
        <v>734.86</v>
      </c>
      <c r="I56" s="15" t="s">
        <v>1537</v>
      </c>
      <c r="J56" s="17">
        <f t="shared" si="0"/>
        <v>0</v>
      </c>
    </row>
    <row r="57" spans="1:10" ht="15.75" customHeight="1" x14ac:dyDescent="0.3">
      <c r="A57" s="18">
        <v>45199</v>
      </c>
      <c r="B57" s="18">
        <v>45199</v>
      </c>
      <c r="C57" s="15" t="s">
        <v>1577</v>
      </c>
      <c r="D57" s="15" t="s">
        <v>1536</v>
      </c>
      <c r="E57" s="15"/>
      <c r="F57" s="16">
        <v>50</v>
      </c>
      <c r="G57" s="16">
        <v>0</v>
      </c>
      <c r="H57" s="16">
        <v>684.86</v>
      </c>
      <c r="I57" s="15" t="s">
        <v>1537</v>
      </c>
      <c r="J57" s="17">
        <f t="shared" si="0"/>
        <v>0</v>
      </c>
    </row>
    <row r="58" spans="1:10" ht="15.75" customHeight="1" x14ac:dyDescent="0.3">
      <c r="A58" s="18">
        <v>45199</v>
      </c>
      <c r="B58" s="18">
        <v>45199</v>
      </c>
      <c r="C58" s="15" t="s">
        <v>1578</v>
      </c>
      <c r="D58" s="15" t="s">
        <v>1536</v>
      </c>
      <c r="E58" s="15"/>
      <c r="F58" s="16">
        <v>50</v>
      </c>
      <c r="G58" s="16">
        <v>0</v>
      </c>
      <c r="H58" s="16">
        <v>634.86</v>
      </c>
      <c r="I58" s="15" t="s">
        <v>1537</v>
      </c>
      <c r="J58" s="17">
        <f t="shared" si="0"/>
        <v>0</v>
      </c>
    </row>
    <row r="59" spans="1:10" ht="15.75" customHeight="1" x14ac:dyDescent="0.3">
      <c r="A59" s="18">
        <v>45199</v>
      </c>
      <c r="B59" s="18">
        <v>45199</v>
      </c>
      <c r="C59" s="15" t="s">
        <v>1579</v>
      </c>
      <c r="D59" s="15" t="s">
        <v>1536</v>
      </c>
      <c r="E59" s="15"/>
      <c r="F59" s="16">
        <v>50</v>
      </c>
      <c r="G59" s="16">
        <v>0</v>
      </c>
      <c r="H59" s="16">
        <v>584.86</v>
      </c>
      <c r="I59" s="15" t="s">
        <v>1537</v>
      </c>
      <c r="J59" s="17">
        <f t="shared" si="0"/>
        <v>0</v>
      </c>
    </row>
    <row r="60" spans="1:10" ht="15.75" customHeight="1" x14ac:dyDescent="0.3">
      <c r="A60" s="18">
        <v>45199</v>
      </c>
      <c r="B60" s="18">
        <v>45199</v>
      </c>
      <c r="C60" s="15" t="s">
        <v>1580</v>
      </c>
      <c r="D60" s="15" t="s">
        <v>1536</v>
      </c>
      <c r="E60" s="15"/>
      <c r="F60" s="16">
        <v>50</v>
      </c>
      <c r="G60" s="16">
        <v>0</v>
      </c>
      <c r="H60" s="16">
        <v>534.86</v>
      </c>
      <c r="I60" s="15" t="s">
        <v>1537</v>
      </c>
      <c r="J60" s="17">
        <f t="shared" si="0"/>
        <v>0</v>
      </c>
    </row>
    <row r="61" spans="1:10" ht="15.75" customHeight="1" x14ac:dyDescent="0.3">
      <c r="A61" s="18">
        <v>45199</v>
      </c>
      <c r="B61" s="18">
        <v>45199</v>
      </c>
      <c r="C61" s="15" t="s">
        <v>1581</v>
      </c>
      <c r="D61" s="15" t="s">
        <v>1536</v>
      </c>
      <c r="E61" s="15"/>
      <c r="F61" s="16">
        <v>50</v>
      </c>
      <c r="G61" s="16">
        <v>0</v>
      </c>
      <c r="H61" s="16">
        <v>484.86</v>
      </c>
      <c r="I61" s="15" t="s">
        <v>1537</v>
      </c>
      <c r="J61" s="17">
        <f t="shared" si="0"/>
        <v>0</v>
      </c>
    </row>
    <row r="62" spans="1:10" ht="15.75" customHeight="1" x14ac:dyDescent="0.3">
      <c r="A62" s="18">
        <v>45199</v>
      </c>
      <c r="B62" s="18">
        <v>45199</v>
      </c>
      <c r="C62" s="15" t="s">
        <v>1582</v>
      </c>
      <c r="D62" s="15" t="s">
        <v>1536</v>
      </c>
      <c r="E62" s="15"/>
      <c r="F62" s="16">
        <v>50</v>
      </c>
      <c r="G62" s="16">
        <v>0</v>
      </c>
      <c r="H62" s="16">
        <v>434.86</v>
      </c>
      <c r="I62" s="15" t="s">
        <v>1537</v>
      </c>
      <c r="J62" s="17">
        <f t="shared" si="0"/>
        <v>0</v>
      </c>
    </row>
    <row r="63" spans="1:10" ht="15.75" customHeight="1" x14ac:dyDescent="0.3">
      <c r="A63" s="18">
        <v>45199</v>
      </c>
      <c r="B63" s="18">
        <v>45199</v>
      </c>
      <c r="C63" s="15" t="s">
        <v>1583</v>
      </c>
      <c r="D63" s="15" t="s">
        <v>1536</v>
      </c>
      <c r="E63" s="15"/>
      <c r="F63" s="16">
        <v>50</v>
      </c>
      <c r="G63" s="16">
        <v>0</v>
      </c>
      <c r="H63" s="16">
        <v>384.86</v>
      </c>
      <c r="I63" s="15" t="s">
        <v>1537</v>
      </c>
      <c r="J63" s="17">
        <f t="shared" si="0"/>
        <v>0</v>
      </c>
    </row>
    <row r="64" spans="1:10" ht="15.75" customHeight="1" x14ac:dyDescent="0.3">
      <c r="A64" s="18">
        <v>45199</v>
      </c>
      <c r="B64" s="18">
        <v>45199</v>
      </c>
      <c r="C64" s="15" t="s">
        <v>1584</v>
      </c>
      <c r="D64" s="15" t="s">
        <v>1536</v>
      </c>
      <c r="E64" s="15"/>
      <c r="F64" s="16">
        <v>50</v>
      </c>
      <c r="G64" s="16">
        <v>0</v>
      </c>
      <c r="H64" s="16">
        <v>334.86</v>
      </c>
      <c r="I64" s="15" t="s">
        <v>1537</v>
      </c>
      <c r="J64" s="17">
        <f t="shared" si="0"/>
        <v>0</v>
      </c>
    </row>
    <row r="65" spans="1:10" ht="15.75" customHeight="1" x14ac:dyDescent="0.3">
      <c r="A65" s="18">
        <v>45199</v>
      </c>
      <c r="B65" s="18">
        <v>45199</v>
      </c>
      <c r="C65" s="15" t="s">
        <v>1585</v>
      </c>
      <c r="D65" s="15" t="s">
        <v>1536</v>
      </c>
      <c r="E65" s="15"/>
      <c r="F65" s="16">
        <v>50</v>
      </c>
      <c r="G65" s="16">
        <v>0</v>
      </c>
      <c r="H65" s="16">
        <v>284.86</v>
      </c>
      <c r="I65" s="15" t="s">
        <v>1537</v>
      </c>
      <c r="J65" s="17">
        <f t="shared" si="0"/>
        <v>0</v>
      </c>
    </row>
    <row r="66" spans="1:10" ht="15.75" customHeight="1" x14ac:dyDescent="0.3">
      <c r="A66" s="18">
        <v>45199</v>
      </c>
      <c r="B66" s="18">
        <v>45199</v>
      </c>
      <c r="C66" s="15" t="s">
        <v>1586</v>
      </c>
      <c r="D66" s="15" t="s">
        <v>1536</v>
      </c>
      <c r="E66" s="15"/>
      <c r="F66" s="16">
        <v>50</v>
      </c>
      <c r="G66" s="16">
        <v>0</v>
      </c>
      <c r="H66" s="16">
        <v>234.86</v>
      </c>
      <c r="I66" s="15" t="s">
        <v>1537</v>
      </c>
      <c r="J66" s="17">
        <f t="shared" si="0"/>
        <v>0</v>
      </c>
    </row>
    <row r="67" spans="1:10" ht="15.75" customHeight="1" x14ac:dyDescent="0.3">
      <c r="A67" s="18">
        <v>45199</v>
      </c>
      <c r="B67" s="18">
        <v>45199</v>
      </c>
      <c r="C67" s="15" t="s">
        <v>1587</v>
      </c>
      <c r="D67" s="15" t="s">
        <v>1536</v>
      </c>
      <c r="E67" s="15"/>
      <c r="F67" s="16">
        <v>50</v>
      </c>
      <c r="G67" s="16">
        <v>0</v>
      </c>
      <c r="H67" s="16">
        <v>184.86</v>
      </c>
      <c r="I67" s="15" t="s">
        <v>1537</v>
      </c>
      <c r="J67" s="17">
        <f t="shared" si="0"/>
        <v>0</v>
      </c>
    </row>
    <row r="68" spans="1:10" ht="15.75" customHeight="1" x14ac:dyDescent="0.3">
      <c r="A68" s="18">
        <v>45199</v>
      </c>
      <c r="B68" s="18">
        <v>45199</v>
      </c>
      <c r="C68" s="15" t="s">
        <v>1588</v>
      </c>
      <c r="D68" s="15" t="s">
        <v>1536</v>
      </c>
      <c r="E68" s="15"/>
      <c r="F68" s="16">
        <v>50</v>
      </c>
      <c r="G68" s="16">
        <v>0</v>
      </c>
      <c r="H68" s="16">
        <v>134.86000000000001</v>
      </c>
      <c r="I68" s="15" t="s">
        <v>1537</v>
      </c>
      <c r="J68" s="17">
        <f t="shared" si="0"/>
        <v>0</v>
      </c>
    </row>
    <row r="69" spans="1:10" ht="15.75" customHeight="1" x14ac:dyDescent="0.3">
      <c r="A69" s="18">
        <v>45200</v>
      </c>
      <c r="B69" s="18">
        <v>45200</v>
      </c>
      <c r="C69" s="15" t="s">
        <v>1589</v>
      </c>
      <c r="D69" s="15" t="s">
        <v>1536</v>
      </c>
      <c r="E69" s="15"/>
      <c r="F69" s="16">
        <v>20</v>
      </c>
      <c r="G69" s="16">
        <v>0</v>
      </c>
      <c r="H69" s="16">
        <v>114.86</v>
      </c>
      <c r="I69" s="15" t="s">
        <v>1537</v>
      </c>
      <c r="J69" s="17">
        <f t="shared" si="0"/>
        <v>0</v>
      </c>
    </row>
    <row r="70" spans="1:10" ht="15.75" customHeight="1" x14ac:dyDescent="0.3">
      <c r="A70" s="18">
        <v>45202</v>
      </c>
      <c r="B70" s="18">
        <v>45202</v>
      </c>
      <c r="C70" s="15" t="s">
        <v>1590</v>
      </c>
      <c r="D70" s="15" t="s">
        <v>1536</v>
      </c>
      <c r="E70" s="15"/>
      <c r="F70" s="16">
        <v>0</v>
      </c>
      <c r="G70" s="16">
        <v>20161.29</v>
      </c>
      <c r="H70" s="16">
        <v>20276.150000000001</v>
      </c>
      <c r="I70" s="15" t="s">
        <v>1540</v>
      </c>
      <c r="J70" s="17">
        <f t="shared" si="0"/>
        <v>0</v>
      </c>
    </row>
    <row r="71" spans="1:10" ht="15.75" customHeight="1" x14ac:dyDescent="0.3">
      <c r="A71" s="18">
        <v>45203</v>
      </c>
      <c r="B71" s="18">
        <v>45203</v>
      </c>
      <c r="C71" s="15" t="s">
        <v>1591</v>
      </c>
      <c r="D71" s="15" t="s">
        <v>1536</v>
      </c>
      <c r="E71" s="15"/>
      <c r="F71" s="16">
        <v>1000</v>
      </c>
      <c r="G71" s="16">
        <v>0</v>
      </c>
      <c r="H71" s="16">
        <v>19276.150000000001</v>
      </c>
      <c r="I71" s="15" t="s">
        <v>1537</v>
      </c>
      <c r="J71" s="17">
        <f t="shared" si="0"/>
        <v>0</v>
      </c>
    </row>
    <row r="72" spans="1:10" ht="15.75" customHeight="1" x14ac:dyDescent="0.3">
      <c r="A72" s="18">
        <v>45203</v>
      </c>
      <c r="B72" s="18">
        <v>45203</v>
      </c>
      <c r="C72" s="15" t="s">
        <v>1592</v>
      </c>
      <c r="D72" s="15" t="s">
        <v>1536</v>
      </c>
      <c r="E72" s="15"/>
      <c r="F72" s="16">
        <v>100</v>
      </c>
      <c r="G72" s="16">
        <v>0</v>
      </c>
      <c r="H72" s="16">
        <v>19176.150000000001</v>
      </c>
      <c r="I72" s="15" t="s">
        <v>1537</v>
      </c>
      <c r="J72" s="17">
        <f t="shared" si="0"/>
        <v>0</v>
      </c>
    </row>
    <row r="73" spans="1:10" ht="15.75" customHeight="1" x14ac:dyDescent="0.3">
      <c r="A73" s="18">
        <v>45203</v>
      </c>
      <c r="B73" s="18">
        <v>45203</v>
      </c>
      <c r="C73" s="15" t="s">
        <v>1593</v>
      </c>
      <c r="D73" s="15" t="s">
        <v>1536</v>
      </c>
      <c r="E73" s="15"/>
      <c r="F73" s="16">
        <v>1000</v>
      </c>
      <c r="G73" s="16">
        <v>0</v>
      </c>
      <c r="H73" s="16">
        <v>18176.150000000001</v>
      </c>
      <c r="I73" s="15" t="s">
        <v>1537</v>
      </c>
      <c r="J73" s="17">
        <f t="shared" si="0"/>
        <v>0</v>
      </c>
    </row>
    <row r="74" spans="1:10" ht="15.75" customHeight="1" x14ac:dyDescent="0.3">
      <c r="A74" s="18">
        <v>45203</v>
      </c>
      <c r="B74" s="18">
        <v>45203</v>
      </c>
      <c r="C74" s="15" t="s">
        <v>1594</v>
      </c>
      <c r="D74" s="15" t="s">
        <v>1536</v>
      </c>
      <c r="E74" s="15"/>
      <c r="F74" s="16">
        <v>40</v>
      </c>
      <c r="G74" s="16">
        <v>0</v>
      </c>
      <c r="H74" s="16">
        <v>18136.150000000001</v>
      </c>
      <c r="I74" s="15" t="s">
        <v>1537</v>
      </c>
      <c r="J74" s="17">
        <f t="shared" si="0"/>
        <v>0</v>
      </c>
    </row>
    <row r="75" spans="1:10" ht="15.75" customHeight="1" x14ac:dyDescent="0.3">
      <c r="A75" s="18">
        <v>45203</v>
      </c>
      <c r="B75" s="18">
        <v>45203</v>
      </c>
      <c r="C75" s="15" t="s">
        <v>1595</v>
      </c>
      <c r="D75" s="15" t="s">
        <v>1536</v>
      </c>
      <c r="E75" s="15"/>
      <c r="F75" s="16">
        <v>150</v>
      </c>
      <c r="G75" s="16">
        <v>0</v>
      </c>
      <c r="H75" s="16">
        <v>17986.150000000001</v>
      </c>
      <c r="I75" s="15" t="s">
        <v>1537</v>
      </c>
      <c r="J75" s="17">
        <f t="shared" si="0"/>
        <v>0</v>
      </c>
    </row>
    <row r="76" spans="1:10" ht="15.75" customHeight="1" x14ac:dyDescent="0.3">
      <c r="A76" s="18">
        <v>45204</v>
      </c>
      <c r="B76" s="18">
        <v>45204</v>
      </c>
      <c r="C76" s="15" t="s">
        <v>1596</v>
      </c>
      <c r="D76" s="15" t="s">
        <v>1536</v>
      </c>
      <c r="E76" s="15"/>
      <c r="F76" s="16">
        <v>10</v>
      </c>
      <c r="G76" s="16">
        <v>0</v>
      </c>
      <c r="H76" s="16">
        <v>17976.150000000001</v>
      </c>
      <c r="I76" s="15" t="s">
        <v>1537</v>
      </c>
      <c r="J76" s="17">
        <f t="shared" si="0"/>
        <v>0</v>
      </c>
    </row>
    <row r="77" spans="1:10" ht="15.75" customHeight="1" x14ac:dyDescent="0.3">
      <c r="A77" s="18">
        <v>45204</v>
      </c>
      <c r="B77" s="18">
        <v>45204</v>
      </c>
      <c r="C77" s="15" t="s">
        <v>1597</v>
      </c>
      <c r="D77" s="15" t="s">
        <v>1536</v>
      </c>
      <c r="E77" s="15"/>
      <c r="F77" s="16">
        <v>50</v>
      </c>
      <c r="G77" s="16">
        <v>0</v>
      </c>
      <c r="H77" s="16">
        <v>17926.150000000001</v>
      </c>
      <c r="I77" s="15" t="s">
        <v>1537</v>
      </c>
      <c r="J77" s="17">
        <f t="shared" si="0"/>
        <v>0</v>
      </c>
    </row>
    <row r="78" spans="1:10" ht="15.75" customHeight="1" x14ac:dyDescent="0.3">
      <c r="A78" s="18">
        <v>45205</v>
      </c>
      <c r="B78" s="18">
        <v>45205</v>
      </c>
      <c r="C78" s="15" t="s">
        <v>1598</v>
      </c>
      <c r="D78" s="15" t="s">
        <v>1536</v>
      </c>
      <c r="E78" s="15"/>
      <c r="F78" s="16">
        <v>10</v>
      </c>
      <c r="G78" s="16">
        <v>0</v>
      </c>
      <c r="H78" s="16">
        <v>17916.150000000001</v>
      </c>
      <c r="I78" s="15" t="s">
        <v>1537</v>
      </c>
      <c r="J78" s="17">
        <f t="shared" si="0"/>
        <v>0</v>
      </c>
    </row>
    <row r="79" spans="1:10" ht="15.75" customHeight="1" x14ac:dyDescent="0.3">
      <c r="A79" s="18">
        <v>45205</v>
      </c>
      <c r="B79" s="18">
        <v>45205</v>
      </c>
      <c r="C79" s="15" t="s">
        <v>1599</v>
      </c>
      <c r="D79" s="15" t="s">
        <v>1536</v>
      </c>
      <c r="E79" s="15"/>
      <c r="F79" s="16">
        <v>50</v>
      </c>
      <c r="G79" s="16">
        <v>0</v>
      </c>
      <c r="H79" s="16">
        <v>17866.150000000001</v>
      </c>
      <c r="I79" s="15" t="s">
        <v>1537</v>
      </c>
      <c r="J79" s="17">
        <f t="shared" si="0"/>
        <v>0</v>
      </c>
    </row>
    <row r="80" spans="1:10" ht="15.75" customHeight="1" x14ac:dyDescent="0.3">
      <c r="A80" s="18">
        <v>45205</v>
      </c>
      <c r="B80" s="18">
        <v>45205</v>
      </c>
      <c r="C80" s="15" t="s">
        <v>1600</v>
      </c>
      <c r="D80" s="15" t="s">
        <v>1536</v>
      </c>
      <c r="E80" s="15"/>
      <c r="F80" s="16">
        <v>30</v>
      </c>
      <c r="G80" s="16">
        <v>0</v>
      </c>
      <c r="H80" s="16">
        <v>17836.150000000001</v>
      </c>
      <c r="I80" s="15" t="s">
        <v>1537</v>
      </c>
      <c r="J80" s="17">
        <f t="shared" si="0"/>
        <v>0</v>
      </c>
    </row>
    <row r="81" spans="1:10" ht="15.75" customHeight="1" x14ac:dyDescent="0.3">
      <c r="A81" s="18">
        <v>45206</v>
      </c>
      <c r="B81" s="18">
        <v>45206</v>
      </c>
      <c r="C81" s="15" t="s">
        <v>1601</v>
      </c>
      <c r="D81" s="15" t="s">
        <v>1536</v>
      </c>
      <c r="E81" s="15"/>
      <c r="F81" s="16">
        <v>50</v>
      </c>
      <c r="G81" s="16">
        <v>0</v>
      </c>
      <c r="H81" s="16">
        <v>17786.150000000001</v>
      </c>
      <c r="I81" s="15" t="s">
        <v>1537</v>
      </c>
      <c r="J81" s="17">
        <f t="shared" si="0"/>
        <v>0</v>
      </c>
    </row>
    <row r="82" spans="1:10" ht="15.75" customHeight="1" x14ac:dyDescent="0.3">
      <c r="A82" s="18">
        <v>45206</v>
      </c>
      <c r="B82" s="18">
        <v>45206</v>
      </c>
      <c r="C82" s="15" t="s">
        <v>1602</v>
      </c>
      <c r="D82" s="15" t="s">
        <v>1536</v>
      </c>
      <c r="E82" s="15"/>
      <c r="F82" s="16">
        <v>10</v>
      </c>
      <c r="G82" s="16">
        <v>0</v>
      </c>
      <c r="H82" s="16">
        <v>17776.150000000001</v>
      </c>
      <c r="I82" s="15" t="s">
        <v>1537</v>
      </c>
      <c r="J82" s="17">
        <f t="shared" si="0"/>
        <v>0</v>
      </c>
    </row>
    <row r="83" spans="1:10" ht="15.75" customHeight="1" x14ac:dyDescent="0.3">
      <c r="A83" s="18">
        <v>45206</v>
      </c>
      <c r="B83" s="18">
        <v>45206</v>
      </c>
      <c r="C83" s="15" t="s">
        <v>1603</v>
      </c>
      <c r="D83" s="15" t="s">
        <v>1536</v>
      </c>
      <c r="E83" s="15"/>
      <c r="F83" s="16">
        <v>50</v>
      </c>
      <c r="G83" s="16">
        <v>0</v>
      </c>
      <c r="H83" s="16">
        <v>17726.150000000001</v>
      </c>
      <c r="I83" s="15" t="s">
        <v>1537</v>
      </c>
      <c r="J83" s="17">
        <f t="shared" ref="J83:J146" si="1">H82-F83+G83-H83</f>
        <v>0</v>
      </c>
    </row>
    <row r="84" spans="1:10" ht="15.75" customHeight="1" x14ac:dyDescent="0.3">
      <c r="A84" s="18">
        <v>45206</v>
      </c>
      <c r="B84" s="18">
        <v>45206</v>
      </c>
      <c r="C84" s="15" t="s">
        <v>1604</v>
      </c>
      <c r="D84" s="15" t="s">
        <v>1536</v>
      </c>
      <c r="E84" s="15"/>
      <c r="F84" s="16">
        <v>136</v>
      </c>
      <c r="G84" s="16">
        <v>0</v>
      </c>
      <c r="H84" s="16">
        <v>17590.150000000001</v>
      </c>
      <c r="I84" s="15" t="s">
        <v>1537</v>
      </c>
      <c r="J84" s="17">
        <f t="shared" si="1"/>
        <v>0</v>
      </c>
    </row>
    <row r="85" spans="1:10" ht="15.75" customHeight="1" x14ac:dyDescent="0.3">
      <c r="A85" s="18">
        <v>45206</v>
      </c>
      <c r="B85" s="18">
        <v>45206</v>
      </c>
      <c r="C85" s="15" t="s">
        <v>1605</v>
      </c>
      <c r="D85" s="15" t="s">
        <v>1536</v>
      </c>
      <c r="E85" s="15"/>
      <c r="F85" s="16">
        <v>70</v>
      </c>
      <c r="G85" s="16">
        <v>0</v>
      </c>
      <c r="H85" s="16">
        <v>17520.150000000001</v>
      </c>
      <c r="I85" s="15" t="s">
        <v>1537</v>
      </c>
      <c r="J85" s="17">
        <f t="shared" si="1"/>
        <v>0</v>
      </c>
    </row>
    <row r="86" spans="1:10" ht="15.75" customHeight="1" x14ac:dyDescent="0.3">
      <c r="A86" s="18">
        <v>45206</v>
      </c>
      <c r="B86" s="18">
        <v>45206</v>
      </c>
      <c r="C86" s="15" t="s">
        <v>1606</v>
      </c>
      <c r="D86" s="15" t="s">
        <v>1536</v>
      </c>
      <c r="E86" s="15"/>
      <c r="F86" s="16">
        <v>20</v>
      </c>
      <c r="G86" s="16">
        <v>0</v>
      </c>
      <c r="H86" s="16">
        <v>17500.150000000001</v>
      </c>
      <c r="I86" s="15" t="s">
        <v>1537</v>
      </c>
      <c r="J86" s="17">
        <f t="shared" si="1"/>
        <v>0</v>
      </c>
    </row>
    <row r="87" spans="1:10" ht="15.75" customHeight="1" x14ac:dyDescent="0.3">
      <c r="A87" s="18">
        <v>45207</v>
      </c>
      <c r="B87" s="18">
        <v>45207</v>
      </c>
      <c r="C87" s="15" t="s">
        <v>1607</v>
      </c>
      <c r="D87" s="15" t="s">
        <v>1536</v>
      </c>
      <c r="E87" s="15"/>
      <c r="F87" s="16">
        <v>20</v>
      </c>
      <c r="G87" s="16">
        <v>0</v>
      </c>
      <c r="H87" s="16">
        <v>17480.150000000001</v>
      </c>
      <c r="I87" s="15" t="s">
        <v>1537</v>
      </c>
      <c r="J87" s="17">
        <f t="shared" si="1"/>
        <v>0</v>
      </c>
    </row>
    <row r="88" spans="1:10" ht="15.75" customHeight="1" x14ac:dyDescent="0.3">
      <c r="A88" s="18">
        <v>45207</v>
      </c>
      <c r="B88" s="18">
        <v>45207</v>
      </c>
      <c r="C88" s="15" t="s">
        <v>1608</v>
      </c>
      <c r="D88" s="15" t="s">
        <v>1536</v>
      </c>
      <c r="E88" s="15"/>
      <c r="F88" s="16">
        <v>50</v>
      </c>
      <c r="G88" s="16">
        <v>0</v>
      </c>
      <c r="H88" s="16">
        <v>17430.150000000001</v>
      </c>
      <c r="I88" s="15" t="s">
        <v>1537</v>
      </c>
      <c r="J88" s="17">
        <f t="shared" si="1"/>
        <v>0</v>
      </c>
    </row>
    <row r="89" spans="1:10" ht="15.75" customHeight="1" x14ac:dyDescent="0.3">
      <c r="A89" s="18">
        <v>45207</v>
      </c>
      <c r="B89" s="18">
        <v>45207</v>
      </c>
      <c r="C89" s="15" t="s">
        <v>1609</v>
      </c>
      <c r="D89" s="15" t="s">
        <v>1536</v>
      </c>
      <c r="E89" s="15"/>
      <c r="F89" s="16">
        <v>264.85000000000002</v>
      </c>
      <c r="G89" s="16">
        <v>0</v>
      </c>
      <c r="H89" s="16">
        <v>17165.3</v>
      </c>
      <c r="I89" s="15" t="s">
        <v>1537</v>
      </c>
      <c r="J89" s="17">
        <f t="shared" si="1"/>
        <v>0</v>
      </c>
    </row>
    <row r="90" spans="1:10" ht="15.75" customHeight="1" x14ac:dyDescent="0.3">
      <c r="A90" s="18">
        <v>45207</v>
      </c>
      <c r="B90" s="18">
        <v>45207</v>
      </c>
      <c r="C90" s="15" t="s">
        <v>1610</v>
      </c>
      <c r="D90" s="15" t="s">
        <v>1536</v>
      </c>
      <c r="E90" s="15"/>
      <c r="F90" s="16">
        <v>10</v>
      </c>
      <c r="G90" s="16">
        <v>0</v>
      </c>
      <c r="H90" s="16">
        <v>17155.3</v>
      </c>
      <c r="I90" s="15" t="s">
        <v>1537</v>
      </c>
      <c r="J90" s="17">
        <f t="shared" si="1"/>
        <v>0</v>
      </c>
    </row>
    <row r="91" spans="1:10" ht="15.75" customHeight="1" x14ac:dyDescent="0.3">
      <c r="A91" s="18">
        <v>45207</v>
      </c>
      <c r="B91" s="18">
        <v>45207</v>
      </c>
      <c r="C91" s="15" t="s">
        <v>1611</v>
      </c>
      <c r="D91" s="15" t="s">
        <v>1536</v>
      </c>
      <c r="E91" s="15"/>
      <c r="F91" s="16">
        <v>50</v>
      </c>
      <c r="G91" s="16">
        <v>0</v>
      </c>
      <c r="H91" s="16">
        <v>17105.3</v>
      </c>
      <c r="I91" s="15" t="s">
        <v>1537</v>
      </c>
      <c r="J91" s="17">
        <f t="shared" si="1"/>
        <v>0</v>
      </c>
    </row>
    <row r="92" spans="1:10" ht="15.75" customHeight="1" x14ac:dyDescent="0.3">
      <c r="A92" s="18">
        <v>45207</v>
      </c>
      <c r="B92" s="18">
        <v>45207</v>
      </c>
      <c r="C92" s="15" t="s">
        <v>1612</v>
      </c>
      <c r="D92" s="15" t="s">
        <v>1536</v>
      </c>
      <c r="E92" s="15"/>
      <c r="F92" s="16">
        <v>336</v>
      </c>
      <c r="G92" s="16">
        <v>0</v>
      </c>
      <c r="H92" s="16">
        <v>16769.3</v>
      </c>
      <c r="I92" s="15" t="s">
        <v>1537</v>
      </c>
      <c r="J92" s="17">
        <f t="shared" si="1"/>
        <v>0</v>
      </c>
    </row>
    <row r="93" spans="1:10" ht="15.75" customHeight="1" x14ac:dyDescent="0.3">
      <c r="A93" s="18">
        <v>45207</v>
      </c>
      <c r="B93" s="18">
        <v>45207</v>
      </c>
      <c r="C93" s="15" t="s">
        <v>1613</v>
      </c>
      <c r="D93" s="15" t="s">
        <v>1536</v>
      </c>
      <c r="E93" s="15"/>
      <c r="F93" s="16">
        <v>50</v>
      </c>
      <c r="G93" s="16">
        <v>0</v>
      </c>
      <c r="H93" s="16">
        <v>16719.3</v>
      </c>
      <c r="I93" s="15" t="s">
        <v>1537</v>
      </c>
      <c r="J93" s="17">
        <f t="shared" si="1"/>
        <v>0</v>
      </c>
    </row>
    <row r="94" spans="1:10" ht="15.75" customHeight="1" x14ac:dyDescent="0.3">
      <c r="A94" s="18">
        <v>45208</v>
      </c>
      <c r="B94" s="18">
        <v>45208</v>
      </c>
      <c r="C94" s="15" t="s">
        <v>1614</v>
      </c>
      <c r="D94" s="15" t="s">
        <v>1536</v>
      </c>
      <c r="E94" s="15"/>
      <c r="F94" s="16">
        <v>122</v>
      </c>
      <c r="G94" s="16">
        <v>0</v>
      </c>
      <c r="H94" s="16">
        <v>16597.3</v>
      </c>
      <c r="I94" s="15" t="s">
        <v>1537</v>
      </c>
      <c r="J94" s="17">
        <f t="shared" si="1"/>
        <v>0</v>
      </c>
    </row>
    <row r="95" spans="1:10" ht="15.75" customHeight="1" x14ac:dyDescent="0.3">
      <c r="A95" s="18">
        <v>45208</v>
      </c>
      <c r="B95" s="18">
        <v>45208</v>
      </c>
      <c r="C95" s="15" t="s">
        <v>1615</v>
      </c>
      <c r="D95" s="15" t="s">
        <v>1536</v>
      </c>
      <c r="E95" s="15"/>
      <c r="F95" s="16">
        <v>10</v>
      </c>
      <c r="G95" s="16">
        <v>0</v>
      </c>
      <c r="H95" s="16">
        <v>16587.3</v>
      </c>
      <c r="I95" s="15" t="s">
        <v>1537</v>
      </c>
      <c r="J95" s="17">
        <f t="shared" si="1"/>
        <v>0</v>
      </c>
    </row>
    <row r="96" spans="1:10" ht="15.75" customHeight="1" x14ac:dyDescent="0.3">
      <c r="A96" s="18">
        <v>45208</v>
      </c>
      <c r="B96" s="18">
        <v>45208</v>
      </c>
      <c r="C96" s="15" t="s">
        <v>1616</v>
      </c>
      <c r="D96" s="15" t="s">
        <v>1536</v>
      </c>
      <c r="E96" s="15"/>
      <c r="F96" s="16">
        <v>50</v>
      </c>
      <c r="G96" s="16">
        <v>0</v>
      </c>
      <c r="H96" s="16">
        <v>16537.3</v>
      </c>
      <c r="I96" s="15" t="s">
        <v>1537</v>
      </c>
      <c r="J96" s="17">
        <f t="shared" si="1"/>
        <v>0</v>
      </c>
    </row>
    <row r="97" spans="1:10" ht="15.75" customHeight="1" x14ac:dyDescent="0.3">
      <c r="A97" s="18">
        <v>45208</v>
      </c>
      <c r="B97" s="18">
        <v>45208</v>
      </c>
      <c r="C97" s="15" t="s">
        <v>1617</v>
      </c>
      <c r="D97" s="15" t="s">
        <v>1536</v>
      </c>
      <c r="E97" s="15"/>
      <c r="F97" s="16">
        <v>30</v>
      </c>
      <c r="G97" s="16">
        <v>0</v>
      </c>
      <c r="H97" s="16">
        <v>16507.3</v>
      </c>
      <c r="I97" s="15" t="s">
        <v>1537</v>
      </c>
      <c r="J97" s="17">
        <f t="shared" si="1"/>
        <v>0</v>
      </c>
    </row>
    <row r="98" spans="1:10" ht="15.75" customHeight="1" x14ac:dyDescent="0.3">
      <c r="A98" s="18">
        <v>45208</v>
      </c>
      <c r="B98" s="18">
        <v>45208</v>
      </c>
      <c r="C98" s="15" t="s">
        <v>1618</v>
      </c>
      <c r="D98" s="15" t="s">
        <v>1536</v>
      </c>
      <c r="E98" s="15"/>
      <c r="F98" s="16">
        <v>20</v>
      </c>
      <c r="G98" s="16">
        <v>0</v>
      </c>
      <c r="H98" s="16">
        <v>16487.3</v>
      </c>
      <c r="I98" s="15" t="s">
        <v>1537</v>
      </c>
      <c r="J98" s="17">
        <f t="shared" si="1"/>
        <v>0</v>
      </c>
    </row>
    <row r="99" spans="1:10" ht="15.75" customHeight="1" x14ac:dyDescent="0.3">
      <c r="A99" s="18">
        <v>45208</v>
      </c>
      <c r="B99" s="18">
        <v>45208</v>
      </c>
      <c r="C99" s="15" t="s">
        <v>1619</v>
      </c>
      <c r="D99" s="15" t="s">
        <v>1536</v>
      </c>
      <c r="E99" s="15"/>
      <c r="F99" s="16">
        <v>983.95</v>
      </c>
      <c r="G99" s="16">
        <v>0</v>
      </c>
      <c r="H99" s="16">
        <v>15503.35</v>
      </c>
      <c r="I99" s="15" t="s">
        <v>1537</v>
      </c>
      <c r="J99" s="17">
        <f t="shared" si="1"/>
        <v>0</v>
      </c>
    </row>
    <row r="100" spans="1:10" ht="15.75" customHeight="1" x14ac:dyDescent="0.3">
      <c r="A100" s="18">
        <v>45208</v>
      </c>
      <c r="B100" s="18">
        <v>45208</v>
      </c>
      <c r="C100" s="15" t="s">
        <v>1620</v>
      </c>
      <c r="D100" s="15" t="s">
        <v>1536</v>
      </c>
      <c r="E100" s="15"/>
      <c r="F100" s="16">
        <v>97.15</v>
      </c>
      <c r="G100" s="16">
        <v>0</v>
      </c>
      <c r="H100" s="16">
        <v>15406.2</v>
      </c>
      <c r="I100" s="15" t="s">
        <v>1537</v>
      </c>
      <c r="J100" s="17">
        <f t="shared" si="1"/>
        <v>0</v>
      </c>
    </row>
    <row r="101" spans="1:10" ht="15.75" customHeight="1" x14ac:dyDescent="0.3">
      <c r="A101" s="18">
        <v>45208</v>
      </c>
      <c r="B101" s="18">
        <v>45208</v>
      </c>
      <c r="C101" s="15" t="s">
        <v>1621</v>
      </c>
      <c r="D101" s="15" t="s">
        <v>1536</v>
      </c>
      <c r="E101" s="15"/>
      <c r="F101" s="16">
        <v>70</v>
      </c>
      <c r="G101" s="16">
        <v>0</v>
      </c>
      <c r="H101" s="16">
        <v>15336.2</v>
      </c>
      <c r="I101" s="15" t="s">
        <v>1537</v>
      </c>
      <c r="J101" s="17">
        <f t="shared" si="1"/>
        <v>0</v>
      </c>
    </row>
    <row r="102" spans="1:10" ht="15.75" customHeight="1" x14ac:dyDescent="0.3">
      <c r="A102" s="18">
        <v>45209</v>
      </c>
      <c r="B102" s="18">
        <v>45209</v>
      </c>
      <c r="C102" s="15" t="s">
        <v>1622</v>
      </c>
      <c r="D102" s="15" t="s">
        <v>1536</v>
      </c>
      <c r="E102" s="15"/>
      <c r="F102" s="16">
        <v>182.5</v>
      </c>
      <c r="G102" s="16">
        <v>0</v>
      </c>
      <c r="H102" s="16">
        <v>15153.7</v>
      </c>
      <c r="I102" s="15" t="s">
        <v>1537</v>
      </c>
      <c r="J102" s="17">
        <f t="shared" si="1"/>
        <v>0</v>
      </c>
    </row>
    <row r="103" spans="1:10" ht="15.75" customHeight="1" x14ac:dyDescent="0.3">
      <c r="A103" s="18">
        <v>45209</v>
      </c>
      <c r="B103" s="18">
        <v>45209</v>
      </c>
      <c r="C103" s="15" t="s">
        <v>1623</v>
      </c>
      <c r="D103" s="15" t="s">
        <v>1536</v>
      </c>
      <c r="E103" s="15"/>
      <c r="F103" s="16">
        <v>75</v>
      </c>
      <c r="G103" s="16">
        <v>0</v>
      </c>
      <c r="H103" s="16">
        <v>15078.7</v>
      </c>
      <c r="I103" s="15" t="s">
        <v>1537</v>
      </c>
      <c r="J103" s="17">
        <f t="shared" si="1"/>
        <v>0</v>
      </c>
    </row>
    <row r="104" spans="1:10" ht="15.75" customHeight="1" x14ac:dyDescent="0.3">
      <c r="A104" s="18">
        <v>45209</v>
      </c>
      <c r="B104" s="18">
        <v>45209</v>
      </c>
      <c r="C104" s="15" t="s">
        <v>1624</v>
      </c>
      <c r="D104" s="15" t="s">
        <v>1536</v>
      </c>
      <c r="E104" s="15"/>
      <c r="F104" s="16">
        <v>10</v>
      </c>
      <c r="G104" s="16">
        <v>0</v>
      </c>
      <c r="H104" s="16">
        <v>15068.7</v>
      </c>
      <c r="I104" s="15" t="s">
        <v>1537</v>
      </c>
      <c r="J104" s="17">
        <f t="shared" si="1"/>
        <v>0</v>
      </c>
    </row>
    <row r="105" spans="1:10" ht="15.75" customHeight="1" x14ac:dyDescent="0.3">
      <c r="A105" s="18">
        <v>45209</v>
      </c>
      <c r="B105" s="18">
        <v>45209</v>
      </c>
      <c r="C105" s="15" t="s">
        <v>1625</v>
      </c>
      <c r="D105" s="15" t="s">
        <v>1536</v>
      </c>
      <c r="E105" s="15"/>
      <c r="F105" s="16">
        <v>50</v>
      </c>
      <c r="G105" s="16">
        <v>0</v>
      </c>
      <c r="H105" s="16">
        <v>15018.7</v>
      </c>
      <c r="I105" s="15" t="s">
        <v>1537</v>
      </c>
      <c r="J105" s="17">
        <f t="shared" si="1"/>
        <v>0</v>
      </c>
    </row>
    <row r="106" spans="1:10" ht="15.75" customHeight="1" x14ac:dyDescent="0.3">
      <c r="A106" s="18">
        <v>45209</v>
      </c>
      <c r="B106" s="18">
        <v>45209</v>
      </c>
      <c r="C106" s="15" t="s">
        <v>1626</v>
      </c>
      <c r="D106" s="15" t="s">
        <v>1536</v>
      </c>
      <c r="E106" s="15"/>
      <c r="F106" s="16">
        <v>1700</v>
      </c>
      <c r="G106" s="16">
        <v>0</v>
      </c>
      <c r="H106" s="16">
        <v>13318.7</v>
      </c>
      <c r="I106" s="15" t="s">
        <v>1537</v>
      </c>
      <c r="J106" s="17">
        <f t="shared" si="1"/>
        <v>0</v>
      </c>
    </row>
    <row r="107" spans="1:10" ht="15.75" customHeight="1" x14ac:dyDescent="0.3">
      <c r="A107" s="18">
        <v>45209</v>
      </c>
      <c r="B107" s="18">
        <v>45209</v>
      </c>
      <c r="C107" s="15" t="s">
        <v>1627</v>
      </c>
      <c r="D107" s="15" t="s">
        <v>1536</v>
      </c>
      <c r="E107" s="15"/>
      <c r="F107" s="16">
        <v>18</v>
      </c>
      <c r="G107" s="16">
        <v>0</v>
      </c>
      <c r="H107" s="16">
        <v>13300.7</v>
      </c>
      <c r="I107" s="15" t="s">
        <v>1537</v>
      </c>
      <c r="J107" s="17">
        <f t="shared" si="1"/>
        <v>0</v>
      </c>
    </row>
    <row r="108" spans="1:10" ht="15.75" customHeight="1" x14ac:dyDescent="0.3">
      <c r="A108" s="18">
        <v>45209</v>
      </c>
      <c r="B108" s="18">
        <v>45209</v>
      </c>
      <c r="C108" s="15" t="s">
        <v>1628</v>
      </c>
      <c r="D108" s="15" t="s">
        <v>1536</v>
      </c>
      <c r="E108" s="15"/>
      <c r="F108" s="16">
        <v>20</v>
      </c>
      <c r="G108" s="16">
        <v>0</v>
      </c>
      <c r="H108" s="16">
        <v>13280.7</v>
      </c>
      <c r="I108" s="15" t="s">
        <v>1537</v>
      </c>
      <c r="J108" s="17">
        <f t="shared" si="1"/>
        <v>0</v>
      </c>
    </row>
    <row r="109" spans="1:10" ht="15.75" customHeight="1" x14ac:dyDescent="0.3">
      <c r="A109" s="18">
        <v>45210</v>
      </c>
      <c r="B109" s="18">
        <v>45210</v>
      </c>
      <c r="C109" s="15" t="s">
        <v>1629</v>
      </c>
      <c r="D109" s="15" t="s">
        <v>1536</v>
      </c>
      <c r="E109" s="15"/>
      <c r="F109" s="16">
        <v>75</v>
      </c>
      <c r="G109" s="16">
        <v>0</v>
      </c>
      <c r="H109" s="16">
        <v>13205.7</v>
      </c>
      <c r="I109" s="15" t="s">
        <v>1537</v>
      </c>
      <c r="J109" s="17">
        <f t="shared" si="1"/>
        <v>0</v>
      </c>
    </row>
    <row r="110" spans="1:10" ht="15.75" customHeight="1" x14ac:dyDescent="0.3">
      <c r="A110" s="18">
        <v>45210</v>
      </c>
      <c r="B110" s="18">
        <v>45210</v>
      </c>
      <c r="C110" s="15" t="s">
        <v>1630</v>
      </c>
      <c r="D110" s="15" t="s">
        <v>1536</v>
      </c>
      <c r="E110" s="15"/>
      <c r="F110" s="16">
        <v>10</v>
      </c>
      <c r="G110" s="16">
        <v>0</v>
      </c>
      <c r="H110" s="16">
        <v>13195.7</v>
      </c>
      <c r="I110" s="15" t="s">
        <v>1537</v>
      </c>
      <c r="J110" s="17">
        <f t="shared" si="1"/>
        <v>0</v>
      </c>
    </row>
    <row r="111" spans="1:10" ht="15.75" customHeight="1" x14ac:dyDescent="0.3">
      <c r="A111" s="18">
        <v>45210</v>
      </c>
      <c r="B111" s="18">
        <v>45210</v>
      </c>
      <c r="C111" s="15" t="s">
        <v>1631</v>
      </c>
      <c r="D111" s="15" t="s">
        <v>1536</v>
      </c>
      <c r="E111" s="15"/>
      <c r="F111" s="16">
        <v>1000</v>
      </c>
      <c r="G111" s="16">
        <v>0</v>
      </c>
      <c r="H111" s="16">
        <v>12195.7</v>
      </c>
      <c r="I111" s="15" t="s">
        <v>1537</v>
      </c>
      <c r="J111" s="17">
        <f t="shared" si="1"/>
        <v>0</v>
      </c>
    </row>
    <row r="112" spans="1:10" ht="15.75" customHeight="1" x14ac:dyDescent="0.3">
      <c r="A112" s="18">
        <v>45210</v>
      </c>
      <c r="B112" s="18">
        <v>45210</v>
      </c>
      <c r="C112" s="15" t="s">
        <v>1632</v>
      </c>
      <c r="D112" s="15" t="s">
        <v>1536</v>
      </c>
      <c r="E112" s="15"/>
      <c r="F112" s="16">
        <v>50</v>
      </c>
      <c r="G112" s="16">
        <v>0</v>
      </c>
      <c r="H112" s="16">
        <v>12145.7</v>
      </c>
      <c r="I112" s="15" t="s">
        <v>1537</v>
      </c>
      <c r="J112" s="17">
        <f t="shared" si="1"/>
        <v>0</v>
      </c>
    </row>
    <row r="113" spans="1:10" ht="15.75" customHeight="1" x14ac:dyDescent="0.3">
      <c r="A113" s="18">
        <v>45210</v>
      </c>
      <c r="B113" s="18">
        <v>45210</v>
      </c>
      <c r="C113" s="15" t="s">
        <v>1633</v>
      </c>
      <c r="D113" s="15" t="s">
        <v>1536</v>
      </c>
      <c r="E113" s="15"/>
      <c r="F113" s="16">
        <v>0</v>
      </c>
      <c r="G113" s="16">
        <v>1001</v>
      </c>
      <c r="H113" s="16">
        <v>13146.7</v>
      </c>
      <c r="I113" s="15" t="s">
        <v>1540</v>
      </c>
      <c r="J113" s="17">
        <f t="shared" si="1"/>
        <v>0</v>
      </c>
    </row>
    <row r="114" spans="1:10" ht="15.75" customHeight="1" x14ac:dyDescent="0.3">
      <c r="A114" s="18">
        <v>45210</v>
      </c>
      <c r="B114" s="18">
        <v>45210</v>
      </c>
      <c r="C114" s="15" t="s">
        <v>1634</v>
      </c>
      <c r="D114" s="15" t="s">
        <v>1536</v>
      </c>
      <c r="E114" s="15"/>
      <c r="F114" s="16">
        <v>0</v>
      </c>
      <c r="G114" s="16">
        <v>450</v>
      </c>
      <c r="H114" s="16">
        <v>13596.7</v>
      </c>
      <c r="I114" s="15" t="s">
        <v>1540</v>
      </c>
      <c r="J114" s="17">
        <f t="shared" si="1"/>
        <v>0</v>
      </c>
    </row>
    <row r="115" spans="1:10" ht="15.75" customHeight="1" x14ac:dyDescent="0.3">
      <c r="A115" s="18">
        <v>45210</v>
      </c>
      <c r="B115" s="18">
        <v>45210</v>
      </c>
      <c r="C115" s="15" t="s">
        <v>1635</v>
      </c>
      <c r="D115" s="15" t="s">
        <v>1536</v>
      </c>
      <c r="E115" s="15"/>
      <c r="F115" s="16">
        <v>0</v>
      </c>
      <c r="G115" s="16">
        <v>2000</v>
      </c>
      <c r="H115" s="16">
        <v>15596.7</v>
      </c>
      <c r="I115" s="15" t="s">
        <v>1540</v>
      </c>
      <c r="J115" s="17">
        <f t="shared" si="1"/>
        <v>0</v>
      </c>
    </row>
    <row r="116" spans="1:10" ht="15.75" customHeight="1" x14ac:dyDescent="0.3">
      <c r="A116" s="18">
        <v>45210</v>
      </c>
      <c r="B116" s="18">
        <v>45210</v>
      </c>
      <c r="C116" s="15" t="s">
        <v>1636</v>
      </c>
      <c r="D116" s="15" t="s">
        <v>1536</v>
      </c>
      <c r="E116" s="15"/>
      <c r="F116" s="16">
        <v>0</v>
      </c>
      <c r="G116" s="16">
        <v>200</v>
      </c>
      <c r="H116" s="16">
        <v>15796.7</v>
      </c>
      <c r="I116" s="15" t="s">
        <v>1540</v>
      </c>
      <c r="J116" s="17">
        <f t="shared" si="1"/>
        <v>0</v>
      </c>
    </row>
    <row r="117" spans="1:10" ht="15.75" customHeight="1" x14ac:dyDescent="0.3">
      <c r="A117" s="18">
        <v>45211</v>
      </c>
      <c r="B117" s="18">
        <v>45211</v>
      </c>
      <c r="C117" s="15" t="s">
        <v>1637</v>
      </c>
      <c r="D117" s="15" t="s">
        <v>1536</v>
      </c>
      <c r="E117" s="15"/>
      <c r="F117" s="16">
        <v>10</v>
      </c>
      <c r="G117" s="16">
        <v>0</v>
      </c>
      <c r="H117" s="16">
        <v>15786.7</v>
      </c>
      <c r="I117" s="15" t="s">
        <v>1537</v>
      </c>
      <c r="J117" s="17">
        <f t="shared" si="1"/>
        <v>0</v>
      </c>
    </row>
    <row r="118" spans="1:10" ht="15.75" customHeight="1" x14ac:dyDescent="0.3">
      <c r="A118" s="18">
        <v>45211</v>
      </c>
      <c r="B118" s="18">
        <v>45211</v>
      </c>
      <c r="C118" s="15" t="s">
        <v>1638</v>
      </c>
      <c r="D118" s="15" t="s">
        <v>1536</v>
      </c>
      <c r="E118" s="15"/>
      <c r="F118" s="16">
        <v>10</v>
      </c>
      <c r="G118" s="16">
        <v>0</v>
      </c>
      <c r="H118" s="16">
        <v>15776.7</v>
      </c>
      <c r="I118" s="15" t="s">
        <v>1537</v>
      </c>
      <c r="J118" s="17">
        <f t="shared" si="1"/>
        <v>0</v>
      </c>
    </row>
    <row r="119" spans="1:10" ht="15.75" customHeight="1" x14ac:dyDescent="0.3">
      <c r="A119" s="18">
        <v>45212</v>
      </c>
      <c r="B119" s="18">
        <v>45212</v>
      </c>
      <c r="C119" s="15" t="s">
        <v>1639</v>
      </c>
      <c r="D119" s="15" t="s">
        <v>1536</v>
      </c>
      <c r="E119" s="15"/>
      <c r="F119" s="16">
        <v>100</v>
      </c>
      <c r="G119" s="16">
        <v>0</v>
      </c>
      <c r="H119" s="16">
        <v>15676.7</v>
      </c>
      <c r="I119" s="15" t="s">
        <v>1537</v>
      </c>
      <c r="J119" s="17">
        <f t="shared" si="1"/>
        <v>0</v>
      </c>
    </row>
    <row r="120" spans="1:10" ht="15.75" customHeight="1" x14ac:dyDescent="0.3">
      <c r="A120" s="18">
        <v>45212</v>
      </c>
      <c r="B120" s="18">
        <v>45212</v>
      </c>
      <c r="C120" s="15" t="s">
        <v>1640</v>
      </c>
      <c r="D120" s="15" t="s">
        <v>1536</v>
      </c>
      <c r="E120" s="15"/>
      <c r="F120" s="16">
        <v>10</v>
      </c>
      <c r="G120" s="16">
        <v>0</v>
      </c>
      <c r="H120" s="16">
        <v>15666.7</v>
      </c>
      <c r="I120" s="15" t="s">
        <v>1537</v>
      </c>
      <c r="J120" s="17">
        <f t="shared" si="1"/>
        <v>0</v>
      </c>
    </row>
    <row r="121" spans="1:10" ht="15.75" customHeight="1" x14ac:dyDescent="0.3">
      <c r="A121" s="18">
        <v>45212</v>
      </c>
      <c r="B121" s="18">
        <v>45212</v>
      </c>
      <c r="C121" s="15" t="s">
        <v>1641</v>
      </c>
      <c r="D121" s="15" t="s">
        <v>1536</v>
      </c>
      <c r="E121" s="15"/>
      <c r="F121" s="16">
        <v>149</v>
      </c>
      <c r="G121" s="16">
        <v>0</v>
      </c>
      <c r="H121" s="16">
        <v>15517.7</v>
      </c>
      <c r="I121" s="15" t="s">
        <v>1537</v>
      </c>
      <c r="J121" s="17">
        <f t="shared" si="1"/>
        <v>0</v>
      </c>
    </row>
    <row r="122" spans="1:10" ht="15.75" customHeight="1" x14ac:dyDescent="0.3">
      <c r="A122" s="18">
        <v>45212</v>
      </c>
      <c r="B122" s="18">
        <v>45212</v>
      </c>
      <c r="C122" s="15" t="s">
        <v>1642</v>
      </c>
      <c r="D122" s="15" t="s">
        <v>1536</v>
      </c>
      <c r="E122" s="15"/>
      <c r="F122" s="16">
        <v>75</v>
      </c>
      <c r="G122" s="16">
        <v>0</v>
      </c>
      <c r="H122" s="16">
        <v>15442.7</v>
      </c>
      <c r="I122" s="15" t="s">
        <v>1537</v>
      </c>
      <c r="J122" s="17">
        <f t="shared" si="1"/>
        <v>0</v>
      </c>
    </row>
    <row r="123" spans="1:10" ht="15.75" customHeight="1" x14ac:dyDescent="0.3">
      <c r="A123" s="18">
        <v>45213</v>
      </c>
      <c r="B123" s="18">
        <v>45213</v>
      </c>
      <c r="C123" s="15" t="s">
        <v>1643</v>
      </c>
      <c r="D123" s="15" t="s">
        <v>1536</v>
      </c>
      <c r="E123" s="15"/>
      <c r="F123" s="16">
        <v>10</v>
      </c>
      <c r="G123" s="16">
        <v>0</v>
      </c>
      <c r="H123" s="16">
        <v>15432.7</v>
      </c>
      <c r="I123" s="15" t="s">
        <v>1537</v>
      </c>
      <c r="J123" s="17">
        <f t="shared" si="1"/>
        <v>0</v>
      </c>
    </row>
    <row r="124" spans="1:10" ht="15.75" customHeight="1" x14ac:dyDescent="0.3">
      <c r="A124" s="18">
        <v>45213</v>
      </c>
      <c r="B124" s="18">
        <v>45213</v>
      </c>
      <c r="C124" s="15" t="s">
        <v>1644</v>
      </c>
      <c r="D124" s="15" t="s">
        <v>1536</v>
      </c>
      <c r="E124" s="15"/>
      <c r="F124" s="16">
        <v>0</v>
      </c>
      <c r="G124" s="16">
        <v>21.89</v>
      </c>
      <c r="H124" s="16">
        <v>15454.59</v>
      </c>
      <c r="I124" s="15" t="s">
        <v>1540</v>
      </c>
      <c r="J124" s="17">
        <f t="shared" si="1"/>
        <v>0</v>
      </c>
    </row>
    <row r="125" spans="1:10" ht="15.75" customHeight="1" x14ac:dyDescent="0.3">
      <c r="A125" s="18">
        <v>45214</v>
      </c>
      <c r="B125" s="18">
        <v>45214</v>
      </c>
      <c r="C125" s="15" t="s">
        <v>1645</v>
      </c>
      <c r="D125" s="15" t="s">
        <v>1536</v>
      </c>
      <c r="E125" s="15"/>
      <c r="F125" s="16">
        <v>0</v>
      </c>
      <c r="G125" s="16">
        <v>1</v>
      </c>
      <c r="H125" s="16">
        <v>15455.59</v>
      </c>
      <c r="I125" s="15" t="s">
        <v>1540</v>
      </c>
      <c r="J125" s="17">
        <f t="shared" si="1"/>
        <v>0</v>
      </c>
    </row>
    <row r="126" spans="1:10" ht="15.75" customHeight="1" x14ac:dyDescent="0.3">
      <c r="A126" s="18">
        <v>45214</v>
      </c>
      <c r="B126" s="18">
        <v>45214</v>
      </c>
      <c r="C126" s="15" t="s">
        <v>1646</v>
      </c>
      <c r="D126" s="15" t="s">
        <v>1536</v>
      </c>
      <c r="E126" s="15"/>
      <c r="F126" s="16">
        <v>10</v>
      </c>
      <c r="G126" s="16">
        <v>0</v>
      </c>
      <c r="H126" s="16">
        <v>15445.59</v>
      </c>
      <c r="I126" s="15" t="s">
        <v>1537</v>
      </c>
      <c r="J126" s="17">
        <f t="shared" si="1"/>
        <v>0</v>
      </c>
    </row>
    <row r="127" spans="1:10" ht="15.75" customHeight="1" x14ac:dyDescent="0.3">
      <c r="A127" s="18">
        <v>45214</v>
      </c>
      <c r="B127" s="18">
        <v>45214</v>
      </c>
      <c r="C127" s="15" t="s">
        <v>1647</v>
      </c>
      <c r="D127" s="15" t="s">
        <v>1536</v>
      </c>
      <c r="E127" s="15"/>
      <c r="F127" s="16">
        <v>118</v>
      </c>
      <c r="G127" s="16">
        <v>0</v>
      </c>
      <c r="H127" s="16">
        <v>15327.59</v>
      </c>
      <c r="I127" s="15" t="s">
        <v>1537</v>
      </c>
      <c r="J127" s="17">
        <f t="shared" si="1"/>
        <v>0</v>
      </c>
    </row>
    <row r="128" spans="1:10" ht="15.75" customHeight="1" x14ac:dyDescent="0.3">
      <c r="A128" s="18">
        <v>45214</v>
      </c>
      <c r="B128" s="18">
        <v>45214</v>
      </c>
      <c r="C128" s="15" t="s">
        <v>1648</v>
      </c>
      <c r="D128" s="15" t="s">
        <v>1536</v>
      </c>
      <c r="E128" s="15"/>
      <c r="F128" s="16">
        <v>0</v>
      </c>
      <c r="G128" s="16">
        <v>100</v>
      </c>
      <c r="H128" s="16">
        <v>15427.59</v>
      </c>
      <c r="I128" s="15" t="s">
        <v>1540</v>
      </c>
      <c r="J128" s="17">
        <f t="shared" si="1"/>
        <v>0</v>
      </c>
    </row>
    <row r="129" spans="1:10" ht="15.75" customHeight="1" x14ac:dyDescent="0.3">
      <c r="A129" s="18">
        <v>45214</v>
      </c>
      <c r="B129" s="18">
        <v>45214</v>
      </c>
      <c r="C129" s="15" t="s">
        <v>1649</v>
      </c>
      <c r="D129" s="15" t="s">
        <v>1536</v>
      </c>
      <c r="E129" s="15"/>
      <c r="F129" s="16">
        <v>1</v>
      </c>
      <c r="G129" s="16">
        <v>0</v>
      </c>
      <c r="H129" s="16">
        <v>15426.59</v>
      </c>
      <c r="I129" s="15" t="s">
        <v>1537</v>
      </c>
      <c r="J129" s="17">
        <f t="shared" si="1"/>
        <v>0</v>
      </c>
    </row>
    <row r="130" spans="1:10" ht="15.75" customHeight="1" x14ac:dyDescent="0.3">
      <c r="A130" s="18">
        <v>45214</v>
      </c>
      <c r="B130" s="18">
        <v>45214</v>
      </c>
      <c r="C130" s="15" t="s">
        <v>1650</v>
      </c>
      <c r="D130" s="15" t="s">
        <v>1536</v>
      </c>
      <c r="E130" s="15"/>
      <c r="F130" s="16">
        <v>0</v>
      </c>
      <c r="G130" s="16">
        <v>1</v>
      </c>
      <c r="H130" s="16">
        <v>15427.59</v>
      </c>
      <c r="I130" s="15" t="s">
        <v>1540</v>
      </c>
      <c r="J130" s="17">
        <f t="shared" si="1"/>
        <v>0</v>
      </c>
    </row>
    <row r="131" spans="1:10" ht="15.75" customHeight="1" x14ac:dyDescent="0.3">
      <c r="A131" s="18">
        <v>45214</v>
      </c>
      <c r="B131" s="18">
        <v>45214</v>
      </c>
      <c r="C131" s="15" t="s">
        <v>1651</v>
      </c>
      <c r="D131" s="15" t="s">
        <v>1536</v>
      </c>
      <c r="E131" s="15"/>
      <c r="F131" s="16">
        <v>102</v>
      </c>
      <c r="G131" s="16">
        <v>0</v>
      </c>
      <c r="H131" s="16">
        <v>15325.59</v>
      </c>
      <c r="I131" s="15" t="s">
        <v>1537</v>
      </c>
      <c r="J131" s="17">
        <f t="shared" si="1"/>
        <v>0</v>
      </c>
    </row>
    <row r="132" spans="1:10" ht="15.75" customHeight="1" x14ac:dyDescent="0.3">
      <c r="A132" s="18">
        <v>45215</v>
      </c>
      <c r="B132" s="18">
        <v>45215</v>
      </c>
      <c r="C132" s="15" t="s">
        <v>1652</v>
      </c>
      <c r="D132" s="15" t="s">
        <v>1536</v>
      </c>
      <c r="E132" s="15"/>
      <c r="F132" s="16">
        <v>274</v>
      </c>
      <c r="G132" s="16">
        <v>0</v>
      </c>
      <c r="H132" s="16">
        <v>15051.59</v>
      </c>
      <c r="I132" s="15" t="s">
        <v>1537</v>
      </c>
      <c r="J132" s="17">
        <f t="shared" si="1"/>
        <v>0</v>
      </c>
    </row>
    <row r="133" spans="1:10" ht="15.75" customHeight="1" x14ac:dyDescent="0.3">
      <c r="A133" s="18">
        <v>45215</v>
      </c>
      <c r="B133" s="18">
        <v>45215</v>
      </c>
      <c r="C133" s="15" t="s">
        <v>1653</v>
      </c>
      <c r="D133" s="15" t="s">
        <v>1536</v>
      </c>
      <c r="E133" s="15"/>
      <c r="F133" s="16">
        <v>10</v>
      </c>
      <c r="G133" s="16">
        <v>0</v>
      </c>
      <c r="H133" s="16">
        <v>15041.59</v>
      </c>
      <c r="I133" s="15" t="s">
        <v>1537</v>
      </c>
      <c r="J133" s="17">
        <f t="shared" si="1"/>
        <v>0</v>
      </c>
    </row>
    <row r="134" spans="1:10" ht="15.75" customHeight="1" x14ac:dyDescent="0.3">
      <c r="A134" s="18">
        <v>45216</v>
      </c>
      <c r="B134" s="18">
        <v>45216</v>
      </c>
      <c r="C134" s="15" t="s">
        <v>1654</v>
      </c>
      <c r="D134" s="15" t="s">
        <v>1536</v>
      </c>
      <c r="E134" s="15"/>
      <c r="F134" s="16">
        <v>10</v>
      </c>
      <c r="G134" s="16">
        <v>0</v>
      </c>
      <c r="H134" s="16">
        <v>15031.59</v>
      </c>
      <c r="I134" s="15" t="s">
        <v>1537</v>
      </c>
      <c r="J134" s="17">
        <f t="shared" si="1"/>
        <v>0</v>
      </c>
    </row>
    <row r="135" spans="1:10" ht="15.75" customHeight="1" x14ac:dyDescent="0.3">
      <c r="A135" s="18">
        <v>45217</v>
      </c>
      <c r="B135" s="18">
        <v>45217</v>
      </c>
      <c r="C135" s="15" t="s">
        <v>1655</v>
      </c>
      <c r="D135" s="15" t="s">
        <v>1536</v>
      </c>
      <c r="E135" s="15"/>
      <c r="F135" s="16">
        <v>10</v>
      </c>
      <c r="G135" s="16">
        <v>0</v>
      </c>
      <c r="H135" s="16">
        <v>15021.59</v>
      </c>
      <c r="I135" s="15" t="s">
        <v>1537</v>
      </c>
      <c r="J135" s="17">
        <f t="shared" si="1"/>
        <v>0</v>
      </c>
    </row>
    <row r="136" spans="1:10" ht="15.75" customHeight="1" x14ac:dyDescent="0.3">
      <c r="A136" s="18">
        <v>45217</v>
      </c>
      <c r="B136" s="18">
        <v>45217</v>
      </c>
      <c r="C136" s="15" t="s">
        <v>1656</v>
      </c>
      <c r="D136" s="15" t="s">
        <v>1536</v>
      </c>
      <c r="E136" s="15"/>
      <c r="F136" s="16">
        <v>1</v>
      </c>
      <c r="G136" s="16">
        <v>0</v>
      </c>
      <c r="H136" s="16">
        <v>15020.59</v>
      </c>
      <c r="I136" s="15" t="s">
        <v>1537</v>
      </c>
      <c r="J136" s="17">
        <f t="shared" si="1"/>
        <v>0</v>
      </c>
    </row>
    <row r="137" spans="1:10" ht="15.75" customHeight="1" x14ac:dyDescent="0.3">
      <c r="A137" s="18">
        <v>45217</v>
      </c>
      <c r="B137" s="18">
        <v>45217</v>
      </c>
      <c r="C137" s="15" t="s">
        <v>1657</v>
      </c>
      <c r="D137" s="15" t="s">
        <v>1536</v>
      </c>
      <c r="E137" s="15"/>
      <c r="F137" s="16">
        <v>82</v>
      </c>
      <c r="G137" s="16">
        <v>0</v>
      </c>
      <c r="H137" s="16">
        <v>14938.59</v>
      </c>
      <c r="I137" s="15" t="s">
        <v>1537</v>
      </c>
      <c r="J137" s="17">
        <f t="shared" si="1"/>
        <v>0</v>
      </c>
    </row>
    <row r="138" spans="1:10" ht="15.75" customHeight="1" x14ac:dyDescent="0.3">
      <c r="A138" s="18">
        <v>45218</v>
      </c>
      <c r="B138" s="18">
        <v>45218</v>
      </c>
      <c r="C138" s="15" t="s">
        <v>1658</v>
      </c>
      <c r="D138" s="15" t="s">
        <v>1536</v>
      </c>
      <c r="E138" s="15"/>
      <c r="F138" s="16">
        <v>10</v>
      </c>
      <c r="G138" s="16">
        <v>0</v>
      </c>
      <c r="H138" s="16">
        <v>14928.59</v>
      </c>
      <c r="I138" s="15" t="s">
        <v>1537</v>
      </c>
      <c r="J138" s="17">
        <f t="shared" si="1"/>
        <v>0</v>
      </c>
    </row>
    <row r="139" spans="1:10" ht="15.75" customHeight="1" x14ac:dyDescent="0.3">
      <c r="A139" s="18">
        <v>45218</v>
      </c>
      <c r="B139" s="18">
        <v>45218</v>
      </c>
      <c r="C139" s="15" t="s">
        <v>1659</v>
      </c>
      <c r="D139" s="15" t="s">
        <v>1536</v>
      </c>
      <c r="E139" s="15"/>
      <c r="F139" s="16">
        <v>30</v>
      </c>
      <c r="G139" s="16">
        <v>0</v>
      </c>
      <c r="H139" s="16">
        <v>14898.59</v>
      </c>
      <c r="I139" s="15" t="s">
        <v>1537</v>
      </c>
      <c r="J139" s="17">
        <f t="shared" si="1"/>
        <v>0</v>
      </c>
    </row>
    <row r="140" spans="1:10" ht="15.75" customHeight="1" x14ac:dyDescent="0.3">
      <c r="A140" s="18">
        <v>45220</v>
      </c>
      <c r="B140" s="18">
        <v>45220</v>
      </c>
      <c r="C140" s="15" t="s">
        <v>1660</v>
      </c>
      <c r="D140" s="15" t="s">
        <v>1536</v>
      </c>
      <c r="E140" s="15"/>
      <c r="F140" s="16">
        <v>100</v>
      </c>
      <c r="G140" s="16">
        <v>0</v>
      </c>
      <c r="H140" s="16">
        <v>14798.59</v>
      </c>
      <c r="I140" s="15" t="s">
        <v>1537</v>
      </c>
      <c r="J140" s="17">
        <f t="shared" si="1"/>
        <v>0</v>
      </c>
    </row>
    <row r="141" spans="1:10" ht="15.75" customHeight="1" x14ac:dyDescent="0.3">
      <c r="A141" s="18">
        <v>45220</v>
      </c>
      <c r="B141" s="18">
        <v>45220</v>
      </c>
      <c r="C141" s="15" t="s">
        <v>1661</v>
      </c>
      <c r="D141" s="15" t="s">
        <v>1536</v>
      </c>
      <c r="E141" s="15"/>
      <c r="F141" s="16">
        <v>1000</v>
      </c>
      <c r="G141" s="16">
        <v>0</v>
      </c>
      <c r="H141" s="16">
        <v>13798.59</v>
      </c>
      <c r="I141" s="15" t="s">
        <v>1537</v>
      </c>
      <c r="J141" s="17">
        <f t="shared" si="1"/>
        <v>0</v>
      </c>
    </row>
    <row r="142" spans="1:10" ht="15.75" customHeight="1" x14ac:dyDescent="0.3">
      <c r="A142" s="18">
        <v>45220</v>
      </c>
      <c r="B142" s="18">
        <v>45220</v>
      </c>
      <c r="C142" s="15" t="s">
        <v>1662</v>
      </c>
      <c r="D142" s="15" t="s">
        <v>1536</v>
      </c>
      <c r="E142" s="15"/>
      <c r="F142" s="16">
        <v>1000</v>
      </c>
      <c r="G142" s="16">
        <v>0</v>
      </c>
      <c r="H142" s="16">
        <v>12798.59</v>
      </c>
      <c r="I142" s="15" t="s">
        <v>1537</v>
      </c>
      <c r="J142" s="17">
        <f t="shared" si="1"/>
        <v>0</v>
      </c>
    </row>
    <row r="143" spans="1:10" ht="15.75" customHeight="1" x14ac:dyDescent="0.3">
      <c r="A143" s="18">
        <v>45221</v>
      </c>
      <c r="B143" s="18">
        <v>45221</v>
      </c>
      <c r="C143" s="15" t="s">
        <v>1663</v>
      </c>
      <c r="D143" s="15" t="s">
        <v>1536</v>
      </c>
      <c r="E143" s="15"/>
      <c r="F143" s="16">
        <v>100</v>
      </c>
      <c r="G143" s="16">
        <v>0</v>
      </c>
      <c r="H143" s="16">
        <v>12698.59</v>
      </c>
      <c r="I143" s="15" t="s">
        <v>1537</v>
      </c>
      <c r="J143" s="17">
        <f t="shared" si="1"/>
        <v>0</v>
      </c>
    </row>
    <row r="144" spans="1:10" ht="15.75" customHeight="1" x14ac:dyDescent="0.3">
      <c r="A144" s="18">
        <v>45222</v>
      </c>
      <c r="B144" s="18">
        <v>45222</v>
      </c>
      <c r="C144" s="15" t="s">
        <v>1664</v>
      </c>
      <c r="D144" s="15" t="s">
        <v>1536</v>
      </c>
      <c r="E144" s="15"/>
      <c r="F144" s="16">
        <v>100</v>
      </c>
      <c r="G144" s="16">
        <v>0</v>
      </c>
      <c r="H144" s="16">
        <v>12598.59</v>
      </c>
      <c r="I144" s="15" t="s">
        <v>1537</v>
      </c>
      <c r="J144" s="17">
        <f t="shared" si="1"/>
        <v>0</v>
      </c>
    </row>
    <row r="145" spans="1:10" ht="15.75" customHeight="1" x14ac:dyDescent="0.3">
      <c r="A145" s="18">
        <v>45222</v>
      </c>
      <c r="B145" s="18">
        <v>45222</v>
      </c>
      <c r="C145" s="15" t="s">
        <v>1665</v>
      </c>
      <c r="D145" s="15" t="s">
        <v>1536</v>
      </c>
      <c r="E145" s="15"/>
      <c r="F145" s="16">
        <v>366.8</v>
      </c>
      <c r="G145" s="16">
        <v>0</v>
      </c>
      <c r="H145" s="16">
        <v>12231.79</v>
      </c>
      <c r="I145" s="15" t="s">
        <v>1537</v>
      </c>
      <c r="J145" s="17">
        <f t="shared" si="1"/>
        <v>0</v>
      </c>
    </row>
    <row r="146" spans="1:10" ht="15.75" customHeight="1" x14ac:dyDescent="0.3">
      <c r="A146" s="18">
        <v>45222</v>
      </c>
      <c r="B146" s="18">
        <v>45222</v>
      </c>
      <c r="C146" s="15" t="s">
        <v>1666</v>
      </c>
      <c r="D146" s="15" t="s">
        <v>1536</v>
      </c>
      <c r="E146" s="15"/>
      <c r="F146" s="16">
        <v>366.8</v>
      </c>
      <c r="G146" s="16">
        <v>0</v>
      </c>
      <c r="H146" s="16">
        <v>11864.99</v>
      </c>
      <c r="I146" s="15" t="s">
        <v>1537</v>
      </c>
      <c r="J146" s="17">
        <f t="shared" si="1"/>
        <v>0</v>
      </c>
    </row>
    <row r="147" spans="1:10" ht="15.75" customHeight="1" x14ac:dyDescent="0.3">
      <c r="A147" s="18">
        <v>45223</v>
      </c>
      <c r="B147" s="18">
        <v>45223</v>
      </c>
      <c r="C147" s="15" t="s">
        <v>1667</v>
      </c>
      <c r="D147" s="15" t="s">
        <v>1536</v>
      </c>
      <c r="E147" s="15"/>
      <c r="F147" s="16">
        <v>100</v>
      </c>
      <c r="G147" s="16">
        <v>0</v>
      </c>
      <c r="H147" s="16">
        <v>11764.99</v>
      </c>
      <c r="I147" s="15" t="s">
        <v>1537</v>
      </c>
      <c r="J147" s="17">
        <f t="shared" ref="J147:J210" si="2">H146-F147+G147-H147</f>
        <v>0</v>
      </c>
    </row>
    <row r="148" spans="1:10" ht="15.75" customHeight="1" x14ac:dyDescent="0.3">
      <c r="A148" s="18">
        <v>45224</v>
      </c>
      <c r="B148" s="18">
        <v>45224</v>
      </c>
      <c r="C148" s="15" t="s">
        <v>1668</v>
      </c>
      <c r="D148" s="15" t="s">
        <v>1536</v>
      </c>
      <c r="E148" s="15"/>
      <c r="F148" s="16">
        <v>100</v>
      </c>
      <c r="G148" s="16">
        <v>0</v>
      </c>
      <c r="H148" s="16">
        <v>11664.99</v>
      </c>
      <c r="I148" s="15" t="s">
        <v>1537</v>
      </c>
      <c r="J148" s="17">
        <f t="shared" si="2"/>
        <v>0</v>
      </c>
    </row>
    <row r="149" spans="1:10" ht="15.75" customHeight="1" x14ac:dyDescent="0.3">
      <c r="A149" s="18">
        <v>45225</v>
      </c>
      <c r="B149" s="18">
        <v>45225</v>
      </c>
      <c r="C149" s="15" t="s">
        <v>1669</v>
      </c>
      <c r="D149" s="15" t="s">
        <v>1536</v>
      </c>
      <c r="E149" s="15"/>
      <c r="F149" s="16">
        <v>100</v>
      </c>
      <c r="G149" s="16">
        <v>0</v>
      </c>
      <c r="H149" s="16">
        <v>11564.99</v>
      </c>
      <c r="I149" s="15" t="s">
        <v>1537</v>
      </c>
      <c r="J149" s="17">
        <f t="shared" si="2"/>
        <v>0</v>
      </c>
    </row>
    <row r="150" spans="1:10" ht="15.75" customHeight="1" x14ac:dyDescent="0.3">
      <c r="A150" s="18">
        <v>45225</v>
      </c>
      <c r="B150" s="18">
        <v>45225</v>
      </c>
      <c r="C150" s="15" t="s">
        <v>1670</v>
      </c>
      <c r="D150" s="15" t="s">
        <v>1536</v>
      </c>
      <c r="E150" s="15"/>
      <c r="F150" s="16">
        <v>135</v>
      </c>
      <c r="G150" s="16">
        <v>0</v>
      </c>
      <c r="H150" s="16">
        <v>11429.99</v>
      </c>
      <c r="I150" s="15" t="s">
        <v>1537</v>
      </c>
      <c r="J150" s="17">
        <f t="shared" si="2"/>
        <v>0</v>
      </c>
    </row>
    <row r="151" spans="1:10" ht="15.75" customHeight="1" x14ac:dyDescent="0.3">
      <c r="A151" s="18">
        <v>45225</v>
      </c>
      <c r="B151" s="18">
        <v>45225</v>
      </c>
      <c r="C151" s="15" t="s">
        <v>1671</v>
      </c>
      <c r="D151" s="15" t="s">
        <v>1536</v>
      </c>
      <c r="E151" s="15"/>
      <c r="F151" s="16">
        <v>30</v>
      </c>
      <c r="G151" s="16">
        <v>0</v>
      </c>
      <c r="H151" s="16">
        <v>11399.99</v>
      </c>
      <c r="I151" s="15" t="s">
        <v>1537</v>
      </c>
      <c r="J151" s="17">
        <f t="shared" si="2"/>
        <v>0</v>
      </c>
    </row>
    <row r="152" spans="1:10" ht="15.75" customHeight="1" x14ac:dyDescent="0.3">
      <c r="A152" s="18">
        <v>45225</v>
      </c>
      <c r="B152" s="18">
        <v>45225</v>
      </c>
      <c r="C152" s="15" t="s">
        <v>1672</v>
      </c>
      <c r="D152" s="15" t="s">
        <v>1536</v>
      </c>
      <c r="E152" s="15"/>
      <c r="F152" s="16">
        <v>1296</v>
      </c>
      <c r="G152" s="16">
        <v>0</v>
      </c>
      <c r="H152" s="16">
        <v>10103.99</v>
      </c>
      <c r="I152" s="15" t="s">
        <v>1537</v>
      </c>
      <c r="J152" s="17">
        <f t="shared" si="2"/>
        <v>0</v>
      </c>
    </row>
    <row r="153" spans="1:10" ht="15.75" customHeight="1" x14ac:dyDescent="0.3">
      <c r="A153" s="18">
        <v>45226</v>
      </c>
      <c r="B153" s="18">
        <v>45226</v>
      </c>
      <c r="C153" s="15" t="s">
        <v>1673</v>
      </c>
      <c r="D153" s="15" t="s">
        <v>1536</v>
      </c>
      <c r="E153" s="15"/>
      <c r="F153" s="16">
        <v>100</v>
      </c>
      <c r="G153" s="16">
        <v>0</v>
      </c>
      <c r="H153" s="16">
        <v>10003.99</v>
      </c>
      <c r="I153" s="15" t="s">
        <v>1537</v>
      </c>
      <c r="J153" s="17">
        <f t="shared" si="2"/>
        <v>0</v>
      </c>
    </row>
    <row r="154" spans="1:10" ht="15.75" customHeight="1" x14ac:dyDescent="0.3">
      <c r="A154" s="18">
        <v>45226</v>
      </c>
      <c r="B154" s="18">
        <v>45226</v>
      </c>
      <c r="C154" s="15" t="s">
        <v>1673</v>
      </c>
      <c r="D154" s="15" t="s">
        <v>1536</v>
      </c>
      <c r="E154" s="15"/>
      <c r="F154" s="16">
        <v>0</v>
      </c>
      <c r="G154" s="16">
        <v>100</v>
      </c>
      <c r="H154" s="16">
        <v>10103.99</v>
      </c>
      <c r="I154" s="15" t="s">
        <v>1540</v>
      </c>
      <c r="J154" s="17">
        <f t="shared" si="2"/>
        <v>0</v>
      </c>
    </row>
    <row r="155" spans="1:10" ht="15.75" customHeight="1" x14ac:dyDescent="0.3">
      <c r="A155" s="18">
        <v>45226</v>
      </c>
      <c r="B155" s="18">
        <v>45226</v>
      </c>
      <c r="C155" s="15" t="s">
        <v>1674</v>
      </c>
      <c r="D155" s="15" t="s">
        <v>1536</v>
      </c>
      <c r="E155" s="15"/>
      <c r="F155" s="16">
        <v>100</v>
      </c>
      <c r="G155" s="16">
        <v>0</v>
      </c>
      <c r="H155" s="16">
        <v>10003.99</v>
      </c>
      <c r="I155" s="15" t="s">
        <v>1537</v>
      </c>
      <c r="J155" s="17">
        <f t="shared" si="2"/>
        <v>0</v>
      </c>
    </row>
    <row r="156" spans="1:10" ht="15.75" customHeight="1" x14ac:dyDescent="0.3">
      <c r="A156" s="18">
        <v>45226</v>
      </c>
      <c r="B156" s="18">
        <v>45226</v>
      </c>
      <c r="C156" s="15" t="s">
        <v>1675</v>
      </c>
      <c r="D156" s="15" t="s">
        <v>1536</v>
      </c>
      <c r="E156" s="15"/>
      <c r="F156" s="16">
        <v>0</v>
      </c>
      <c r="G156" s="16">
        <v>9166.66</v>
      </c>
      <c r="H156" s="16">
        <v>19170.650000000001</v>
      </c>
      <c r="I156" s="15" t="s">
        <v>1540</v>
      </c>
      <c r="J156" s="17">
        <f t="shared" si="2"/>
        <v>0</v>
      </c>
    </row>
    <row r="157" spans="1:10" ht="15.75" customHeight="1" x14ac:dyDescent="0.3">
      <c r="A157" s="18">
        <v>45226</v>
      </c>
      <c r="B157" s="18">
        <v>45226</v>
      </c>
      <c r="C157" s="15" t="s">
        <v>1676</v>
      </c>
      <c r="D157" s="15" t="s">
        <v>1536</v>
      </c>
      <c r="E157" s="15"/>
      <c r="F157" s="16">
        <v>126</v>
      </c>
      <c r="G157" s="16">
        <v>0</v>
      </c>
      <c r="H157" s="16">
        <v>19044.650000000001</v>
      </c>
      <c r="I157" s="15" t="s">
        <v>1537</v>
      </c>
      <c r="J157" s="17">
        <f t="shared" si="2"/>
        <v>0</v>
      </c>
    </row>
    <row r="158" spans="1:10" ht="15.75" customHeight="1" x14ac:dyDescent="0.3">
      <c r="A158" s="18">
        <v>45227</v>
      </c>
      <c r="B158" s="18">
        <v>45227</v>
      </c>
      <c r="C158" s="15" t="s">
        <v>1677</v>
      </c>
      <c r="D158" s="15" t="s">
        <v>1536</v>
      </c>
      <c r="E158" s="15"/>
      <c r="F158" s="16">
        <v>100</v>
      </c>
      <c r="G158" s="16">
        <v>0</v>
      </c>
      <c r="H158" s="16">
        <v>18944.650000000001</v>
      </c>
      <c r="I158" s="15" t="s">
        <v>1537</v>
      </c>
      <c r="J158" s="17">
        <f t="shared" si="2"/>
        <v>0</v>
      </c>
    </row>
    <row r="159" spans="1:10" ht="15.75" customHeight="1" x14ac:dyDescent="0.3">
      <c r="A159" s="18">
        <v>45227</v>
      </c>
      <c r="B159" s="18">
        <v>45227</v>
      </c>
      <c r="C159" s="15" t="s">
        <v>1678</v>
      </c>
      <c r="D159" s="15" t="s">
        <v>1536</v>
      </c>
      <c r="E159" s="15"/>
      <c r="F159" s="16">
        <v>199</v>
      </c>
      <c r="G159" s="16">
        <v>0</v>
      </c>
      <c r="H159" s="16">
        <v>18745.650000000001</v>
      </c>
      <c r="I159" s="15" t="s">
        <v>1537</v>
      </c>
      <c r="J159" s="17">
        <f t="shared" si="2"/>
        <v>0</v>
      </c>
    </row>
    <row r="160" spans="1:10" ht="15.75" customHeight="1" x14ac:dyDescent="0.3">
      <c r="A160" s="18">
        <v>45228</v>
      </c>
      <c r="B160" s="18">
        <v>45228</v>
      </c>
      <c r="C160" s="15" t="s">
        <v>1679</v>
      </c>
      <c r="D160" s="15" t="s">
        <v>1536</v>
      </c>
      <c r="E160" s="15"/>
      <c r="F160" s="16">
        <v>100</v>
      </c>
      <c r="G160" s="16">
        <v>0</v>
      </c>
      <c r="H160" s="16">
        <v>18645.650000000001</v>
      </c>
      <c r="I160" s="15" t="s">
        <v>1537</v>
      </c>
      <c r="J160" s="17">
        <f t="shared" si="2"/>
        <v>0</v>
      </c>
    </row>
    <row r="161" spans="1:10" ht="15.75" customHeight="1" x14ac:dyDescent="0.3">
      <c r="A161" s="18">
        <v>45228</v>
      </c>
      <c r="B161" s="18">
        <v>45228</v>
      </c>
      <c r="C161" s="15" t="s">
        <v>1680</v>
      </c>
      <c r="D161" s="15" t="s">
        <v>1536</v>
      </c>
      <c r="E161" s="15"/>
      <c r="F161" s="16">
        <v>121</v>
      </c>
      <c r="G161" s="16">
        <v>0</v>
      </c>
      <c r="H161" s="16">
        <v>18524.650000000001</v>
      </c>
      <c r="I161" s="15" t="s">
        <v>1537</v>
      </c>
      <c r="J161" s="17">
        <f t="shared" si="2"/>
        <v>0</v>
      </c>
    </row>
    <row r="162" spans="1:10" ht="15.75" customHeight="1" x14ac:dyDescent="0.3">
      <c r="A162" s="18">
        <v>45228</v>
      </c>
      <c r="B162" s="18">
        <v>45228</v>
      </c>
      <c r="C162" s="15" t="s">
        <v>1681</v>
      </c>
      <c r="D162" s="15" t="s">
        <v>1536</v>
      </c>
      <c r="E162" s="15"/>
      <c r="F162" s="16">
        <v>99</v>
      </c>
      <c r="G162" s="16">
        <v>0</v>
      </c>
      <c r="H162" s="16">
        <v>18425.650000000001</v>
      </c>
      <c r="I162" s="15" t="s">
        <v>1537</v>
      </c>
      <c r="J162" s="17">
        <f t="shared" si="2"/>
        <v>0</v>
      </c>
    </row>
    <row r="163" spans="1:10" ht="15.75" customHeight="1" x14ac:dyDescent="0.3">
      <c r="A163" s="18">
        <v>45229</v>
      </c>
      <c r="B163" s="18">
        <v>45229</v>
      </c>
      <c r="C163" s="15" t="s">
        <v>1682</v>
      </c>
      <c r="D163" s="15" t="s">
        <v>1536</v>
      </c>
      <c r="E163" s="15"/>
      <c r="F163" s="16">
        <v>100</v>
      </c>
      <c r="G163" s="16">
        <v>0</v>
      </c>
      <c r="H163" s="16">
        <v>18325.650000000001</v>
      </c>
      <c r="I163" s="15" t="s">
        <v>1537</v>
      </c>
      <c r="J163" s="17">
        <f t="shared" si="2"/>
        <v>0</v>
      </c>
    </row>
    <row r="164" spans="1:10" ht="15.75" customHeight="1" x14ac:dyDescent="0.3">
      <c r="A164" s="18">
        <v>45229</v>
      </c>
      <c r="B164" s="18">
        <v>45229</v>
      </c>
      <c r="C164" s="15" t="s">
        <v>1683</v>
      </c>
      <c r="D164" s="15" t="s">
        <v>1536</v>
      </c>
      <c r="E164" s="15"/>
      <c r="F164" s="16">
        <v>624</v>
      </c>
      <c r="G164" s="16">
        <v>0</v>
      </c>
      <c r="H164" s="16">
        <v>17701.650000000001</v>
      </c>
      <c r="I164" s="15" t="s">
        <v>1537</v>
      </c>
      <c r="J164" s="17">
        <f t="shared" si="2"/>
        <v>0</v>
      </c>
    </row>
    <row r="165" spans="1:10" ht="15.75" customHeight="1" x14ac:dyDescent="0.3">
      <c r="A165" s="18">
        <v>45230</v>
      </c>
      <c r="B165" s="18">
        <v>45230</v>
      </c>
      <c r="C165" s="15" t="s">
        <v>1684</v>
      </c>
      <c r="D165" s="15" t="s">
        <v>1536</v>
      </c>
      <c r="E165" s="15"/>
      <c r="F165" s="16">
        <v>100</v>
      </c>
      <c r="G165" s="16">
        <v>0</v>
      </c>
      <c r="H165" s="16">
        <v>17601.650000000001</v>
      </c>
      <c r="I165" s="15" t="s">
        <v>1537</v>
      </c>
      <c r="J165" s="17">
        <f t="shared" si="2"/>
        <v>0</v>
      </c>
    </row>
    <row r="166" spans="1:10" ht="15.75" customHeight="1" x14ac:dyDescent="0.3">
      <c r="A166" s="18">
        <v>45230</v>
      </c>
      <c r="B166" s="18">
        <v>45230</v>
      </c>
      <c r="C166" s="15" t="s">
        <v>1685</v>
      </c>
      <c r="D166" s="15" t="s">
        <v>1536</v>
      </c>
      <c r="E166" s="15"/>
      <c r="F166" s="16">
        <v>613</v>
      </c>
      <c r="G166" s="16">
        <v>0</v>
      </c>
      <c r="H166" s="16">
        <v>16988.650000000001</v>
      </c>
      <c r="I166" s="15" t="s">
        <v>1537</v>
      </c>
      <c r="J166" s="17">
        <f t="shared" si="2"/>
        <v>0</v>
      </c>
    </row>
    <row r="167" spans="1:10" ht="15.75" customHeight="1" x14ac:dyDescent="0.3">
      <c r="A167" s="18">
        <v>45230</v>
      </c>
      <c r="B167" s="18">
        <v>45230</v>
      </c>
      <c r="C167" s="15" t="s">
        <v>1686</v>
      </c>
      <c r="D167" s="15" t="s">
        <v>1536</v>
      </c>
      <c r="E167" s="15"/>
      <c r="F167" s="16">
        <v>0</v>
      </c>
      <c r="G167" s="16">
        <v>34112</v>
      </c>
      <c r="H167" s="16">
        <v>51100.65</v>
      </c>
      <c r="I167" s="15" t="s">
        <v>1540</v>
      </c>
      <c r="J167" s="17">
        <f t="shared" si="2"/>
        <v>0</v>
      </c>
    </row>
    <row r="168" spans="1:10" ht="15.75" customHeight="1" x14ac:dyDescent="0.3">
      <c r="A168" s="18">
        <v>45231</v>
      </c>
      <c r="B168" s="18">
        <v>45231</v>
      </c>
      <c r="C168" s="15" t="s">
        <v>1687</v>
      </c>
      <c r="D168" s="15" t="s">
        <v>1536</v>
      </c>
      <c r="E168" s="15"/>
      <c r="F168" s="16">
        <v>100</v>
      </c>
      <c r="G168" s="16">
        <v>0</v>
      </c>
      <c r="H168" s="16">
        <v>51000.65</v>
      </c>
      <c r="I168" s="15" t="s">
        <v>1537</v>
      </c>
      <c r="J168" s="17">
        <f t="shared" si="2"/>
        <v>0</v>
      </c>
    </row>
    <row r="169" spans="1:10" ht="15.75" customHeight="1" x14ac:dyDescent="0.3">
      <c r="A169" s="18">
        <v>45231</v>
      </c>
      <c r="B169" s="18">
        <v>45231</v>
      </c>
      <c r="C169" s="15" t="s">
        <v>1688</v>
      </c>
      <c r="D169" s="15" t="s">
        <v>1536</v>
      </c>
      <c r="E169" s="15"/>
      <c r="F169" s="16">
        <v>35</v>
      </c>
      <c r="G169" s="16">
        <v>0</v>
      </c>
      <c r="H169" s="16">
        <v>50965.65</v>
      </c>
      <c r="I169" s="15" t="s">
        <v>1537</v>
      </c>
      <c r="J169" s="17">
        <f t="shared" si="2"/>
        <v>0</v>
      </c>
    </row>
    <row r="170" spans="1:10" ht="15.75" customHeight="1" x14ac:dyDescent="0.3">
      <c r="A170" s="18">
        <v>45231</v>
      </c>
      <c r="B170" s="18">
        <v>45231</v>
      </c>
      <c r="C170" s="15" t="s">
        <v>1689</v>
      </c>
      <c r="D170" s="15" t="s">
        <v>1536</v>
      </c>
      <c r="E170" s="15"/>
      <c r="F170" s="16">
        <v>15</v>
      </c>
      <c r="G170" s="16">
        <v>0</v>
      </c>
      <c r="H170" s="16">
        <v>50950.65</v>
      </c>
      <c r="I170" s="15" t="s">
        <v>1537</v>
      </c>
      <c r="J170" s="17">
        <f t="shared" si="2"/>
        <v>0</v>
      </c>
    </row>
    <row r="171" spans="1:10" ht="15.75" customHeight="1" x14ac:dyDescent="0.3">
      <c r="A171" s="18">
        <v>45231</v>
      </c>
      <c r="B171" s="18">
        <v>45231</v>
      </c>
      <c r="C171" s="15" t="s">
        <v>1690</v>
      </c>
      <c r="D171" s="15" t="s">
        <v>1536</v>
      </c>
      <c r="E171" s="15"/>
      <c r="F171" s="16">
        <v>150</v>
      </c>
      <c r="G171" s="16">
        <v>0</v>
      </c>
      <c r="H171" s="16">
        <v>50800.65</v>
      </c>
      <c r="I171" s="15" t="s">
        <v>1537</v>
      </c>
      <c r="J171" s="17">
        <f t="shared" si="2"/>
        <v>0</v>
      </c>
    </row>
    <row r="172" spans="1:10" ht="15.75" customHeight="1" x14ac:dyDescent="0.3">
      <c r="A172" s="18">
        <v>45231</v>
      </c>
      <c r="B172" s="18">
        <v>45231</v>
      </c>
      <c r="C172" s="15" t="s">
        <v>1691</v>
      </c>
      <c r="D172" s="15" t="s">
        <v>1536</v>
      </c>
      <c r="E172" s="15"/>
      <c r="F172" s="16">
        <v>20</v>
      </c>
      <c r="G172" s="16">
        <v>0</v>
      </c>
      <c r="H172" s="16">
        <v>50780.65</v>
      </c>
      <c r="I172" s="15" t="s">
        <v>1537</v>
      </c>
      <c r="J172" s="17">
        <f t="shared" si="2"/>
        <v>0</v>
      </c>
    </row>
    <row r="173" spans="1:10" ht="15.75" customHeight="1" x14ac:dyDescent="0.3">
      <c r="A173" s="18">
        <v>45232</v>
      </c>
      <c r="B173" s="18">
        <v>45232</v>
      </c>
      <c r="C173" s="15" t="s">
        <v>1692</v>
      </c>
      <c r="D173" s="15" t="s">
        <v>1536</v>
      </c>
      <c r="E173" s="15"/>
      <c r="F173" s="16">
        <v>100</v>
      </c>
      <c r="G173" s="16">
        <v>0</v>
      </c>
      <c r="H173" s="16">
        <v>50680.65</v>
      </c>
      <c r="I173" s="15" t="s">
        <v>1537</v>
      </c>
      <c r="J173" s="17">
        <f t="shared" si="2"/>
        <v>0</v>
      </c>
    </row>
    <row r="174" spans="1:10" ht="15.75" customHeight="1" x14ac:dyDescent="0.3">
      <c r="A174" s="18">
        <v>45232</v>
      </c>
      <c r="B174" s="18">
        <v>45232</v>
      </c>
      <c r="C174" s="15" t="s">
        <v>1693</v>
      </c>
      <c r="D174" s="15" t="s">
        <v>1536</v>
      </c>
      <c r="E174" s="15"/>
      <c r="F174" s="16">
        <v>40</v>
      </c>
      <c r="G174" s="16">
        <v>0</v>
      </c>
      <c r="H174" s="16">
        <v>50640.65</v>
      </c>
      <c r="I174" s="15" t="s">
        <v>1537</v>
      </c>
      <c r="J174" s="17">
        <f t="shared" si="2"/>
        <v>0</v>
      </c>
    </row>
    <row r="175" spans="1:10" ht="15.75" customHeight="1" x14ac:dyDescent="0.3">
      <c r="A175" s="18">
        <v>45232</v>
      </c>
      <c r="B175" s="18">
        <v>45232</v>
      </c>
      <c r="C175" s="15" t="s">
        <v>1694</v>
      </c>
      <c r="D175" s="15" t="s">
        <v>1536</v>
      </c>
      <c r="E175" s="15"/>
      <c r="F175" s="16">
        <v>90</v>
      </c>
      <c r="G175" s="16">
        <v>0</v>
      </c>
      <c r="H175" s="16">
        <v>50550.65</v>
      </c>
      <c r="I175" s="15" t="s">
        <v>1537</v>
      </c>
      <c r="J175" s="17">
        <f t="shared" si="2"/>
        <v>0</v>
      </c>
    </row>
    <row r="176" spans="1:10" ht="15.75" customHeight="1" x14ac:dyDescent="0.3">
      <c r="A176" s="18">
        <v>45232</v>
      </c>
      <c r="B176" s="18">
        <v>45232</v>
      </c>
      <c r="C176" s="15" t="s">
        <v>1695</v>
      </c>
      <c r="D176" s="15" t="s">
        <v>1536</v>
      </c>
      <c r="E176" s="15"/>
      <c r="F176" s="16">
        <v>25</v>
      </c>
      <c r="G176" s="16">
        <v>0</v>
      </c>
      <c r="H176" s="16">
        <v>50525.65</v>
      </c>
      <c r="I176" s="15" t="s">
        <v>1537</v>
      </c>
      <c r="J176" s="17">
        <f t="shared" si="2"/>
        <v>0</v>
      </c>
    </row>
    <row r="177" spans="1:10" ht="15.75" customHeight="1" x14ac:dyDescent="0.3">
      <c r="A177" s="18">
        <v>45232</v>
      </c>
      <c r="B177" s="18">
        <v>45232</v>
      </c>
      <c r="C177" s="15" t="s">
        <v>1696</v>
      </c>
      <c r="D177" s="15" t="s">
        <v>1536</v>
      </c>
      <c r="E177" s="15"/>
      <c r="F177" s="16">
        <v>0</v>
      </c>
      <c r="G177" s="16">
        <v>1</v>
      </c>
      <c r="H177" s="16">
        <v>50526.65</v>
      </c>
      <c r="I177" s="15" t="s">
        <v>1540</v>
      </c>
      <c r="J177" s="17">
        <f t="shared" si="2"/>
        <v>0</v>
      </c>
    </row>
    <row r="178" spans="1:10" ht="15.75" customHeight="1" x14ac:dyDescent="0.3">
      <c r="A178" s="18">
        <v>45233</v>
      </c>
      <c r="B178" s="18">
        <v>45233</v>
      </c>
      <c r="C178" s="15" t="s">
        <v>1697</v>
      </c>
      <c r="D178" s="15" t="s">
        <v>1536</v>
      </c>
      <c r="E178" s="15"/>
      <c r="F178" s="16">
        <v>100</v>
      </c>
      <c r="G178" s="16">
        <v>0</v>
      </c>
      <c r="H178" s="16">
        <v>50426.65</v>
      </c>
      <c r="I178" s="15" t="s">
        <v>1537</v>
      </c>
      <c r="J178" s="17">
        <f t="shared" si="2"/>
        <v>0</v>
      </c>
    </row>
    <row r="179" spans="1:10" ht="15.75" customHeight="1" x14ac:dyDescent="0.3">
      <c r="A179" s="18">
        <v>45233</v>
      </c>
      <c r="B179" s="18">
        <v>45233</v>
      </c>
      <c r="C179" s="15" t="s">
        <v>1698</v>
      </c>
      <c r="D179" s="15" t="s">
        <v>1536</v>
      </c>
      <c r="E179" s="15"/>
      <c r="F179" s="16">
        <v>35</v>
      </c>
      <c r="G179" s="16">
        <v>0</v>
      </c>
      <c r="H179" s="16">
        <v>50391.65</v>
      </c>
      <c r="I179" s="15" t="s">
        <v>1537</v>
      </c>
      <c r="J179" s="17">
        <f t="shared" si="2"/>
        <v>0</v>
      </c>
    </row>
    <row r="180" spans="1:10" ht="15.75" customHeight="1" x14ac:dyDescent="0.3">
      <c r="A180" s="18">
        <v>45233</v>
      </c>
      <c r="B180" s="18">
        <v>45233</v>
      </c>
      <c r="C180" s="15" t="s">
        <v>1699</v>
      </c>
      <c r="D180" s="15" t="s">
        <v>1536</v>
      </c>
      <c r="E180" s="15"/>
      <c r="F180" s="16">
        <v>15</v>
      </c>
      <c r="G180" s="16">
        <v>0</v>
      </c>
      <c r="H180" s="16">
        <v>50376.65</v>
      </c>
      <c r="I180" s="15" t="s">
        <v>1537</v>
      </c>
      <c r="J180" s="17">
        <f t="shared" si="2"/>
        <v>0</v>
      </c>
    </row>
    <row r="181" spans="1:10" ht="15.75" customHeight="1" x14ac:dyDescent="0.3">
      <c r="A181" s="18">
        <v>45233</v>
      </c>
      <c r="B181" s="18">
        <v>45233</v>
      </c>
      <c r="C181" s="15" t="s">
        <v>1700</v>
      </c>
      <c r="D181" s="15" t="s">
        <v>1536</v>
      </c>
      <c r="E181" s="15"/>
      <c r="F181" s="16">
        <v>26.02</v>
      </c>
      <c r="G181" s="16">
        <v>0</v>
      </c>
      <c r="H181" s="16">
        <v>50350.63</v>
      </c>
      <c r="I181" s="15" t="s">
        <v>1537</v>
      </c>
      <c r="J181" s="17">
        <f t="shared" si="2"/>
        <v>0</v>
      </c>
    </row>
    <row r="182" spans="1:10" ht="15.75" customHeight="1" x14ac:dyDescent="0.3">
      <c r="A182" s="18">
        <v>45233</v>
      </c>
      <c r="B182" s="18">
        <v>45233</v>
      </c>
      <c r="C182" s="15" t="s">
        <v>1701</v>
      </c>
      <c r="D182" s="15" t="s">
        <v>1536</v>
      </c>
      <c r="E182" s="15"/>
      <c r="F182" s="16">
        <v>1799</v>
      </c>
      <c r="G182" s="16">
        <v>0</v>
      </c>
      <c r="H182" s="16">
        <v>48551.63</v>
      </c>
      <c r="I182" s="15" t="s">
        <v>1537</v>
      </c>
      <c r="J182" s="17">
        <f t="shared" si="2"/>
        <v>0</v>
      </c>
    </row>
    <row r="183" spans="1:10" ht="15.75" customHeight="1" x14ac:dyDescent="0.3">
      <c r="A183" s="18">
        <v>45233</v>
      </c>
      <c r="B183" s="18">
        <v>45233</v>
      </c>
      <c r="C183" s="15" t="s">
        <v>1702</v>
      </c>
      <c r="D183" s="15" t="s">
        <v>1536</v>
      </c>
      <c r="E183" s="15"/>
      <c r="F183" s="16">
        <v>20</v>
      </c>
      <c r="G183" s="16">
        <v>0</v>
      </c>
      <c r="H183" s="16">
        <v>48531.63</v>
      </c>
      <c r="I183" s="15" t="s">
        <v>1537</v>
      </c>
      <c r="J183" s="17">
        <f t="shared" si="2"/>
        <v>0</v>
      </c>
    </row>
    <row r="184" spans="1:10" ht="15.75" customHeight="1" x14ac:dyDescent="0.3">
      <c r="A184" s="18">
        <v>45233</v>
      </c>
      <c r="B184" s="18">
        <v>45233</v>
      </c>
      <c r="C184" s="15" t="s">
        <v>1703</v>
      </c>
      <c r="D184" s="15" t="s">
        <v>1536</v>
      </c>
      <c r="E184" s="15"/>
      <c r="F184" s="16">
        <v>30</v>
      </c>
      <c r="G184" s="16">
        <v>0</v>
      </c>
      <c r="H184" s="16">
        <v>48501.63</v>
      </c>
      <c r="I184" s="15" t="s">
        <v>1537</v>
      </c>
      <c r="J184" s="17">
        <f t="shared" si="2"/>
        <v>0</v>
      </c>
    </row>
    <row r="185" spans="1:10" ht="15.75" customHeight="1" x14ac:dyDescent="0.3">
      <c r="A185" s="18">
        <v>45233</v>
      </c>
      <c r="B185" s="18">
        <v>45233</v>
      </c>
      <c r="C185" s="15" t="s">
        <v>1704</v>
      </c>
      <c r="D185" s="15" t="s">
        <v>1536</v>
      </c>
      <c r="E185" s="15"/>
      <c r="F185" s="16">
        <v>70</v>
      </c>
      <c r="G185" s="16">
        <v>0</v>
      </c>
      <c r="H185" s="16">
        <v>48431.63</v>
      </c>
      <c r="I185" s="15" t="s">
        <v>1537</v>
      </c>
      <c r="J185" s="17">
        <f t="shared" si="2"/>
        <v>0</v>
      </c>
    </row>
    <row r="186" spans="1:10" ht="15.75" customHeight="1" x14ac:dyDescent="0.3">
      <c r="A186" s="18">
        <v>45233</v>
      </c>
      <c r="B186" s="18">
        <v>45233</v>
      </c>
      <c r="C186" s="15" t="s">
        <v>1705</v>
      </c>
      <c r="D186" s="15" t="s">
        <v>1536</v>
      </c>
      <c r="E186" s="15"/>
      <c r="F186" s="16">
        <v>25</v>
      </c>
      <c r="G186" s="16">
        <v>0</v>
      </c>
      <c r="H186" s="16">
        <v>48406.63</v>
      </c>
      <c r="I186" s="15" t="s">
        <v>1537</v>
      </c>
      <c r="J186" s="17">
        <f t="shared" si="2"/>
        <v>0</v>
      </c>
    </row>
    <row r="187" spans="1:10" ht="15.75" customHeight="1" x14ac:dyDescent="0.3">
      <c r="A187" s="18">
        <v>45233</v>
      </c>
      <c r="B187" s="18">
        <v>45233</v>
      </c>
      <c r="C187" s="15" t="s">
        <v>1706</v>
      </c>
      <c r="D187" s="15" t="s">
        <v>1536</v>
      </c>
      <c r="E187" s="15"/>
      <c r="F187" s="16">
        <v>299</v>
      </c>
      <c r="G187" s="16">
        <v>0</v>
      </c>
      <c r="H187" s="16">
        <v>48107.63</v>
      </c>
      <c r="I187" s="15" t="s">
        <v>1537</v>
      </c>
      <c r="J187" s="17">
        <f t="shared" si="2"/>
        <v>0</v>
      </c>
    </row>
    <row r="188" spans="1:10" ht="15.75" customHeight="1" x14ac:dyDescent="0.3">
      <c r="A188" s="18">
        <v>45234</v>
      </c>
      <c r="B188" s="18">
        <v>45234</v>
      </c>
      <c r="C188" s="15" t="s">
        <v>1707</v>
      </c>
      <c r="D188" s="15" t="s">
        <v>1536</v>
      </c>
      <c r="E188" s="15"/>
      <c r="F188" s="16">
        <v>100</v>
      </c>
      <c r="G188" s="16">
        <v>0</v>
      </c>
      <c r="H188" s="16">
        <v>48007.63</v>
      </c>
      <c r="I188" s="15" t="s">
        <v>1537</v>
      </c>
      <c r="J188" s="17">
        <f t="shared" si="2"/>
        <v>0</v>
      </c>
    </row>
    <row r="189" spans="1:10" ht="15.75" customHeight="1" x14ac:dyDescent="0.3">
      <c r="A189" s="18">
        <v>45234</v>
      </c>
      <c r="B189" s="18">
        <v>45234</v>
      </c>
      <c r="C189" s="15" t="s">
        <v>1708</v>
      </c>
      <c r="D189" s="15" t="s">
        <v>1536</v>
      </c>
      <c r="E189" s="15"/>
      <c r="F189" s="16">
        <v>70</v>
      </c>
      <c r="G189" s="16">
        <v>0</v>
      </c>
      <c r="H189" s="16">
        <v>47937.63</v>
      </c>
      <c r="I189" s="15" t="s">
        <v>1537</v>
      </c>
      <c r="J189" s="17">
        <f t="shared" si="2"/>
        <v>0</v>
      </c>
    </row>
    <row r="190" spans="1:10" ht="15.75" customHeight="1" x14ac:dyDescent="0.3">
      <c r="A190" s="18">
        <v>45234</v>
      </c>
      <c r="B190" s="18">
        <v>45234</v>
      </c>
      <c r="C190" s="15" t="s">
        <v>1709</v>
      </c>
      <c r="D190" s="15" t="s">
        <v>1536</v>
      </c>
      <c r="E190" s="15"/>
      <c r="F190" s="16">
        <v>50</v>
      </c>
      <c r="G190" s="16">
        <v>0</v>
      </c>
      <c r="H190" s="16">
        <v>47887.63</v>
      </c>
      <c r="I190" s="15" t="s">
        <v>1537</v>
      </c>
      <c r="J190" s="17">
        <f t="shared" si="2"/>
        <v>0</v>
      </c>
    </row>
    <row r="191" spans="1:10" ht="15.75" customHeight="1" x14ac:dyDescent="0.3">
      <c r="A191" s="18">
        <v>45234</v>
      </c>
      <c r="B191" s="18">
        <v>45234</v>
      </c>
      <c r="C191" s="15" t="s">
        <v>1710</v>
      </c>
      <c r="D191" s="15" t="s">
        <v>1536</v>
      </c>
      <c r="E191" s="15"/>
      <c r="F191" s="16">
        <v>279</v>
      </c>
      <c r="G191" s="16">
        <v>0</v>
      </c>
      <c r="H191" s="16">
        <v>47608.63</v>
      </c>
      <c r="I191" s="15" t="s">
        <v>1537</v>
      </c>
      <c r="J191" s="17">
        <f t="shared" si="2"/>
        <v>0</v>
      </c>
    </row>
    <row r="192" spans="1:10" ht="15.75" customHeight="1" x14ac:dyDescent="0.3">
      <c r="A192" s="18">
        <v>45234</v>
      </c>
      <c r="B192" s="18">
        <v>45234</v>
      </c>
      <c r="C192" s="15" t="s">
        <v>1711</v>
      </c>
      <c r="D192" s="15" t="s">
        <v>1536</v>
      </c>
      <c r="E192" s="15"/>
      <c r="F192" s="16">
        <v>45</v>
      </c>
      <c r="G192" s="16">
        <v>0</v>
      </c>
      <c r="H192" s="16">
        <v>47563.63</v>
      </c>
      <c r="I192" s="15" t="s">
        <v>1537</v>
      </c>
      <c r="J192" s="17">
        <f t="shared" si="2"/>
        <v>0</v>
      </c>
    </row>
    <row r="193" spans="1:10" ht="15.75" customHeight="1" x14ac:dyDescent="0.3">
      <c r="A193" s="18">
        <v>45234</v>
      </c>
      <c r="B193" s="18">
        <v>45234</v>
      </c>
      <c r="C193" s="15" t="s">
        <v>1712</v>
      </c>
      <c r="D193" s="15" t="s">
        <v>1536</v>
      </c>
      <c r="E193" s="15"/>
      <c r="F193" s="16">
        <v>255</v>
      </c>
      <c r="G193" s="16">
        <v>0</v>
      </c>
      <c r="H193" s="16">
        <v>47308.63</v>
      </c>
      <c r="I193" s="15" t="s">
        <v>1537</v>
      </c>
      <c r="J193" s="17">
        <f t="shared" si="2"/>
        <v>0</v>
      </c>
    </row>
    <row r="194" spans="1:10" ht="15.75" customHeight="1" x14ac:dyDescent="0.3">
      <c r="A194" s="18">
        <v>45234</v>
      </c>
      <c r="B194" s="18">
        <v>45234</v>
      </c>
      <c r="C194" s="15" t="s">
        <v>1713</v>
      </c>
      <c r="D194" s="15" t="s">
        <v>1536</v>
      </c>
      <c r="E194" s="15"/>
      <c r="F194" s="16">
        <v>50</v>
      </c>
      <c r="G194" s="16">
        <v>0</v>
      </c>
      <c r="H194" s="16">
        <v>47258.63</v>
      </c>
      <c r="I194" s="15" t="s">
        <v>1537</v>
      </c>
      <c r="J194" s="17">
        <f t="shared" si="2"/>
        <v>0</v>
      </c>
    </row>
    <row r="195" spans="1:10" ht="15.75" customHeight="1" x14ac:dyDescent="0.3">
      <c r="A195" s="18">
        <v>45234</v>
      </c>
      <c r="B195" s="18">
        <v>45234</v>
      </c>
      <c r="C195" s="15" t="s">
        <v>1714</v>
      </c>
      <c r="D195" s="15" t="s">
        <v>1536</v>
      </c>
      <c r="E195" s="15"/>
      <c r="F195" s="16">
        <v>239</v>
      </c>
      <c r="G195" s="16">
        <v>0</v>
      </c>
      <c r="H195" s="16">
        <v>47019.63</v>
      </c>
      <c r="I195" s="15" t="s">
        <v>1537</v>
      </c>
      <c r="J195" s="17">
        <f t="shared" si="2"/>
        <v>0</v>
      </c>
    </row>
    <row r="196" spans="1:10" ht="15.75" customHeight="1" x14ac:dyDescent="0.3">
      <c r="A196" s="18">
        <v>45235</v>
      </c>
      <c r="B196" s="18">
        <v>45235</v>
      </c>
      <c r="C196" s="15" t="s">
        <v>1715</v>
      </c>
      <c r="D196" s="15" t="s">
        <v>1536</v>
      </c>
      <c r="E196" s="15"/>
      <c r="F196" s="16">
        <v>100</v>
      </c>
      <c r="G196" s="16">
        <v>0</v>
      </c>
      <c r="H196" s="16">
        <v>46919.63</v>
      </c>
      <c r="I196" s="15" t="s">
        <v>1537</v>
      </c>
      <c r="J196" s="17">
        <f t="shared" si="2"/>
        <v>0</v>
      </c>
    </row>
    <row r="197" spans="1:10" ht="15.75" customHeight="1" x14ac:dyDescent="0.3">
      <c r="A197" s="18">
        <v>45235</v>
      </c>
      <c r="B197" s="18">
        <v>45235</v>
      </c>
      <c r="C197" s="15" t="s">
        <v>1716</v>
      </c>
      <c r="D197" s="15" t="s">
        <v>1536</v>
      </c>
      <c r="E197" s="15"/>
      <c r="F197" s="16">
        <v>30</v>
      </c>
      <c r="G197" s="16">
        <v>0</v>
      </c>
      <c r="H197" s="16">
        <v>46889.63</v>
      </c>
      <c r="I197" s="15" t="s">
        <v>1537</v>
      </c>
      <c r="J197" s="17">
        <f t="shared" si="2"/>
        <v>0</v>
      </c>
    </row>
    <row r="198" spans="1:10" ht="15.75" customHeight="1" x14ac:dyDescent="0.3">
      <c r="A198" s="18">
        <v>45236</v>
      </c>
      <c r="B198" s="18">
        <v>45236</v>
      </c>
      <c r="C198" s="15" t="s">
        <v>1717</v>
      </c>
      <c r="D198" s="15" t="s">
        <v>1536</v>
      </c>
      <c r="E198" s="15"/>
      <c r="F198" s="16">
        <v>100</v>
      </c>
      <c r="G198" s="16">
        <v>0</v>
      </c>
      <c r="H198" s="16">
        <v>46789.63</v>
      </c>
      <c r="I198" s="15" t="s">
        <v>1537</v>
      </c>
      <c r="J198" s="17">
        <f t="shared" si="2"/>
        <v>0</v>
      </c>
    </row>
    <row r="199" spans="1:10" ht="15.75" customHeight="1" x14ac:dyDescent="0.3">
      <c r="A199" s="18">
        <v>45237</v>
      </c>
      <c r="B199" s="18">
        <v>45237</v>
      </c>
      <c r="C199" s="15" t="s">
        <v>1718</v>
      </c>
      <c r="D199" s="15" t="s">
        <v>1536</v>
      </c>
      <c r="E199" s="15"/>
      <c r="F199" s="16">
        <v>100</v>
      </c>
      <c r="G199" s="16">
        <v>0</v>
      </c>
      <c r="H199" s="16">
        <v>46689.63</v>
      </c>
      <c r="I199" s="15" t="s">
        <v>1537</v>
      </c>
      <c r="J199" s="17">
        <f t="shared" si="2"/>
        <v>0</v>
      </c>
    </row>
    <row r="200" spans="1:10" ht="15.75" customHeight="1" x14ac:dyDescent="0.3">
      <c r="A200" s="18">
        <v>45237</v>
      </c>
      <c r="B200" s="18">
        <v>45237</v>
      </c>
      <c r="C200" s="15" t="s">
        <v>1719</v>
      </c>
      <c r="D200" s="15" t="s">
        <v>1536</v>
      </c>
      <c r="E200" s="15"/>
      <c r="F200" s="16">
        <v>28</v>
      </c>
      <c r="G200" s="16">
        <v>0</v>
      </c>
      <c r="H200" s="16">
        <v>46661.63</v>
      </c>
      <c r="I200" s="15" t="s">
        <v>1537</v>
      </c>
      <c r="J200" s="17">
        <f t="shared" si="2"/>
        <v>0</v>
      </c>
    </row>
    <row r="201" spans="1:10" ht="15.75" customHeight="1" x14ac:dyDescent="0.3">
      <c r="A201" s="18">
        <v>45237</v>
      </c>
      <c r="B201" s="18">
        <v>45237</v>
      </c>
      <c r="C201" s="15" t="s">
        <v>1720</v>
      </c>
      <c r="D201" s="15" t="s">
        <v>1536</v>
      </c>
      <c r="E201" s="15"/>
      <c r="F201" s="16">
        <v>24</v>
      </c>
      <c r="G201" s="16">
        <v>0</v>
      </c>
      <c r="H201" s="16">
        <v>46637.63</v>
      </c>
      <c r="I201" s="15" t="s">
        <v>1537</v>
      </c>
      <c r="J201" s="17">
        <f t="shared" si="2"/>
        <v>0</v>
      </c>
    </row>
    <row r="202" spans="1:10" ht="15.75" customHeight="1" x14ac:dyDescent="0.3">
      <c r="A202" s="18">
        <v>45237</v>
      </c>
      <c r="B202" s="18">
        <v>45237</v>
      </c>
      <c r="C202" s="15" t="s">
        <v>1721</v>
      </c>
      <c r="D202" s="15" t="s">
        <v>1536</v>
      </c>
      <c r="E202" s="15"/>
      <c r="F202" s="16">
        <v>20</v>
      </c>
      <c r="G202" s="16">
        <v>0</v>
      </c>
      <c r="H202" s="16">
        <v>46617.63</v>
      </c>
      <c r="I202" s="15" t="s">
        <v>1537</v>
      </c>
      <c r="J202" s="17">
        <f t="shared" si="2"/>
        <v>0</v>
      </c>
    </row>
    <row r="203" spans="1:10" ht="15.75" customHeight="1" x14ac:dyDescent="0.3">
      <c r="A203" s="18">
        <v>45238</v>
      </c>
      <c r="B203" s="18">
        <v>45238</v>
      </c>
      <c r="C203" s="15" t="s">
        <v>1722</v>
      </c>
      <c r="D203" s="15" t="s">
        <v>1536</v>
      </c>
      <c r="E203" s="15"/>
      <c r="F203" s="16">
        <v>100</v>
      </c>
      <c r="G203" s="16">
        <v>0</v>
      </c>
      <c r="H203" s="16">
        <v>46517.63</v>
      </c>
      <c r="I203" s="15" t="s">
        <v>1537</v>
      </c>
      <c r="J203" s="17">
        <f t="shared" si="2"/>
        <v>0</v>
      </c>
    </row>
    <row r="204" spans="1:10" ht="15.75" customHeight="1" x14ac:dyDescent="0.3">
      <c r="A204" s="18">
        <v>45238</v>
      </c>
      <c r="B204" s="18">
        <v>45238</v>
      </c>
      <c r="C204" s="15" t="s">
        <v>1723</v>
      </c>
      <c r="D204" s="15" t="s">
        <v>1536</v>
      </c>
      <c r="E204" s="15"/>
      <c r="F204" s="16">
        <v>35</v>
      </c>
      <c r="G204" s="16">
        <v>0</v>
      </c>
      <c r="H204" s="16">
        <v>46482.63</v>
      </c>
      <c r="I204" s="15" t="s">
        <v>1537</v>
      </c>
      <c r="J204" s="17">
        <f t="shared" si="2"/>
        <v>0</v>
      </c>
    </row>
    <row r="205" spans="1:10" ht="15.75" customHeight="1" x14ac:dyDescent="0.3">
      <c r="A205" s="18">
        <v>45238</v>
      </c>
      <c r="B205" s="18">
        <v>45238</v>
      </c>
      <c r="C205" s="15" t="s">
        <v>1724</v>
      </c>
      <c r="D205" s="15" t="s">
        <v>1536</v>
      </c>
      <c r="E205" s="15"/>
      <c r="F205" s="16">
        <v>20</v>
      </c>
      <c r="G205" s="16">
        <v>0</v>
      </c>
      <c r="H205" s="16">
        <v>46462.63</v>
      </c>
      <c r="I205" s="15" t="s">
        <v>1537</v>
      </c>
      <c r="J205" s="17">
        <f t="shared" si="2"/>
        <v>0</v>
      </c>
    </row>
    <row r="206" spans="1:10" ht="15.75" customHeight="1" x14ac:dyDescent="0.3">
      <c r="A206" s="18">
        <v>45238</v>
      </c>
      <c r="B206" s="18">
        <v>45238</v>
      </c>
      <c r="C206" s="15" t="s">
        <v>1725</v>
      </c>
      <c r="D206" s="15" t="s">
        <v>1536</v>
      </c>
      <c r="E206" s="15"/>
      <c r="F206" s="16">
        <v>23</v>
      </c>
      <c r="G206" s="16">
        <v>0</v>
      </c>
      <c r="H206" s="16">
        <v>46439.63</v>
      </c>
      <c r="I206" s="15" t="s">
        <v>1537</v>
      </c>
      <c r="J206" s="17">
        <f t="shared" si="2"/>
        <v>0</v>
      </c>
    </row>
    <row r="207" spans="1:10" ht="15.75" customHeight="1" x14ac:dyDescent="0.3">
      <c r="A207" s="18">
        <v>45238</v>
      </c>
      <c r="B207" s="18">
        <v>45238</v>
      </c>
      <c r="C207" s="15" t="s">
        <v>1726</v>
      </c>
      <c r="D207" s="15" t="s">
        <v>1536</v>
      </c>
      <c r="E207" s="15"/>
      <c r="F207" s="16">
        <v>50</v>
      </c>
      <c r="G207" s="16">
        <v>0</v>
      </c>
      <c r="H207" s="16">
        <v>46389.63</v>
      </c>
      <c r="I207" s="15" t="s">
        <v>1537</v>
      </c>
      <c r="J207" s="17">
        <f t="shared" si="2"/>
        <v>0</v>
      </c>
    </row>
    <row r="208" spans="1:10" ht="15.75" customHeight="1" x14ac:dyDescent="0.3">
      <c r="A208" s="18">
        <v>45238</v>
      </c>
      <c r="B208" s="18">
        <v>45238</v>
      </c>
      <c r="C208" s="15" t="s">
        <v>1727</v>
      </c>
      <c r="D208" s="15" t="s">
        <v>1536</v>
      </c>
      <c r="E208" s="15"/>
      <c r="F208" s="16">
        <v>50</v>
      </c>
      <c r="G208" s="16">
        <v>0</v>
      </c>
      <c r="H208" s="16">
        <v>46339.63</v>
      </c>
      <c r="I208" s="15" t="s">
        <v>1537</v>
      </c>
      <c r="J208" s="17">
        <f t="shared" si="2"/>
        <v>0</v>
      </c>
    </row>
    <row r="209" spans="1:10" ht="15.75" customHeight="1" x14ac:dyDescent="0.3">
      <c r="A209" s="18">
        <v>45238</v>
      </c>
      <c r="B209" s="18">
        <v>45238</v>
      </c>
      <c r="C209" s="15" t="s">
        <v>1728</v>
      </c>
      <c r="D209" s="15" t="s">
        <v>1536</v>
      </c>
      <c r="E209" s="15"/>
      <c r="F209" s="16">
        <v>336</v>
      </c>
      <c r="G209" s="16">
        <v>0</v>
      </c>
      <c r="H209" s="16">
        <v>46003.63</v>
      </c>
      <c r="I209" s="15" t="s">
        <v>1537</v>
      </c>
      <c r="J209" s="17">
        <f t="shared" si="2"/>
        <v>0</v>
      </c>
    </row>
    <row r="210" spans="1:10" ht="15.75" customHeight="1" x14ac:dyDescent="0.3">
      <c r="A210" s="18">
        <v>45239</v>
      </c>
      <c r="B210" s="18">
        <v>45239</v>
      </c>
      <c r="C210" s="15" t="s">
        <v>1729</v>
      </c>
      <c r="D210" s="15" t="s">
        <v>1536</v>
      </c>
      <c r="E210" s="15"/>
      <c r="F210" s="16">
        <v>100</v>
      </c>
      <c r="G210" s="16">
        <v>0</v>
      </c>
      <c r="H210" s="16">
        <v>45903.63</v>
      </c>
      <c r="I210" s="15" t="s">
        <v>1537</v>
      </c>
      <c r="J210" s="17">
        <f t="shared" si="2"/>
        <v>0</v>
      </c>
    </row>
    <row r="211" spans="1:10" ht="15.75" customHeight="1" x14ac:dyDescent="0.3">
      <c r="A211" s="18">
        <v>45239</v>
      </c>
      <c r="B211" s="18">
        <v>45239</v>
      </c>
      <c r="C211" s="15" t="s">
        <v>1730</v>
      </c>
      <c r="D211" s="15" t="s">
        <v>1536</v>
      </c>
      <c r="E211" s="15"/>
      <c r="F211" s="16">
        <v>100</v>
      </c>
      <c r="G211" s="16">
        <v>0</v>
      </c>
      <c r="H211" s="16">
        <v>45803.63</v>
      </c>
      <c r="I211" s="15" t="s">
        <v>1537</v>
      </c>
      <c r="J211" s="17">
        <f t="shared" ref="J211:J274" si="3">H210-F211+G211-H211</f>
        <v>0</v>
      </c>
    </row>
    <row r="212" spans="1:10" ht="15.75" customHeight="1" x14ac:dyDescent="0.3">
      <c r="A212" s="18">
        <v>45239</v>
      </c>
      <c r="B212" s="18">
        <v>45239</v>
      </c>
      <c r="C212" s="15" t="s">
        <v>1731</v>
      </c>
      <c r="D212" s="15" t="s">
        <v>1536</v>
      </c>
      <c r="E212" s="15"/>
      <c r="F212" s="16">
        <v>202</v>
      </c>
      <c r="G212" s="16">
        <v>0</v>
      </c>
      <c r="H212" s="16">
        <v>45601.63</v>
      </c>
      <c r="I212" s="15" t="s">
        <v>1537</v>
      </c>
      <c r="J212" s="17">
        <f t="shared" si="3"/>
        <v>0</v>
      </c>
    </row>
    <row r="213" spans="1:10" ht="15.75" customHeight="1" x14ac:dyDescent="0.3">
      <c r="A213" s="18">
        <v>45239</v>
      </c>
      <c r="B213" s="18">
        <v>45239</v>
      </c>
      <c r="C213" s="15" t="s">
        <v>1732</v>
      </c>
      <c r="D213" s="15" t="s">
        <v>1536</v>
      </c>
      <c r="E213" s="15"/>
      <c r="F213" s="16">
        <v>983.95</v>
      </c>
      <c r="G213" s="16">
        <v>0</v>
      </c>
      <c r="H213" s="16">
        <v>44617.68</v>
      </c>
      <c r="I213" s="15" t="s">
        <v>1537</v>
      </c>
      <c r="J213" s="17">
        <f t="shared" si="3"/>
        <v>0</v>
      </c>
    </row>
    <row r="214" spans="1:10" ht="15.75" customHeight="1" x14ac:dyDescent="0.3">
      <c r="A214" s="18">
        <v>45239</v>
      </c>
      <c r="B214" s="18">
        <v>45239</v>
      </c>
      <c r="C214" s="15" t="s">
        <v>1733</v>
      </c>
      <c r="D214" s="15" t="s">
        <v>1536</v>
      </c>
      <c r="E214" s="15"/>
      <c r="F214" s="16">
        <v>340</v>
      </c>
      <c r="G214" s="16">
        <v>0</v>
      </c>
      <c r="H214" s="16">
        <v>44277.68</v>
      </c>
      <c r="I214" s="15" t="s">
        <v>1537</v>
      </c>
      <c r="J214" s="17">
        <f t="shared" si="3"/>
        <v>0</v>
      </c>
    </row>
    <row r="215" spans="1:10" ht="15.75" customHeight="1" x14ac:dyDescent="0.3">
      <c r="A215" s="18">
        <v>45240</v>
      </c>
      <c r="B215" s="18">
        <v>45240</v>
      </c>
      <c r="C215" s="15" t="s">
        <v>1734</v>
      </c>
      <c r="D215" s="15" t="s">
        <v>1536</v>
      </c>
      <c r="E215" s="15"/>
      <c r="F215" s="16">
        <v>100</v>
      </c>
      <c r="G215" s="16">
        <v>0</v>
      </c>
      <c r="H215" s="16">
        <v>44177.68</v>
      </c>
      <c r="I215" s="15" t="s">
        <v>1537</v>
      </c>
      <c r="J215" s="17">
        <f t="shared" si="3"/>
        <v>0</v>
      </c>
    </row>
    <row r="216" spans="1:10" ht="15.75" customHeight="1" x14ac:dyDescent="0.3">
      <c r="A216" s="18">
        <v>45240</v>
      </c>
      <c r="B216" s="18">
        <v>45240</v>
      </c>
      <c r="C216" s="15" t="s">
        <v>1735</v>
      </c>
      <c r="D216" s="15" t="s">
        <v>1536</v>
      </c>
      <c r="E216" s="15"/>
      <c r="F216" s="16">
        <v>102.15</v>
      </c>
      <c r="G216" s="16">
        <v>0</v>
      </c>
      <c r="H216" s="16">
        <v>44075.53</v>
      </c>
      <c r="I216" s="15" t="s">
        <v>1537</v>
      </c>
      <c r="J216" s="17">
        <f t="shared" si="3"/>
        <v>0</v>
      </c>
    </row>
    <row r="217" spans="1:10" ht="15.75" customHeight="1" x14ac:dyDescent="0.3">
      <c r="A217" s="18">
        <v>45241</v>
      </c>
      <c r="B217" s="18">
        <v>45241</v>
      </c>
      <c r="C217" s="15" t="s">
        <v>1736</v>
      </c>
      <c r="D217" s="15" t="s">
        <v>1536</v>
      </c>
      <c r="E217" s="15"/>
      <c r="F217" s="16">
        <v>100</v>
      </c>
      <c r="G217" s="16">
        <v>0</v>
      </c>
      <c r="H217" s="16">
        <v>43975.53</v>
      </c>
      <c r="I217" s="15" t="s">
        <v>1537</v>
      </c>
      <c r="J217" s="17">
        <f t="shared" si="3"/>
        <v>0</v>
      </c>
    </row>
    <row r="218" spans="1:10" ht="15.75" customHeight="1" x14ac:dyDescent="0.3">
      <c r="A218" s="18">
        <v>45241</v>
      </c>
      <c r="B218" s="18">
        <v>45241</v>
      </c>
      <c r="C218" s="15" t="s">
        <v>1737</v>
      </c>
      <c r="D218" s="15" t="s">
        <v>1536</v>
      </c>
      <c r="E218" s="15"/>
      <c r="F218" s="16">
        <v>72.150000000000006</v>
      </c>
      <c r="G218" s="16">
        <v>0</v>
      </c>
      <c r="H218" s="16">
        <v>43903.38</v>
      </c>
      <c r="I218" s="15" t="s">
        <v>1537</v>
      </c>
      <c r="J218" s="17">
        <f t="shared" si="3"/>
        <v>0</v>
      </c>
    </row>
    <row r="219" spans="1:10" ht="15.75" customHeight="1" x14ac:dyDescent="0.3">
      <c r="A219" s="18">
        <v>45241</v>
      </c>
      <c r="B219" s="18">
        <v>45242</v>
      </c>
      <c r="C219" s="15" t="s">
        <v>1738</v>
      </c>
      <c r="D219" s="15" t="s">
        <v>1536</v>
      </c>
      <c r="E219" s="15"/>
      <c r="F219" s="16">
        <v>0</v>
      </c>
      <c r="G219" s="16">
        <v>295</v>
      </c>
      <c r="H219" s="16">
        <v>44198.38</v>
      </c>
      <c r="I219" s="15" t="s">
        <v>1540</v>
      </c>
      <c r="J219" s="17">
        <f t="shared" si="3"/>
        <v>0</v>
      </c>
    </row>
    <row r="220" spans="1:10" ht="15.75" customHeight="1" x14ac:dyDescent="0.3">
      <c r="A220" s="18">
        <v>45242</v>
      </c>
      <c r="B220" s="18">
        <v>45242</v>
      </c>
      <c r="C220" s="15" t="s">
        <v>1739</v>
      </c>
      <c r="D220" s="15" t="s">
        <v>1536</v>
      </c>
      <c r="E220" s="15"/>
      <c r="F220" s="16">
        <v>100</v>
      </c>
      <c r="G220" s="16">
        <v>0</v>
      </c>
      <c r="H220" s="16">
        <v>44098.38</v>
      </c>
      <c r="I220" s="15" t="s">
        <v>1537</v>
      </c>
      <c r="J220" s="17">
        <f t="shared" si="3"/>
        <v>0</v>
      </c>
    </row>
    <row r="221" spans="1:10" ht="15.75" customHeight="1" x14ac:dyDescent="0.3">
      <c r="A221" s="18">
        <v>45243</v>
      </c>
      <c r="B221" s="18">
        <v>45243</v>
      </c>
      <c r="C221" s="15" t="s">
        <v>1740</v>
      </c>
      <c r="D221" s="15" t="s">
        <v>1536</v>
      </c>
      <c r="E221" s="15"/>
      <c r="F221" s="16">
        <v>100</v>
      </c>
      <c r="G221" s="16">
        <v>0</v>
      </c>
      <c r="H221" s="16">
        <v>43998.38</v>
      </c>
      <c r="I221" s="15" t="s">
        <v>1537</v>
      </c>
      <c r="J221" s="17">
        <f t="shared" si="3"/>
        <v>0</v>
      </c>
    </row>
    <row r="222" spans="1:10" ht="15.75" customHeight="1" x14ac:dyDescent="0.3">
      <c r="A222" s="18">
        <v>45243</v>
      </c>
      <c r="B222" s="18">
        <v>45243</v>
      </c>
      <c r="C222" s="15" t="s">
        <v>1741</v>
      </c>
      <c r="D222" s="15" t="s">
        <v>1536</v>
      </c>
      <c r="E222" s="15"/>
      <c r="F222" s="16">
        <v>60</v>
      </c>
      <c r="G222" s="16">
        <v>0</v>
      </c>
      <c r="H222" s="16">
        <v>43938.38</v>
      </c>
      <c r="I222" s="15" t="s">
        <v>1537</v>
      </c>
      <c r="J222" s="17">
        <f t="shared" si="3"/>
        <v>0</v>
      </c>
    </row>
    <row r="223" spans="1:10" ht="15.75" customHeight="1" x14ac:dyDescent="0.3">
      <c r="A223" s="18">
        <v>45243</v>
      </c>
      <c r="B223" s="18">
        <v>45243</v>
      </c>
      <c r="C223" s="15" t="s">
        <v>1742</v>
      </c>
      <c r="D223" s="15" t="s">
        <v>1536</v>
      </c>
      <c r="E223" s="15"/>
      <c r="F223" s="16">
        <v>40</v>
      </c>
      <c r="G223" s="16">
        <v>0</v>
      </c>
      <c r="H223" s="16">
        <v>43898.38</v>
      </c>
      <c r="I223" s="15" t="s">
        <v>1537</v>
      </c>
      <c r="J223" s="17">
        <f t="shared" si="3"/>
        <v>0</v>
      </c>
    </row>
    <row r="224" spans="1:10" ht="15.75" customHeight="1" x14ac:dyDescent="0.3">
      <c r="A224" s="18">
        <v>45243</v>
      </c>
      <c r="B224" s="18">
        <v>45243</v>
      </c>
      <c r="C224" s="15" t="s">
        <v>1743</v>
      </c>
      <c r="D224" s="15" t="s">
        <v>1536</v>
      </c>
      <c r="E224" s="15"/>
      <c r="F224" s="16">
        <v>15</v>
      </c>
      <c r="G224" s="16">
        <v>0</v>
      </c>
      <c r="H224" s="16">
        <v>43883.38</v>
      </c>
      <c r="I224" s="15" t="s">
        <v>1537</v>
      </c>
      <c r="J224" s="17">
        <f t="shared" si="3"/>
        <v>0</v>
      </c>
    </row>
    <row r="225" spans="1:10" ht="15.75" customHeight="1" x14ac:dyDescent="0.3">
      <c r="A225" s="18">
        <v>45244</v>
      </c>
      <c r="B225" s="18">
        <v>45244</v>
      </c>
      <c r="C225" s="15" t="s">
        <v>1744</v>
      </c>
      <c r="D225" s="15" t="s">
        <v>1536</v>
      </c>
      <c r="E225" s="15"/>
      <c r="F225" s="16">
        <v>100</v>
      </c>
      <c r="G225" s="16">
        <v>0</v>
      </c>
      <c r="H225" s="16">
        <v>43783.38</v>
      </c>
      <c r="I225" s="15" t="s">
        <v>1537</v>
      </c>
      <c r="J225" s="17">
        <f t="shared" si="3"/>
        <v>0</v>
      </c>
    </row>
    <row r="226" spans="1:10" ht="15.75" customHeight="1" x14ac:dyDescent="0.3">
      <c r="A226" s="18">
        <v>45244</v>
      </c>
      <c r="B226" s="18">
        <v>45244</v>
      </c>
      <c r="C226" s="15" t="s">
        <v>1745</v>
      </c>
      <c r="D226" s="15" t="s">
        <v>1536</v>
      </c>
      <c r="E226" s="15"/>
      <c r="F226" s="16">
        <v>106.42</v>
      </c>
      <c r="G226" s="16">
        <v>0</v>
      </c>
      <c r="H226" s="16">
        <v>43676.959999999999</v>
      </c>
      <c r="I226" s="15" t="s">
        <v>1537</v>
      </c>
      <c r="J226" s="17">
        <f t="shared" si="3"/>
        <v>0</v>
      </c>
    </row>
    <row r="227" spans="1:10" ht="15.75" customHeight="1" x14ac:dyDescent="0.3">
      <c r="A227" s="18">
        <v>45244</v>
      </c>
      <c r="B227" s="18">
        <v>45244</v>
      </c>
      <c r="C227" s="15" t="s">
        <v>1746</v>
      </c>
      <c r="D227" s="15" t="s">
        <v>1536</v>
      </c>
      <c r="E227" s="15"/>
      <c r="F227" s="16">
        <v>40</v>
      </c>
      <c r="G227" s="16">
        <v>0</v>
      </c>
      <c r="H227" s="16">
        <v>43636.959999999999</v>
      </c>
      <c r="I227" s="15" t="s">
        <v>1537</v>
      </c>
      <c r="J227" s="17">
        <f t="shared" si="3"/>
        <v>0</v>
      </c>
    </row>
    <row r="228" spans="1:10" ht="15.75" customHeight="1" x14ac:dyDescent="0.3">
      <c r="A228" s="18">
        <v>45244</v>
      </c>
      <c r="B228" s="18">
        <v>45244</v>
      </c>
      <c r="C228" s="15" t="s">
        <v>1747</v>
      </c>
      <c r="D228" s="15" t="s">
        <v>1536</v>
      </c>
      <c r="E228" s="15"/>
      <c r="F228" s="16">
        <v>20</v>
      </c>
      <c r="G228" s="16">
        <v>0</v>
      </c>
      <c r="H228" s="16">
        <v>43616.959999999999</v>
      </c>
      <c r="I228" s="15" t="s">
        <v>1537</v>
      </c>
      <c r="J228" s="17">
        <f t="shared" si="3"/>
        <v>0</v>
      </c>
    </row>
    <row r="229" spans="1:10" ht="15.75" customHeight="1" x14ac:dyDescent="0.3">
      <c r="A229" s="18">
        <v>45245</v>
      </c>
      <c r="B229" s="18">
        <v>45245</v>
      </c>
      <c r="C229" s="15" t="s">
        <v>1748</v>
      </c>
      <c r="D229" s="15" t="s">
        <v>1536</v>
      </c>
      <c r="E229" s="15"/>
      <c r="F229" s="16">
        <v>100</v>
      </c>
      <c r="G229" s="16">
        <v>0</v>
      </c>
      <c r="H229" s="16">
        <v>43516.959999999999</v>
      </c>
      <c r="I229" s="15" t="s">
        <v>1537</v>
      </c>
      <c r="J229" s="17">
        <f t="shared" si="3"/>
        <v>0</v>
      </c>
    </row>
    <row r="230" spans="1:10" ht="15.75" customHeight="1" x14ac:dyDescent="0.3">
      <c r="A230" s="18">
        <v>45245</v>
      </c>
      <c r="B230" s="18">
        <v>45245</v>
      </c>
      <c r="C230" s="15" t="s">
        <v>1749</v>
      </c>
      <c r="D230" s="15" t="s">
        <v>1536</v>
      </c>
      <c r="E230" s="15"/>
      <c r="F230" s="16">
        <v>30</v>
      </c>
      <c r="G230" s="16">
        <v>0</v>
      </c>
      <c r="H230" s="16">
        <v>43486.96</v>
      </c>
      <c r="I230" s="15" t="s">
        <v>1537</v>
      </c>
      <c r="J230" s="17">
        <f t="shared" si="3"/>
        <v>0</v>
      </c>
    </row>
    <row r="231" spans="1:10" ht="15.75" customHeight="1" x14ac:dyDescent="0.3">
      <c r="A231" s="18">
        <v>45245</v>
      </c>
      <c r="B231" s="18">
        <v>45245</v>
      </c>
      <c r="C231" s="15" t="s">
        <v>1750</v>
      </c>
      <c r="D231" s="15" t="s">
        <v>1536</v>
      </c>
      <c r="E231" s="15"/>
      <c r="F231" s="16">
        <v>275.39</v>
      </c>
      <c r="G231" s="16">
        <v>0</v>
      </c>
      <c r="H231" s="16">
        <v>43211.57</v>
      </c>
      <c r="I231" s="15" t="s">
        <v>1537</v>
      </c>
      <c r="J231" s="17">
        <f t="shared" si="3"/>
        <v>0</v>
      </c>
    </row>
    <row r="232" spans="1:10" ht="15.75" customHeight="1" x14ac:dyDescent="0.3">
      <c r="A232" s="18">
        <v>45246</v>
      </c>
      <c r="B232" s="18">
        <v>45246</v>
      </c>
      <c r="C232" s="15" t="s">
        <v>1751</v>
      </c>
      <c r="D232" s="15" t="s">
        <v>1536</v>
      </c>
      <c r="E232" s="15"/>
      <c r="F232" s="16">
        <v>100</v>
      </c>
      <c r="G232" s="16">
        <v>0</v>
      </c>
      <c r="H232" s="16">
        <v>43111.57</v>
      </c>
      <c r="I232" s="15" t="s">
        <v>1537</v>
      </c>
      <c r="J232" s="17">
        <f t="shared" si="3"/>
        <v>0</v>
      </c>
    </row>
    <row r="233" spans="1:10" ht="15.75" customHeight="1" x14ac:dyDescent="0.3">
      <c r="A233" s="18">
        <v>45246</v>
      </c>
      <c r="B233" s="18">
        <v>45246</v>
      </c>
      <c r="C233" s="15" t="s">
        <v>1752</v>
      </c>
      <c r="D233" s="15" t="s">
        <v>1536</v>
      </c>
      <c r="E233" s="15"/>
      <c r="F233" s="16">
        <v>35</v>
      </c>
      <c r="G233" s="16">
        <v>0</v>
      </c>
      <c r="H233" s="16">
        <v>43076.57</v>
      </c>
      <c r="I233" s="15" t="s">
        <v>1537</v>
      </c>
      <c r="J233" s="17">
        <f t="shared" si="3"/>
        <v>0</v>
      </c>
    </row>
    <row r="234" spans="1:10" ht="15.75" customHeight="1" x14ac:dyDescent="0.3">
      <c r="A234" s="18">
        <v>45246</v>
      </c>
      <c r="B234" s="18">
        <v>45246</v>
      </c>
      <c r="C234" s="15" t="s">
        <v>1753</v>
      </c>
      <c r="D234" s="15" t="s">
        <v>1536</v>
      </c>
      <c r="E234" s="15"/>
      <c r="F234" s="16">
        <v>16</v>
      </c>
      <c r="G234" s="16">
        <v>0</v>
      </c>
      <c r="H234" s="16">
        <v>43060.57</v>
      </c>
      <c r="I234" s="15" t="s">
        <v>1537</v>
      </c>
      <c r="J234" s="17">
        <f t="shared" si="3"/>
        <v>0</v>
      </c>
    </row>
    <row r="235" spans="1:10" ht="15.75" customHeight="1" x14ac:dyDescent="0.3">
      <c r="A235" s="18">
        <v>45246</v>
      </c>
      <c r="B235" s="18">
        <v>45246</v>
      </c>
      <c r="C235" s="15" t="s">
        <v>1754</v>
      </c>
      <c r="D235" s="15" t="s">
        <v>1536</v>
      </c>
      <c r="E235" s="15"/>
      <c r="F235" s="16">
        <v>10</v>
      </c>
      <c r="G235" s="16">
        <v>0</v>
      </c>
      <c r="H235" s="16">
        <v>43050.57</v>
      </c>
      <c r="I235" s="15" t="s">
        <v>1537</v>
      </c>
      <c r="J235" s="17">
        <f t="shared" si="3"/>
        <v>0</v>
      </c>
    </row>
    <row r="236" spans="1:10" ht="15.75" customHeight="1" x14ac:dyDescent="0.3">
      <c r="A236" s="18">
        <v>45246</v>
      </c>
      <c r="B236" s="18">
        <v>45246</v>
      </c>
      <c r="C236" s="15" t="s">
        <v>1755</v>
      </c>
      <c r="D236" s="15" t="s">
        <v>1536</v>
      </c>
      <c r="E236" s="15"/>
      <c r="F236" s="16">
        <v>40</v>
      </c>
      <c r="G236" s="16">
        <v>0</v>
      </c>
      <c r="H236" s="16">
        <v>43010.57</v>
      </c>
      <c r="I236" s="15" t="s">
        <v>1537</v>
      </c>
      <c r="J236" s="17">
        <f t="shared" si="3"/>
        <v>0</v>
      </c>
    </row>
    <row r="237" spans="1:10" ht="15.75" customHeight="1" x14ac:dyDescent="0.3">
      <c r="A237" s="18">
        <v>45246</v>
      </c>
      <c r="B237" s="18">
        <v>45246</v>
      </c>
      <c r="C237" s="15" t="s">
        <v>1756</v>
      </c>
      <c r="D237" s="15" t="s">
        <v>1536</v>
      </c>
      <c r="E237" s="15"/>
      <c r="F237" s="16">
        <v>30</v>
      </c>
      <c r="G237" s="16">
        <v>0</v>
      </c>
      <c r="H237" s="16">
        <v>42980.57</v>
      </c>
      <c r="I237" s="15" t="s">
        <v>1537</v>
      </c>
      <c r="J237" s="17">
        <f t="shared" si="3"/>
        <v>0</v>
      </c>
    </row>
    <row r="238" spans="1:10" ht="15.75" customHeight="1" x14ac:dyDescent="0.3">
      <c r="A238" s="18">
        <v>45247</v>
      </c>
      <c r="B238" s="18">
        <v>45247</v>
      </c>
      <c r="C238" s="15" t="s">
        <v>1757</v>
      </c>
      <c r="D238" s="15" t="s">
        <v>1536</v>
      </c>
      <c r="E238" s="15"/>
      <c r="F238" s="16">
        <v>100</v>
      </c>
      <c r="G238" s="16">
        <v>0</v>
      </c>
      <c r="H238" s="16">
        <v>42880.57</v>
      </c>
      <c r="I238" s="15" t="s">
        <v>1537</v>
      </c>
      <c r="J238" s="17">
        <f t="shared" si="3"/>
        <v>0</v>
      </c>
    </row>
    <row r="239" spans="1:10" ht="15.75" customHeight="1" x14ac:dyDescent="0.3">
      <c r="A239" s="18">
        <v>45247</v>
      </c>
      <c r="B239" s="18">
        <v>45247</v>
      </c>
      <c r="C239" s="15" t="s">
        <v>1758</v>
      </c>
      <c r="D239" s="15" t="s">
        <v>1536</v>
      </c>
      <c r="E239" s="15"/>
      <c r="F239" s="16">
        <v>35</v>
      </c>
      <c r="G239" s="16">
        <v>0</v>
      </c>
      <c r="H239" s="16">
        <v>42845.57</v>
      </c>
      <c r="I239" s="15" t="s">
        <v>1537</v>
      </c>
      <c r="J239" s="17">
        <f t="shared" si="3"/>
        <v>0</v>
      </c>
    </row>
    <row r="240" spans="1:10" ht="15.75" customHeight="1" x14ac:dyDescent="0.3">
      <c r="A240" s="18">
        <v>45247</v>
      </c>
      <c r="B240" s="18">
        <v>45247</v>
      </c>
      <c r="C240" s="15" t="s">
        <v>1759</v>
      </c>
      <c r="D240" s="15" t="s">
        <v>1536</v>
      </c>
      <c r="E240" s="15"/>
      <c r="F240" s="16">
        <v>26</v>
      </c>
      <c r="G240" s="16">
        <v>0</v>
      </c>
      <c r="H240" s="16">
        <v>42819.57</v>
      </c>
      <c r="I240" s="15" t="s">
        <v>1537</v>
      </c>
      <c r="J240" s="17">
        <f t="shared" si="3"/>
        <v>0</v>
      </c>
    </row>
    <row r="241" spans="1:10" ht="15.75" customHeight="1" x14ac:dyDescent="0.3">
      <c r="A241" s="18">
        <v>45247</v>
      </c>
      <c r="B241" s="18">
        <v>45247</v>
      </c>
      <c r="C241" s="15" t="s">
        <v>1760</v>
      </c>
      <c r="D241" s="15" t="s">
        <v>1536</v>
      </c>
      <c r="E241" s="15"/>
      <c r="F241" s="16">
        <v>30</v>
      </c>
      <c r="G241" s="16">
        <v>0</v>
      </c>
      <c r="H241" s="16">
        <v>42789.57</v>
      </c>
      <c r="I241" s="15" t="s">
        <v>1537</v>
      </c>
      <c r="J241" s="17">
        <f t="shared" si="3"/>
        <v>0</v>
      </c>
    </row>
    <row r="242" spans="1:10" ht="15.75" customHeight="1" x14ac:dyDescent="0.3">
      <c r="A242" s="18">
        <v>45247</v>
      </c>
      <c r="B242" s="18">
        <v>45247</v>
      </c>
      <c r="C242" s="15" t="s">
        <v>1761</v>
      </c>
      <c r="D242" s="15" t="s">
        <v>1536</v>
      </c>
      <c r="E242" s="15"/>
      <c r="F242" s="16">
        <v>20</v>
      </c>
      <c r="G242" s="16">
        <v>0</v>
      </c>
      <c r="H242" s="16">
        <v>42769.57</v>
      </c>
      <c r="I242" s="15" t="s">
        <v>1537</v>
      </c>
      <c r="J242" s="17">
        <f t="shared" si="3"/>
        <v>0</v>
      </c>
    </row>
    <row r="243" spans="1:10" ht="15.75" customHeight="1" x14ac:dyDescent="0.3">
      <c r="A243" s="18">
        <v>45247</v>
      </c>
      <c r="B243" s="18">
        <v>45247</v>
      </c>
      <c r="C243" s="15" t="s">
        <v>1762</v>
      </c>
      <c r="D243" s="15" t="s">
        <v>1536</v>
      </c>
      <c r="E243" s="15"/>
      <c r="F243" s="16">
        <v>269.99</v>
      </c>
      <c r="G243" s="16">
        <v>0</v>
      </c>
      <c r="H243" s="16">
        <v>42499.58</v>
      </c>
      <c r="I243" s="15" t="s">
        <v>1537</v>
      </c>
      <c r="J243" s="17">
        <f t="shared" si="3"/>
        <v>0</v>
      </c>
    </row>
    <row r="244" spans="1:10" ht="15.75" customHeight="1" x14ac:dyDescent="0.3">
      <c r="A244" s="18">
        <v>45248</v>
      </c>
      <c r="B244" s="18">
        <v>45248</v>
      </c>
      <c r="C244" s="15" t="s">
        <v>1763</v>
      </c>
      <c r="D244" s="15" t="s">
        <v>1536</v>
      </c>
      <c r="E244" s="15"/>
      <c r="F244" s="16">
        <v>100</v>
      </c>
      <c r="G244" s="16">
        <v>0</v>
      </c>
      <c r="H244" s="16">
        <v>42399.58</v>
      </c>
      <c r="I244" s="15" t="s">
        <v>1537</v>
      </c>
      <c r="J244" s="17">
        <f t="shared" si="3"/>
        <v>0</v>
      </c>
    </row>
    <row r="245" spans="1:10" ht="15.75" customHeight="1" x14ac:dyDescent="0.3">
      <c r="A245" s="18">
        <v>45248</v>
      </c>
      <c r="B245" s="18">
        <v>45248</v>
      </c>
      <c r="C245" s="15" t="s">
        <v>1764</v>
      </c>
      <c r="D245" s="15" t="s">
        <v>1536</v>
      </c>
      <c r="E245" s="15"/>
      <c r="F245" s="16">
        <v>75</v>
      </c>
      <c r="G245" s="16">
        <v>0</v>
      </c>
      <c r="H245" s="16">
        <v>42324.58</v>
      </c>
      <c r="I245" s="15" t="s">
        <v>1537</v>
      </c>
      <c r="J245" s="17">
        <f t="shared" si="3"/>
        <v>0</v>
      </c>
    </row>
    <row r="246" spans="1:10" ht="15.75" customHeight="1" x14ac:dyDescent="0.3">
      <c r="A246" s="18">
        <v>45248</v>
      </c>
      <c r="B246" s="18">
        <v>45248</v>
      </c>
      <c r="C246" s="15" t="s">
        <v>1765</v>
      </c>
      <c r="D246" s="15" t="s">
        <v>1536</v>
      </c>
      <c r="E246" s="15"/>
      <c r="F246" s="16">
        <v>25</v>
      </c>
      <c r="G246" s="16">
        <v>0</v>
      </c>
      <c r="H246" s="16">
        <v>42299.58</v>
      </c>
      <c r="I246" s="15" t="s">
        <v>1537</v>
      </c>
      <c r="J246" s="17">
        <f t="shared" si="3"/>
        <v>0</v>
      </c>
    </row>
    <row r="247" spans="1:10" ht="15.75" customHeight="1" x14ac:dyDescent="0.3">
      <c r="A247" s="18">
        <v>45248</v>
      </c>
      <c r="B247" s="18">
        <v>45248</v>
      </c>
      <c r="C247" s="15" t="s">
        <v>1766</v>
      </c>
      <c r="D247" s="15" t="s">
        <v>1536</v>
      </c>
      <c r="E247" s="15"/>
      <c r="F247" s="16">
        <v>299</v>
      </c>
      <c r="G247" s="16">
        <v>0</v>
      </c>
      <c r="H247" s="16">
        <v>42000.58</v>
      </c>
      <c r="I247" s="15" t="s">
        <v>1537</v>
      </c>
      <c r="J247" s="17">
        <f t="shared" si="3"/>
        <v>0</v>
      </c>
    </row>
    <row r="248" spans="1:10" ht="15.75" customHeight="1" x14ac:dyDescent="0.3">
      <c r="A248" s="18">
        <v>45248</v>
      </c>
      <c r="B248" s="18">
        <v>45248</v>
      </c>
      <c r="C248" s="15" t="s">
        <v>1767</v>
      </c>
      <c r="D248" s="15" t="s">
        <v>1536</v>
      </c>
      <c r="E248" s="15"/>
      <c r="F248" s="16">
        <v>99.01</v>
      </c>
      <c r="G248" s="16">
        <v>0</v>
      </c>
      <c r="H248" s="16">
        <v>41901.57</v>
      </c>
      <c r="I248" s="15" t="s">
        <v>1537</v>
      </c>
      <c r="J248" s="17">
        <f t="shared" si="3"/>
        <v>0</v>
      </c>
    </row>
    <row r="249" spans="1:10" ht="15.75" customHeight="1" x14ac:dyDescent="0.3">
      <c r="A249" s="18">
        <v>45248</v>
      </c>
      <c r="B249" s="18">
        <v>45248</v>
      </c>
      <c r="C249" s="15" t="s">
        <v>1768</v>
      </c>
      <c r="D249" s="15" t="s">
        <v>1536</v>
      </c>
      <c r="E249" s="15"/>
      <c r="F249" s="16">
        <v>332</v>
      </c>
      <c r="G249" s="16">
        <v>0</v>
      </c>
      <c r="H249" s="16">
        <v>41569.57</v>
      </c>
      <c r="I249" s="15" t="s">
        <v>1537</v>
      </c>
      <c r="J249" s="17">
        <f t="shared" si="3"/>
        <v>0</v>
      </c>
    </row>
    <row r="250" spans="1:10" ht="15.75" customHeight="1" x14ac:dyDescent="0.3">
      <c r="A250" s="18">
        <v>45248</v>
      </c>
      <c r="B250" s="18">
        <v>45248</v>
      </c>
      <c r="C250" s="15" t="s">
        <v>1769</v>
      </c>
      <c r="D250" s="15" t="s">
        <v>1536</v>
      </c>
      <c r="E250" s="15"/>
      <c r="F250" s="16">
        <v>30</v>
      </c>
      <c r="G250" s="16">
        <v>0</v>
      </c>
      <c r="H250" s="16">
        <v>41539.57</v>
      </c>
      <c r="I250" s="15" t="s">
        <v>1537</v>
      </c>
      <c r="J250" s="17">
        <f t="shared" si="3"/>
        <v>0</v>
      </c>
    </row>
    <row r="251" spans="1:10" ht="15.75" customHeight="1" x14ac:dyDescent="0.3">
      <c r="A251" s="18">
        <v>45248</v>
      </c>
      <c r="B251" s="18">
        <v>45248</v>
      </c>
      <c r="C251" s="15" t="s">
        <v>1770</v>
      </c>
      <c r="D251" s="15" t="s">
        <v>1536</v>
      </c>
      <c r="E251" s="15"/>
      <c r="F251" s="16">
        <v>60</v>
      </c>
      <c r="G251" s="16">
        <v>0</v>
      </c>
      <c r="H251" s="16">
        <v>41479.57</v>
      </c>
      <c r="I251" s="15" t="s">
        <v>1537</v>
      </c>
      <c r="J251" s="17">
        <f t="shared" si="3"/>
        <v>0</v>
      </c>
    </row>
    <row r="252" spans="1:10" ht="15.75" customHeight="1" x14ac:dyDescent="0.3">
      <c r="A252" s="18">
        <v>45248</v>
      </c>
      <c r="B252" s="18">
        <v>45248</v>
      </c>
      <c r="C252" s="15" t="s">
        <v>1771</v>
      </c>
      <c r="D252" s="15" t="s">
        <v>1536</v>
      </c>
      <c r="E252" s="15"/>
      <c r="F252" s="16">
        <v>20</v>
      </c>
      <c r="G252" s="16">
        <v>0</v>
      </c>
      <c r="H252" s="16">
        <v>41459.57</v>
      </c>
      <c r="I252" s="15" t="s">
        <v>1537</v>
      </c>
      <c r="J252" s="17">
        <f t="shared" si="3"/>
        <v>0</v>
      </c>
    </row>
    <row r="253" spans="1:10" ht="15.75" customHeight="1" x14ac:dyDescent="0.3">
      <c r="A253" s="18">
        <v>45248</v>
      </c>
      <c r="B253" s="18">
        <v>45248</v>
      </c>
      <c r="C253" s="15" t="s">
        <v>1772</v>
      </c>
      <c r="D253" s="15" t="s">
        <v>1536</v>
      </c>
      <c r="E253" s="15"/>
      <c r="F253" s="16">
        <v>20</v>
      </c>
      <c r="G253" s="16">
        <v>0</v>
      </c>
      <c r="H253" s="16">
        <v>41439.57</v>
      </c>
      <c r="I253" s="15" t="s">
        <v>1537</v>
      </c>
      <c r="J253" s="17">
        <f t="shared" si="3"/>
        <v>0</v>
      </c>
    </row>
    <row r="254" spans="1:10" ht="15.75" customHeight="1" x14ac:dyDescent="0.3">
      <c r="A254" s="18">
        <v>45249</v>
      </c>
      <c r="B254" s="18">
        <v>45249</v>
      </c>
      <c r="C254" s="15" t="s">
        <v>1773</v>
      </c>
      <c r="D254" s="15" t="s">
        <v>1536</v>
      </c>
      <c r="E254" s="15"/>
      <c r="F254" s="16">
        <v>100</v>
      </c>
      <c r="G254" s="16">
        <v>0</v>
      </c>
      <c r="H254" s="16">
        <v>41339.57</v>
      </c>
      <c r="I254" s="15" t="s">
        <v>1537</v>
      </c>
      <c r="J254" s="17">
        <f t="shared" si="3"/>
        <v>0</v>
      </c>
    </row>
    <row r="255" spans="1:10" ht="15.75" customHeight="1" x14ac:dyDescent="0.3">
      <c r="A255" s="18">
        <v>45249</v>
      </c>
      <c r="B255" s="18">
        <v>45249</v>
      </c>
      <c r="C255" s="15" t="s">
        <v>1774</v>
      </c>
      <c r="D255" s="15" t="s">
        <v>1536</v>
      </c>
      <c r="E255" s="15"/>
      <c r="F255" s="16">
        <v>30</v>
      </c>
      <c r="G255" s="16">
        <v>0</v>
      </c>
      <c r="H255" s="16">
        <v>41309.57</v>
      </c>
      <c r="I255" s="15" t="s">
        <v>1537</v>
      </c>
      <c r="J255" s="17">
        <f t="shared" si="3"/>
        <v>0</v>
      </c>
    </row>
    <row r="256" spans="1:10" ht="15.75" customHeight="1" x14ac:dyDescent="0.3">
      <c r="A256" s="18">
        <v>45249</v>
      </c>
      <c r="B256" s="18">
        <v>45249</v>
      </c>
      <c r="C256" s="15" t="s">
        <v>1775</v>
      </c>
      <c r="D256" s="15" t="s">
        <v>1536</v>
      </c>
      <c r="E256" s="15"/>
      <c r="F256" s="16">
        <v>15</v>
      </c>
      <c r="G256" s="16">
        <v>0</v>
      </c>
      <c r="H256" s="16">
        <v>41294.57</v>
      </c>
      <c r="I256" s="15" t="s">
        <v>1537</v>
      </c>
      <c r="J256" s="17">
        <f t="shared" si="3"/>
        <v>0</v>
      </c>
    </row>
    <row r="257" spans="1:10" ht="15.75" customHeight="1" x14ac:dyDescent="0.3">
      <c r="A257" s="18">
        <v>45250</v>
      </c>
      <c r="B257" s="18">
        <v>45250</v>
      </c>
      <c r="C257" s="15" t="s">
        <v>1776</v>
      </c>
      <c r="D257" s="15" t="s">
        <v>1536</v>
      </c>
      <c r="E257" s="15"/>
      <c r="F257" s="16">
        <v>100</v>
      </c>
      <c r="G257" s="16">
        <v>0</v>
      </c>
      <c r="H257" s="16">
        <v>41194.57</v>
      </c>
      <c r="I257" s="15" t="s">
        <v>1537</v>
      </c>
      <c r="J257" s="17">
        <f t="shared" si="3"/>
        <v>0</v>
      </c>
    </row>
    <row r="258" spans="1:10" ht="15.75" customHeight="1" x14ac:dyDescent="0.3">
      <c r="A258" s="18">
        <v>45250</v>
      </c>
      <c r="B258" s="18">
        <v>45250</v>
      </c>
      <c r="C258" s="15" t="s">
        <v>1777</v>
      </c>
      <c r="D258" s="15" t="s">
        <v>1536</v>
      </c>
      <c r="E258" s="15"/>
      <c r="F258" s="16">
        <v>30</v>
      </c>
      <c r="G258" s="16">
        <v>0</v>
      </c>
      <c r="H258" s="16">
        <v>41164.57</v>
      </c>
      <c r="I258" s="15" t="s">
        <v>1537</v>
      </c>
      <c r="J258" s="17">
        <f t="shared" si="3"/>
        <v>0</v>
      </c>
    </row>
    <row r="259" spans="1:10" ht="15.75" customHeight="1" x14ac:dyDescent="0.3">
      <c r="A259" s="18">
        <v>45250</v>
      </c>
      <c r="B259" s="18">
        <v>45250</v>
      </c>
      <c r="C259" s="15" t="s">
        <v>1778</v>
      </c>
      <c r="D259" s="15" t="s">
        <v>1536</v>
      </c>
      <c r="E259" s="15"/>
      <c r="F259" s="16">
        <v>20</v>
      </c>
      <c r="G259" s="16">
        <v>0</v>
      </c>
      <c r="H259" s="16">
        <v>41144.57</v>
      </c>
      <c r="I259" s="15" t="s">
        <v>1537</v>
      </c>
      <c r="J259" s="17">
        <f t="shared" si="3"/>
        <v>0</v>
      </c>
    </row>
    <row r="260" spans="1:10" ht="15.75" customHeight="1" x14ac:dyDescent="0.3">
      <c r="A260" s="18">
        <v>45250</v>
      </c>
      <c r="B260" s="18">
        <v>45250</v>
      </c>
      <c r="C260" s="15" t="s">
        <v>1779</v>
      </c>
      <c r="D260" s="15" t="s">
        <v>1536</v>
      </c>
      <c r="E260" s="15"/>
      <c r="F260" s="16">
        <v>90</v>
      </c>
      <c r="G260" s="16">
        <v>0</v>
      </c>
      <c r="H260" s="16">
        <v>41054.57</v>
      </c>
      <c r="I260" s="15" t="s">
        <v>1537</v>
      </c>
      <c r="J260" s="17">
        <f t="shared" si="3"/>
        <v>0</v>
      </c>
    </row>
    <row r="261" spans="1:10" ht="15.75" customHeight="1" x14ac:dyDescent="0.3">
      <c r="A261" s="18">
        <v>45250</v>
      </c>
      <c r="B261" s="18">
        <v>45250</v>
      </c>
      <c r="C261" s="15" t="s">
        <v>1780</v>
      </c>
      <c r="D261" s="15" t="s">
        <v>1536</v>
      </c>
      <c r="E261" s="15"/>
      <c r="F261" s="16">
        <v>40</v>
      </c>
      <c r="G261" s="16">
        <v>0</v>
      </c>
      <c r="H261" s="16">
        <v>41014.57</v>
      </c>
      <c r="I261" s="15" t="s">
        <v>1537</v>
      </c>
      <c r="J261" s="17">
        <f t="shared" si="3"/>
        <v>0</v>
      </c>
    </row>
    <row r="262" spans="1:10" ht="15.75" customHeight="1" x14ac:dyDescent="0.3">
      <c r="A262" s="18">
        <v>45251</v>
      </c>
      <c r="B262" s="18">
        <v>45251</v>
      </c>
      <c r="C262" s="15" t="s">
        <v>1781</v>
      </c>
      <c r="D262" s="15" t="s">
        <v>1536</v>
      </c>
      <c r="E262" s="15"/>
      <c r="F262" s="16">
        <v>100</v>
      </c>
      <c r="G262" s="16">
        <v>0</v>
      </c>
      <c r="H262" s="16">
        <v>40914.57</v>
      </c>
      <c r="I262" s="15" t="s">
        <v>1537</v>
      </c>
      <c r="J262" s="17">
        <f t="shared" si="3"/>
        <v>0</v>
      </c>
    </row>
    <row r="263" spans="1:10" ht="15.75" customHeight="1" x14ac:dyDescent="0.3">
      <c r="A263" s="18">
        <v>45251</v>
      </c>
      <c r="B263" s="18">
        <v>45251</v>
      </c>
      <c r="C263" s="15" t="s">
        <v>1782</v>
      </c>
      <c r="D263" s="15" t="s">
        <v>1536</v>
      </c>
      <c r="E263" s="15"/>
      <c r="F263" s="16">
        <v>1000</v>
      </c>
      <c r="G263" s="16">
        <v>0</v>
      </c>
      <c r="H263" s="16">
        <v>39914.57</v>
      </c>
      <c r="I263" s="15" t="s">
        <v>1537</v>
      </c>
      <c r="J263" s="17">
        <f t="shared" si="3"/>
        <v>0</v>
      </c>
    </row>
    <row r="264" spans="1:10" ht="15.75" customHeight="1" x14ac:dyDescent="0.3">
      <c r="A264" s="18">
        <v>45251</v>
      </c>
      <c r="B264" s="18">
        <v>45251</v>
      </c>
      <c r="C264" s="15" t="s">
        <v>1783</v>
      </c>
      <c r="D264" s="15" t="s">
        <v>1536</v>
      </c>
      <c r="E264" s="15"/>
      <c r="F264" s="16">
        <v>35</v>
      </c>
      <c r="G264" s="16">
        <v>0</v>
      </c>
      <c r="H264" s="16">
        <v>39879.57</v>
      </c>
      <c r="I264" s="15" t="s">
        <v>1537</v>
      </c>
      <c r="J264" s="17">
        <f t="shared" si="3"/>
        <v>0</v>
      </c>
    </row>
    <row r="265" spans="1:10" ht="15.75" customHeight="1" x14ac:dyDescent="0.3">
      <c r="A265" s="18">
        <v>45251</v>
      </c>
      <c r="B265" s="18">
        <v>45251</v>
      </c>
      <c r="C265" s="15" t="s">
        <v>1784</v>
      </c>
      <c r="D265" s="15" t="s">
        <v>1536</v>
      </c>
      <c r="E265" s="15"/>
      <c r="F265" s="16">
        <v>10</v>
      </c>
      <c r="G265" s="16">
        <v>0</v>
      </c>
      <c r="H265" s="16">
        <v>39869.57</v>
      </c>
      <c r="I265" s="15" t="s">
        <v>1537</v>
      </c>
      <c r="J265" s="17">
        <f t="shared" si="3"/>
        <v>0</v>
      </c>
    </row>
    <row r="266" spans="1:10" ht="15.75" customHeight="1" x14ac:dyDescent="0.3">
      <c r="A266" s="18">
        <v>45251</v>
      </c>
      <c r="B266" s="18">
        <v>45251</v>
      </c>
      <c r="C266" s="15" t="s">
        <v>1785</v>
      </c>
      <c r="D266" s="15" t="s">
        <v>1536</v>
      </c>
      <c r="E266" s="15"/>
      <c r="F266" s="16">
        <v>1000</v>
      </c>
      <c r="G266" s="16">
        <v>0</v>
      </c>
      <c r="H266" s="16">
        <v>38869.57</v>
      </c>
      <c r="I266" s="15" t="s">
        <v>1537</v>
      </c>
      <c r="J266" s="17">
        <f t="shared" si="3"/>
        <v>0</v>
      </c>
    </row>
    <row r="267" spans="1:10" ht="15.75" customHeight="1" x14ac:dyDescent="0.3">
      <c r="A267" s="18">
        <v>45251</v>
      </c>
      <c r="B267" s="18">
        <v>45251</v>
      </c>
      <c r="C267" s="15" t="s">
        <v>1786</v>
      </c>
      <c r="D267" s="15" t="s">
        <v>1536</v>
      </c>
      <c r="E267" s="15"/>
      <c r="F267" s="16">
        <v>70</v>
      </c>
      <c r="G267" s="16">
        <v>0</v>
      </c>
      <c r="H267" s="16">
        <v>38799.57</v>
      </c>
      <c r="I267" s="15" t="s">
        <v>1537</v>
      </c>
      <c r="J267" s="17">
        <f t="shared" si="3"/>
        <v>0</v>
      </c>
    </row>
    <row r="268" spans="1:10" ht="15.75" customHeight="1" x14ac:dyDescent="0.3">
      <c r="A268" s="18">
        <v>45251</v>
      </c>
      <c r="B268" s="18">
        <v>45251</v>
      </c>
      <c r="C268" s="15" t="s">
        <v>1787</v>
      </c>
      <c r="D268" s="15" t="s">
        <v>1536</v>
      </c>
      <c r="E268" s="15"/>
      <c r="F268" s="16">
        <v>10</v>
      </c>
      <c r="G268" s="16">
        <v>0</v>
      </c>
      <c r="H268" s="16">
        <v>38789.57</v>
      </c>
      <c r="I268" s="15" t="s">
        <v>1537</v>
      </c>
      <c r="J268" s="17">
        <f t="shared" si="3"/>
        <v>0</v>
      </c>
    </row>
    <row r="269" spans="1:10" ht="15.75" customHeight="1" x14ac:dyDescent="0.3">
      <c r="A269" s="18">
        <v>45251</v>
      </c>
      <c r="B269" s="18">
        <v>45251</v>
      </c>
      <c r="C269" s="15" t="s">
        <v>1788</v>
      </c>
      <c r="D269" s="15" t="s">
        <v>1536</v>
      </c>
      <c r="E269" s="15"/>
      <c r="F269" s="16">
        <v>329</v>
      </c>
      <c r="G269" s="16">
        <v>0</v>
      </c>
      <c r="H269" s="16">
        <v>38460.57</v>
      </c>
      <c r="I269" s="15" t="s">
        <v>1537</v>
      </c>
      <c r="J269" s="17">
        <f t="shared" si="3"/>
        <v>0</v>
      </c>
    </row>
    <row r="270" spans="1:10" ht="15.75" customHeight="1" x14ac:dyDescent="0.3">
      <c r="A270" s="18">
        <v>45251</v>
      </c>
      <c r="B270" s="18">
        <v>45251</v>
      </c>
      <c r="C270" s="15" t="s">
        <v>1789</v>
      </c>
      <c r="D270" s="15" t="s">
        <v>1536</v>
      </c>
      <c r="E270" s="15"/>
      <c r="F270" s="16">
        <v>80</v>
      </c>
      <c r="G270" s="16">
        <v>0</v>
      </c>
      <c r="H270" s="16">
        <v>38380.57</v>
      </c>
      <c r="I270" s="15" t="s">
        <v>1537</v>
      </c>
      <c r="J270" s="17">
        <f t="shared" si="3"/>
        <v>0</v>
      </c>
    </row>
    <row r="271" spans="1:10" ht="15.75" customHeight="1" x14ac:dyDescent="0.3">
      <c r="A271" s="18">
        <v>45252</v>
      </c>
      <c r="B271" s="18">
        <v>45252</v>
      </c>
      <c r="C271" s="15" t="s">
        <v>1790</v>
      </c>
      <c r="D271" s="15" t="s">
        <v>1536</v>
      </c>
      <c r="E271" s="15"/>
      <c r="F271" s="16">
        <v>100</v>
      </c>
      <c r="G271" s="16">
        <v>0</v>
      </c>
      <c r="H271" s="16">
        <v>38280.57</v>
      </c>
      <c r="I271" s="15" t="s">
        <v>1537</v>
      </c>
      <c r="J271" s="17">
        <f t="shared" si="3"/>
        <v>0</v>
      </c>
    </row>
    <row r="272" spans="1:10" ht="15.75" customHeight="1" x14ac:dyDescent="0.3">
      <c r="A272" s="18">
        <v>45252</v>
      </c>
      <c r="B272" s="18">
        <v>45252</v>
      </c>
      <c r="C272" s="15" t="s">
        <v>1791</v>
      </c>
      <c r="D272" s="15" t="s">
        <v>1536</v>
      </c>
      <c r="E272" s="15"/>
      <c r="F272" s="16">
        <v>35</v>
      </c>
      <c r="G272" s="16">
        <v>0</v>
      </c>
      <c r="H272" s="16">
        <v>38245.57</v>
      </c>
      <c r="I272" s="15" t="s">
        <v>1537</v>
      </c>
      <c r="J272" s="17">
        <f t="shared" si="3"/>
        <v>0</v>
      </c>
    </row>
    <row r="273" spans="1:10" ht="15.75" customHeight="1" x14ac:dyDescent="0.3">
      <c r="A273" s="18">
        <v>45252</v>
      </c>
      <c r="B273" s="18">
        <v>45252</v>
      </c>
      <c r="C273" s="15" t="s">
        <v>1792</v>
      </c>
      <c r="D273" s="15" t="s">
        <v>1536</v>
      </c>
      <c r="E273" s="15"/>
      <c r="F273" s="16">
        <v>10</v>
      </c>
      <c r="G273" s="16">
        <v>0</v>
      </c>
      <c r="H273" s="16">
        <v>38235.57</v>
      </c>
      <c r="I273" s="15" t="s">
        <v>1537</v>
      </c>
      <c r="J273" s="17">
        <f t="shared" si="3"/>
        <v>0</v>
      </c>
    </row>
    <row r="274" spans="1:10" ht="15.75" customHeight="1" x14ac:dyDescent="0.3">
      <c r="A274" s="18">
        <v>45252</v>
      </c>
      <c r="B274" s="18">
        <v>45252</v>
      </c>
      <c r="C274" s="15" t="s">
        <v>1793</v>
      </c>
      <c r="D274" s="15" t="s">
        <v>1536</v>
      </c>
      <c r="E274" s="15"/>
      <c r="F274" s="16">
        <v>26</v>
      </c>
      <c r="G274" s="16">
        <v>0</v>
      </c>
      <c r="H274" s="16">
        <v>38209.57</v>
      </c>
      <c r="I274" s="15" t="s">
        <v>1537</v>
      </c>
      <c r="J274" s="17">
        <f t="shared" si="3"/>
        <v>0</v>
      </c>
    </row>
    <row r="275" spans="1:10" ht="15.75" customHeight="1" x14ac:dyDescent="0.3">
      <c r="A275" s="18">
        <v>45252</v>
      </c>
      <c r="B275" s="18">
        <v>45252</v>
      </c>
      <c r="C275" s="15" t="s">
        <v>1794</v>
      </c>
      <c r="D275" s="15" t="s">
        <v>1536</v>
      </c>
      <c r="E275" s="15"/>
      <c r="F275" s="16">
        <v>30</v>
      </c>
      <c r="G275" s="16">
        <v>0</v>
      </c>
      <c r="H275" s="16">
        <v>38179.57</v>
      </c>
      <c r="I275" s="15" t="s">
        <v>1537</v>
      </c>
      <c r="J275" s="17">
        <f t="shared" ref="J275:J338" si="4">H274-F275+G275-H275</f>
        <v>0</v>
      </c>
    </row>
    <row r="276" spans="1:10" ht="15.75" customHeight="1" x14ac:dyDescent="0.3">
      <c r="A276" s="18">
        <v>45252</v>
      </c>
      <c r="B276" s="18">
        <v>45252</v>
      </c>
      <c r="C276" s="15" t="s">
        <v>1795</v>
      </c>
      <c r="D276" s="15" t="s">
        <v>1536</v>
      </c>
      <c r="E276" s="15"/>
      <c r="F276" s="16">
        <v>70</v>
      </c>
      <c r="G276" s="16">
        <v>0</v>
      </c>
      <c r="H276" s="16">
        <v>38109.57</v>
      </c>
      <c r="I276" s="15" t="s">
        <v>1537</v>
      </c>
      <c r="J276" s="17">
        <f t="shared" si="4"/>
        <v>0</v>
      </c>
    </row>
    <row r="277" spans="1:10" ht="15.75" customHeight="1" x14ac:dyDescent="0.3">
      <c r="A277" s="18">
        <v>45252</v>
      </c>
      <c r="B277" s="18">
        <v>45252</v>
      </c>
      <c r="C277" s="15" t="s">
        <v>1796</v>
      </c>
      <c r="D277" s="15" t="s">
        <v>1536</v>
      </c>
      <c r="E277" s="15"/>
      <c r="F277" s="16">
        <v>236</v>
      </c>
      <c r="G277" s="16">
        <v>0</v>
      </c>
      <c r="H277" s="16">
        <v>37873.57</v>
      </c>
      <c r="I277" s="15" t="s">
        <v>1537</v>
      </c>
      <c r="J277" s="17">
        <f t="shared" si="4"/>
        <v>0</v>
      </c>
    </row>
    <row r="278" spans="1:10" ht="15.75" customHeight="1" x14ac:dyDescent="0.3">
      <c r="A278" s="18">
        <v>45253</v>
      </c>
      <c r="B278" s="18">
        <v>45253</v>
      </c>
      <c r="C278" s="15" t="s">
        <v>1797</v>
      </c>
      <c r="D278" s="15" t="s">
        <v>1536</v>
      </c>
      <c r="E278" s="15"/>
      <c r="F278" s="16">
        <v>100</v>
      </c>
      <c r="G278" s="16">
        <v>0</v>
      </c>
      <c r="H278" s="16">
        <v>37773.57</v>
      </c>
      <c r="I278" s="15" t="s">
        <v>1537</v>
      </c>
      <c r="J278" s="17">
        <f t="shared" si="4"/>
        <v>0</v>
      </c>
    </row>
    <row r="279" spans="1:10" ht="15.75" customHeight="1" x14ac:dyDescent="0.3">
      <c r="A279" s="18">
        <v>45253</v>
      </c>
      <c r="B279" s="18">
        <v>45253</v>
      </c>
      <c r="C279" s="15" t="s">
        <v>1798</v>
      </c>
      <c r="D279" s="15" t="s">
        <v>1536</v>
      </c>
      <c r="E279" s="15"/>
      <c r="F279" s="16">
        <v>35</v>
      </c>
      <c r="G279" s="16">
        <v>0</v>
      </c>
      <c r="H279" s="16">
        <v>37738.57</v>
      </c>
      <c r="I279" s="15" t="s">
        <v>1537</v>
      </c>
      <c r="J279" s="17">
        <f t="shared" si="4"/>
        <v>0</v>
      </c>
    </row>
    <row r="280" spans="1:10" ht="15.75" customHeight="1" x14ac:dyDescent="0.3">
      <c r="A280" s="18">
        <v>45253</v>
      </c>
      <c r="B280" s="18">
        <v>45253</v>
      </c>
      <c r="C280" s="15" t="s">
        <v>1799</v>
      </c>
      <c r="D280" s="15" t="s">
        <v>1536</v>
      </c>
      <c r="E280" s="15"/>
      <c r="F280" s="16">
        <v>10</v>
      </c>
      <c r="G280" s="16">
        <v>0</v>
      </c>
      <c r="H280" s="16">
        <v>37728.57</v>
      </c>
      <c r="I280" s="15" t="s">
        <v>1537</v>
      </c>
      <c r="J280" s="17">
        <f t="shared" si="4"/>
        <v>0</v>
      </c>
    </row>
    <row r="281" spans="1:10" ht="15.75" customHeight="1" x14ac:dyDescent="0.3">
      <c r="A281" s="18">
        <v>45253</v>
      </c>
      <c r="B281" s="18">
        <v>45253</v>
      </c>
      <c r="C281" s="15" t="s">
        <v>1800</v>
      </c>
      <c r="D281" s="15" t="s">
        <v>1536</v>
      </c>
      <c r="E281" s="15"/>
      <c r="F281" s="16">
        <v>26.02</v>
      </c>
      <c r="G281" s="16">
        <v>0</v>
      </c>
      <c r="H281" s="16">
        <v>37702.550000000003</v>
      </c>
      <c r="I281" s="15" t="s">
        <v>1537</v>
      </c>
      <c r="J281" s="17">
        <f t="shared" si="4"/>
        <v>0</v>
      </c>
    </row>
    <row r="282" spans="1:10" ht="15.75" customHeight="1" x14ac:dyDescent="0.3">
      <c r="A282" s="18">
        <v>45253</v>
      </c>
      <c r="B282" s="18">
        <v>45253</v>
      </c>
      <c r="C282" s="15" t="s">
        <v>1801</v>
      </c>
      <c r="D282" s="15" t="s">
        <v>1536</v>
      </c>
      <c r="E282" s="15"/>
      <c r="F282" s="16">
        <v>30</v>
      </c>
      <c r="G282" s="16">
        <v>0</v>
      </c>
      <c r="H282" s="16">
        <v>37672.550000000003</v>
      </c>
      <c r="I282" s="15" t="s">
        <v>1537</v>
      </c>
      <c r="J282" s="17">
        <f t="shared" si="4"/>
        <v>0</v>
      </c>
    </row>
    <row r="283" spans="1:10" ht="15.75" customHeight="1" x14ac:dyDescent="0.3">
      <c r="A283" s="18">
        <v>45253</v>
      </c>
      <c r="B283" s="18">
        <v>45253</v>
      </c>
      <c r="C283" s="15" t="s">
        <v>1802</v>
      </c>
      <c r="D283" s="15" t="s">
        <v>1536</v>
      </c>
      <c r="E283" s="15"/>
      <c r="F283" s="16">
        <v>20</v>
      </c>
      <c r="G283" s="16">
        <v>0</v>
      </c>
      <c r="H283" s="16">
        <v>37652.550000000003</v>
      </c>
      <c r="I283" s="15" t="s">
        <v>1537</v>
      </c>
      <c r="J283" s="17">
        <f t="shared" si="4"/>
        <v>0</v>
      </c>
    </row>
    <row r="284" spans="1:10" ht="15.75" customHeight="1" x14ac:dyDescent="0.3">
      <c r="A284" s="18">
        <v>45253</v>
      </c>
      <c r="B284" s="18">
        <v>45253</v>
      </c>
      <c r="C284" s="15" t="s">
        <v>1803</v>
      </c>
      <c r="D284" s="15" t="s">
        <v>1536</v>
      </c>
      <c r="E284" s="15"/>
      <c r="F284" s="16">
        <v>255</v>
      </c>
      <c r="G284" s="16">
        <v>0</v>
      </c>
      <c r="H284" s="16">
        <v>37397.550000000003</v>
      </c>
      <c r="I284" s="15" t="s">
        <v>1537</v>
      </c>
      <c r="J284" s="17">
        <f t="shared" si="4"/>
        <v>0</v>
      </c>
    </row>
    <row r="285" spans="1:10" ht="15.75" customHeight="1" x14ac:dyDescent="0.3">
      <c r="A285" s="18">
        <v>45254</v>
      </c>
      <c r="B285" s="18">
        <v>45254</v>
      </c>
      <c r="C285" s="15" t="s">
        <v>1804</v>
      </c>
      <c r="D285" s="15" t="s">
        <v>1536</v>
      </c>
      <c r="E285" s="15"/>
      <c r="F285" s="16">
        <v>100</v>
      </c>
      <c r="G285" s="16">
        <v>0</v>
      </c>
      <c r="H285" s="16">
        <v>37297.550000000003</v>
      </c>
      <c r="I285" s="15" t="s">
        <v>1537</v>
      </c>
      <c r="J285" s="17">
        <f t="shared" si="4"/>
        <v>0</v>
      </c>
    </row>
    <row r="286" spans="1:10" ht="15.75" customHeight="1" x14ac:dyDescent="0.3">
      <c r="A286" s="18">
        <v>45254</v>
      </c>
      <c r="B286" s="18">
        <v>45254</v>
      </c>
      <c r="C286" s="15" t="s">
        <v>1805</v>
      </c>
      <c r="D286" s="15" t="s">
        <v>1536</v>
      </c>
      <c r="E286" s="15"/>
      <c r="F286" s="16">
        <v>45</v>
      </c>
      <c r="G286" s="16">
        <v>0</v>
      </c>
      <c r="H286" s="16">
        <v>37252.550000000003</v>
      </c>
      <c r="I286" s="15" t="s">
        <v>1537</v>
      </c>
      <c r="J286" s="17">
        <f t="shared" si="4"/>
        <v>0</v>
      </c>
    </row>
    <row r="287" spans="1:10" ht="15.75" customHeight="1" x14ac:dyDescent="0.3">
      <c r="A287" s="18">
        <v>45254</v>
      </c>
      <c r="B287" s="18">
        <v>45254</v>
      </c>
      <c r="C287" s="15" t="s">
        <v>1806</v>
      </c>
      <c r="D287" s="15" t="s">
        <v>1536</v>
      </c>
      <c r="E287" s="15"/>
      <c r="F287" s="16">
        <v>20</v>
      </c>
      <c r="G287" s="16">
        <v>0</v>
      </c>
      <c r="H287" s="16">
        <v>37232.550000000003</v>
      </c>
      <c r="I287" s="15" t="s">
        <v>1537</v>
      </c>
      <c r="J287" s="17">
        <f t="shared" si="4"/>
        <v>0</v>
      </c>
    </row>
    <row r="288" spans="1:10" ht="15.75" customHeight="1" x14ac:dyDescent="0.3">
      <c r="A288" s="18">
        <v>45254</v>
      </c>
      <c r="B288" s="18">
        <v>45254</v>
      </c>
      <c r="C288" s="15" t="s">
        <v>1807</v>
      </c>
      <c r="D288" s="15" t="s">
        <v>1536</v>
      </c>
      <c r="E288" s="15"/>
      <c r="F288" s="16">
        <v>210</v>
      </c>
      <c r="G288" s="16">
        <v>0</v>
      </c>
      <c r="H288" s="16">
        <v>37022.550000000003</v>
      </c>
      <c r="I288" s="15" t="s">
        <v>1537</v>
      </c>
      <c r="J288" s="17">
        <f t="shared" si="4"/>
        <v>0</v>
      </c>
    </row>
    <row r="289" spans="1:10" ht="15.75" customHeight="1" x14ac:dyDescent="0.3">
      <c r="A289" s="18">
        <v>45254</v>
      </c>
      <c r="B289" s="18">
        <v>45254</v>
      </c>
      <c r="C289" s="15" t="s">
        <v>1808</v>
      </c>
      <c r="D289" s="15" t="s">
        <v>1536</v>
      </c>
      <c r="E289" s="15"/>
      <c r="F289" s="16">
        <v>207</v>
      </c>
      <c r="G289" s="16">
        <v>0</v>
      </c>
      <c r="H289" s="16">
        <v>36815.550000000003</v>
      </c>
      <c r="I289" s="15" t="s">
        <v>1537</v>
      </c>
      <c r="J289" s="17">
        <f t="shared" si="4"/>
        <v>0</v>
      </c>
    </row>
    <row r="290" spans="1:10" ht="15.75" customHeight="1" x14ac:dyDescent="0.3">
      <c r="A290" s="18">
        <v>45254</v>
      </c>
      <c r="B290" s="18">
        <v>45254</v>
      </c>
      <c r="C290" s="15" t="s">
        <v>1809</v>
      </c>
      <c r="D290" s="15" t="s">
        <v>1536</v>
      </c>
      <c r="E290" s="15"/>
      <c r="F290" s="16">
        <v>60</v>
      </c>
      <c r="G290" s="16">
        <v>0</v>
      </c>
      <c r="H290" s="16">
        <v>36755.550000000003</v>
      </c>
      <c r="I290" s="15" t="s">
        <v>1537</v>
      </c>
      <c r="J290" s="17">
        <f t="shared" si="4"/>
        <v>0</v>
      </c>
    </row>
    <row r="291" spans="1:10" ht="15.75" customHeight="1" x14ac:dyDescent="0.3">
      <c r="A291" s="18">
        <v>45255</v>
      </c>
      <c r="B291" s="18">
        <v>45255</v>
      </c>
      <c r="C291" s="15" t="s">
        <v>1810</v>
      </c>
      <c r="D291" s="15" t="s">
        <v>1536</v>
      </c>
      <c r="E291" s="15"/>
      <c r="F291" s="16">
        <v>100</v>
      </c>
      <c r="G291" s="16">
        <v>0</v>
      </c>
      <c r="H291" s="16">
        <v>36655.550000000003</v>
      </c>
      <c r="I291" s="15" t="s">
        <v>1537</v>
      </c>
      <c r="J291" s="17">
        <f t="shared" si="4"/>
        <v>0</v>
      </c>
    </row>
    <row r="292" spans="1:10" ht="15.75" customHeight="1" x14ac:dyDescent="0.3">
      <c r="A292" s="18">
        <v>45255</v>
      </c>
      <c r="B292" s="18">
        <v>45255</v>
      </c>
      <c r="C292" s="15" t="s">
        <v>1811</v>
      </c>
      <c r="D292" s="15" t="s">
        <v>1536</v>
      </c>
      <c r="E292" s="15"/>
      <c r="F292" s="16">
        <v>80</v>
      </c>
      <c r="G292" s="16">
        <v>0</v>
      </c>
      <c r="H292" s="16">
        <v>36575.550000000003</v>
      </c>
      <c r="I292" s="15" t="s">
        <v>1537</v>
      </c>
      <c r="J292" s="17">
        <f t="shared" si="4"/>
        <v>0</v>
      </c>
    </row>
    <row r="293" spans="1:10" ht="15.75" customHeight="1" x14ac:dyDescent="0.3">
      <c r="A293" s="18">
        <v>45255</v>
      </c>
      <c r="B293" s="18">
        <v>45255</v>
      </c>
      <c r="C293" s="15" t="s">
        <v>1812</v>
      </c>
      <c r="D293" s="15" t="s">
        <v>1536</v>
      </c>
      <c r="E293" s="15"/>
      <c r="F293" s="16">
        <v>201</v>
      </c>
      <c r="G293" s="16">
        <v>0</v>
      </c>
      <c r="H293" s="16">
        <v>36374.550000000003</v>
      </c>
      <c r="I293" s="15" t="s">
        <v>1537</v>
      </c>
      <c r="J293" s="17">
        <f t="shared" si="4"/>
        <v>0</v>
      </c>
    </row>
    <row r="294" spans="1:10" ht="15.75" customHeight="1" x14ac:dyDescent="0.3">
      <c r="A294" s="18">
        <v>45255</v>
      </c>
      <c r="B294" s="18">
        <v>45255</v>
      </c>
      <c r="C294" s="15" t="s">
        <v>1813</v>
      </c>
      <c r="D294" s="15" t="s">
        <v>1536</v>
      </c>
      <c r="E294" s="15"/>
      <c r="F294" s="16">
        <v>150</v>
      </c>
      <c r="G294" s="16">
        <v>0</v>
      </c>
      <c r="H294" s="16">
        <v>36224.550000000003</v>
      </c>
      <c r="I294" s="15" t="s">
        <v>1537</v>
      </c>
      <c r="J294" s="17">
        <f t="shared" si="4"/>
        <v>0</v>
      </c>
    </row>
    <row r="295" spans="1:10" ht="15.75" customHeight="1" x14ac:dyDescent="0.3">
      <c r="A295" s="18">
        <v>45255</v>
      </c>
      <c r="B295" s="18">
        <v>45255</v>
      </c>
      <c r="C295" s="15" t="s">
        <v>1814</v>
      </c>
      <c r="D295" s="15" t="s">
        <v>1536</v>
      </c>
      <c r="E295" s="15"/>
      <c r="F295" s="16">
        <v>30</v>
      </c>
      <c r="G295" s="16">
        <v>0</v>
      </c>
      <c r="H295" s="16">
        <v>36194.550000000003</v>
      </c>
      <c r="I295" s="15" t="s">
        <v>1537</v>
      </c>
      <c r="J295" s="17">
        <f t="shared" si="4"/>
        <v>0</v>
      </c>
    </row>
    <row r="296" spans="1:10" ht="15.75" customHeight="1" x14ac:dyDescent="0.3">
      <c r="A296" s="18">
        <v>45256</v>
      </c>
      <c r="B296" s="18">
        <v>45256</v>
      </c>
      <c r="C296" s="15" t="s">
        <v>1815</v>
      </c>
      <c r="D296" s="15" t="s">
        <v>1536</v>
      </c>
      <c r="E296" s="15"/>
      <c r="F296" s="16">
        <v>100</v>
      </c>
      <c r="G296" s="16">
        <v>0</v>
      </c>
      <c r="H296" s="16">
        <v>36094.550000000003</v>
      </c>
      <c r="I296" s="15" t="s">
        <v>1537</v>
      </c>
      <c r="J296" s="17">
        <f t="shared" si="4"/>
        <v>0</v>
      </c>
    </row>
    <row r="297" spans="1:10" ht="15.75" customHeight="1" x14ac:dyDescent="0.3">
      <c r="A297" s="18">
        <v>45256</v>
      </c>
      <c r="B297" s="18">
        <v>45256</v>
      </c>
      <c r="C297" s="15" t="s">
        <v>1816</v>
      </c>
      <c r="D297" s="15" t="s">
        <v>1536</v>
      </c>
      <c r="E297" s="15"/>
      <c r="F297" s="16">
        <v>50</v>
      </c>
      <c r="G297" s="16">
        <v>0</v>
      </c>
      <c r="H297" s="16">
        <v>36044.550000000003</v>
      </c>
      <c r="I297" s="15" t="s">
        <v>1537</v>
      </c>
      <c r="J297" s="17">
        <f t="shared" si="4"/>
        <v>0</v>
      </c>
    </row>
    <row r="298" spans="1:10" ht="15.75" customHeight="1" x14ac:dyDescent="0.3">
      <c r="A298" s="18">
        <v>45256</v>
      </c>
      <c r="B298" s="18">
        <v>45256</v>
      </c>
      <c r="C298" s="15" t="s">
        <v>1817</v>
      </c>
      <c r="D298" s="15" t="s">
        <v>1536</v>
      </c>
      <c r="E298" s="15"/>
      <c r="F298" s="16">
        <v>20</v>
      </c>
      <c r="G298" s="16">
        <v>0</v>
      </c>
      <c r="H298" s="16">
        <v>36024.550000000003</v>
      </c>
      <c r="I298" s="15" t="s">
        <v>1537</v>
      </c>
      <c r="J298" s="17">
        <f t="shared" si="4"/>
        <v>0</v>
      </c>
    </row>
    <row r="299" spans="1:10" ht="15.75" customHeight="1" x14ac:dyDescent="0.3">
      <c r="A299" s="18">
        <v>45256</v>
      </c>
      <c r="B299" s="18">
        <v>45256</v>
      </c>
      <c r="C299" s="15" t="s">
        <v>1818</v>
      </c>
      <c r="D299" s="15" t="s">
        <v>1536</v>
      </c>
      <c r="E299" s="15"/>
      <c r="F299" s="16">
        <v>200</v>
      </c>
      <c r="G299" s="16">
        <v>0</v>
      </c>
      <c r="H299" s="16">
        <v>35824.550000000003</v>
      </c>
      <c r="I299" s="15" t="s">
        <v>1537</v>
      </c>
      <c r="J299" s="17">
        <f t="shared" si="4"/>
        <v>0</v>
      </c>
    </row>
    <row r="300" spans="1:10" ht="15.75" customHeight="1" x14ac:dyDescent="0.3">
      <c r="A300" s="18">
        <v>45256</v>
      </c>
      <c r="B300" s="18">
        <v>45256</v>
      </c>
      <c r="C300" s="15" t="s">
        <v>1819</v>
      </c>
      <c r="D300" s="15" t="s">
        <v>1536</v>
      </c>
      <c r="E300" s="15"/>
      <c r="F300" s="16">
        <v>500</v>
      </c>
      <c r="G300" s="16">
        <v>0</v>
      </c>
      <c r="H300" s="16">
        <v>35324.550000000003</v>
      </c>
      <c r="I300" s="15" t="s">
        <v>1537</v>
      </c>
      <c r="J300" s="17">
        <f t="shared" si="4"/>
        <v>0</v>
      </c>
    </row>
    <row r="301" spans="1:10" ht="15.75" customHeight="1" x14ac:dyDescent="0.3">
      <c r="A301" s="18">
        <v>45256</v>
      </c>
      <c r="B301" s="18">
        <v>45256</v>
      </c>
      <c r="C301" s="15" t="s">
        <v>1820</v>
      </c>
      <c r="D301" s="15" t="s">
        <v>1536</v>
      </c>
      <c r="E301" s="15"/>
      <c r="F301" s="16">
        <v>100</v>
      </c>
      <c r="G301" s="16">
        <v>0</v>
      </c>
      <c r="H301" s="16">
        <v>35224.550000000003</v>
      </c>
      <c r="I301" s="15" t="s">
        <v>1537</v>
      </c>
      <c r="J301" s="17">
        <f t="shared" si="4"/>
        <v>0</v>
      </c>
    </row>
    <row r="302" spans="1:10" ht="15.75" customHeight="1" x14ac:dyDescent="0.3">
      <c r="A302" s="18">
        <v>45256</v>
      </c>
      <c r="B302" s="18">
        <v>45256</v>
      </c>
      <c r="C302" s="15" t="s">
        <v>1821</v>
      </c>
      <c r="D302" s="15" t="s">
        <v>1536</v>
      </c>
      <c r="E302" s="15"/>
      <c r="F302" s="16">
        <v>20</v>
      </c>
      <c r="G302" s="16">
        <v>0</v>
      </c>
      <c r="H302" s="16">
        <v>35204.550000000003</v>
      </c>
      <c r="I302" s="15" t="s">
        <v>1537</v>
      </c>
      <c r="J302" s="17">
        <f t="shared" si="4"/>
        <v>0</v>
      </c>
    </row>
    <row r="303" spans="1:10" ht="15.75" customHeight="1" x14ac:dyDescent="0.3">
      <c r="A303" s="18">
        <v>45257</v>
      </c>
      <c r="B303" s="18">
        <v>45257</v>
      </c>
      <c r="C303" s="15" t="s">
        <v>1822</v>
      </c>
      <c r="D303" s="15" t="s">
        <v>1536</v>
      </c>
      <c r="E303" s="15"/>
      <c r="F303" s="16">
        <v>100</v>
      </c>
      <c r="G303" s="16">
        <v>0</v>
      </c>
      <c r="H303" s="16">
        <v>35104.550000000003</v>
      </c>
      <c r="I303" s="15" t="s">
        <v>1537</v>
      </c>
      <c r="J303" s="17">
        <f t="shared" si="4"/>
        <v>0</v>
      </c>
    </row>
    <row r="304" spans="1:10" ht="15.75" customHeight="1" x14ac:dyDescent="0.3">
      <c r="A304" s="18">
        <v>45257</v>
      </c>
      <c r="B304" s="18">
        <v>45257</v>
      </c>
      <c r="C304" s="15" t="s">
        <v>1823</v>
      </c>
      <c r="D304" s="15" t="s">
        <v>1536</v>
      </c>
      <c r="E304" s="15"/>
      <c r="F304" s="16">
        <v>20</v>
      </c>
      <c r="G304" s="16">
        <v>0</v>
      </c>
      <c r="H304" s="16">
        <v>35084.550000000003</v>
      </c>
      <c r="I304" s="15" t="s">
        <v>1537</v>
      </c>
      <c r="J304" s="17">
        <f t="shared" si="4"/>
        <v>0</v>
      </c>
    </row>
    <row r="305" spans="1:10" ht="15.75" customHeight="1" x14ac:dyDescent="0.3">
      <c r="A305" s="18">
        <v>45257</v>
      </c>
      <c r="B305" s="18">
        <v>45257</v>
      </c>
      <c r="C305" s="15" t="s">
        <v>1824</v>
      </c>
      <c r="D305" s="15" t="s">
        <v>1536</v>
      </c>
      <c r="E305" s="15"/>
      <c r="F305" s="16">
        <v>70</v>
      </c>
      <c r="G305" s="16">
        <v>0</v>
      </c>
      <c r="H305" s="16">
        <v>35014.550000000003</v>
      </c>
      <c r="I305" s="15" t="s">
        <v>1537</v>
      </c>
      <c r="J305" s="17">
        <f t="shared" si="4"/>
        <v>0</v>
      </c>
    </row>
    <row r="306" spans="1:10" ht="15.75" customHeight="1" x14ac:dyDescent="0.3">
      <c r="A306" s="18">
        <v>45257</v>
      </c>
      <c r="B306" s="18">
        <v>45257</v>
      </c>
      <c r="C306" s="15" t="s">
        <v>1825</v>
      </c>
      <c r="D306" s="15" t="s">
        <v>1536</v>
      </c>
      <c r="E306" s="15"/>
      <c r="F306" s="16">
        <v>26</v>
      </c>
      <c r="G306" s="16">
        <v>0</v>
      </c>
      <c r="H306" s="16">
        <v>34988.550000000003</v>
      </c>
      <c r="I306" s="15" t="s">
        <v>1537</v>
      </c>
      <c r="J306" s="17">
        <f t="shared" si="4"/>
        <v>0</v>
      </c>
    </row>
    <row r="307" spans="1:10" ht="15.75" customHeight="1" x14ac:dyDescent="0.3">
      <c r="A307" s="18">
        <v>45257</v>
      </c>
      <c r="B307" s="18">
        <v>45257</v>
      </c>
      <c r="C307" s="15" t="s">
        <v>1826</v>
      </c>
      <c r="D307" s="15" t="s">
        <v>1536</v>
      </c>
      <c r="E307" s="15"/>
      <c r="F307" s="16">
        <v>150</v>
      </c>
      <c r="G307" s="16">
        <v>0</v>
      </c>
      <c r="H307" s="16">
        <v>34838.550000000003</v>
      </c>
      <c r="I307" s="15" t="s">
        <v>1537</v>
      </c>
      <c r="J307" s="17">
        <f t="shared" si="4"/>
        <v>0</v>
      </c>
    </row>
    <row r="308" spans="1:10" ht="15.75" customHeight="1" x14ac:dyDescent="0.3">
      <c r="A308" s="18">
        <v>45257</v>
      </c>
      <c r="B308" s="18">
        <v>45257</v>
      </c>
      <c r="C308" s="15" t="s">
        <v>1827</v>
      </c>
      <c r="D308" s="15" t="s">
        <v>1536</v>
      </c>
      <c r="E308" s="15"/>
      <c r="F308" s="16">
        <v>20</v>
      </c>
      <c r="G308" s="16">
        <v>0</v>
      </c>
      <c r="H308" s="16">
        <v>34818.550000000003</v>
      </c>
      <c r="I308" s="15" t="s">
        <v>1537</v>
      </c>
      <c r="J308" s="17">
        <f t="shared" si="4"/>
        <v>0</v>
      </c>
    </row>
    <row r="309" spans="1:10" ht="15.75" customHeight="1" x14ac:dyDescent="0.3">
      <c r="A309" s="18">
        <v>45257</v>
      </c>
      <c r="B309" s="18">
        <v>45257</v>
      </c>
      <c r="C309" s="15" t="s">
        <v>1828</v>
      </c>
      <c r="D309" s="15" t="s">
        <v>1536</v>
      </c>
      <c r="E309" s="15"/>
      <c r="F309" s="16">
        <v>30</v>
      </c>
      <c r="G309" s="16">
        <v>0</v>
      </c>
      <c r="H309" s="16">
        <v>34788.550000000003</v>
      </c>
      <c r="I309" s="15" t="s">
        <v>1537</v>
      </c>
      <c r="J309" s="17">
        <f t="shared" si="4"/>
        <v>0</v>
      </c>
    </row>
    <row r="310" spans="1:10" ht="15.75" customHeight="1" x14ac:dyDescent="0.3">
      <c r="A310" s="18">
        <v>45257</v>
      </c>
      <c r="B310" s="18">
        <v>45257</v>
      </c>
      <c r="C310" s="15" t="s">
        <v>1829</v>
      </c>
      <c r="D310" s="15" t="s">
        <v>1536</v>
      </c>
      <c r="E310" s="15"/>
      <c r="F310" s="16">
        <v>10</v>
      </c>
      <c r="G310" s="16">
        <v>0</v>
      </c>
      <c r="H310" s="16">
        <v>34778.550000000003</v>
      </c>
      <c r="I310" s="15" t="s">
        <v>1537</v>
      </c>
      <c r="J310" s="17">
        <f t="shared" si="4"/>
        <v>0</v>
      </c>
    </row>
    <row r="311" spans="1:10" ht="15.75" customHeight="1" x14ac:dyDescent="0.3">
      <c r="A311" s="18">
        <v>45258</v>
      </c>
      <c r="B311" s="18">
        <v>45258</v>
      </c>
      <c r="C311" s="15" t="s">
        <v>1830</v>
      </c>
      <c r="D311" s="15" t="s">
        <v>1536</v>
      </c>
      <c r="E311" s="15"/>
      <c r="F311" s="16">
        <v>100</v>
      </c>
      <c r="G311" s="16">
        <v>0</v>
      </c>
      <c r="H311" s="16">
        <v>34678.550000000003</v>
      </c>
      <c r="I311" s="15" t="s">
        <v>1537</v>
      </c>
      <c r="J311" s="17">
        <f t="shared" si="4"/>
        <v>0</v>
      </c>
    </row>
    <row r="312" spans="1:10" ht="15.75" customHeight="1" x14ac:dyDescent="0.3">
      <c r="A312" s="18">
        <v>45258</v>
      </c>
      <c r="B312" s="18">
        <v>45258</v>
      </c>
      <c r="C312" s="15" t="s">
        <v>1831</v>
      </c>
      <c r="D312" s="15" t="s">
        <v>1536</v>
      </c>
      <c r="E312" s="15"/>
      <c r="F312" s="16">
        <v>70</v>
      </c>
      <c r="G312" s="16">
        <v>0</v>
      </c>
      <c r="H312" s="16">
        <v>34608.550000000003</v>
      </c>
      <c r="I312" s="15" t="s">
        <v>1537</v>
      </c>
      <c r="J312" s="17">
        <f t="shared" si="4"/>
        <v>0</v>
      </c>
    </row>
    <row r="313" spans="1:10" ht="15.75" customHeight="1" x14ac:dyDescent="0.3">
      <c r="A313" s="18">
        <v>45258</v>
      </c>
      <c r="B313" s="18">
        <v>45258</v>
      </c>
      <c r="C313" s="15" t="s">
        <v>1832</v>
      </c>
      <c r="D313" s="15" t="s">
        <v>1536</v>
      </c>
      <c r="E313" s="15"/>
      <c r="F313" s="16">
        <v>26</v>
      </c>
      <c r="G313" s="16">
        <v>0</v>
      </c>
      <c r="H313" s="16">
        <v>34582.550000000003</v>
      </c>
      <c r="I313" s="15" t="s">
        <v>1537</v>
      </c>
      <c r="J313" s="17">
        <f t="shared" si="4"/>
        <v>0</v>
      </c>
    </row>
    <row r="314" spans="1:10" ht="15.75" customHeight="1" x14ac:dyDescent="0.3">
      <c r="A314" s="18">
        <v>45258</v>
      </c>
      <c r="B314" s="18">
        <v>45258</v>
      </c>
      <c r="C314" s="15" t="s">
        <v>1833</v>
      </c>
      <c r="D314" s="15" t="s">
        <v>1536</v>
      </c>
      <c r="E314" s="15"/>
      <c r="F314" s="16">
        <v>499</v>
      </c>
      <c r="G314" s="16">
        <v>0</v>
      </c>
      <c r="H314" s="16">
        <v>34083.550000000003</v>
      </c>
      <c r="I314" s="15" t="s">
        <v>1537</v>
      </c>
      <c r="J314" s="17">
        <f t="shared" si="4"/>
        <v>0</v>
      </c>
    </row>
    <row r="315" spans="1:10" ht="15.75" customHeight="1" x14ac:dyDescent="0.3">
      <c r="A315" s="18">
        <v>45258</v>
      </c>
      <c r="B315" s="18">
        <v>45258</v>
      </c>
      <c r="C315" s="15" t="s">
        <v>1834</v>
      </c>
      <c r="D315" s="15" t="s">
        <v>1536</v>
      </c>
      <c r="E315" s="15"/>
      <c r="F315" s="16">
        <v>100</v>
      </c>
      <c r="G315" s="16">
        <v>0</v>
      </c>
      <c r="H315" s="16">
        <v>33983.550000000003</v>
      </c>
      <c r="I315" s="15" t="s">
        <v>1537</v>
      </c>
      <c r="J315" s="17">
        <f t="shared" si="4"/>
        <v>0</v>
      </c>
    </row>
    <row r="316" spans="1:10" ht="15.75" customHeight="1" x14ac:dyDescent="0.3">
      <c r="A316" s="18">
        <v>45258</v>
      </c>
      <c r="B316" s="18">
        <v>45258</v>
      </c>
      <c r="C316" s="15" t="s">
        <v>1835</v>
      </c>
      <c r="D316" s="15" t="s">
        <v>1536</v>
      </c>
      <c r="E316" s="15"/>
      <c r="F316" s="16">
        <v>20</v>
      </c>
      <c r="G316" s="16">
        <v>0</v>
      </c>
      <c r="H316" s="16">
        <v>33963.550000000003</v>
      </c>
      <c r="I316" s="15" t="s">
        <v>1537</v>
      </c>
      <c r="J316" s="17">
        <f t="shared" si="4"/>
        <v>0</v>
      </c>
    </row>
    <row r="317" spans="1:10" ht="15.75" customHeight="1" x14ac:dyDescent="0.3">
      <c r="A317" s="18">
        <v>45258</v>
      </c>
      <c r="B317" s="18">
        <v>45258</v>
      </c>
      <c r="C317" s="15" t="s">
        <v>1836</v>
      </c>
      <c r="D317" s="15" t="s">
        <v>1536</v>
      </c>
      <c r="E317" s="15"/>
      <c r="F317" s="16">
        <v>0</v>
      </c>
      <c r="G317" s="16">
        <v>299</v>
      </c>
      <c r="H317" s="16">
        <v>34262.550000000003</v>
      </c>
      <c r="I317" s="15" t="s">
        <v>1540</v>
      </c>
      <c r="J317" s="17">
        <f t="shared" si="4"/>
        <v>0</v>
      </c>
    </row>
    <row r="318" spans="1:10" ht="15.75" customHeight="1" x14ac:dyDescent="0.3">
      <c r="A318" s="18">
        <v>45259</v>
      </c>
      <c r="B318" s="18">
        <v>45259</v>
      </c>
      <c r="C318" s="15" t="s">
        <v>1837</v>
      </c>
      <c r="D318" s="15" t="s">
        <v>1536</v>
      </c>
      <c r="E318" s="15"/>
      <c r="F318" s="16">
        <v>100</v>
      </c>
      <c r="G318" s="16">
        <v>0</v>
      </c>
      <c r="H318" s="16">
        <v>34162.550000000003</v>
      </c>
      <c r="I318" s="15" t="s">
        <v>1537</v>
      </c>
      <c r="J318" s="17">
        <f t="shared" si="4"/>
        <v>0</v>
      </c>
    </row>
    <row r="319" spans="1:10" ht="15.75" customHeight="1" x14ac:dyDescent="0.3">
      <c r="A319" s="18">
        <v>45259</v>
      </c>
      <c r="B319" s="18">
        <v>45259</v>
      </c>
      <c r="C319" s="15" t="s">
        <v>1838</v>
      </c>
      <c r="D319" s="15" t="s">
        <v>1536</v>
      </c>
      <c r="E319" s="15"/>
      <c r="F319" s="16">
        <v>35</v>
      </c>
      <c r="G319" s="16">
        <v>0</v>
      </c>
      <c r="H319" s="16">
        <v>34127.550000000003</v>
      </c>
      <c r="I319" s="15" t="s">
        <v>1537</v>
      </c>
      <c r="J319" s="17">
        <f t="shared" si="4"/>
        <v>0</v>
      </c>
    </row>
    <row r="320" spans="1:10" ht="15.75" customHeight="1" x14ac:dyDescent="0.3">
      <c r="A320" s="18">
        <v>45259</v>
      </c>
      <c r="B320" s="18">
        <v>45259</v>
      </c>
      <c r="C320" s="15" t="s">
        <v>1839</v>
      </c>
      <c r="D320" s="15" t="s">
        <v>1536</v>
      </c>
      <c r="E320" s="15"/>
      <c r="F320" s="16">
        <v>10</v>
      </c>
      <c r="G320" s="16">
        <v>0</v>
      </c>
      <c r="H320" s="16">
        <v>34117.550000000003</v>
      </c>
      <c r="I320" s="15" t="s">
        <v>1537</v>
      </c>
      <c r="J320" s="17">
        <f t="shared" si="4"/>
        <v>0</v>
      </c>
    </row>
    <row r="321" spans="1:10" ht="15.75" customHeight="1" x14ac:dyDescent="0.3">
      <c r="A321" s="18">
        <v>45259</v>
      </c>
      <c r="B321" s="18">
        <v>45259</v>
      </c>
      <c r="C321" s="15" t="s">
        <v>1840</v>
      </c>
      <c r="D321" s="15" t="s">
        <v>1536</v>
      </c>
      <c r="E321" s="15"/>
      <c r="F321" s="16">
        <v>26</v>
      </c>
      <c r="G321" s="16">
        <v>0</v>
      </c>
      <c r="H321" s="16">
        <v>34091.550000000003</v>
      </c>
      <c r="I321" s="15" t="s">
        <v>1537</v>
      </c>
      <c r="J321" s="17">
        <f t="shared" si="4"/>
        <v>0</v>
      </c>
    </row>
    <row r="322" spans="1:10" ht="15.75" customHeight="1" x14ac:dyDescent="0.3">
      <c r="A322" s="18">
        <v>45259</v>
      </c>
      <c r="B322" s="18">
        <v>45259</v>
      </c>
      <c r="C322" s="15" t="s">
        <v>1841</v>
      </c>
      <c r="D322" s="15" t="s">
        <v>1536</v>
      </c>
      <c r="E322" s="15"/>
      <c r="F322" s="16">
        <v>27</v>
      </c>
      <c r="G322" s="16">
        <v>0</v>
      </c>
      <c r="H322" s="16">
        <v>34064.550000000003</v>
      </c>
      <c r="I322" s="15" t="s">
        <v>1537</v>
      </c>
      <c r="J322" s="17">
        <f t="shared" si="4"/>
        <v>0</v>
      </c>
    </row>
    <row r="323" spans="1:10" ht="15.75" customHeight="1" x14ac:dyDescent="0.3">
      <c r="A323" s="18">
        <v>45259</v>
      </c>
      <c r="B323" s="18">
        <v>45259</v>
      </c>
      <c r="C323" s="15" t="s">
        <v>1842</v>
      </c>
      <c r="D323" s="15" t="s">
        <v>1536</v>
      </c>
      <c r="E323" s="15"/>
      <c r="F323" s="16">
        <v>120</v>
      </c>
      <c r="G323" s="16">
        <v>0</v>
      </c>
      <c r="H323" s="16">
        <v>33944.550000000003</v>
      </c>
      <c r="I323" s="15" t="s">
        <v>1537</v>
      </c>
      <c r="J323" s="17">
        <f t="shared" si="4"/>
        <v>0</v>
      </c>
    </row>
    <row r="324" spans="1:10" ht="15.75" customHeight="1" x14ac:dyDescent="0.3">
      <c r="A324" s="18">
        <v>45259</v>
      </c>
      <c r="B324" s="18">
        <v>45259</v>
      </c>
      <c r="C324" s="15" t="s">
        <v>1843</v>
      </c>
      <c r="D324" s="15" t="s">
        <v>1536</v>
      </c>
      <c r="E324" s="15"/>
      <c r="F324" s="16">
        <v>20</v>
      </c>
      <c r="G324" s="16">
        <v>0</v>
      </c>
      <c r="H324" s="16">
        <v>33924.550000000003</v>
      </c>
      <c r="I324" s="15" t="s">
        <v>1537</v>
      </c>
      <c r="J324" s="17">
        <f t="shared" si="4"/>
        <v>0</v>
      </c>
    </row>
    <row r="325" spans="1:10" ht="15.75" customHeight="1" x14ac:dyDescent="0.3">
      <c r="A325" s="18">
        <v>45259</v>
      </c>
      <c r="B325" s="18">
        <v>45259</v>
      </c>
      <c r="C325" s="15" t="s">
        <v>1844</v>
      </c>
      <c r="D325" s="15" t="s">
        <v>1536</v>
      </c>
      <c r="E325" s="15"/>
      <c r="F325" s="16">
        <v>20</v>
      </c>
      <c r="G325" s="16">
        <v>0</v>
      </c>
      <c r="H325" s="16">
        <v>33904.550000000003</v>
      </c>
      <c r="I325" s="15" t="s">
        <v>1537</v>
      </c>
      <c r="J325" s="17">
        <f t="shared" si="4"/>
        <v>0</v>
      </c>
    </row>
    <row r="326" spans="1:10" ht="15.75" customHeight="1" x14ac:dyDescent="0.3">
      <c r="A326" s="18">
        <v>45260</v>
      </c>
      <c r="B326" s="18">
        <v>45260</v>
      </c>
      <c r="C326" s="15" t="s">
        <v>1845</v>
      </c>
      <c r="D326" s="15" t="s">
        <v>1536</v>
      </c>
      <c r="E326" s="15"/>
      <c r="F326" s="16">
        <v>100</v>
      </c>
      <c r="G326" s="16">
        <v>0</v>
      </c>
      <c r="H326" s="16">
        <v>33804.550000000003</v>
      </c>
      <c r="I326" s="15" t="s">
        <v>1537</v>
      </c>
      <c r="J326" s="17">
        <f t="shared" si="4"/>
        <v>0</v>
      </c>
    </row>
    <row r="327" spans="1:10" ht="15.75" customHeight="1" x14ac:dyDescent="0.3">
      <c r="A327" s="18">
        <v>45260</v>
      </c>
      <c r="B327" s="18">
        <v>45260</v>
      </c>
      <c r="C327" s="15" t="s">
        <v>1846</v>
      </c>
      <c r="D327" s="15" t="s">
        <v>1536</v>
      </c>
      <c r="E327" s="15"/>
      <c r="F327" s="16">
        <v>0</v>
      </c>
      <c r="G327" s="16">
        <v>22500</v>
      </c>
      <c r="H327" s="16">
        <v>56304.55</v>
      </c>
      <c r="I327" s="15" t="s">
        <v>1540</v>
      </c>
      <c r="J327" s="17">
        <f t="shared" si="4"/>
        <v>0</v>
      </c>
    </row>
    <row r="328" spans="1:10" ht="15.75" customHeight="1" x14ac:dyDescent="0.3">
      <c r="A328" s="18">
        <v>45260</v>
      </c>
      <c r="B328" s="18">
        <v>45260</v>
      </c>
      <c r="C328" s="15" t="s">
        <v>1847</v>
      </c>
      <c r="D328" s="15" t="s">
        <v>1536</v>
      </c>
      <c r="E328" s="15"/>
      <c r="F328" s="16">
        <v>35</v>
      </c>
      <c r="G328" s="16">
        <v>0</v>
      </c>
      <c r="H328" s="16">
        <v>56269.55</v>
      </c>
      <c r="I328" s="15" t="s">
        <v>1537</v>
      </c>
      <c r="J328" s="17">
        <f t="shared" si="4"/>
        <v>0</v>
      </c>
    </row>
    <row r="329" spans="1:10" ht="15.75" customHeight="1" x14ac:dyDescent="0.3">
      <c r="A329" s="18">
        <v>45260</v>
      </c>
      <c r="B329" s="18">
        <v>45260</v>
      </c>
      <c r="C329" s="15" t="s">
        <v>1848</v>
      </c>
      <c r="D329" s="15" t="s">
        <v>1536</v>
      </c>
      <c r="E329" s="15"/>
      <c r="F329" s="16">
        <v>10</v>
      </c>
      <c r="G329" s="16">
        <v>0</v>
      </c>
      <c r="H329" s="16">
        <v>56259.55</v>
      </c>
      <c r="I329" s="15" t="s">
        <v>1537</v>
      </c>
      <c r="J329" s="17">
        <f t="shared" si="4"/>
        <v>0</v>
      </c>
    </row>
    <row r="330" spans="1:10" ht="15.75" customHeight="1" x14ac:dyDescent="0.3">
      <c r="A330" s="18">
        <v>45260</v>
      </c>
      <c r="B330" s="18">
        <v>45260</v>
      </c>
      <c r="C330" s="15" t="s">
        <v>1849</v>
      </c>
      <c r="D330" s="15" t="s">
        <v>1536</v>
      </c>
      <c r="E330" s="15"/>
      <c r="F330" s="16">
        <v>20</v>
      </c>
      <c r="G330" s="16">
        <v>0</v>
      </c>
      <c r="H330" s="16">
        <v>56239.55</v>
      </c>
      <c r="I330" s="15" t="s">
        <v>1537</v>
      </c>
      <c r="J330" s="17">
        <f t="shared" si="4"/>
        <v>0</v>
      </c>
    </row>
    <row r="331" spans="1:10" ht="15.75" customHeight="1" x14ac:dyDescent="0.3">
      <c r="A331" s="18">
        <v>45260</v>
      </c>
      <c r="B331" s="18">
        <v>45260</v>
      </c>
      <c r="C331" s="15" t="s">
        <v>1850</v>
      </c>
      <c r="D331" s="15" t="s">
        <v>1536</v>
      </c>
      <c r="E331" s="15"/>
      <c r="F331" s="16">
        <v>106.33</v>
      </c>
      <c r="G331" s="16">
        <v>0</v>
      </c>
      <c r="H331" s="16">
        <v>56133.22</v>
      </c>
      <c r="I331" s="15" t="s">
        <v>1537</v>
      </c>
      <c r="J331" s="17">
        <f t="shared" si="4"/>
        <v>0</v>
      </c>
    </row>
    <row r="332" spans="1:10" ht="15.75" customHeight="1" x14ac:dyDescent="0.3">
      <c r="A332" s="18">
        <v>45260</v>
      </c>
      <c r="B332" s="18">
        <v>45260</v>
      </c>
      <c r="C332" s="15" t="s">
        <v>1851</v>
      </c>
      <c r="D332" s="15" t="s">
        <v>1536</v>
      </c>
      <c r="E332" s="15"/>
      <c r="F332" s="16">
        <v>7200</v>
      </c>
      <c r="G332" s="16">
        <v>0</v>
      </c>
      <c r="H332" s="16">
        <v>48933.22</v>
      </c>
      <c r="I332" s="15" t="s">
        <v>1537</v>
      </c>
      <c r="J332" s="17">
        <f t="shared" si="4"/>
        <v>0</v>
      </c>
    </row>
    <row r="333" spans="1:10" ht="15.75" customHeight="1" x14ac:dyDescent="0.3">
      <c r="A333" s="18">
        <v>45261</v>
      </c>
      <c r="B333" s="18">
        <v>45261</v>
      </c>
      <c r="C333" s="15" t="s">
        <v>1852</v>
      </c>
      <c r="D333" s="15" t="s">
        <v>1536</v>
      </c>
      <c r="E333" s="15"/>
      <c r="F333" s="16">
        <v>100</v>
      </c>
      <c r="G333" s="16">
        <v>0</v>
      </c>
      <c r="H333" s="16">
        <v>48833.22</v>
      </c>
      <c r="I333" s="15" t="s">
        <v>1537</v>
      </c>
      <c r="J333" s="17">
        <f t="shared" si="4"/>
        <v>0</v>
      </c>
    </row>
    <row r="334" spans="1:10" ht="15.75" customHeight="1" x14ac:dyDescent="0.3">
      <c r="A334" s="18">
        <v>45261</v>
      </c>
      <c r="B334" s="18">
        <v>45261</v>
      </c>
      <c r="C334" s="15" t="s">
        <v>1853</v>
      </c>
      <c r="D334" s="15" t="s">
        <v>1536</v>
      </c>
      <c r="E334" s="15"/>
      <c r="F334" s="16">
        <v>167.78</v>
      </c>
      <c r="G334" s="16">
        <v>0</v>
      </c>
      <c r="H334" s="16">
        <v>48665.440000000002</v>
      </c>
      <c r="I334" s="15" t="s">
        <v>1537</v>
      </c>
      <c r="J334" s="17">
        <f t="shared" si="4"/>
        <v>0</v>
      </c>
    </row>
    <row r="335" spans="1:10" ht="15.75" customHeight="1" x14ac:dyDescent="0.3">
      <c r="A335" s="18">
        <v>45261</v>
      </c>
      <c r="B335" s="18">
        <v>45261</v>
      </c>
      <c r="C335" s="15" t="s">
        <v>1854</v>
      </c>
      <c r="D335" s="15" t="s">
        <v>1536</v>
      </c>
      <c r="E335" s="15"/>
      <c r="F335" s="16">
        <v>26.02</v>
      </c>
      <c r="G335" s="16">
        <v>0</v>
      </c>
      <c r="H335" s="16">
        <v>48639.42</v>
      </c>
      <c r="I335" s="15" t="s">
        <v>1537</v>
      </c>
      <c r="J335" s="17">
        <f t="shared" si="4"/>
        <v>0</v>
      </c>
    </row>
    <row r="336" spans="1:10" ht="15.75" customHeight="1" x14ac:dyDescent="0.3">
      <c r="A336" s="18">
        <v>45261</v>
      </c>
      <c r="B336" s="18">
        <v>45261</v>
      </c>
      <c r="C336" s="15" t="s">
        <v>1855</v>
      </c>
      <c r="D336" s="15" t="s">
        <v>1536</v>
      </c>
      <c r="E336" s="15"/>
      <c r="F336" s="16">
        <v>10</v>
      </c>
      <c r="G336" s="16">
        <v>0</v>
      </c>
      <c r="H336" s="16">
        <v>48629.42</v>
      </c>
      <c r="I336" s="15" t="s">
        <v>1537</v>
      </c>
      <c r="J336" s="17">
        <f t="shared" si="4"/>
        <v>0</v>
      </c>
    </row>
    <row r="337" spans="1:10" ht="15.75" customHeight="1" x14ac:dyDescent="0.3">
      <c r="A337" s="18">
        <v>45261</v>
      </c>
      <c r="B337" s="18">
        <v>45261</v>
      </c>
      <c r="C337" s="15" t="s">
        <v>1856</v>
      </c>
      <c r="D337" s="15" t="s">
        <v>1536</v>
      </c>
      <c r="E337" s="15"/>
      <c r="F337" s="16">
        <v>30</v>
      </c>
      <c r="G337" s="16">
        <v>0</v>
      </c>
      <c r="H337" s="16">
        <v>48599.42</v>
      </c>
      <c r="I337" s="15" t="s">
        <v>1537</v>
      </c>
      <c r="J337" s="17">
        <f t="shared" si="4"/>
        <v>0</v>
      </c>
    </row>
    <row r="338" spans="1:10" ht="15.75" customHeight="1" x14ac:dyDescent="0.3">
      <c r="A338" s="18">
        <v>45261</v>
      </c>
      <c r="B338" s="18">
        <v>45261</v>
      </c>
      <c r="C338" s="15" t="s">
        <v>1857</v>
      </c>
      <c r="D338" s="15" t="s">
        <v>1536</v>
      </c>
      <c r="E338" s="15"/>
      <c r="F338" s="16">
        <v>60</v>
      </c>
      <c r="G338" s="16">
        <v>0</v>
      </c>
      <c r="H338" s="16">
        <v>48539.42</v>
      </c>
      <c r="I338" s="15" t="s">
        <v>1537</v>
      </c>
      <c r="J338" s="17">
        <f t="shared" si="4"/>
        <v>0</v>
      </c>
    </row>
    <row r="339" spans="1:10" ht="15.75" customHeight="1" x14ac:dyDescent="0.3">
      <c r="A339" s="18">
        <v>45261</v>
      </c>
      <c r="B339" s="18">
        <v>45261</v>
      </c>
      <c r="C339" s="15" t="s">
        <v>1858</v>
      </c>
      <c r="D339" s="15" t="s">
        <v>1536</v>
      </c>
      <c r="E339" s="15"/>
      <c r="F339" s="16">
        <v>30</v>
      </c>
      <c r="G339" s="16">
        <v>0</v>
      </c>
      <c r="H339" s="16">
        <v>48509.42</v>
      </c>
      <c r="I339" s="15" t="s">
        <v>1537</v>
      </c>
      <c r="J339" s="17">
        <f t="shared" ref="J339:J402" si="5">H338-F339+G339-H339</f>
        <v>0</v>
      </c>
    </row>
    <row r="340" spans="1:10" ht="15.75" customHeight="1" x14ac:dyDescent="0.3">
      <c r="A340" s="18">
        <v>45261</v>
      </c>
      <c r="B340" s="18">
        <v>45261</v>
      </c>
      <c r="C340" s="15" t="s">
        <v>1859</v>
      </c>
      <c r="D340" s="15" t="s">
        <v>1536</v>
      </c>
      <c r="E340" s="15"/>
      <c r="F340" s="16">
        <v>20</v>
      </c>
      <c r="G340" s="16">
        <v>0</v>
      </c>
      <c r="H340" s="16">
        <v>48489.42</v>
      </c>
      <c r="I340" s="15" t="s">
        <v>1537</v>
      </c>
      <c r="J340" s="17">
        <f t="shared" si="5"/>
        <v>0</v>
      </c>
    </row>
    <row r="341" spans="1:10" ht="15.75" customHeight="1" x14ac:dyDescent="0.3">
      <c r="A341" s="18">
        <v>45262</v>
      </c>
      <c r="B341" s="18">
        <v>45262</v>
      </c>
      <c r="C341" s="15" t="s">
        <v>1860</v>
      </c>
      <c r="D341" s="15" t="s">
        <v>1536</v>
      </c>
      <c r="E341" s="15"/>
      <c r="F341" s="16">
        <v>100</v>
      </c>
      <c r="G341" s="16">
        <v>0</v>
      </c>
      <c r="H341" s="16">
        <v>48389.42</v>
      </c>
      <c r="I341" s="15" t="s">
        <v>1537</v>
      </c>
      <c r="J341" s="17">
        <f t="shared" si="5"/>
        <v>0</v>
      </c>
    </row>
    <row r="342" spans="1:10" ht="15.75" customHeight="1" x14ac:dyDescent="0.3">
      <c r="A342" s="18">
        <v>45262</v>
      </c>
      <c r="B342" s="18">
        <v>45262</v>
      </c>
      <c r="C342" s="15" t="s">
        <v>1861</v>
      </c>
      <c r="D342" s="15" t="s">
        <v>1536</v>
      </c>
      <c r="E342" s="15"/>
      <c r="F342" s="16">
        <v>15</v>
      </c>
      <c r="G342" s="16">
        <v>0</v>
      </c>
      <c r="H342" s="16">
        <v>48374.42</v>
      </c>
      <c r="I342" s="15" t="s">
        <v>1537</v>
      </c>
      <c r="J342" s="17">
        <f t="shared" si="5"/>
        <v>0</v>
      </c>
    </row>
    <row r="343" spans="1:10" ht="15.75" customHeight="1" x14ac:dyDescent="0.3">
      <c r="A343" s="18">
        <v>45262</v>
      </c>
      <c r="B343" s="18">
        <v>45262</v>
      </c>
      <c r="C343" s="15" t="s">
        <v>1862</v>
      </c>
      <c r="D343" s="15" t="s">
        <v>1536</v>
      </c>
      <c r="E343" s="15"/>
      <c r="F343" s="16">
        <v>23</v>
      </c>
      <c r="G343" s="16">
        <v>0</v>
      </c>
      <c r="H343" s="16">
        <v>48351.42</v>
      </c>
      <c r="I343" s="15" t="s">
        <v>1537</v>
      </c>
      <c r="J343" s="17">
        <f t="shared" si="5"/>
        <v>0</v>
      </c>
    </row>
    <row r="344" spans="1:10" ht="15.75" customHeight="1" x14ac:dyDescent="0.3">
      <c r="A344" s="18">
        <v>45262</v>
      </c>
      <c r="B344" s="18">
        <v>45262</v>
      </c>
      <c r="C344" s="15" t="s">
        <v>1863</v>
      </c>
      <c r="D344" s="15" t="s">
        <v>1536</v>
      </c>
      <c r="E344" s="15"/>
      <c r="F344" s="16">
        <v>280</v>
      </c>
      <c r="G344" s="16">
        <v>0</v>
      </c>
      <c r="H344" s="16">
        <v>48071.42</v>
      </c>
      <c r="I344" s="15" t="s">
        <v>1537</v>
      </c>
      <c r="J344" s="17">
        <f t="shared" si="5"/>
        <v>0</v>
      </c>
    </row>
    <row r="345" spans="1:10" ht="15.75" customHeight="1" x14ac:dyDescent="0.3">
      <c r="A345" s="18">
        <v>45262</v>
      </c>
      <c r="B345" s="18">
        <v>45262</v>
      </c>
      <c r="C345" s="15" t="s">
        <v>1864</v>
      </c>
      <c r="D345" s="15" t="s">
        <v>1536</v>
      </c>
      <c r="E345" s="15"/>
      <c r="F345" s="16">
        <v>30</v>
      </c>
      <c r="G345" s="16">
        <v>0</v>
      </c>
      <c r="H345" s="16">
        <v>48041.42</v>
      </c>
      <c r="I345" s="15" t="s">
        <v>1537</v>
      </c>
      <c r="J345" s="17">
        <f t="shared" si="5"/>
        <v>0</v>
      </c>
    </row>
    <row r="346" spans="1:10" ht="15.75" customHeight="1" x14ac:dyDescent="0.3">
      <c r="A346" s="18">
        <v>45262</v>
      </c>
      <c r="B346" s="18">
        <v>45262</v>
      </c>
      <c r="C346" s="15" t="s">
        <v>1865</v>
      </c>
      <c r="D346" s="15" t="s">
        <v>1536</v>
      </c>
      <c r="E346" s="15"/>
      <c r="F346" s="16">
        <v>70</v>
      </c>
      <c r="G346" s="16">
        <v>0</v>
      </c>
      <c r="H346" s="16">
        <v>47971.42</v>
      </c>
      <c r="I346" s="15" t="s">
        <v>1537</v>
      </c>
      <c r="J346" s="17">
        <f t="shared" si="5"/>
        <v>0</v>
      </c>
    </row>
    <row r="347" spans="1:10" ht="15.75" customHeight="1" x14ac:dyDescent="0.3">
      <c r="A347" s="18">
        <v>45262</v>
      </c>
      <c r="B347" s="18">
        <v>45262</v>
      </c>
      <c r="C347" s="15" t="s">
        <v>1866</v>
      </c>
      <c r="D347" s="15" t="s">
        <v>1536</v>
      </c>
      <c r="E347" s="15"/>
      <c r="F347" s="16">
        <v>20</v>
      </c>
      <c r="G347" s="16">
        <v>0</v>
      </c>
      <c r="H347" s="16">
        <v>47951.42</v>
      </c>
      <c r="I347" s="15" t="s">
        <v>1537</v>
      </c>
      <c r="J347" s="17">
        <f t="shared" si="5"/>
        <v>0</v>
      </c>
    </row>
    <row r="348" spans="1:10" ht="15.75" customHeight="1" x14ac:dyDescent="0.3">
      <c r="A348" s="18">
        <v>45262</v>
      </c>
      <c r="B348" s="18">
        <v>45262</v>
      </c>
      <c r="C348" s="15" t="s">
        <v>1867</v>
      </c>
      <c r="D348" s="15" t="s">
        <v>1536</v>
      </c>
      <c r="E348" s="15"/>
      <c r="F348" s="16">
        <v>20</v>
      </c>
      <c r="G348" s="16">
        <v>0</v>
      </c>
      <c r="H348" s="16">
        <v>47931.42</v>
      </c>
      <c r="I348" s="15" t="s">
        <v>1537</v>
      </c>
      <c r="J348" s="17">
        <f t="shared" si="5"/>
        <v>0</v>
      </c>
    </row>
    <row r="349" spans="1:10" ht="15.75" customHeight="1" x14ac:dyDescent="0.3">
      <c r="A349" s="18">
        <v>45263</v>
      </c>
      <c r="B349" s="18">
        <v>45263</v>
      </c>
      <c r="C349" s="15" t="s">
        <v>1868</v>
      </c>
      <c r="D349" s="15" t="s">
        <v>1536</v>
      </c>
      <c r="E349" s="15"/>
      <c r="F349" s="16">
        <v>100</v>
      </c>
      <c r="G349" s="16">
        <v>0</v>
      </c>
      <c r="H349" s="16">
        <v>47831.42</v>
      </c>
      <c r="I349" s="15" t="s">
        <v>1537</v>
      </c>
      <c r="J349" s="17">
        <f t="shared" si="5"/>
        <v>0</v>
      </c>
    </row>
    <row r="350" spans="1:10" ht="15.75" customHeight="1" x14ac:dyDescent="0.3">
      <c r="A350" s="18">
        <v>45263</v>
      </c>
      <c r="B350" s="18">
        <v>45263</v>
      </c>
      <c r="C350" s="15" t="s">
        <v>1869</v>
      </c>
      <c r="D350" s="15" t="s">
        <v>1536</v>
      </c>
      <c r="E350" s="15"/>
      <c r="F350" s="16">
        <v>70</v>
      </c>
      <c r="G350" s="16">
        <v>0</v>
      </c>
      <c r="H350" s="16">
        <v>47761.42</v>
      </c>
      <c r="I350" s="15" t="s">
        <v>1537</v>
      </c>
      <c r="J350" s="17">
        <f t="shared" si="5"/>
        <v>0</v>
      </c>
    </row>
    <row r="351" spans="1:10" ht="15.75" customHeight="1" x14ac:dyDescent="0.3">
      <c r="A351" s="18">
        <v>45263</v>
      </c>
      <c r="B351" s="18">
        <v>45263</v>
      </c>
      <c r="C351" s="15" t="s">
        <v>1870</v>
      </c>
      <c r="D351" s="15" t="s">
        <v>1536</v>
      </c>
      <c r="E351" s="15"/>
      <c r="F351" s="16">
        <v>355</v>
      </c>
      <c r="G351" s="16">
        <v>0</v>
      </c>
      <c r="H351" s="16">
        <v>47406.42</v>
      </c>
      <c r="I351" s="15" t="s">
        <v>1537</v>
      </c>
      <c r="J351" s="17">
        <f t="shared" si="5"/>
        <v>0</v>
      </c>
    </row>
    <row r="352" spans="1:10" ht="15.75" customHeight="1" x14ac:dyDescent="0.3">
      <c r="A352" s="18">
        <v>45264</v>
      </c>
      <c r="B352" s="18">
        <v>45264</v>
      </c>
      <c r="C352" s="15" t="s">
        <v>1871</v>
      </c>
      <c r="D352" s="15" t="s">
        <v>1536</v>
      </c>
      <c r="E352" s="15"/>
      <c r="F352" s="16">
        <v>100</v>
      </c>
      <c r="G352" s="16">
        <v>0</v>
      </c>
      <c r="H352" s="16">
        <v>47306.42</v>
      </c>
      <c r="I352" s="15" t="s">
        <v>1537</v>
      </c>
      <c r="J352" s="17">
        <f t="shared" si="5"/>
        <v>0</v>
      </c>
    </row>
    <row r="353" spans="1:10" ht="15.75" customHeight="1" x14ac:dyDescent="0.3">
      <c r="A353" s="18">
        <v>45264</v>
      </c>
      <c r="B353" s="18">
        <v>45264</v>
      </c>
      <c r="C353" s="15" t="s">
        <v>1872</v>
      </c>
      <c r="D353" s="15" t="s">
        <v>1536</v>
      </c>
      <c r="E353" s="15"/>
      <c r="F353" s="16">
        <v>35</v>
      </c>
      <c r="G353" s="16">
        <v>0</v>
      </c>
      <c r="H353" s="16">
        <v>47271.42</v>
      </c>
      <c r="I353" s="15" t="s">
        <v>1537</v>
      </c>
      <c r="J353" s="17">
        <f t="shared" si="5"/>
        <v>0</v>
      </c>
    </row>
    <row r="354" spans="1:10" ht="15.75" customHeight="1" x14ac:dyDescent="0.3">
      <c r="A354" s="18">
        <v>45264</v>
      </c>
      <c r="B354" s="18">
        <v>45264</v>
      </c>
      <c r="C354" s="15" t="s">
        <v>1873</v>
      </c>
      <c r="D354" s="15" t="s">
        <v>1536</v>
      </c>
      <c r="E354" s="15"/>
      <c r="F354" s="16">
        <v>10</v>
      </c>
      <c r="G354" s="16">
        <v>0</v>
      </c>
      <c r="H354" s="16">
        <v>47261.42</v>
      </c>
      <c r="I354" s="15" t="s">
        <v>1537</v>
      </c>
      <c r="J354" s="17">
        <f t="shared" si="5"/>
        <v>0</v>
      </c>
    </row>
    <row r="355" spans="1:10" ht="15.75" customHeight="1" x14ac:dyDescent="0.3">
      <c r="A355" s="18">
        <v>45264</v>
      </c>
      <c r="B355" s="18">
        <v>45264</v>
      </c>
      <c r="C355" s="15" t="s">
        <v>1874</v>
      </c>
      <c r="D355" s="15" t="s">
        <v>1536</v>
      </c>
      <c r="E355" s="15"/>
      <c r="F355" s="16">
        <v>25</v>
      </c>
      <c r="G355" s="16">
        <v>0</v>
      </c>
      <c r="H355" s="16">
        <v>47236.42</v>
      </c>
      <c r="I355" s="15" t="s">
        <v>1537</v>
      </c>
      <c r="J355" s="17">
        <f t="shared" si="5"/>
        <v>0</v>
      </c>
    </row>
    <row r="356" spans="1:10" ht="15.75" customHeight="1" x14ac:dyDescent="0.3">
      <c r="A356" s="18">
        <v>45264</v>
      </c>
      <c r="B356" s="18">
        <v>45264</v>
      </c>
      <c r="C356" s="15" t="s">
        <v>1875</v>
      </c>
      <c r="D356" s="15" t="s">
        <v>1536</v>
      </c>
      <c r="E356" s="15"/>
      <c r="F356" s="16">
        <v>60</v>
      </c>
      <c r="G356" s="16">
        <v>0</v>
      </c>
      <c r="H356" s="16">
        <v>47176.42</v>
      </c>
      <c r="I356" s="15" t="s">
        <v>1537</v>
      </c>
      <c r="J356" s="17">
        <f t="shared" si="5"/>
        <v>0</v>
      </c>
    </row>
    <row r="357" spans="1:10" ht="15.75" customHeight="1" x14ac:dyDescent="0.3">
      <c r="A357" s="18">
        <v>45264</v>
      </c>
      <c r="B357" s="18">
        <v>45264</v>
      </c>
      <c r="C357" s="15" t="s">
        <v>1876</v>
      </c>
      <c r="D357" s="15" t="s">
        <v>1536</v>
      </c>
      <c r="E357" s="15"/>
      <c r="F357" s="16">
        <v>30</v>
      </c>
      <c r="G357" s="16">
        <v>0</v>
      </c>
      <c r="H357" s="16">
        <v>47146.42</v>
      </c>
      <c r="I357" s="15" t="s">
        <v>1537</v>
      </c>
      <c r="J357" s="17">
        <f t="shared" si="5"/>
        <v>0</v>
      </c>
    </row>
    <row r="358" spans="1:10" ht="15.75" customHeight="1" x14ac:dyDescent="0.3">
      <c r="A358" s="18">
        <v>45265</v>
      </c>
      <c r="B358" s="18">
        <v>45265</v>
      </c>
      <c r="C358" s="15" t="s">
        <v>1877</v>
      </c>
      <c r="D358" s="15" t="s">
        <v>1536</v>
      </c>
      <c r="E358" s="15"/>
      <c r="F358" s="16">
        <v>100</v>
      </c>
      <c r="G358" s="16">
        <v>0</v>
      </c>
      <c r="H358" s="16">
        <v>47046.42</v>
      </c>
      <c r="I358" s="15" t="s">
        <v>1537</v>
      </c>
      <c r="J358" s="17">
        <f t="shared" si="5"/>
        <v>0</v>
      </c>
    </row>
    <row r="359" spans="1:10" ht="15.75" customHeight="1" x14ac:dyDescent="0.3">
      <c r="A359" s="18">
        <v>45265</v>
      </c>
      <c r="B359" s="18">
        <v>45265</v>
      </c>
      <c r="C359" s="15" t="s">
        <v>1878</v>
      </c>
      <c r="D359" s="15" t="s">
        <v>1536</v>
      </c>
      <c r="E359" s="15"/>
      <c r="F359" s="16">
        <v>35</v>
      </c>
      <c r="G359" s="16">
        <v>0</v>
      </c>
      <c r="H359" s="16">
        <v>47011.42</v>
      </c>
      <c r="I359" s="15" t="s">
        <v>1537</v>
      </c>
      <c r="J359" s="17">
        <f t="shared" si="5"/>
        <v>0</v>
      </c>
    </row>
    <row r="360" spans="1:10" ht="15.75" customHeight="1" x14ac:dyDescent="0.3">
      <c r="A360" s="18">
        <v>45265</v>
      </c>
      <c r="B360" s="18">
        <v>45265</v>
      </c>
      <c r="C360" s="15" t="s">
        <v>1879</v>
      </c>
      <c r="D360" s="15" t="s">
        <v>1536</v>
      </c>
      <c r="E360" s="15"/>
      <c r="F360" s="16">
        <v>10</v>
      </c>
      <c r="G360" s="16">
        <v>0</v>
      </c>
      <c r="H360" s="16">
        <v>47001.42</v>
      </c>
      <c r="I360" s="15" t="s">
        <v>1537</v>
      </c>
      <c r="J360" s="17">
        <f t="shared" si="5"/>
        <v>0</v>
      </c>
    </row>
    <row r="361" spans="1:10" ht="15.75" customHeight="1" x14ac:dyDescent="0.3">
      <c r="A361" s="18">
        <v>45265</v>
      </c>
      <c r="B361" s="18">
        <v>45265</v>
      </c>
      <c r="C361" s="15" t="s">
        <v>1880</v>
      </c>
      <c r="D361" s="15" t="s">
        <v>1536</v>
      </c>
      <c r="E361" s="15"/>
      <c r="F361" s="16">
        <v>29.69</v>
      </c>
      <c r="G361" s="16">
        <v>0</v>
      </c>
      <c r="H361" s="16">
        <v>46971.73</v>
      </c>
      <c r="I361" s="15" t="s">
        <v>1537</v>
      </c>
      <c r="J361" s="17">
        <f t="shared" si="5"/>
        <v>0</v>
      </c>
    </row>
    <row r="362" spans="1:10" ht="15.75" customHeight="1" x14ac:dyDescent="0.3">
      <c r="A362" s="18">
        <v>45265</v>
      </c>
      <c r="B362" s="18">
        <v>45265</v>
      </c>
      <c r="C362" s="15" t="s">
        <v>1881</v>
      </c>
      <c r="D362" s="15" t="s">
        <v>1536</v>
      </c>
      <c r="E362" s="15"/>
      <c r="F362" s="16">
        <v>10</v>
      </c>
      <c r="G362" s="16">
        <v>0</v>
      </c>
      <c r="H362" s="16">
        <v>46961.73</v>
      </c>
      <c r="I362" s="15" t="s">
        <v>1537</v>
      </c>
      <c r="J362" s="17">
        <f t="shared" si="5"/>
        <v>0</v>
      </c>
    </row>
    <row r="363" spans="1:10" ht="15.75" customHeight="1" x14ac:dyDescent="0.3">
      <c r="A363" s="18">
        <v>45265</v>
      </c>
      <c r="B363" s="18">
        <v>45265</v>
      </c>
      <c r="C363" s="15" t="s">
        <v>1882</v>
      </c>
      <c r="D363" s="15" t="s">
        <v>1536</v>
      </c>
      <c r="E363" s="15"/>
      <c r="F363" s="16">
        <v>90</v>
      </c>
      <c r="G363" s="16">
        <v>0</v>
      </c>
      <c r="H363" s="16">
        <v>46871.73</v>
      </c>
      <c r="I363" s="15" t="s">
        <v>1537</v>
      </c>
      <c r="J363" s="17">
        <f t="shared" si="5"/>
        <v>0</v>
      </c>
    </row>
    <row r="364" spans="1:10" ht="15.75" customHeight="1" x14ac:dyDescent="0.3">
      <c r="A364" s="18">
        <v>45265</v>
      </c>
      <c r="B364" s="18">
        <v>45265</v>
      </c>
      <c r="C364" s="15" t="s">
        <v>1883</v>
      </c>
      <c r="D364" s="15" t="s">
        <v>1536</v>
      </c>
      <c r="E364" s="15"/>
      <c r="F364" s="16">
        <v>20</v>
      </c>
      <c r="G364" s="16">
        <v>0</v>
      </c>
      <c r="H364" s="16">
        <v>46851.73</v>
      </c>
      <c r="I364" s="15" t="s">
        <v>1537</v>
      </c>
      <c r="J364" s="17">
        <f t="shared" si="5"/>
        <v>0</v>
      </c>
    </row>
    <row r="365" spans="1:10" ht="15.75" customHeight="1" x14ac:dyDescent="0.3">
      <c r="A365" s="18">
        <v>45266</v>
      </c>
      <c r="B365" s="18">
        <v>45266</v>
      </c>
      <c r="C365" s="15" t="s">
        <v>1884</v>
      </c>
      <c r="D365" s="15" t="s">
        <v>1536</v>
      </c>
      <c r="E365" s="15"/>
      <c r="F365" s="16">
        <v>100</v>
      </c>
      <c r="G365" s="16">
        <v>0</v>
      </c>
      <c r="H365" s="16">
        <v>46751.73</v>
      </c>
      <c r="I365" s="15" t="s">
        <v>1537</v>
      </c>
      <c r="J365" s="17">
        <f t="shared" si="5"/>
        <v>0</v>
      </c>
    </row>
    <row r="366" spans="1:10" ht="15.75" customHeight="1" x14ac:dyDescent="0.3">
      <c r="A366" s="18">
        <v>45266</v>
      </c>
      <c r="B366" s="18">
        <v>45266</v>
      </c>
      <c r="C366" s="15" t="s">
        <v>1885</v>
      </c>
      <c r="D366" s="15" t="s">
        <v>1536</v>
      </c>
      <c r="E366" s="15"/>
      <c r="F366" s="16">
        <v>35</v>
      </c>
      <c r="G366" s="16">
        <v>0</v>
      </c>
      <c r="H366" s="16">
        <v>46716.73</v>
      </c>
      <c r="I366" s="15" t="s">
        <v>1537</v>
      </c>
      <c r="J366" s="17">
        <f t="shared" si="5"/>
        <v>0</v>
      </c>
    </row>
    <row r="367" spans="1:10" ht="15.75" customHeight="1" x14ac:dyDescent="0.3">
      <c r="A367" s="18">
        <v>45266</v>
      </c>
      <c r="B367" s="18">
        <v>45266</v>
      </c>
      <c r="C367" s="15" t="s">
        <v>1886</v>
      </c>
      <c r="D367" s="15" t="s">
        <v>1536</v>
      </c>
      <c r="E367" s="15"/>
      <c r="F367" s="16">
        <v>10</v>
      </c>
      <c r="G367" s="16">
        <v>0</v>
      </c>
      <c r="H367" s="16">
        <v>46706.73</v>
      </c>
      <c r="I367" s="15" t="s">
        <v>1537</v>
      </c>
      <c r="J367" s="17">
        <f t="shared" si="5"/>
        <v>0</v>
      </c>
    </row>
    <row r="368" spans="1:10" ht="15.75" customHeight="1" x14ac:dyDescent="0.3">
      <c r="A368" s="18">
        <v>45266</v>
      </c>
      <c r="B368" s="18">
        <v>45266</v>
      </c>
      <c r="C368" s="15" t="s">
        <v>1887</v>
      </c>
      <c r="D368" s="15" t="s">
        <v>1536</v>
      </c>
      <c r="E368" s="15"/>
      <c r="F368" s="16">
        <v>26</v>
      </c>
      <c r="G368" s="16">
        <v>0</v>
      </c>
      <c r="H368" s="16">
        <v>46680.73</v>
      </c>
      <c r="I368" s="15" t="s">
        <v>1537</v>
      </c>
      <c r="J368" s="17">
        <f t="shared" si="5"/>
        <v>0</v>
      </c>
    </row>
    <row r="369" spans="1:10" ht="15.75" customHeight="1" x14ac:dyDescent="0.3">
      <c r="A369" s="18">
        <v>45266</v>
      </c>
      <c r="B369" s="18">
        <v>45266</v>
      </c>
      <c r="C369" s="15" t="s">
        <v>1888</v>
      </c>
      <c r="D369" s="15" t="s">
        <v>1536</v>
      </c>
      <c r="E369" s="15"/>
      <c r="F369" s="16">
        <v>90</v>
      </c>
      <c r="G369" s="16">
        <v>0</v>
      </c>
      <c r="H369" s="16">
        <v>46590.73</v>
      </c>
      <c r="I369" s="15" t="s">
        <v>1537</v>
      </c>
      <c r="J369" s="17">
        <f t="shared" si="5"/>
        <v>0</v>
      </c>
    </row>
    <row r="370" spans="1:10" ht="15.75" customHeight="1" x14ac:dyDescent="0.3">
      <c r="A370" s="18">
        <v>45266</v>
      </c>
      <c r="B370" s="18">
        <v>45266</v>
      </c>
      <c r="C370" s="15" t="s">
        <v>1889</v>
      </c>
      <c r="D370" s="15" t="s">
        <v>1536</v>
      </c>
      <c r="E370" s="15"/>
      <c r="F370" s="16">
        <v>20</v>
      </c>
      <c r="G370" s="16">
        <v>0</v>
      </c>
      <c r="H370" s="16">
        <v>46570.73</v>
      </c>
      <c r="I370" s="15" t="s">
        <v>1537</v>
      </c>
      <c r="J370" s="17">
        <f t="shared" si="5"/>
        <v>0</v>
      </c>
    </row>
    <row r="371" spans="1:10" ht="15.75" customHeight="1" x14ac:dyDescent="0.3">
      <c r="A371" s="18">
        <v>45266</v>
      </c>
      <c r="B371" s="18">
        <v>45266</v>
      </c>
      <c r="C371" s="15" t="s">
        <v>1890</v>
      </c>
      <c r="D371" s="15" t="s">
        <v>1536</v>
      </c>
      <c r="E371" s="15"/>
      <c r="F371" s="16">
        <v>20</v>
      </c>
      <c r="G371" s="16">
        <v>0</v>
      </c>
      <c r="H371" s="16">
        <v>46550.73</v>
      </c>
      <c r="I371" s="15" t="s">
        <v>1537</v>
      </c>
      <c r="J371" s="17">
        <f t="shared" si="5"/>
        <v>0</v>
      </c>
    </row>
    <row r="372" spans="1:10" ht="15.75" customHeight="1" x14ac:dyDescent="0.3">
      <c r="A372" s="18">
        <v>45266</v>
      </c>
      <c r="B372" s="18">
        <v>45266</v>
      </c>
      <c r="C372" s="15" t="s">
        <v>1891</v>
      </c>
      <c r="D372" s="15" t="s">
        <v>1536</v>
      </c>
      <c r="E372" s="15"/>
      <c r="F372" s="16">
        <v>281</v>
      </c>
      <c r="G372" s="16">
        <v>0</v>
      </c>
      <c r="H372" s="16">
        <v>46269.73</v>
      </c>
      <c r="I372" s="15" t="s">
        <v>1537</v>
      </c>
      <c r="J372" s="17">
        <f t="shared" si="5"/>
        <v>0</v>
      </c>
    </row>
    <row r="373" spans="1:10" ht="15.75" customHeight="1" x14ac:dyDescent="0.3">
      <c r="A373" s="18">
        <v>45266</v>
      </c>
      <c r="B373" s="18">
        <v>45267</v>
      </c>
      <c r="C373" s="15" t="s">
        <v>1892</v>
      </c>
      <c r="D373" s="15" t="s">
        <v>1536</v>
      </c>
      <c r="E373" s="15"/>
      <c r="F373" s="16">
        <v>783</v>
      </c>
      <c r="G373" s="16">
        <v>0</v>
      </c>
      <c r="H373" s="16">
        <v>45486.73</v>
      </c>
      <c r="I373" s="15" t="s">
        <v>1537</v>
      </c>
      <c r="J373" s="17">
        <f t="shared" si="5"/>
        <v>0</v>
      </c>
    </row>
    <row r="374" spans="1:10" ht="15.75" customHeight="1" x14ac:dyDescent="0.3">
      <c r="A374" s="18">
        <v>45267</v>
      </c>
      <c r="B374" s="18">
        <v>45267</v>
      </c>
      <c r="C374" s="15" t="s">
        <v>1893</v>
      </c>
      <c r="D374" s="15" t="s">
        <v>1536</v>
      </c>
      <c r="E374" s="15"/>
      <c r="F374" s="16">
        <v>100</v>
      </c>
      <c r="G374" s="16">
        <v>0</v>
      </c>
      <c r="H374" s="16">
        <v>45386.73</v>
      </c>
      <c r="I374" s="15" t="s">
        <v>1537</v>
      </c>
      <c r="J374" s="17">
        <f t="shared" si="5"/>
        <v>0</v>
      </c>
    </row>
    <row r="375" spans="1:10" ht="15.75" customHeight="1" x14ac:dyDescent="0.3">
      <c r="A375" s="18">
        <v>45267</v>
      </c>
      <c r="B375" s="18">
        <v>45267</v>
      </c>
      <c r="C375" s="15" t="s">
        <v>1894</v>
      </c>
      <c r="D375" s="15" t="s">
        <v>1536</v>
      </c>
      <c r="E375" s="15"/>
      <c r="F375" s="16">
        <v>23</v>
      </c>
      <c r="G375" s="16">
        <v>0</v>
      </c>
      <c r="H375" s="16">
        <v>45363.73</v>
      </c>
      <c r="I375" s="15" t="s">
        <v>1537</v>
      </c>
      <c r="J375" s="17">
        <f t="shared" si="5"/>
        <v>0</v>
      </c>
    </row>
    <row r="376" spans="1:10" ht="15.75" customHeight="1" x14ac:dyDescent="0.3">
      <c r="A376" s="18">
        <v>45267</v>
      </c>
      <c r="B376" s="18">
        <v>45267</v>
      </c>
      <c r="C376" s="15" t="s">
        <v>1895</v>
      </c>
      <c r="D376" s="15" t="s">
        <v>1536</v>
      </c>
      <c r="E376" s="15"/>
      <c r="F376" s="16">
        <v>80</v>
      </c>
      <c r="G376" s="16">
        <v>0</v>
      </c>
      <c r="H376" s="16">
        <v>45283.73</v>
      </c>
      <c r="I376" s="15" t="s">
        <v>1537</v>
      </c>
      <c r="J376" s="17">
        <f t="shared" si="5"/>
        <v>0</v>
      </c>
    </row>
    <row r="377" spans="1:10" ht="15.75" customHeight="1" x14ac:dyDescent="0.3">
      <c r="A377" s="18">
        <v>45267</v>
      </c>
      <c r="B377" s="18">
        <v>45267</v>
      </c>
      <c r="C377" s="15" t="s">
        <v>1896</v>
      </c>
      <c r="D377" s="15" t="s">
        <v>1536</v>
      </c>
      <c r="E377" s="15"/>
      <c r="F377" s="16">
        <v>15</v>
      </c>
      <c r="G377" s="16">
        <v>0</v>
      </c>
      <c r="H377" s="16">
        <v>45268.73</v>
      </c>
      <c r="I377" s="15" t="s">
        <v>1537</v>
      </c>
      <c r="J377" s="17">
        <f t="shared" si="5"/>
        <v>0</v>
      </c>
    </row>
    <row r="378" spans="1:10" ht="15.75" customHeight="1" x14ac:dyDescent="0.3">
      <c r="A378" s="18">
        <v>45268</v>
      </c>
      <c r="B378" s="18">
        <v>45268</v>
      </c>
      <c r="C378" s="15" t="s">
        <v>1897</v>
      </c>
      <c r="D378" s="15" t="s">
        <v>1536</v>
      </c>
      <c r="E378" s="15"/>
      <c r="F378" s="16">
        <v>100</v>
      </c>
      <c r="G378" s="16">
        <v>0</v>
      </c>
      <c r="H378" s="16">
        <v>45168.73</v>
      </c>
      <c r="I378" s="15" t="s">
        <v>1537</v>
      </c>
      <c r="J378" s="17">
        <f t="shared" si="5"/>
        <v>0</v>
      </c>
    </row>
    <row r="379" spans="1:10" ht="15.75" customHeight="1" x14ac:dyDescent="0.3">
      <c r="A379" s="18">
        <v>45268</v>
      </c>
      <c r="B379" s="18">
        <v>45268</v>
      </c>
      <c r="C379" s="15" t="s">
        <v>1898</v>
      </c>
      <c r="D379" s="15" t="s">
        <v>1536</v>
      </c>
      <c r="E379" s="15"/>
      <c r="F379" s="16">
        <v>20</v>
      </c>
      <c r="G379" s="16">
        <v>0</v>
      </c>
      <c r="H379" s="16">
        <v>45148.73</v>
      </c>
      <c r="I379" s="15" t="s">
        <v>1537</v>
      </c>
      <c r="J379" s="17">
        <f t="shared" si="5"/>
        <v>0</v>
      </c>
    </row>
    <row r="380" spans="1:10" ht="15.75" customHeight="1" x14ac:dyDescent="0.3">
      <c r="A380" s="18">
        <v>45268</v>
      </c>
      <c r="B380" s="18">
        <v>45268</v>
      </c>
      <c r="C380" s="15" t="s">
        <v>1899</v>
      </c>
      <c r="D380" s="15" t="s">
        <v>1536</v>
      </c>
      <c r="E380" s="15"/>
      <c r="F380" s="16">
        <v>35</v>
      </c>
      <c r="G380" s="16">
        <v>0</v>
      </c>
      <c r="H380" s="16">
        <v>45113.73</v>
      </c>
      <c r="I380" s="15" t="s">
        <v>1537</v>
      </c>
      <c r="J380" s="17">
        <f t="shared" si="5"/>
        <v>0</v>
      </c>
    </row>
    <row r="381" spans="1:10" ht="15.75" customHeight="1" x14ac:dyDescent="0.3">
      <c r="A381" s="18">
        <v>45268</v>
      </c>
      <c r="B381" s="18">
        <v>45268</v>
      </c>
      <c r="C381" s="15" t="s">
        <v>1900</v>
      </c>
      <c r="D381" s="15" t="s">
        <v>1536</v>
      </c>
      <c r="E381" s="15"/>
      <c r="F381" s="16">
        <v>23</v>
      </c>
      <c r="G381" s="16">
        <v>0</v>
      </c>
      <c r="H381" s="16">
        <v>45090.73</v>
      </c>
      <c r="I381" s="15" t="s">
        <v>1537</v>
      </c>
      <c r="J381" s="17">
        <f t="shared" si="5"/>
        <v>0</v>
      </c>
    </row>
    <row r="382" spans="1:10" ht="15.75" customHeight="1" x14ac:dyDescent="0.3">
      <c r="A382" s="18">
        <v>45268</v>
      </c>
      <c r="B382" s="18">
        <v>45268</v>
      </c>
      <c r="C382" s="15" t="s">
        <v>1901</v>
      </c>
      <c r="D382" s="15" t="s">
        <v>1536</v>
      </c>
      <c r="E382" s="15"/>
      <c r="F382" s="16">
        <v>0</v>
      </c>
      <c r="G382" s="16">
        <v>200</v>
      </c>
      <c r="H382" s="16">
        <v>45290.73</v>
      </c>
      <c r="I382" s="15" t="s">
        <v>1540</v>
      </c>
      <c r="J382" s="17">
        <f t="shared" si="5"/>
        <v>0</v>
      </c>
    </row>
    <row r="383" spans="1:10" ht="15.75" customHeight="1" x14ac:dyDescent="0.3">
      <c r="A383" s="18">
        <v>45268</v>
      </c>
      <c r="B383" s="18">
        <v>45268</v>
      </c>
      <c r="C383" s="15" t="s">
        <v>1902</v>
      </c>
      <c r="D383" s="15" t="s">
        <v>1536</v>
      </c>
      <c r="E383" s="15"/>
      <c r="F383" s="16">
        <v>2545</v>
      </c>
      <c r="G383" s="16">
        <v>0</v>
      </c>
      <c r="H383" s="16">
        <v>42745.73</v>
      </c>
      <c r="I383" s="15" t="s">
        <v>1537</v>
      </c>
      <c r="J383" s="17">
        <f t="shared" si="5"/>
        <v>0</v>
      </c>
    </row>
    <row r="384" spans="1:10" ht="15.75" customHeight="1" x14ac:dyDescent="0.3">
      <c r="A384" s="18">
        <v>45268</v>
      </c>
      <c r="B384" s="18">
        <v>45268</v>
      </c>
      <c r="C384" s="15" t="s">
        <v>1903</v>
      </c>
      <c r="D384" s="15" t="s">
        <v>1536</v>
      </c>
      <c r="E384" s="15"/>
      <c r="F384" s="16">
        <v>26</v>
      </c>
      <c r="G384" s="16">
        <v>0</v>
      </c>
      <c r="H384" s="16">
        <v>42719.73</v>
      </c>
      <c r="I384" s="15" t="s">
        <v>1537</v>
      </c>
      <c r="J384" s="17">
        <f t="shared" si="5"/>
        <v>0</v>
      </c>
    </row>
    <row r="385" spans="1:10" ht="15.75" customHeight="1" x14ac:dyDescent="0.3">
      <c r="A385" s="18">
        <v>45268</v>
      </c>
      <c r="B385" s="18">
        <v>45268</v>
      </c>
      <c r="C385" s="15" t="s">
        <v>1904</v>
      </c>
      <c r="D385" s="15" t="s">
        <v>1536</v>
      </c>
      <c r="E385" s="15"/>
      <c r="F385" s="16">
        <v>75</v>
      </c>
      <c r="G385" s="16">
        <v>0</v>
      </c>
      <c r="H385" s="16">
        <v>42644.73</v>
      </c>
      <c r="I385" s="15" t="s">
        <v>1537</v>
      </c>
      <c r="J385" s="17">
        <f t="shared" si="5"/>
        <v>0</v>
      </c>
    </row>
    <row r="386" spans="1:10" ht="15.75" customHeight="1" x14ac:dyDescent="0.3">
      <c r="A386" s="18">
        <v>45268</v>
      </c>
      <c r="B386" s="18">
        <v>45268</v>
      </c>
      <c r="C386" s="15" t="s">
        <v>1905</v>
      </c>
      <c r="D386" s="15" t="s">
        <v>1536</v>
      </c>
      <c r="E386" s="15"/>
      <c r="F386" s="16">
        <v>550</v>
      </c>
      <c r="G386" s="16">
        <v>0</v>
      </c>
      <c r="H386" s="16">
        <v>42094.73</v>
      </c>
      <c r="I386" s="15" t="s">
        <v>1537</v>
      </c>
      <c r="J386" s="17">
        <f t="shared" si="5"/>
        <v>0</v>
      </c>
    </row>
    <row r="387" spans="1:10" ht="15.75" customHeight="1" x14ac:dyDescent="0.3">
      <c r="A387" s="18">
        <v>45268</v>
      </c>
      <c r="B387" s="18">
        <v>45268</v>
      </c>
      <c r="C387" s="15" t="s">
        <v>1906</v>
      </c>
      <c r="D387" s="15" t="s">
        <v>1536</v>
      </c>
      <c r="E387" s="15"/>
      <c r="F387" s="16">
        <v>136</v>
      </c>
      <c r="G387" s="16">
        <v>0</v>
      </c>
      <c r="H387" s="16">
        <v>41958.73</v>
      </c>
      <c r="I387" s="15" t="s">
        <v>1537</v>
      </c>
      <c r="J387" s="17">
        <f t="shared" si="5"/>
        <v>0</v>
      </c>
    </row>
    <row r="388" spans="1:10" ht="15.75" customHeight="1" x14ac:dyDescent="0.3">
      <c r="A388" s="18">
        <v>45269</v>
      </c>
      <c r="B388" s="18">
        <v>45269</v>
      </c>
      <c r="C388" s="15" t="s">
        <v>1907</v>
      </c>
      <c r="D388" s="15" t="s">
        <v>1536</v>
      </c>
      <c r="E388" s="15"/>
      <c r="F388" s="16">
        <v>100</v>
      </c>
      <c r="G388" s="16">
        <v>0</v>
      </c>
      <c r="H388" s="16">
        <v>41858.730000000003</v>
      </c>
      <c r="I388" s="15" t="s">
        <v>1537</v>
      </c>
      <c r="J388" s="17">
        <f t="shared" si="5"/>
        <v>0</v>
      </c>
    </row>
    <row r="389" spans="1:10" ht="15.75" customHeight="1" x14ac:dyDescent="0.3">
      <c r="A389" s="18">
        <v>45269</v>
      </c>
      <c r="B389" s="18">
        <v>45269</v>
      </c>
      <c r="C389" s="15" t="s">
        <v>1908</v>
      </c>
      <c r="D389" s="15" t="s">
        <v>1536</v>
      </c>
      <c r="E389" s="15"/>
      <c r="F389" s="16">
        <v>284</v>
      </c>
      <c r="G389" s="16">
        <v>0</v>
      </c>
      <c r="H389" s="16">
        <v>41574.730000000003</v>
      </c>
      <c r="I389" s="15" t="s">
        <v>1537</v>
      </c>
      <c r="J389" s="17">
        <f t="shared" si="5"/>
        <v>0</v>
      </c>
    </row>
    <row r="390" spans="1:10" ht="15.75" customHeight="1" x14ac:dyDescent="0.3">
      <c r="A390" s="18">
        <v>45270</v>
      </c>
      <c r="B390" s="18">
        <v>45270</v>
      </c>
      <c r="C390" s="15" t="s">
        <v>1909</v>
      </c>
      <c r="D390" s="15" t="s">
        <v>1536</v>
      </c>
      <c r="E390" s="15"/>
      <c r="F390" s="16">
        <v>100</v>
      </c>
      <c r="G390" s="16">
        <v>0</v>
      </c>
      <c r="H390" s="16">
        <v>41474.730000000003</v>
      </c>
      <c r="I390" s="15" t="s">
        <v>1537</v>
      </c>
      <c r="J390" s="17">
        <f t="shared" si="5"/>
        <v>0</v>
      </c>
    </row>
    <row r="391" spans="1:10" ht="15.75" customHeight="1" x14ac:dyDescent="0.3">
      <c r="A391" s="18">
        <v>45270</v>
      </c>
      <c r="B391" s="18">
        <v>45270</v>
      </c>
      <c r="C391" s="15" t="s">
        <v>1910</v>
      </c>
      <c r="D391" s="15" t="s">
        <v>1536</v>
      </c>
      <c r="E391" s="15"/>
      <c r="F391" s="16">
        <v>15</v>
      </c>
      <c r="G391" s="16">
        <v>0</v>
      </c>
      <c r="H391" s="16">
        <v>41459.730000000003</v>
      </c>
      <c r="I391" s="15" t="s">
        <v>1537</v>
      </c>
      <c r="J391" s="17">
        <f t="shared" si="5"/>
        <v>0</v>
      </c>
    </row>
    <row r="392" spans="1:10" ht="15.75" customHeight="1" x14ac:dyDescent="0.3">
      <c r="A392" s="18">
        <v>45270</v>
      </c>
      <c r="B392" s="18">
        <v>45270</v>
      </c>
      <c r="C392" s="15" t="s">
        <v>1911</v>
      </c>
      <c r="D392" s="15" t="s">
        <v>1536</v>
      </c>
      <c r="E392" s="15"/>
      <c r="F392" s="16">
        <v>61</v>
      </c>
      <c r="G392" s="16">
        <v>0</v>
      </c>
      <c r="H392" s="16">
        <v>41398.730000000003</v>
      </c>
      <c r="I392" s="15" t="s">
        <v>1537</v>
      </c>
      <c r="J392" s="17">
        <f t="shared" si="5"/>
        <v>0</v>
      </c>
    </row>
    <row r="393" spans="1:10" ht="15.75" customHeight="1" x14ac:dyDescent="0.3">
      <c r="A393" s="18">
        <v>45270</v>
      </c>
      <c r="B393" s="18">
        <v>45270</v>
      </c>
      <c r="C393" s="15" t="s">
        <v>1912</v>
      </c>
      <c r="D393" s="15" t="s">
        <v>1536</v>
      </c>
      <c r="E393" s="15"/>
      <c r="F393" s="16">
        <v>44.12</v>
      </c>
      <c r="G393" s="16">
        <v>0</v>
      </c>
      <c r="H393" s="16">
        <v>41354.61</v>
      </c>
      <c r="I393" s="15" t="s">
        <v>1537</v>
      </c>
      <c r="J393" s="17">
        <f t="shared" si="5"/>
        <v>0</v>
      </c>
    </row>
    <row r="394" spans="1:10" ht="15.75" customHeight="1" x14ac:dyDescent="0.3">
      <c r="A394" s="18">
        <v>45270</v>
      </c>
      <c r="B394" s="18">
        <v>45270</v>
      </c>
      <c r="C394" s="15" t="s">
        <v>1913</v>
      </c>
      <c r="D394" s="15" t="s">
        <v>1536</v>
      </c>
      <c r="E394" s="15"/>
      <c r="F394" s="16">
        <v>75</v>
      </c>
      <c r="G394" s="16">
        <v>0</v>
      </c>
      <c r="H394" s="16">
        <v>41279.61</v>
      </c>
      <c r="I394" s="15" t="s">
        <v>1537</v>
      </c>
      <c r="J394" s="17">
        <f t="shared" si="5"/>
        <v>0</v>
      </c>
    </row>
    <row r="395" spans="1:10" ht="15.75" customHeight="1" x14ac:dyDescent="0.3">
      <c r="A395" s="18">
        <v>45271</v>
      </c>
      <c r="B395" s="18">
        <v>45271</v>
      </c>
      <c r="C395" s="15" t="s">
        <v>1914</v>
      </c>
      <c r="D395" s="15" t="s">
        <v>1536</v>
      </c>
      <c r="E395" s="15"/>
      <c r="F395" s="16">
        <v>100</v>
      </c>
      <c r="G395" s="16">
        <v>0</v>
      </c>
      <c r="H395" s="16">
        <v>41179.61</v>
      </c>
      <c r="I395" s="15" t="s">
        <v>1537</v>
      </c>
      <c r="J395" s="17">
        <f t="shared" si="5"/>
        <v>0</v>
      </c>
    </row>
    <row r="396" spans="1:10" ht="15.75" customHeight="1" x14ac:dyDescent="0.3">
      <c r="A396" s="18">
        <v>45271</v>
      </c>
      <c r="B396" s="18">
        <v>45271</v>
      </c>
      <c r="C396" s="15" t="s">
        <v>1915</v>
      </c>
      <c r="D396" s="15" t="s">
        <v>1536</v>
      </c>
      <c r="E396" s="15"/>
      <c r="F396" s="16">
        <v>44.37</v>
      </c>
      <c r="G396" s="16">
        <v>0</v>
      </c>
      <c r="H396" s="16">
        <v>41135.24</v>
      </c>
      <c r="I396" s="15" t="s">
        <v>1537</v>
      </c>
      <c r="J396" s="17">
        <f t="shared" si="5"/>
        <v>0</v>
      </c>
    </row>
    <row r="397" spans="1:10" ht="15.75" customHeight="1" x14ac:dyDescent="0.3">
      <c r="A397" s="18">
        <v>45272</v>
      </c>
      <c r="B397" s="18">
        <v>45272</v>
      </c>
      <c r="C397" s="15" t="s">
        <v>1916</v>
      </c>
      <c r="D397" s="15" t="s">
        <v>1536</v>
      </c>
      <c r="E397" s="15"/>
      <c r="F397" s="16">
        <v>100</v>
      </c>
      <c r="G397" s="16">
        <v>0</v>
      </c>
      <c r="H397" s="16">
        <v>41035.24</v>
      </c>
      <c r="I397" s="15" t="s">
        <v>1537</v>
      </c>
      <c r="J397" s="17">
        <f t="shared" si="5"/>
        <v>0</v>
      </c>
    </row>
    <row r="398" spans="1:10" ht="15.75" customHeight="1" x14ac:dyDescent="0.3">
      <c r="A398" s="18">
        <v>45272</v>
      </c>
      <c r="B398" s="18">
        <v>45272</v>
      </c>
      <c r="C398" s="15" t="s">
        <v>1917</v>
      </c>
      <c r="D398" s="15" t="s">
        <v>1536</v>
      </c>
      <c r="E398" s="15"/>
      <c r="F398" s="16">
        <v>30</v>
      </c>
      <c r="G398" s="16">
        <v>0</v>
      </c>
      <c r="H398" s="16">
        <v>41005.24</v>
      </c>
      <c r="I398" s="15" t="s">
        <v>1537</v>
      </c>
      <c r="J398" s="17">
        <f t="shared" si="5"/>
        <v>0</v>
      </c>
    </row>
    <row r="399" spans="1:10" ht="15.75" customHeight="1" x14ac:dyDescent="0.3">
      <c r="A399" s="18">
        <v>45273</v>
      </c>
      <c r="B399" s="18">
        <v>45273</v>
      </c>
      <c r="C399" s="15" t="s">
        <v>1918</v>
      </c>
      <c r="D399" s="15" t="s">
        <v>1536</v>
      </c>
      <c r="E399" s="15"/>
      <c r="F399" s="16">
        <v>100</v>
      </c>
      <c r="G399" s="16">
        <v>0</v>
      </c>
      <c r="H399" s="16">
        <v>40905.24</v>
      </c>
      <c r="I399" s="15" t="s">
        <v>1537</v>
      </c>
      <c r="J399" s="17">
        <f t="shared" si="5"/>
        <v>0</v>
      </c>
    </row>
    <row r="400" spans="1:10" ht="15.75" customHeight="1" x14ac:dyDescent="0.3">
      <c r="A400" s="18">
        <v>45274</v>
      </c>
      <c r="B400" s="18">
        <v>45274</v>
      </c>
      <c r="C400" s="15" t="s">
        <v>1919</v>
      </c>
      <c r="D400" s="15" t="s">
        <v>1536</v>
      </c>
      <c r="E400" s="15"/>
      <c r="F400" s="16">
        <v>100</v>
      </c>
      <c r="G400" s="16">
        <v>0</v>
      </c>
      <c r="H400" s="16">
        <v>40805.24</v>
      </c>
      <c r="I400" s="15" t="s">
        <v>1537</v>
      </c>
      <c r="J400" s="17">
        <f t="shared" si="5"/>
        <v>0</v>
      </c>
    </row>
    <row r="401" spans="1:10" ht="15.75" customHeight="1" x14ac:dyDescent="0.3">
      <c r="A401" s="18">
        <v>45274</v>
      </c>
      <c r="B401" s="18">
        <v>45274</v>
      </c>
      <c r="C401" s="15" t="s">
        <v>1920</v>
      </c>
      <c r="D401" s="15" t="s">
        <v>1536</v>
      </c>
      <c r="E401" s="15"/>
      <c r="F401" s="16">
        <v>166.66</v>
      </c>
      <c r="G401" s="16">
        <v>0</v>
      </c>
      <c r="H401" s="16">
        <v>40638.58</v>
      </c>
      <c r="I401" s="15" t="s">
        <v>1537</v>
      </c>
      <c r="J401" s="17">
        <f t="shared" si="5"/>
        <v>0</v>
      </c>
    </row>
    <row r="402" spans="1:10" ht="15.75" customHeight="1" x14ac:dyDescent="0.3">
      <c r="A402" s="18">
        <v>45275</v>
      </c>
      <c r="B402" s="18">
        <v>45275</v>
      </c>
      <c r="C402" s="15" t="s">
        <v>1921</v>
      </c>
      <c r="D402" s="15" t="s">
        <v>1536</v>
      </c>
      <c r="E402" s="15"/>
      <c r="F402" s="16">
        <v>100</v>
      </c>
      <c r="G402" s="16">
        <v>0</v>
      </c>
      <c r="H402" s="16">
        <v>40538.58</v>
      </c>
      <c r="I402" s="15" t="s">
        <v>1537</v>
      </c>
      <c r="J402" s="17">
        <f t="shared" si="5"/>
        <v>0</v>
      </c>
    </row>
    <row r="403" spans="1:10" ht="15.75" customHeight="1" x14ac:dyDescent="0.3">
      <c r="A403" s="18">
        <v>45275</v>
      </c>
      <c r="B403" s="18">
        <v>45275</v>
      </c>
      <c r="C403" s="15" t="s">
        <v>1922</v>
      </c>
      <c r="D403" s="15" t="s">
        <v>1536</v>
      </c>
      <c r="E403" s="15"/>
      <c r="F403" s="16">
        <v>100</v>
      </c>
      <c r="G403" s="16">
        <v>0</v>
      </c>
      <c r="H403" s="16">
        <v>40438.58</v>
      </c>
      <c r="I403" s="15" t="s">
        <v>1537</v>
      </c>
      <c r="J403" s="17">
        <f t="shared" ref="J403:J466" si="6">H402-F403+G403-H403</f>
        <v>0</v>
      </c>
    </row>
    <row r="404" spans="1:10" ht="15.75" customHeight="1" x14ac:dyDescent="0.3">
      <c r="A404" s="18">
        <v>45275</v>
      </c>
      <c r="B404" s="18">
        <v>45275</v>
      </c>
      <c r="C404" s="15" t="s">
        <v>1923</v>
      </c>
      <c r="D404" s="15" t="s">
        <v>1536</v>
      </c>
      <c r="E404" s="15"/>
      <c r="F404" s="16">
        <v>100</v>
      </c>
      <c r="G404" s="16">
        <v>0</v>
      </c>
      <c r="H404" s="16">
        <v>40338.58</v>
      </c>
      <c r="I404" s="15" t="s">
        <v>1537</v>
      </c>
      <c r="J404" s="17">
        <f t="shared" si="6"/>
        <v>0</v>
      </c>
    </row>
    <row r="405" spans="1:10" ht="15.75" customHeight="1" x14ac:dyDescent="0.3">
      <c r="A405" s="18">
        <v>45276</v>
      </c>
      <c r="B405" s="18">
        <v>45276</v>
      </c>
      <c r="C405" s="15" t="s">
        <v>1924</v>
      </c>
      <c r="D405" s="15" t="s">
        <v>1536</v>
      </c>
      <c r="E405" s="15"/>
      <c r="F405" s="16">
        <v>100</v>
      </c>
      <c r="G405" s="16">
        <v>0</v>
      </c>
      <c r="H405" s="16">
        <v>40238.58</v>
      </c>
      <c r="I405" s="15" t="s">
        <v>1537</v>
      </c>
      <c r="J405" s="17">
        <f t="shared" si="6"/>
        <v>0</v>
      </c>
    </row>
    <row r="406" spans="1:10" ht="15.75" customHeight="1" x14ac:dyDescent="0.3">
      <c r="A406" s="18">
        <v>45276</v>
      </c>
      <c r="B406" s="18">
        <v>45276</v>
      </c>
      <c r="C406" s="15" t="s">
        <v>1925</v>
      </c>
      <c r="D406" s="15" t="s">
        <v>1536</v>
      </c>
      <c r="E406" s="15"/>
      <c r="F406" s="16">
        <v>7500</v>
      </c>
      <c r="G406" s="16">
        <v>0</v>
      </c>
      <c r="H406" s="16">
        <v>32738.58</v>
      </c>
      <c r="I406" s="15" t="s">
        <v>1537</v>
      </c>
      <c r="J406" s="17">
        <f t="shared" si="6"/>
        <v>0</v>
      </c>
    </row>
    <row r="407" spans="1:10" ht="15.75" customHeight="1" x14ac:dyDescent="0.3">
      <c r="A407" s="18">
        <v>45276</v>
      </c>
      <c r="B407" s="18">
        <v>45276</v>
      </c>
      <c r="C407" s="15" t="s">
        <v>1926</v>
      </c>
      <c r="D407" s="15" t="s">
        <v>1536</v>
      </c>
      <c r="E407" s="15"/>
      <c r="F407" s="16">
        <v>70</v>
      </c>
      <c r="G407" s="16">
        <v>0</v>
      </c>
      <c r="H407" s="16">
        <v>32668.58</v>
      </c>
      <c r="I407" s="15" t="s">
        <v>1537</v>
      </c>
      <c r="J407" s="17">
        <f t="shared" si="6"/>
        <v>0</v>
      </c>
    </row>
    <row r="408" spans="1:10" ht="15.75" customHeight="1" x14ac:dyDescent="0.3">
      <c r="A408" s="18">
        <v>45276</v>
      </c>
      <c r="B408" s="18">
        <v>45276</v>
      </c>
      <c r="C408" s="15" t="s">
        <v>1927</v>
      </c>
      <c r="D408" s="15" t="s">
        <v>1536</v>
      </c>
      <c r="E408" s="15"/>
      <c r="F408" s="16">
        <v>983.6</v>
      </c>
      <c r="G408" s="16">
        <v>0</v>
      </c>
      <c r="H408" s="16">
        <v>31684.98</v>
      </c>
      <c r="I408" s="15" t="s">
        <v>1537</v>
      </c>
      <c r="J408" s="17">
        <f t="shared" si="6"/>
        <v>0</v>
      </c>
    </row>
    <row r="409" spans="1:10" ht="15.75" customHeight="1" x14ac:dyDescent="0.3">
      <c r="A409" s="18">
        <v>45276</v>
      </c>
      <c r="B409" s="18">
        <v>45276</v>
      </c>
      <c r="C409" s="15" t="s">
        <v>1928</v>
      </c>
      <c r="D409" s="15" t="s">
        <v>1536</v>
      </c>
      <c r="E409" s="15"/>
      <c r="F409" s="16">
        <v>70</v>
      </c>
      <c r="G409" s="16">
        <v>0</v>
      </c>
      <c r="H409" s="16">
        <v>31614.98</v>
      </c>
      <c r="I409" s="15" t="s">
        <v>1537</v>
      </c>
      <c r="J409" s="17">
        <f t="shared" si="6"/>
        <v>0</v>
      </c>
    </row>
    <row r="410" spans="1:10" ht="15.75" customHeight="1" x14ac:dyDescent="0.3">
      <c r="A410" s="18">
        <v>45276</v>
      </c>
      <c r="B410" s="18">
        <v>45277</v>
      </c>
      <c r="C410" s="15" t="s">
        <v>1929</v>
      </c>
      <c r="D410" s="15" t="s">
        <v>1536</v>
      </c>
      <c r="E410" s="15"/>
      <c r="F410" s="16">
        <v>199</v>
      </c>
      <c r="G410" s="16">
        <v>0</v>
      </c>
      <c r="H410" s="16">
        <v>31415.98</v>
      </c>
      <c r="I410" s="15" t="s">
        <v>1537</v>
      </c>
      <c r="J410" s="17">
        <f t="shared" si="6"/>
        <v>0</v>
      </c>
    </row>
    <row r="411" spans="1:10" ht="15.75" customHeight="1" x14ac:dyDescent="0.3">
      <c r="A411" s="18">
        <v>45277</v>
      </c>
      <c r="B411" s="18">
        <v>45277</v>
      </c>
      <c r="C411" s="15" t="s">
        <v>1930</v>
      </c>
      <c r="D411" s="15" t="s">
        <v>1536</v>
      </c>
      <c r="E411" s="15"/>
      <c r="F411" s="16">
        <v>100</v>
      </c>
      <c r="G411" s="16">
        <v>0</v>
      </c>
      <c r="H411" s="16">
        <v>31315.98</v>
      </c>
      <c r="I411" s="15" t="s">
        <v>1537</v>
      </c>
      <c r="J411" s="17">
        <f t="shared" si="6"/>
        <v>0</v>
      </c>
    </row>
    <row r="412" spans="1:10" ht="15.75" customHeight="1" x14ac:dyDescent="0.3">
      <c r="A412" s="18">
        <v>45277</v>
      </c>
      <c r="B412" s="18">
        <v>45277</v>
      </c>
      <c r="C412" s="15" t="s">
        <v>1931</v>
      </c>
      <c r="D412" s="15" t="s">
        <v>1536</v>
      </c>
      <c r="E412" s="15"/>
      <c r="F412" s="16">
        <v>30</v>
      </c>
      <c r="G412" s="16">
        <v>0</v>
      </c>
      <c r="H412" s="16">
        <v>31285.98</v>
      </c>
      <c r="I412" s="15" t="s">
        <v>1537</v>
      </c>
      <c r="J412" s="17">
        <f t="shared" si="6"/>
        <v>0</v>
      </c>
    </row>
    <row r="413" spans="1:10" ht="15.75" customHeight="1" x14ac:dyDescent="0.3">
      <c r="A413" s="18">
        <v>45277</v>
      </c>
      <c r="B413" s="18">
        <v>45277</v>
      </c>
      <c r="C413" s="15" t="s">
        <v>1932</v>
      </c>
      <c r="D413" s="15" t="s">
        <v>1536</v>
      </c>
      <c r="E413" s="15"/>
      <c r="F413" s="16">
        <v>164</v>
      </c>
      <c r="G413" s="16">
        <v>0</v>
      </c>
      <c r="H413" s="16">
        <v>31121.98</v>
      </c>
      <c r="I413" s="15" t="s">
        <v>1537</v>
      </c>
      <c r="J413" s="17">
        <f t="shared" si="6"/>
        <v>0</v>
      </c>
    </row>
    <row r="414" spans="1:10" ht="15.75" customHeight="1" x14ac:dyDescent="0.3">
      <c r="A414" s="18">
        <v>45277</v>
      </c>
      <c r="B414" s="18">
        <v>45277</v>
      </c>
      <c r="C414" s="15" t="s">
        <v>1933</v>
      </c>
      <c r="D414" s="15" t="s">
        <v>1536</v>
      </c>
      <c r="E414" s="15"/>
      <c r="F414" s="16">
        <v>250</v>
      </c>
      <c r="G414" s="16">
        <v>0</v>
      </c>
      <c r="H414" s="16">
        <v>30871.98</v>
      </c>
      <c r="I414" s="15" t="s">
        <v>1537</v>
      </c>
      <c r="J414" s="17">
        <f t="shared" si="6"/>
        <v>0</v>
      </c>
    </row>
    <row r="415" spans="1:10" ht="15.75" customHeight="1" x14ac:dyDescent="0.3">
      <c r="A415" s="18">
        <v>45277</v>
      </c>
      <c r="B415" s="18">
        <v>45277</v>
      </c>
      <c r="C415" s="15" t="s">
        <v>1934</v>
      </c>
      <c r="D415" s="15" t="s">
        <v>1536</v>
      </c>
      <c r="E415" s="15"/>
      <c r="F415" s="16">
        <v>75</v>
      </c>
      <c r="G415" s="16">
        <v>0</v>
      </c>
      <c r="H415" s="16">
        <v>30796.98</v>
      </c>
      <c r="I415" s="15" t="s">
        <v>1537</v>
      </c>
      <c r="J415" s="17">
        <f t="shared" si="6"/>
        <v>0</v>
      </c>
    </row>
    <row r="416" spans="1:10" ht="15.75" customHeight="1" x14ac:dyDescent="0.3">
      <c r="A416" s="18">
        <v>45277</v>
      </c>
      <c r="B416" s="18">
        <v>45277</v>
      </c>
      <c r="C416" s="15" t="s">
        <v>1935</v>
      </c>
      <c r="D416" s="15" t="s">
        <v>1536</v>
      </c>
      <c r="E416" s="15"/>
      <c r="F416" s="16">
        <v>20</v>
      </c>
      <c r="G416" s="16">
        <v>0</v>
      </c>
      <c r="H416" s="16">
        <v>30776.98</v>
      </c>
      <c r="I416" s="15" t="s">
        <v>1537</v>
      </c>
      <c r="J416" s="17">
        <f t="shared" si="6"/>
        <v>0</v>
      </c>
    </row>
    <row r="417" spans="1:10" ht="15.75" customHeight="1" x14ac:dyDescent="0.3">
      <c r="A417" s="18">
        <v>45277</v>
      </c>
      <c r="B417" s="18">
        <v>45277</v>
      </c>
      <c r="C417" s="15" t="s">
        <v>1936</v>
      </c>
      <c r="D417" s="15" t="s">
        <v>1536</v>
      </c>
      <c r="E417" s="15"/>
      <c r="F417" s="16">
        <v>65</v>
      </c>
      <c r="G417" s="16">
        <v>0</v>
      </c>
      <c r="H417" s="16">
        <v>30711.98</v>
      </c>
      <c r="I417" s="15" t="s">
        <v>1537</v>
      </c>
      <c r="J417" s="17">
        <f t="shared" si="6"/>
        <v>0</v>
      </c>
    </row>
    <row r="418" spans="1:10" ht="15.75" customHeight="1" x14ac:dyDescent="0.3">
      <c r="A418" s="18">
        <v>45278</v>
      </c>
      <c r="B418" s="18">
        <v>45278</v>
      </c>
      <c r="C418" s="15" t="s">
        <v>1937</v>
      </c>
      <c r="D418" s="15" t="s">
        <v>1536</v>
      </c>
      <c r="E418" s="15"/>
      <c r="F418" s="16">
        <v>100</v>
      </c>
      <c r="G418" s="16">
        <v>0</v>
      </c>
      <c r="H418" s="16">
        <v>30611.98</v>
      </c>
      <c r="I418" s="15" t="s">
        <v>1537</v>
      </c>
      <c r="J418" s="17">
        <f t="shared" si="6"/>
        <v>0</v>
      </c>
    </row>
    <row r="419" spans="1:10" ht="15.75" customHeight="1" x14ac:dyDescent="0.3">
      <c r="A419" s="18">
        <v>45278</v>
      </c>
      <c r="B419" s="18">
        <v>45278</v>
      </c>
      <c r="C419" s="15" t="s">
        <v>1938</v>
      </c>
      <c r="D419" s="15" t="s">
        <v>1536</v>
      </c>
      <c r="E419" s="15"/>
      <c r="F419" s="16">
        <v>15</v>
      </c>
      <c r="G419" s="16">
        <v>0</v>
      </c>
      <c r="H419" s="16">
        <v>30596.98</v>
      </c>
      <c r="I419" s="15" t="s">
        <v>1537</v>
      </c>
      <c r="J419" s="17">
        <f t="shared" si="6"/>
        <v>0</v>
      </c>
    </row>
    <row r="420" spans="1:10" ht="15.75" customHeight="1" x14ac:dyDescent="0.3">
      <c r="A420" s="18">
        <v>45278</v>
      </c>
      <c r="B420" s="18">
        <v>45278</v>
      </c>
      <c r="C420" s="15" t="s">
        <v>1939</v>
      </c>
      <c r="D420" s="15" t="s">
        <v>1536</v>
      </c>
      <c r="E420" s="15"/>
      <c r="F420" s="16">
        <v>24</v>
      </c>
      <c r="G420" s="16">
        <v>0</v>
      </c>
      <c r="H420" s="16">
        <v>30572.98</v>
      </c>
      <c r="I420" s="15" t="s">
        <v>1537</v>
      </c>
      <c r="J420" s="17">
        <f t="shared" si="6"/>
        <v>0</v>
      </c>
    </row>
    <row r="421" spans="1:10" ht="15.75" customHeight="1" x14ac:dyDescent="0.3">
      <c r="A421" s="18">
        <v>45278</v>
      </c>
      <c r="B421" s="18">
        <v>45278</v>
      </c>
      <c r="C421" s="15" t="s">
        <v>1940</v>
      </c>
      <c r="D421" s="15" t="s">
        <v>1536</v>
      </c>
      <c r="E421" s="15"/>
      <c r="F421" s="16">
        <v>29</v>
      </c>
      <c r="G421" s="16">
        <v>0</v>
      </c>
      <c r="H421" s="16">
        <v>30543.98</v>
      </c>
      <c r="I421" s="15" t="s">
        <v>1537</v>
      </c>
      <c r="J421" s="17">
        <f t="shared" si="6"/>
        <v>0</v>
      </c>
    </row>
    <row r="422" spans="1:10" ht="15.75" customHeight="1" x14ac:dyDescent="0.3">
      <c r="A422" s="18">
        <v>45278</v>
      </c>
      <c r="B422" s="18">
        <v>45278</v>
      </c>
      <c r="C422" s="15" t="s">
        <v>1941</v>
      </c>
      <c r="D422" s="15" t="s">
        <v>1536</v>
      </c>
      <c r="E422" s="15"/>
      <c r="F422" s="16">
        <v>85</v>
      </c>
      <c r="G422" s="16">
        <v>0</v>
      </c>
      <c r="H422" s="16">
        <v>30458.98</v>
      </c>
      <c r="I422" s="15" t="s">
        <v>1537</v>
      </c>
      <c r="J422" s="17">
        <f t="shared" si="6"/>
        <v>0</v>
      </c>
    </row>
    <row r="423" spans="1:10" ht="15.75" customHeight="1" x14ac:dyDescent="0.3">
      <c r="A423" s="18">
        <v>45278</v>
      </c>
      <c r="B423" s="18">
        <v>45278</v>
      </c>
      <c r="C423" s="15" t="s">
        <v>1942</v>
      </c>
      <c r="D423" s="15" t="s">
        <v>1536</v>
      </c>
      <c r="E423" s="15"/>
      <c r="F423" s="16">
        <v>100</v>
      </c>
      <c r="G423" s="16">
        <v>0</v>
      </c>
      <c r="H423" s="16">
        <v>30358.98</v>
      </c>
      <c r="I423" s="15" t="s">
        <v>1537</v>
      </c>
      <c r="J423" s="17">
        <f t="shared" si="6"/>
        <v>0</v>
      </c>
    </row>
    <row r="424" spans="1:10" ht="15.75" customHeight="1" x14ac:dyDescent="0.3">
      <c r="A424" s="18">
        <v>45279</v>
      </c>
      <c r="B424" s="18">
        <v>45279</v>
      </c>
      <c r="C424" s="15" t="s">
        <v>1943</v>
      </c>
      <c r="D424" s="15" t="s">
        <v>1536</v>
      </c>
      <c r="E424" s="15"/>
      <c r="F424" s="16">
        <v>100</v>
      </c>
      <c r="G424" s="16">
        <v>0</v>
      </c>
      <c r="H424" s="16">
        <v>30258.98</v>
      </c>
      <c r="I424" s="15" t="s">
        <v>1537</v>
      </c>
      <c r="J424" s="17">
        <f t="shared" si="6"/>
        <v>0</v>
      </c>
    </row>
    <row r="425" spans="1:10" ht="15.75" customHeight="1" x14ac:dyDescent="0.3">
      <c r="A425" s="18">
        <v>45279</v>
      </c>
      <c r="B425" s="18">
        <v>45279</v>
      </c>
      <c r="C425" s="15" t="s">
        <v>1944</v>
      </c>
      <c r="D425" s="15" t="s">
        <v>1536</v>
      </c>
      <c r="E425" s="15"/>
      <c r="F425" s="16">
        <v>75</v>
      </c>
      <c r="G425" s="16">
        <v>0</v>
      </c>
      <c r="H425" s="16">
        <v>30183.98</v>
      </c>
      <c r="I425" s="15" t="s">
        <v>1537</v>
      </c>
      <c r="J425" s="17">
        <f t="shared" si="6"/>
        <v>0</v>
      </c>
    </row>
    <row r="426" spans="1:10" ht="15.75" customHeight="1" x14ac:dyDescent="0.3">
      <c r="A426" s="18">
        <v>45279</v>
      </c>
      <c r="B426" s="18">
        <v>45279</v>
      </c>
      <c r="C426" s="15" t="s">
        <v>1945</v>
      </c>
      <c r="D426" s="15" t="s">
        <v>1536</v>
      </c>
      <c r="E426" s="15"/>
      <c r="F426" s="16">
        <v>28.67</v>
      </c>
      <c r="G426" s="16">
        <v>0</v>
      </c>
      <c r="H426" s="16">
        <v>30155.31</v>
      </c>
      <c r="I426" s="15" t="s">
        <v>1537</v>
      </c>
      <c r="J426" s="17">
        <f t="shared" si="6"/>
        <v>0</v>
      </c>
    </row>
    <row r="427" spans="1:10" ht="15.75" customHeight="1" x14ac:dyDescent="0.3">
      <c r="A427" s="18">
        <v>45279</v>
      </c>
      <c r="B427" s="18">
        <v>45279</v>
      </c>
      <c r="C427" s="15" t="s">
        <v>1946</v>
      </c>
      <c r="D427" s="15" t="s">
        <v>1536</v>
      </c>
      <c r="E427" s="15"/>
      <c r="F427" s="16">
        <v>100</v>
      </c>
      <c r="G427" s="16">
        <v>0</v>
      </c>
      <c r="H427" s="16">
        <v>30055.31</v>
      </c>
      <c r="I427" s="15" t="s">
        <v>1537</v>
      </c>
      <c r="J427" s="17">
        <f t="shared" si="6"/>
        <v>0</v>
      </c>
    </row>
    <row r="428" spans="1:10" ht="15.75" customHeight="1" x14ac:dyDescent="0.3">
      <c r="A428" s="18">
        <v>45280</v>
      </c>
      <c r="B428" s="18">
        <v>45280</v>
      </c>
      <c r="C428" s="15" t="s">
        <v>1947</v>
      </c>
      <c r="D428" s="15" t="s">
        <v>1536</v>
      </c>
      <c r="E428" s="15"/>
      <c r="F428" s="16">
        <v>100</v>
      </c>
      <c r="G428" s="16">
        <v>0</v>
      </c>
      <c r="H428" s="16">
        <v>29955.31</v>
      </c>
      <c r="I428" s="15" t="s">
        <v>1537</v>
      </c>
      <c r="J428" s="17">
        <f t="shared" si="6"/>
        <v>0</v>
      </c>
    </row>
    <row r="429" spans="1:10" ht="15.75" customHeight="1" x14ac:dyDescent="0.3">
      <c r="A429" s="18">
        <v>45280</v>
      </c>
      <c r="B429" s="18">
        <v>45280</v>
      </c>
      <c r="C429" s="15" t="s">
        <v>1948</v>
      </c>
      <c r="D429" s="15" t="s">
        <v>1536</v>
      </c>
      <c r="E429" s="15"/>
      <c r="F429" s="16">
        <v>100</v>
      </c>
      <c r="G429" s="16">
        <v>0</v>
      </c>
      <c r="H429" s="16">
        <v>29855.31</v>
      </c>
      <c r="I429" s="15" t="s">
        <v>1537</v>
      </c>
      <c r="J429" s="17">
        <f t="shared" si="6"/>
        <v>0</v>
      </c>
    </row>
    <row r="430" spans="1:10" ht="15.75" customHeight="1" x14ac:dyDescent="0.3">
      <c r="A430" s="18">
        <v>45280</v>
      </c>
      <c r="B430" s="18">
        <v>45280</v>
      </c>
      <c r="C430" s="15" t="s">
        <v>1949</v>
      </c>
      <c r="D430" s="15" t="s">
        <v>1536</v>
      </c>
      <c r="E430" s="15"/>
      <c r="F430" s="16">
        <v>100</v>
      </c>
      <c r="G430" s="16">
        <v>0</v>
      </c>
      <c r="H430" s="16">
        <v>29755.31</v>
      </c>
      <c r="I430" s="15" t="s">
        <v>1537</v>
      </c>
      <c r="J430" s="17">
        <f t="shared" si="6"/>
        <v>0</v>
      </c>
    </row>
    <row r="431" spans="1:10" ht="15.75" customHeight="1" x14ac:dyDescent="0.3">
      <c r="A431" s="18">
        <v>45280</v>
      </c>
      <c r="B431" s="18">
        <v>45280</v>
      </c>
      <c r="C431" s="15" t="s">
        <v>1950</v>
      </c>
      <c r="D431" s="15" t="s">
        <v>1536</v>
      </c>
      <c r="E431" s="15"/>
      <c r="F431" s="16">
        <v>50</v>
      </c>
      <c r="G431" s="16">
        <v>0</v>
      </c>
      <c r="H431" s="16">
        <v>29705.31</v>
      </c>
      <c r="I431" s="15" t="s">
        <v>1537</v>
      </c>
      <c r="J431" s="17">
        <f t="shared" si="6"/>
        <v>0</v>
      </c>
    </row>
    <row r="432" spans="1:10" ht="15.75" customHeight="1" x14ac:dyDescent="0.3">
      <c r="A432" s="18">
        <v>45280</v>
      </c>
      <c r="B432" s="18">
        <v>45280</v>
      </c>
      <c r="C432" s="15" t="s">
        <v>1951</v>
      </c>
      <c r="D432" s="15" t="s">
        <v>1536</v>
      </c>
      <c r="E432" s="15"/>
      <c r="F432" s="16">
        <v>833</v>
      </c>
      <c r="G432" s="16">
        <v>0</v>
      </c>
      <c r="H432" s="16">
        <v>28872.31</v>
      </c>
      <c r="I432" s="15" t="s">
        <v>1537</v>
      </c>
      <c r="J432" s="17">
        <f t="shared" si="6"/>
        <v>0</v>
      </c>
    </row>
    <row r="433" spans="1:10" ht="15.75" customHeight="1" x14ac:dyDescent="0.3">
      <c r="A433" s="18">
        <v>45280</v>
      </c>
      <c r="B433" s="18">
        <v>45280</v>
      </c>
      <c r="C433" s="15" t="s">
        <v>1952</v>
      </c>
      <c r="D433" s="15" t="s">
        <v>1536</v>
      </c>
      <c r="E433" s="15"/>
      <c r="F433" s="16">
        <v>40.42</v>
      </c>
      <c r="G433" s="16">
        <v>0</v>
      </c>
      <c r="H433" s="16">
        <v>28831.89</v>
      </c>
      <c r="I433" s="15" t="s">
        <v>1537</v>
      </c>
      <c r="J433" s="17">
        <f t="shared" si="6"/>
        <v>0</v>
      </c>
    </row>
    <row r="434" spans="1:10" ht="15.75" customHeight="1" x14ac:dyDescent="0.3">
      <c r="A434" s="18">
        <v>45280</v>
      </c>
      <c r="B434" s="18">
        <v>45280</v>
      </c>
      <c r="C434" s="15" t="s">
        <v>1953</v>
      </c>
      <c r="D434" s="15" t="s">
        <v>1536</v>
      </c>
      <c r="E434" s="15"/>
      <c r="F434" s="16">
        <v>0</v>
      </c>
      <c r="G434" s="16">
        <v>895</v>
      </c>
      <c r="H434" s="16">
        <v>29726.89</v>
      </c>
      <c r="I434" s="15" t="s">
        <v>1540</v>
      </c>
      <c r="J434" s="17">
        <f t="shared" si="6"/>
        <v>0</v>
      </c>
    </row>
    <row r="435" spans="1:10" ht="15.75" customHeight="1" x14ac:dyDescent="0.3">
      <c r="A435" s="18">
        <v>45281</v>
      </c>
      <c r="B435" s="18">
        <v>45281</v>
      </c>
      <c r="C435" s="15" t="s">
        <v>1954</v>
      </c>
      <c r="D435" s="15" t="s">
        <v>1536</v>
      </c>
      <c r="E435" s="15"/>
      <c r="F435" s="16">
        <v>100</v>
      </c>
      <c r="G435" s="16">
        <v>0</v>
      </c>
      <c r="H435" s="16">
        <v>29626.89</v>
      </c>
      <c r="I435" s="15" t="s">
        <v>1537</v>
      </c>
      <c r="J435" s="17">
        <f t="shared" si="6"/>
        <v>0</v>
      </c>
    </row>
    <row r="436" spans="1:10" ht="15.75" customHeight="1" x14ac:dyDescent="0.3">
      <c r="A436" s="18">
        <v>45281</v>
      </c>
      <c r="B436" s="18">
        <v>45281</v>
      </c>
      <c r="C436" s="15" t="s">
        <v>1955</v>
      </c>
      <c r="D436" s="15" t="s">
        <v>1536</v>
      </c>
      <c r="E436" s="15"/>
      <c r="F436" s="16">
        <v>1000</v>
      </c>
      <c r="G436" s="16">
        <v>0</v>
      </c>
      <c r="H436" s="16">
        <v>28626.89</v>
      </c>
      <c r="I436" s="15" t="s">
        <v>1537</v>
      </c>
      <c r="J436" s="17">
        <f t="shared" si="6"/>
        <v>0</v>
      </c>
    </row>
    <row r="437" spans="1:10" ht="15.75" customHeight="1" x14ac:dyDescent="0.3">
      <c r="A437" s="18">
        <v>45281</v>
      </c>
      <c r="B437" s="18">
        <v>45281</v>
      </c>
      <c r="C437" s="15" t="s">
        <v>1956</v>
      </c>
      <c r="D437" s="15" t="s">
        <v>1536</v>
      </c>
      <c r="E437" s="15"/>
      <c r="F437" s="16">
        <v>1000</v>
      </c>
      <c r="G437" s="16">
        <v>0</v>
      </c>
      <c r="H437" s="16">
        <v>27626.89</v>
      </c>
      <c r="I437" s="15" t="s">
        <v>1537</v>
      </c>
      <c r="J437" s="17">
        <f t="shared" si="6"/>
        <v>0</v>
      </c>
    </row>
    <row r="438" spans="1:10" ht="15.75" customHeight="1" x14ac:dyDescent="0.3">
      <c r="A438" s="18">
        <v>45281</v>
      </c>
      <c r="B438" s="18">
        <v>45281</v>
      </c>
      <c r="C438" s="15" t="s">
        <v>1957</v>
      </c>
      <c r="D438" s="15" t="s">
        <v>1536</v>
      </c>
      <c r="E438" s="15"/>
      <c r="F438" s="16">
        <v>100</v>
      </c>
      <c r="G438" s="16">
        <v>0</v>
      </c>
      <c r="H438" s="16">
        <v>27526.89</v>
      </c>
      <c r="I438" s="15" t="s">
        <v>1537</v>
      </c>
      <c r="J438" s="17">
        <f t="shared" si="6"/>
        <v>0</v>
      </c>
    </row>
    <row r="439" spans="1:10" ht="15.75" customHeight="1" x14ac:dyDescent="0.3">
      <c r="A439" s="18">
        <v>45281</v>
      </c>
      <c r="B439" s="18">
        <v>45281</v>
      </c>
      <c r="C439" s="15" t="s">
        <v>1958</v>
      </c>
      <c r="D439" s="15" t="s">
        <v>1536</v>
      </c>
      <c r="E439" s="15"/>
      <c r="F439" s="16">
        <v>33</v>
      </c>
      <c r="G439" s="16">
        <v>0</v>
      </c>
      <c r="H439" s="16">
        <v>27493.89</v>
      </c>
      <c r="I439" s="15" t="s">
        <v>1537</v>
      </c>
      <c r="J439" s="17">
        <f t="shared" si="6"/>
        <v>0</v>
      </c>
    </row>
    <row r="440" spans="1:10" ht="15.75" customHeight="1" x14ac:dyDescent="0.3">
      <c r="A440" s="18">
        <v>45281</v>
      </c>
      <c r="B440" s="18">
        <v>45281</v>
      </c>
      <c r="C440" s="15" t="s">
        <v>1959</v>
      </c>
      <c r="D440" s="15" t="s">
        <v>1536</v>
      </c>
      <c r="E440" s="15"/>
      <c r="F440" s="16">
        <v>40</v>
      </c>
      <c r="G440" s="16">
        <v>0</v>
      </c>
      <c r="H440" s="16">
        <v>27453.89</v>
      </c>
      <c r="I440" s="15" t="s">
        <v>1537</v>
      </c>
      <c r="J440" s="17">
        <f t="shared" si="6"/>
        <v>0</v>
      </c>
    </row>
    <row r="441" spans="1:10" ht="15.75" customHeight="1" x14ac:dyDescent="0.3">
      <c r="A441" s="18">
        <v>45281</v>
      </c>
      <c r="B441" s="18">
        <v>45281</v>
      </c>
      <c r="C441" s="15" t="s">
        <v>1960</v>
      </c>
      <c r="D441" s="15" t="s">
        <v>1536</v>
      </c>
      <c r="E441" s="15"/>
      <c r="F441" s="16">
        <v>75</v>
      </c>
      <c r="G441" s="16">
        <v>0</v>
      </c>
      <c r="H441" s="16">
        <v>27378.89</v>
      </c>
      <c r="I441" s="15" t="s">
        <v>1537</v>
      </c>
      <c r="J441" s="17">
        <f t="shared" si="6"/>
        <v>0</v>
      </c>
    </row>
    <row r="442" spans="1:10" ht="15.75" customHeight="1" x14ac:dyDescent="0.3">
      <c r="A442" s="18">
        <v>45282</v>
      </c>
      <c r="B442" s="18">
        <v>45282</v>
      </c>
      <c r="C442" s="15" t="s">
        <v>1961</v>
      </c>
      <c r="D442" s="15" t="s">
        <v>1536</v>
      </c>
      <c r="E442" s="15"/>
      <c r="F442" s="16">
        <v>100</v>
      </c>
      <c r="G442" s="16">
        <v>0</v>
      </c>
      <c r="H442" s="16">
        <v>27278.89</v>
      </c>
      <c r="I442" s="15" t="s">
        <v>1537</v>
      </c>
      <c r="J442" s="17">
        <f t="shared" si="6"/>
        <v>0</v>
      </c>
    </row>
    <row r="443" spans="1:10" ht="15.75" customHeight="1" x14ac:dyDescent="0.3">
      <c r="A443" s="18">
        <v>45282</v>
      </c>
      <c r="B443" s="18">
        <v>45282</v>
      </c>
      <c r="C443" s="15" t="s">
        <v>1962</v>
      </c>
      <c r="D443" s="15" t="s">
        <v>1536</v>
      </c>
      <c r="E443" s="15"/>
      <c r="F443" s="16">
        <v>100</v>
      </c>
      <c r="G443" s="16">
        <v>0</v>
      </c>
      <c r="H443" s="16">
        <v>27178.89</v>
      </c>
      <c r="I443" s="15" t="s">
        <v>1537</v>
      </c>
      <c r="J443" s="17">
        <f t="shared" si="6"/>
        <v>0</v>
      </c>
    </row>
    <row r="444" spans="1:10" ht="15.75" customHeight="1" x14ac:dyDescent="0.3">
      <c r="A444" s="18">
        <v>45282</v>
      </c>
      <c r="B444" s="18">
        <v>45282</v>
      </c>
      <c r="C444" s="15" t="s">
        <v>1963</v>
      </c>
      <c r="D444" s="15" t="s">
        <v>1536</v>
      </c>
      <c r="E444" s="15"/>
      <c r="F444" s="16">
        <v>29</v>
      </c>
      <c r="G444" s="16">
        <v>0</v>
      </c>
      <c r="H444" s="16">
        <v>27149.89</v>
      </c>
      <c r="I444" s="15" t="s">
        <v>1537</v>
      </c>
      <c r="J444" s="17">
        <f t="shared" si="6"/>
        <v>0</v>
      </c>
    </row>
    <row r="445" spans="1:10" ht="15.75" customHeight="1" x14ac:dyDescent="0.3">
      <c r="A445" s="18">
        <v>45282</v>
      </c>
      <c r="B445" s="18">
        <v>45282</v>
      </c>
      <c r="C445" s="15" t="s">
        <v>1964</v>
      </c>
      <c r="D445" s="15" t="s">
        <v>1536</v>
      </c>
      <c r="E445" s="15"/>
      <c r="F445" s="16">
        <v>100</v>
      </c>
      <c r="G445" s="16">
        <v>0</v>
      </c>
      <c r="H445" s="16">
        <v>27049.89</v>
      </c>
      <c r="I445" s="15" t="s">
        <v>1537</v>
      </c>
      <c r="J445" s="17">
        <f t="shared" si="6"/>
        <v>0</v>
      </c>
    </row>
    <row r="446" spans="1:10" ht="15.75" customHeight="1" x14ac:dyDescent="0.3">
      <c r="A446" s="18">
        <v>45282</v>
      </c>
      <c r="B446" s="18">
        <v>45282</v>
      </c>
      <c r="C446" s="15" t="s">
        <v>1965</v>
      </c>
      <c r="D446" s="15" t="s">
        <v>1536</v>
      </c>
      <c r="E446" s="15"/>
      <c r="F446" s="16">
        <v>70</v>
      </c>
      <c r="G446" s="16">
        <v>0</v>
      </c>
      <c r="H446" s="16">
        <v>26979.89</v>
      </c>
      <c r="I446" s="15" t="s">
        <v>1537</v>
      </c>
      <c r="J446" s="17">
        <f t="shared" si="6"/>
        <v>0</v>
      </c>
    </row>
    <row r="447" spans="1:10" ht="15.75" customHeight="1" x14ac:dyDescent="0.3">
      <c r="A447" s="18">
        <v>45282</v>
      </c>
      <c r="B447" s="18">
        <v>45282</v>
      </c>
      <c r="C447" s="15" t="s">
        <v>1966</v>
      </c>
      <c r="D447" s="15" t="s">
        <v>1536</v>
      </c>
      <c r="E447" s="15"/>
      <c r="F447" s="16">
        <v>60</v>
      </c>
      <c r="G447" s="16">
        <v>0</v>
      </c>
      <c r="H447" s="16">
        <v>26919.89</v>
      </c>
      <c r="I447" s="15" t="s">
        <v>1537</v>
      </c>
      <c r="J447" s="17">
        <f t="shared" si="6"/>
        <v>0</v>
      </c>
    </row>
    <row r="448" spans="1:10" ht="15.75" customHeight="1" x14ac:dyDescent="0.3">
      <c r="A448" s="18">
        <v>45282</v>
      </c>
      <c r="B448" s="18">
        <v>45282</v>
      </c>
      <c r="C448" s="15" t="s">
        <v>1967</v>
      </c>
      <c r="D448" s="15" t="s">
        <v>1536</v>
      </c>
      <c r="E448" s="15"/>
      <c r="F448" s="16">
        <v>120</v>
      </c>
      <c r="G448" s="16">
        <v>0</v>
      </c>
      <c r="H448" s="16">
        <v>26799.89</v>
      </c>
      <c r="I448" s="15" t="s">
        <v>1537</v>
      </c>
      <c r="J448" s="17">
        <f t="shared" si="6"/>
        <v>0</v>
      </c>
    </row>
    <row r="449" spans="1:10" ht="15.75" customHeight="1" x14ac:dyDescent="0.3">
      <c r="A449" s="18">
        <v>45283</v>
      </c>
      <c r="B449" s="18">
        <v>45282</v>
      </c>
      <c r="C449" s="15" t="s">
        <v>1968</v>
      </c>
      <c r="D449" s="15" t="s">
        <v>1536</v>
      </c>
      <c r="E449" s="15"/>
      <c r="F449" s="16">
        <v>0</v>
      </c>
      <c r="G449" s="16">
        <v>219</v>
      </c>
      <c r="H449" s="16">
        <v>27018.89</v>
      </c>
      <c r="I449" s="15" t="s">
        <v>1540</v>
      </c>
      <c r="J449" s="17">
        <f t="shared" si="6"/>
        <v>0</v>
      </c>
    </row>
    <row r="450" spans="1:10" ht="15.75" customHeight="1" x14ac:dyDescent="0.3">
      <c r="A450" s="18">
        <v>45283</v>
      </c>
      <c r="B450" s="18">
        <v>45283</v>
      </c>
      <c r="C450" s="15" t="s">
        <v>1969</v>
      </c>
      <c r="D450" s="15" t="s">
        <v>1536</v>
      </c>
      <c r="E450" s="15"/>
      <c r="F450" s="16">
        <v>60</v>
      </c>
      <c r="G450" s="16">
        <v>0</v>
      </c>
      <c r="H450" s="16">
        <v>26958.89</v>
      </c>
      <c r="I450" s="15" t="s">
        <v>1537</v>
      </c>
      <c r="J450" s="17">
        <f t="shared" si="6"/>
        <v>0</v>
      </c>
    </row>
    <row r="451" spans="1:10" ht="15.75" customHeight="1" x14ac:dyDescent="0.3">
      <c r="A451" s="18">
        <v>45283</v>
      </c>
      <c r="B451" s="18">
        <v>45283</v>
      </c>
      <c r="C451" s="15" t="s">
        <v>1970</v>
      </c>
      <c r="D451" s="15" t="s">
        <v>1536</v>
      </c>
      <c r="E451" s="15"/>
      <c r="F451" s="16">
        <v>15</v>
      </c>
      <c r="G451" s="16">
        <v>0</v>
      </c>
      <c r="H451" s="16">
        <v>26943.89</v>
      </c>
      <c r="I451" s="15" t="s">
        <v>1537</v>
      </c>
      <c r="J451" s="17">
        <f t="shared" si="6"/>
        <v>0</v>
      </c>
    </row>
    <row r="452" spans="1:10" ht="15.75" customHeight="1" x14ac:dyDescent="0.3">
      <c r="A452" s="18">
        <v>45283</v>
      </c>
      <c r="B452" s="18">
        <v>45283</v>
      </c>
      <c r="C452" s="15" t="s">
        <v>1971</v>
      </c>
      <c r="D452" s="15" t="s">
        <v>1536</v>
      </c>
      <c r="E452" s="15"/>
      <c r="F452" s="16">
        <v>264</v>
      </c>
      <c r="G452" s="16">
        <v>0</v>
      </c>
      <c r="H452" s="16">
        <v>26679.89</v>
      </c>
      <c r="I452" s="15" t="s">
        <v>1537</v>
      </c>
      <c r="J452" s="17">
        <f t="shared" si="6"/>
        <v>0</v>
      </c>
    </row>
    <row r="453" spans="1:10" ht="15.75" customHeight="1" x14ac:dyDescent="0.3">
      <c r="A453" s="18">
        <v>45284</v>
      </c>
      <c r="B453" s="18">
        <v>45284</v>
      </c>
      <c r="C453" s="15" t="s">
        <v>1972</v>
      </c>
      <c r="D453" s="15" t="s">
        <v>1536</v>
      </c>
      <c r="E453" s="15"/>
      <c r="F453" s="16">
        <v>983.6</v>
      </c>
      <c r="G453" s="16">
        <v>0</v>
      </c>
      <c r="H453" s="16">
        <v>25696.29</v>
      </c>
      <c r="I453" s="15" t="s">
        <v>1537</v>
      </c>
      <c r="J453" s="17">
        <f t="shared" si="6"/>
        <v>0</v>
      </c>
    </row>
    <row r="454" spans="1:10" ht="15.75" customHeight="1" x14ac:dyDescent="0.3">
      <c r="A454" s="18">
        <v>45284</v>
      </c>
      <c r="B454" s="18">
        <v>45284</v>
      </c>
      <c r="C454" s="15" t="s">
        <v>1973</v>
      </c>
      <c r="D454" s="15" t="s">
        <v>1536</v>
      </c>
      <c r="E454" s="15"/>
      <c r="F454" s="16">
        <v>983.6</v>
      </c>
      <c r="G454" s="16">
        <v>0</v>
      </c>
      <c r="H454" s="16">
        <v>24712.69</v>
      </c>
      <c r="I454" s="15" t="s">
        <v>1537</v>
      </c>
      <c r="J454" s="17">
        <f t="shared" si="6"/>
        <v>0</v>
      </c>
    </row>
    <row r="455" spans="1:10" ht="15.75" customHeight="1" x14ac:dyDescent="0.3">
      <c r="A455" s="18">
        <v>45284</v>
      </c>
      <c r="B455" s="18">
        <v>45284</v>
      </c>
      <c r="C455" s="15" t="s">
        <v>1974</v>
      </c>
      <c r="D455" s="15" t="s">
        <v>1536</v>
      </c>
      <c r="E455" s="15"/>
      <c r="F455" s="16">
        <v>40</v>
      </c>
      <c r="G455" s="16">
        <v>0</v>
      </c>
      <c r="H455" s="16">
        <v>24672.69</v>
      </c>
      <c r="I455" s="15" t="s">
        <v>1537</v>
      </c>
      <c r="J455" s="17">
        <f t="shared" si="6"/>
        <v>0</v>
      </c>
    </row>
    <row r="456" spans="1:10" ht="15.75" customHeight="1" x14ac:dyDescent="0.3">
      <c r="A456" s="18">
        <v>45284</v>
      </c>
      <c r="B456" s="18">
        <v>45284</v>
      </c>
      <c r="C456" s="15" t="s">
        <v>1975</v>
      </c>
      <c r="D456" s="15" t="s">
        <v>1536</v>
      </c>
      <c r="E456" s="15"/>
      <c r="F456" s="16">
        <v>25</v>
      </c>
      <c r="G456" s="16">
        <v>0</v>
      </c>
      <c r="H456" s="16">
        <v>24647.69</v>
      </c>
      <c r="I456" s="15" t="s">
        <v>1537</v>
      </c>
      <c r="J456" s="17">
        <f t="shared" si="6"/>
        <v>0</v>
      </c>
    </row>
    <row r="457" spans="1:10" ht="15.75" customHeight="1" x14ac:dyDescent="0.3">
      <c r="A457" s="18">
        <v>45285</v>
      </c>
      <c r="B457" s="18">
        <v>45285</v>
      </c>
      <c r="C457" s="15" t="s">
        <v>1976</v>
      </c>
      <c r="D457" s="15" t="s">
        <v>1536</v>
      </c>
      <c r="E457" s="15"/>
      <c r="F457" s="16">
        <v>2000</v>
      </c>
      <c r="G457" s="16">
        <v>0</v>
      </c>
      <c r="H457" s="16">
        <v>22647.69</v>
      </c>
      <c r="I457" s="15" t="s">
        <v>1537</v>
      </c>
      <c r="J457" s="17">
        <f t="shared" si="6"/>
        <v>0</v>
      </c>
    </row>
    <row r="458" spans="1:10" ht="15.75" customHeight="1" x14ac:dyDescent="0.3">
      <c r="A458" s="18">
        <v>45286</v>
      </c>
      <c r="B458" s="18">
        <v>45286</v>
      </c>
      <c r="C458" s="15" t="s">
        <v>1977</v>
      </c>
      <c r="D458" s="15" t="s">
        <v>1536</v>
      </c>
      <c r="E458" s="15"/>
      <c r="F458" s="16">
        <v>120</v>
      </c>
      <c r="G458" s="16">
        <v>0</v>
      </c>
      <c r="H458" s="16">
        <v>22527.69</v>
      </c>
      <c r="I458" s="15" t="s">
        <v>1537</v>
      </c>
      <c r="J458" s="17">
        <f t="shared" si="6"/>
        <v>0</v>
      </c>
    </row>
    <row r="459" spans="1:10" ht="15.75" customHeight="1" x14ac:dyDescent="0.3">
      <c r="A459" s="18">
        <v>45286</v>
      </c>
      <c r="B459" s="18">
        <v>45286</v>
      </c>
      <c r="C459" s="15" t="s">
        <v>1978</v>
      </c>
      <c r="D459" s="15" t="s">
        <v>1536</v>
      </c>
      <c r="E459" s="15"/>
      <c r="F459" s="16">
        <v>30</v>
      </c>
      <c r="G459" s="16">
        <v>0</v>
      </c>
      <c r="H459" s="16">
        <v>22497.69</v>
      </c>
      <c r="I459" s="15" t="s">
        <v>1537</v>
      </c>
      <c r="J459" s="17">
        <f t="shared" si="6"/>
        <v>0</v>
      </c>
    </row>
    <row r="460" spans="1:10" ht="15.75" customHeight="1" x14ac:dyDescent="0.3">
      <c r="A460" s="18">
        <v>45286</v>
      </c>
      <c r="B460" s="18">
        <v>45286</v>
      </c>
      <c r="C460" s="15" t="s">
        <v>1979</v>
      </c>
      <c r="D460" s="15" t="s">
        <v>1536</v>
      </c>
      <c r="E460" s="15"/>
      <c r="F460" s="16">
        <v>200</v>
      </c>
      <c r="G460" s="16">
        <v>0</v>
      </c>
      <c r="H460" s="16">
        <v>22297.69</v>
      </c>
      <c r="I460" s="15" t="s">
        <v>1537</v>
      </c>
      <c r="J460" s="17">
        <f t="shared" si="6"/>
        <v>0</v>
      </c>
    </row>
    <row r="461" spans="1:10" ht="15.75" customHeight="1" x14ac:dyDescent="0.3">
      <c r="A461" s="18">
        <v>45286</v>
      </c>
      <c r="B461" s="18">
        <v>45286</v>
      </c>
      <c r="C461" s="15" t="s">
        <v>1980</v>
      </c>
      <c r="D461" s="15" t="s">
        <v>1536</v>
      </c>
      <c r="E461" s="15"/>
      <c r="F461" s="16">
        <v>40</v>
      </c>
      <c r="G461" s="16">
        <v>0</v>
      </c>
      <c r="H461" s="16">
        <v>22257.69</v>
      </c>
      <c r="I461" s="15" t="s">
        <v>1537</v>
      </c>
      <c r="J461" s="17">
        <f t="shared" si="6"/>
        <v>0</v>
      </c>
    </row>
    <row r="462" spans="1:10" ht="15.75" customHeight="1" x14ac:dyDescent="0.3">
      <c r="A462" s="18">
        <v>45287</v>
      </c>
      <c r="B462" s="18">
        <v>45287</v>
      </c>
      <c r="C462" s="15" t="s">
        <v>1981</v>
      </c>
      <c r="D462" s="15" t="s">
        <v>1536</v>
      </c>
      <c r="E462" s="15"/>
      <c r="F462" s="16">
        <v>212.85</v>
      </c>
      <c r="G462" s="16">
        <v>0</v>
      </c>
      <c r="H462" s="16">
        <v>22044.84</v>
      </c>
      <c r="I462" s="15" t="s">
        <v>1537</v>
      </c>
      <c r="J462" s="17">
        <f t="shared" si="6"/>
        <v>0</v>
      </c>
    </row>
    <row r="463" spans="1:10" ht="15.75" customHeight="1" x14ac:dyDescent="0.3">
      <c r="A463" s="18">
        <v>45287</v>
      </c>
      <c r="B463" s="18">
        <v>45287</v>
      </c>
      <c r="C463" s="15" t="s">
        <v>1982</v>
      </c>
      <c r="D463" s="15" t="s">
        <v>1536</v>
      </c>
      <c r="E463" s="15"/>
      <c r="F463" s="16">
        <v>58.54</v>
      </c>
      <c r="G463" s="16">
        <v>0</v>
      </c>
      <c r="H463" s="16">
        <v>21986.3</v>
      </c>
      <c r="I463" s="15" t="s">
        <v>1537</v>
      </c>
      <c r="J463" s="17">
        <f t="shared" si="6"/>
        <v>0</v>
      </c>
    </row>
    <row r="464" spans="1:10" ht="15.75" customHeight="1" x14ac:dyDescent="0.3">
      <c r="A464" s="18">
        <v>45287</v>
      </c>
      <c r="B464" s="18">
        <v>45287</v>
      </c>
      <c r="C464" s="15" t="s">
        <v>1983</v>
      </c>
      <c r="D464" s="15" t="s">
        <v>1536</v>
      </c>
      <c r="E464" s="15"/>
      <c r="F464" s="16">
        <v>72.150000000000006</v>
      </c>
      <c r="G464" s="16">
        <v>0</v>
      </c>
      <c r="H464" s="16">
        <v>21914.15</v>
      </c>
      <c r="I464" s="15" t="s">
        <v>1537</v>
      </c>
      <c r="J464" s="17">
        <f t="shared" si="6"/>
        <v>0</v>
      </c>
    </row>
    <row r="465" spans="1:10" ht="15.75" customHeight="1" x14ac:dyDescent="0.3">
      <c r="A465" s="18">
        <v>45288</v>
      </c>
      <c r="B465" s="18">
        <v>45288</v>
      </c>
      <c r="C465" s="15" t="s">
        <v>1984</v>
      </c>
      <c r="D465" s="15" t="s">
        <v>1536</v>
      </c>
      <c r="E465" s="15"/>
      <c r="F465" s="16">
        <v>25</v>
      </c>
      <c r="G465" s="16">
        <v>0</v>
      </c>
      <c r="H465" s="16">
        <v>21889.15</v>
      </c>
      <c r="I465" s="15" t="s">
        <v>1537</v>
      </c>
      <c r="J465" s="17">
        <f t="shared" si="6"/>
        <v>0</v>
      </c>
    </row>
    <row r="466" spans="1:10" ht="15.75" customHeight="1" x14ac:dyDescent="0.3">
      <c r="A466" s="18">
        <v>45288</v>
      </c>
      <c r="B466" s="18">
        <v>45288</v>
      </c>
      <c r="C466" s="15" t="s">
        <v>1985</v>
      </c>
      <c r="D466" s="15" t="s">
        <v>1536</v>
      </c>
      <c r="E466" s="15"/>
      <c r="F466" s="16">
        <v>199</v>
      </c>
      <c r="G466" s="16">
        <v>0</v>
      </c>
      <c r="H466" s="16">
        <v>21690.15</v>
      </c>
      <c r="I466" s="15" t="s">
        <v>1537</v>
      </c>
      <c r="J466" s="17">
        <f t="shared" si="6"/>
        <v>0</v>
      </c>
    </row>
    <row r="467" spans="1:10" ht="15.75" customHeight="1" x14ac:dyDescent="0.3">
      <c r="A467" s="18">
        <v>45289</v>
      </c>
      <c r="B467" s="18">
        <v>45289</v>
      </c>
      <c r="C467" s="15" t="s">
        <v>1986</v>
      </c>
      <c r="D467" s="15" t="s">
        <v>1536</v>
      </c>
      <c r="E467" s="15"/>
      <c r="F467" s="16">
        <v>90</v>
      </c>
      <c r="G467" s="16">
        <v>0</v>
      </c>
      <c r="H467" s="16">
        <v>21600.15</v>
      </c>
      <c r="I467" s="15" t="s">
        <v>1537</v>
      </c>
      <c r="J467" s="17">
        <f t="shared" ref="J467:J530" si="7">H466-F467+G467-H467</f>
        <v>0</v>
      </c>
    </row>
    <row r="468" spans="1:10" ht="15.75" customHeight="1" x14ac:dyDescent="0.3">
      <c r="A468" s="18">
        <v>45289</v>
      </c>
      <c r="B468" s="18">
        <v>45289</v>
      </c>
      <c r="C468" s="15" t="s">
        <v>1987</v>
      </c>
      <c r="D468" s="15" t="s">
        <v>1536</v>
      </c>
      <c r="E468" s="15"/>
      <c r="F468" s="16">
        <v>70</v>
      </c>
      <c r="G468" s="16">
        <v>0</v>
      </c>
      <c r="H468" s="16">
        <v>21530.15</v>
      </c>
      <c r="I468" s="15" t="s">
        <v>1537</v>
      </c>
      <c r="J468" s="17">
        <f t="shared" si="7"/>
        <v>0</v>
      </c>
    </row>
    <row r="469" spans="1:10" ht="15.75" customHeight="1" x14ac:dyDescent="0.3">
      <c r="A469" s="18">
        <v>45290</v>
      </c>
      <c r="B469" s="18">
        <v>45290</v>
      </c>
      <c r="C469" s="15" t="s">
        <v>1988</v>
      </c>
      <c r="D469" s="15" t="s">
        <v>1536</v>
      </c>
      <c r="E469" s="15"/>
      <c r="F469" s="16">
        <v>0</v>
      </c>
      <c r="G469" s="16">
        <v>22500</v>
      </c>
      <c r="H469" s="16">
        <v>44030.15</v>
      </c>
      <c r="I469" s="15" t="s">
        <v>1540</v>
      </c>
      <c r="J469" s="17">
        <f t="shared" si="7"/>
        <v>0</v>
      </c>
    </row>
    <row r="470" spans="1:10" ht="15.75" customHeight="1" x14ac:dyDescent="0.3">
      <c r="A470" s="18">
        <v>45291</v>
      </c>
      <c r="B470" s="18">
        <v>45291</v>
      </c>
      <c r="C470" s="15" t="s">
        <v>1989</v>
      </c>
      <c r="D470" s="15" t="s">
        <v>1536</v>
      </c>
      <c r="E470" s="15"/>
      <c r="F470" s="16">
        <v>79.02</v>
      </c>
      <c r="G470" s="16">
        <v>0</v>
      </c>
      <c r="H470" s="16">
        <v>43951.13</v>
      </c>
      <c r="I470" s="15" t="s">
        <v>1537</v>
      </c>
      <c r="J470" s="17">
        <f t="shared" si="7"/>
        <v>0</v>
      </c>
    </row>
    <row r="471" spans="1:10" ht="15.75" customHeight="1" x14ac:dyDescent="0.3">
      <c r="A471" s="18">
        <v>45291</v>
      </c>
      <c r="B471" s="18">
        <v>45291</v>
      </c>
      <c r="C471" s="15" t="s">
        <v>1990</v>
      </c>
      <c r="D471" s="15" t="s">
        <v>1536</v>
      </c>
      <c r="E471" s="15"/>
      <c r="F471" s="16">
        <v>529</v>
      </c>
      <c r="G471" s="16">
        <v>0</v>
      </c>
      <c r="H471" s="16">
        <v>43422.13</v>
      </c>
      <c r="I471" s="15" t="s">
        <v>1537</v>
      </c>
      <c r="J471" s="17">
        <f t="shared" si="7"/>
        <v>0</v>
      </c>
    </row>
    <row r="472" spans="1:10" ht="15.75" customHeight="1" x14ac:dyDescent="0.3">
      <c r="A472" s="18">
        <v>45292</v>
      </c>
      <c r="B472" s="18">
        <v>45292</v>
      </c>
      <c r="C472" s="15" t="s">
        <v>1991</v>
      </c>
      <c r="D472" s="15" t="s">
        <v>1536</v>
      </c>
      <c r="E472" s="15"/>
      <c r="F472" s="16">
        <v>292</v>
      </c>
      <c r="G472" s="16">
        <v>0</v>
      </c>
      <c r="H472" s="16">
        <v>43130.13</v>
      </c>
      <c r="I472" s="15" t="s">
        <v>1537</v>
      </c>
      <c r="J472" s="17">
        <f t="shared" si="7"/>
        <v>0</v>
      </c>
    </row>
    <row r="473" spans="1:10" ht="15.75" customHeight="1" x14ac:dyDescent="0.3">
      <c r="A473" s="18">
        <v>45292</v>
      </c>
      <c r="B473" s="18">
        <v>45292</v>
      </c>
      <c r="C473" s="15" t="s">
        <v>1992</v>
      </c>
      <c r="D473" s="15" t="s">
        <v>1536</v>
      </c>
      <c r="E473" s="15"/>
      <c r="F473" s="16">
        <v>359</v>
      </c>
      <c r="G473" s="16">
        <v>0</v>
      </c>
      <c r="H473" s="16">
        <v>42771.13</v>
      </c>
      <c r="I473" s="15" t="s">
        <v>1537</v>
      </c>
      <c r="J473" s="17">
        <f t="shared" si="7"/>
        <v>0</v>
      </c>
    </row>
    <row r="474" spans="1:10" ht="15.75" customHeight="1" x14ac:dyDescent="0.3">
      <c r="A474" s="18">
        <v>45292</v>
      </c>
      <c r="B474" s="18">
        <v>45292</v>
      </c>
      <c r="C474" s="15" t="s">
        <v>1993</v>
      </c>
      <c r="D474" s="15" t="s">
        <v>1536</v>
      </c>
      <c r="E474" s="15"/>
      <c r="F474" s="16">
        <v>50</v>
      </c>
      <c r="G474" s="16">
        <v>0</v>
      </c>
      <c r="H474" s="16">
        <v>42721.13</v>
      </c>
      <c r="I474" s="15" t="s">
        <v>1537</v>
      </c>
      <c r="J474" s="17">
        <f t="shared" si="7"/>
        <v>0</v>
      </c>
    </row>
    <row r="475" spans="1:10" ht="15.75" customHeight="1" x14ac:dyDescent="0.3">
      <c r="A475" s="18">
        <v>45293</v>
      </c>
      <c r="B475" s="18">
        <v>45293</v>
      </c>
      <c r="C475" s="15" t="s">
        <v>1994</v>
      </c>
      <c r="D475" s="15" t="s">
        <v>1536</v>
      </c>
      <c r="E475" s="15"/>
      <c r="F475" s="16">
        <v>20</v>
      </c>
      <c r="G475" s="16">
        <v>0</v>
      </c>
      <c r="H475" s="16">
        <v>42701.13</v>
      </c>
      <c r="I475" s="15" t="s">
        <v>1537</v>
      </c>
      <c r="J475" s="17">
        <f t="shared" si="7"/>
        <v>0</v>
      </c>
    </row>
    <row r="476" spans="1:10" ht="15.75" customHeight="1" x14ac:dyDescent="0.3">
      <c r="A476" s="18">
        <v>45293</v>
      </c>
      <c r="B476" s="18">
        <v>45293</v>
      </c>
      <c r="C476" s="15" t="s">
        <v>1995</v>
      </c>
      <c r="D476" s="15" t="s">
        <v>1536</v>
      </c>
      <c r="E476" s="15"/>
      <c r="F476" s="16">
        <v>300</v>
      </c>
      <c r="G476" s="16">
        <v>0</v>
      </c>
      <c r="H476" s="16">
        <v>42401.13</v>
      </c>
      <c r="I476" s="15" t="s">
        <v>1537</v>
      </c>
      <c r="J476" s="17">
        <f t="shared" si="7"/>
        <v>0</v>
      </c>
    </row>
    <row r="477" spans="1:10" ht="15.75" customHeight="1" x14ac:dyDescent="0.3">
      <c r="A477" s="18">
        <v>45293</v>
      </c>
      <c r="B477" s="18">
        <v>45293</v>
      </c>
      <c r="C477" s="15" t="s">
        <v>1996</v>
      </c>
      <c r="D477" s="15" t="s">
        <v>1536</v>
      </c>
      <c r="E477" s="15"/>
      <c r="F477" s="16">
        <v>20</v>
      </c>
      <c r="G477" s="16">
        <v>0</v>
      </c>
      <c r="H477" s="16">
        <v>42381.13</v>
      </c>
      <c r="I477" s="15" t="s">
        <v>1537</v>
      </c>
      <c r="J477" s="17">
        <f t="shared" si="7"/>
        <v>0</v>
      </c>
    </row>
    <row r="478" spans="1:10" ht="15.75" customHeight="1" x14ac:dyDescent="0.3">
      <c r="A478" s="18">
        <v>45293</v>
      </c>
      <c r="B478" s="18">
        <v>45293</v>
      </c>
      <c r="C478" s="15" t="s">
        <v>1997</v>
      </c>
      <c r="D478" s="15" t="s">
        <v>1536</v>
      </c>
      <c r="E478" s="15"/>
      <c r="F478" s="16">
        <v>15</v>
      </c>
      <c r="G478" s="16">
        <v>0</v>
      </c>
      <c r="H478" s="16">
        <v>42366.13</v>
      </c>
      <c r="I478" s="15" t="s">
        <v>1537</v>
      </c>
      <c r="J478" s="17">
        <f t="shared" si="7"/>
        <v>0</v>
      </c>
    </row>
    <row r="479" spans="1:10" ht="15.75" customHeight="1" x14ac:dyDescent="0.3">
      <c r="A479" s="18">
        <v>45294</v>
      </c>
      <c r="B479" s="18">
        <v>45294</v>
      </c>
      <c r="C479" s="15" t="s">
        <v>1998</v>
      </c>
      <c r="D479" s="15" t="s">
        <v>1536</v>
      </c>
      <c r="E479" s="15"/>
      <c r="F479" s="16">
        <v>1000</v>
      </c>
      <c r="G479" s="16">
        <v>0</v>
      </c>
      <c r="H479" s="16">
        <v>41366.129999999997</v>
      </c>
      <c r="I479" s="15" t="s">
        <v>1537</v>
      </c>
      <c r="J479" s="17">
        <f t="shared" si="7"/>
        <v>0</v>
      </c>
    </row>
    <row r="480" spans="1:10" ht="15.75" customHeight="1" x14ac:dyDescent="0.3">
      <c r="A480" s="18">
        <v>45294</v>
      </c>
      <c r="B480" s="18">
        <v>45294</v>
      </c>
      <c r="C480" s="15" t="s">
        <v>1999</v>
      </c>
      <c r="D480" s="15" t="s">
        <v>1536</v>
      </c>
      <c r="E480" s="15"/>
      <c r="F480" s="16">
        <v>66.37</v>
      </c>
      <c r="G480" s="16">
        <v>0</v>
      </c>
      <c r="H480" s="16">
        <v>41299.760000000002</v>
      </c>
      <c r="I480" s="15" t="s">
        <v>1537</v>
      </c>
      <c r="J480" s="17">
        <f t="shared" si="7"/>
        <v>0</v>
      </c>
    </row>
    <row r="481" spans="1:10" ht="15.75" customHeight="1" x14ac:dyDescent="0.3">
      <c r="A481" s="18">
        <v>45295</v>
      </c>
      <c r="B481" s="18">
        <v>45295</v>
      </c>
      <c r="C481" s="15" t="s">
        <v>2000</v>
      </c>
      <c r="D481" s="15" t="s">
        <v>1536</v>
      </c>
      <c r="E481" s="15"/>
      <c r="F481" s="16">
        <v>95</v>
      </c>
      <c r="G481" s="16">
        <v>0</v>
      </c>
      <c r="H481" s="16">
        <v>41204.76</v>
      </c>
      <c r="I481" s="15" t="s">
        <v>1537</v>
      </c>
      <c r="J481" s="17">
        <f t="shared" si="7"/>
        <v>0</v>
      </c>
    </row>
    <row r="482" spans="1:10" ht="15.75" customHeight="1" x14ac:dyDescent="0.3">
      <c r="A482" s="18">
        <v>45295</v>
      </c>
      <c r="B482" s="18">
        <v>45295</v>
      </c>
      <c r="C482" s="15" t="s">
        <v>2001</v>
      </c>
      <c r="D482" s="15" t="s">
        <v>1536</v>
      </c>
      <c r="E482" s="15"/>
      <c r="F482" s="16">
        <v>40</v>
      </c>
      <c r="G482" s="16">
        <v>0</v>
      </c>
      <c r="H482" s="16">
        <v>41164.76</v>
      </c>
      <c r="I482" s="15" t="s">
        <v>1537</v>
      </c>
      <c r="J482" s="17">
        <f t="shared" si="7"/>
        <v>0</v>
      </c>
    </row>
    <row r="483" spans="1:10" ht="15.75" customHeight="1" x14ac:dyDescent="0.3">
      <c r="A483" s="18">
        <v>45295</v>
      </c>
      <c r="B483" s="18">
        <v>45295</v>
      </c>
      <c r="C483" s="15" t="s">
        <v>2002</v>
      </c>
      <c r="D483" s="15" t="s">
        <v>1536</v>
      </c>
      <c r="E483" s="15"/>
      <c r="F483" s="16">
        <v>130</v>
      </c>
      <c r="G483" s="16">
        <v>0</v>
      </c>
      <c r="H483" s="16">
        <v>41034.76</v>
      </c>
      <c r="I483" s="15" t="s">
        <v>1537</v>
      </c>
      <c r="J483" s="17">
        <f t="shared" si="7"/>
        <v>0</v>
      </c>
    </row>
    <row r="484" spans="1:10" ht="15.75" customHeight="1" x14ac:dyDescent="0.3">
      <c r="A484" s="18">
        <v>45295</v>
      </c>
      <c r="B484" s="18">
        <v>45295</v>
      </c>
      <c r="C484" s="15" t="s">
        <v>2003</v>
      </c>
      <c r="D484" s="15" t="s">
        <v>1536</v>
      </c>
      <c r="E484" s="15"/>
      <c r="F484" s="16">
        <v>244</v>
      </c>
      <c r="G484" s="16">
        <v>0</v>
      </c>
      <c r="H484" s="16">
        <v>40790.76</v>
      </c>
      <c r="I484" s="15" t="s">
        <v>1537</v>
      </c>
      <c r="J484" s="17">
        <f t="shared" si="7"/>
        <v>0</v>
      </c>
    </row>
    <row r="485" spans="1:10" ht="15.75" customHeight="1" x14ac:dyDescent="0.3">
      <c r="A485" s="18">
        <v>45296</v>
      </c>
      <c r="B485" s="18">
        <v>45296</v>
      </c>
      <c r="C485" s="15" t="s">
        <v>2004</v>
      </c>
      <c r="D485" s="15" t="s">
        <v>1536</v>
      </c>
      <c r="E485" s="15"/>
      <c r="F485" s="16">
        <v>30</v>
      </c>
      <c r="G485" s="16">
        <v>0</v>
      </c>
      <c r="H485" s="16">
        <v>40760.76</v>
      </c>
      <c r="I485" s="15" t="s">
        <v>1537</v>
      </c>
      <c r="J485" s="17">
        <f t="shared" si="7"/>
        <v>0</v>
      </c>
    </row>
    <row r="486" spans="1:10" ht="15.75" customHeight="1" x14ac:dyDescent="0.3">
      <c r="A486" s="18">
        <v>45296</v>
      </c>
      <c r="B486" s="18">
        <v>45296</v>
      </c>
      <c r="C486" s="15" t="s">
        <v>2005</v>
      </c>
      <c r="D486" s="15" t="s">
        <v>1536</v>
      </c>
      <c r="E486" s="15"/>
      <c r="F486" s="16">
        <v>65</v>
      </c>
      <c r="G486" s="16">
        <v>0</v>
      </c>
      <c r="H486" s="16">
        <v>40695.760000000002</v>
      </c>
      <c r="I486" s="15" t="s">
        <v>1537</v>
      </c>
      <c r="J486" s="17">
        <f t="shared" si="7"/>
        <v>0</v>
      </c>
    </row>
    <row r="487" spans="1:10" ht="15.75" customHeight="1" x14ac:dyDescent="0.3">
      <c r="A487" s="18">
        <v>45296</v>
      </c>
      <c r="B487" s="18">
        <v>45296</v>
      </c>
      <c r="C487" s="15" t="s">
        <v>2006</v>
      </c>
      <c r="D487" s="15" t="s">
        <v>1536</v>
      </c>
      <c r="E487" s="15"/>
      <c r="F487" s="16">
        <v>15</v>
      </c>
      <c r="G487" s="16">
        <v>0</v>
      </c>
      <c r="H487" s="16">
        <v>40680.76</v>
      </c>
      <c r="I487" s="15" t="s">
        <v>1537</v>
      </c>
      <c r="J487" s="17">
        <f t="shared" si="7"/>
        <v>0</v>
      </c>
    </row>
    <row r="488" spans="1:10" ht="15.75" customHeight="1" x14ac:dyDescent="0.3">
      <c r="A488" s="18">
        <v>45297</v>
      </c>
      <c r="B488" s="18">
        <v>45297</v>
      </c>
      <c r="C488" s="15" t="s">
        <v>2007</v>
      </c>
      <c r="D488" s="15" t="s">
        <v>1536</v>
      </c>
      <c r="E488" s="15"/>
      <c r="F488" s="16">
        <v>65</v>
      </c>
      <c r="G488" s="16">
        <v>0</v>
      </c>
      <c r="H488" s="16">
        <v>40615.760000000002</v>
      </c>
      <c r="I488" s="15" t="s">
        <v>1537</v>
      </c>
      <c r="J488" s="17">
        <f t="shared" si="7"/>
        <v>0</v>
      </c>
    </row>
    <row r="489" spans="1:10" ht="15.75" customHeight="1" x14ac:dyDescent="0.3">
      <c r="A489" s="18">
        <v>45297</v>
      </c>
      <c r="B489" s="18">
        <v>45297</v>
      </c>
      <c r="C489" s="15" t="s">
        <v>2008</v>
      </c>
      <c r="D489" s="15" t="s">
        <v>1536</v>
      </c>
      <c r="E489" s="15"/>
      <c r="F489" s="16">
        <v>15</v>
      </c>
      <c r="G489" s="16">
        <v>0</v>
      </c>
      <c r="H489" s="16">
        <v>40600.76</v>
      </c>
      <c r="I489" s="15" t="s">
        <v>1537</v>
      </c>
      <c r="J489" s="17">
        <f t="shared" si="7"/>
        <v>0</v>
      </c>
    </row>
    <row r="490" spans="1:10" ht="15.75" customHeight="1" x14ac:dyDescent="0.3">
      <c r="A490" s="18">
        <v>45297</v>
      </c>
      <c r="B490" s="18">
        <v>45297</v>
      </c>
      <c r="C490" s="15" t="s">
        <v>2009</v>
      </c>
      <c r="D490" s="15" t="s">
        <v>1536</v>
      </c>
      <c r="E490" s="15"/>
      <c r="F490" s="16">
        <v>40</v>
      </c>
      <c r="G490" s="16">
        <v>0</v>
      </c>
      <c r="H490" s="16">
        <v>40560.76</v>
      </c>
      <c r="I490" s="15" t="s">
        <v>1537</v>
      </c>
      <c r="J490" s="17">
        <f t="shared" si="7"/>
        <v>0</v>
      </c>
    </row>
    <row r="491" spans="1:10" ht="15.75" customHeight="1" x14ac:dyDescent="0.3">
      <c r="A491" s="18">
        <v>45297</v>
      </c>
      <c r="B491" s="18">
        <v>45297</v>
      </c>
      <c r="C491" s="15" t="s">
        <v>2010</v>
      </c>
      <c r="D491" s="15" t="s">
        <v>1536</v>
      </c>
      <c r="E491" s="15"/>
      <c r="F491" s="16">
        <v>20</v>
      </c>
      <c r="G491" s="16">
        <v>0</v>
      </c>
      <c r="H491" s="16">
        <v>40540.76</v>
      </c>
      <c r="I491" s="15" t="s">
        <v>1537</v>
      </c>
      <c r="J491" s="17">
        <f t="shared" si="7"/>
        <v>0</v>
      </c>
    </row>
    <row r="492" spans="1:10" ht="15.75" customHeight="1" x14ac:dyDescent="0.3">
      <c r="A492" s="18">
        <v>45297</v>
      </c>
      <c r="B492" s="18">
        <v>45297</v>
      </c>
      <c r="C492" s="15" t="s">
        <v>2011</v>
      </c>
      <c r="D492" s="15" t="s">
        <v>1536</v>
      </c>
      <c r="E492" s="15"/>
      <c r="F492" s="16">
        <v>15</v>
      </c>
      <c r="G492" s="16">
        <v>0</v>
      </c>
      <c r="H492" s="16">
        <v>40525.760000000002</v>
      </c>
      <c r="I492" s="15" t="s">
        <v>1537</v>
      </c>
      <c r="J492" s="17">
        <f t="shared" si="7"/>
        <v>0</v>
      </c>
    </row>
    <row r="493" spans="1:10" ht="15.75" customHeight="1" x14ac:dyDescent="0.3">
      <c r="A493" s="18">
        <v>45297</v>
      </c>
      <c r="B493" s="18">
        <v>45297</v>
      </c>
      <c r="C493" s="15" t="s">
        <v>2012</v>
      </c>
      <c r="D493" s="15" t="s">
        <v>1536</v>
      </c>
      <c r="E493" s="15"/>
      <c r="F493" s="16">
        <v>117</v>
      </c>
      <c r="G493" s="16">
        <v>0</v>
      </c>
      <c r="H493" s="16">
        <v>40408.76</v>
      </c>
      <c r="I493" s="15" t="s">
        <v>1537</v>
      </c>
      <c r="J493" s="17">
        <f t="shared" si="7"/>
        <v>0</v>
      </c>
    </row>
    <row r="494" spans="1:10" ht="15.75" customHeight="1" x14ac:dyDescent="0.3">
      <c r="A494" s="18">
        <v>45298</v>
      </c>
      <c r="B494" s="18">
        <v>45298</v>
      </c>
      <c r="C494" s="15" t="s">
        <v>2013</v>
      </c>
      <c r="D494" s="15" t="s">
        <v>1536</v>
      </c>
      <c r="E494" s="15"/>
      <c r="F494" s="16">
        <v>15</v>
      </c>
      <c r="G494" s="16">
        <v>0</v>
      </c>
      <c r="H494" s="16">
        <v>40393.760000000002</v>
      </c>
      <c r="I494" s="15" t="s">
        <v>1537</v>
      </c>
      <c r="J494" s="17">
        <f t="shared" si="7"/>
        <v>0</v>
      </c>
    </row>
    <row r="495" spans="1:10" ht="15.75" customHeight="1" x14ac:dyDescent="0.3">
      <c r="A495" s="18">
        <v>45298</v>
      </c>
      <c r="B495" s="18">
        <v>45298</v>
      </c>
      <c r="C495" s="15" t="s">
        <v>2014</v>
      </c>
      <c r="D495" s="15" t="s">
        <v>1536</v>
      </c>
      <c r="E495" s="15"/>
      <c r="F495" s="16">
        <v>329</v>
      </c>
      <c r="G495" s="16">
        <v>0</v>
      </c>
      <c r="H495" s="16">
        <v>40064.76</v>
      </c>
      <c r="I495" s="15" t="s">
        <v>1537</v>
      </c>
      <c r="J495" s="17">
        <f t="shared" si="7"/>
        <v>0</v>
      </c>
    </row>
    <row r="496" spans="1:10" ht="15.75" customHeight="1" x14ac:dyDescent="0.3">
      <c r="A496" s="18">
        <v>45298</v>
      </c>
      <c r="B496" s="18">
        <v>45298</v>
      </c>
      <c r="C496" s="15" t="s">
        <v>2015</v>
      </c>
      <c r="D496" s="15" t="s">
        <v>1536</v>
      </c>
      <c r="E496" s="15"/>
      <c r="F496" s="16">
        <v>20</v>
      </c>
      <c r="G496" s="16">
        <v>0</v>
      </c>
      <c r="H496" s="16">
        <v>40044.76</v>
      </c>
      <c r="I496" s="15" t="s">
        <v>1537</v>
      </c>
      <c r="J496" s="17">
        <f t="shared" si="7"/>
        <v>0</v>
      </c>
    </row>
    <row r="497" spans="1:10" ht="15.75" customHeight="1" x14ac:dyDescent="0.3">
      <c r="A497" s="18">
        <v>45298</v>
      </c>
      <c r="B497" s="18">
        <v>45298</v>
      </c>
      <c r="C497" s="15" t="s">
        <v>2016</v>
      </c>
      <c r="D497" s="15" t="s">
        <v>1536</v>
      </c>
      <c r="E497" s="15"/>
      <c r="F497" s="16">
        <v>10</v>
      </c>
      <c r="G497" s="16">
        <v>0</v>
      </c>
      <c r="H497" s="16">
        <v>40034.76</v>
      </c>
      <c r="I497" s="15" t="s">
        <v>1537</v>
      </c>
      <c r="J497" s="17">
        <f t="shared" si="7"/>
        <v>0</v>
      </c>
    </row>
    <row r="498" spans="1:10" ht="15.75" customHeight="1" x14ac:dyDescent="0.3">
      <c r="A498" s="18">
        <v>45299</v>
      </c>
      <c r="B498" s="18">
        <v>45299</v>
      </c>
      <c r="C498" s="15" t="s">
        <v>2017</v>
      </c>
      <c r="D498" s="15" t="s">
        <v>1536</v>
      </c>
      <c r="E498" s="15"/>
      <c r="F498" s="16">
        <v>30</v>
      </c>
      <c r="G498" s="16">
        <v>0</v>
      </c>
      <c r="H498" s="16">
        <v>40004.76</v>
      </c>
      <c r="I498" s="15" t="s">
        <v>1537</v>
      </c>
      <c r="J498" s="17">
        <f t="shared" si="7"/>
        <v>0</v>
      </c>
    </row>
    <row r="499" spans="1:10" ht="15.75" customHeight="1" x14ac:dyDescent="0.3">
      <c r="A499" s="18">
        <v>45299</v>
      </c>
      <c r="B499" s="18">
        <v>45299</v>
      </c>
      <c r="C499" s="15" t="s">
        <v>2018</v>
      </c>
      <c r="D499" s="15" t="s">
        <v>1536</v>
      </c>
      <c r="E499" s="15"/>
      <c r="F499" s="16">
        <v>10</v>
      </c>
      <c r="G499" s="16">
        <v>0</v>
      </c>
      <c r="H499" s="16">
        <v>39994.76</v>
      </c>
      <c r="I499" s="15" t="s">
        <v>1537</v>
      </c>
      <c r="J499" s="17">
        <f t="shared" si="7"/>
        <v>0</v>
      </c>
    </row>
    <row r="500" spans="1:10" ht="15.75" customHeight="1" x14ac:dyDescent="0.3">
      <c r="A500" s="18">
        <v>45299</v>
      </c>
      <c r="B500" s="18">
        <v>45299</v>
      </c>
      <c r="C500" s="15" t="s">
        <v>2019</v>
      </c>
      <c r="D500" s="15" t="s">
        <v>1536</v>
      </c>
      <c r="E500" s="15"/>
      <c r="F500" s="16">
        <v>40</v>
      </c>
      <c r="G500" s="16">
        <v>0</v>
      </c>
      <c r="H500" s="16">
        <v>39954.76</v>
      </c>
      <c r="I500" s="15" t="s">
        <v>1537</v>
      </c>
      <c r="J500" s="17">
        <f t="shared" si="7"/>
        <v>0</v>
      </c>
    </row>
    <row r="501" spans="1:10" ht="15.75" customHeight="1" x14ac:dyDescent="0.3">
      <c r="A501" s="18">
        <v>45299</v>
      </c>
      <c r="B501" s="18">
        <v>45299</v>
      </c>
      <c r="C501" s="15" t="s">
        <v>2020</v>
      </c>
      <c r="D501" s="15" t="s">
        <v>1536</v>
      </c>
      <c r="E501" s="15"/>
      <c r="F501" s="16">
        <v>10</v>
      </c>
      <c r="G501" s="16">
        <v>0</v>
      </c>
      <c r="H501" s="16">
        <v>39944.76</v>
      </c>
      <c r="I501" s="15" t="s">
        <v>1537</v>
      </c>
      <c r="J501" s="17">
        <f t="shared" si="7"/>
        <v>0</v>
      </c>
    </row>
    <row r="502" spans="1:10" ht="15.75" customHeight="1" x14ac:dyDescent="0.3">
      <c r="A502" s="18">
        <v>45299</v>
      </c>
      <c r="B502" s="18">
        <v>45299</v>
      </c>
      <c r="C502" s="15" t="s">
        <v>2021</v>
      </c>
      <c r="D502" s="15" t="s">
        <v>1536</v>
      </c>
      <c r="E502" s="15"/>
      <c r="F502" s="16">
        <v>15000</v>
      </c>
      <c r="G502" s="16">
        <v>0</v>
      </c>
      <c r="H502" s="16">
        <v>24944.76</v>
      </c>
      <c r="I502" s="15" t="s">
        <v>1537</v>
      </c>
      <c r="J502" s="17">
        <f t="shared" si="7"/>
        <v>0</v>
      </c>
    </row>
    <row r="503" spans="1:10" ht="15.75" customHeight="1" x14ac:dyDescent="0.3">
      <c r="A503" s="18">
        <v>45300</v>
      </c>
      <c r="B503" s="18">
        <v>45300</v>
      </c>
      <c r="C503" s="15" t="s">
        <v>2022</v>
      </c>
      <c r="D503" s="15" t="s">
        <v>1536</v>
      </c>
      <c r="E503" s="15"/>
      <c r="F503" s="16">
        <v>30</v>
      </c>
      <c r="G503" s="16">
        <v>0</v>
      </c>
      <c r="H503" s="16">
        <v>24914.76</v>
      </c>
      <c r="I503" s="15" t="s">
        <v>1537</v>
      </c>
      <c r="J503" s="17">
        <f t="shared" si="7"/>
        <v>0</v>
      </c>
    </row>
    <row r="504" spans="1:10" ht="15.75" customHeight="1" x14ac:dyDescent="0.3">
      <c r="A504" s="18">
        <v>45300</v>
      </c>
      <c r="B504" s="18">
        <v>45300</v>
      </c>
      <c r="C504" s="15" t="s">
        <v>2023</v>
      </c>
      <c r="D504" s="15" t="s">
        <v>1536</v>
      </c>
      <c r="E504" s="15"/>
      <c r="F504" s="16">
        <v>2000</v>
      </c>
      <c r="G504" s="16">
        <v>0</v>
      </c>
      <c r="H504" s="16">
        <v>22914.76</v>
      </c>
      <c r="I504" s="15" t="s">
        <v>1537</v>
      </c>
      <c r="J504" s="17">
        <f t="shared" si="7"/>
        <v>0</v>
      </c>
    </row>
    <row r="505" spans="1:10" ht="15.75" customHeight="1" x14ac:dyDescent="0.3">
      <c r="A505" s="18">
        <v>45300</v>
      </c>
      <c r="B505" s="18">
        <v>45300</v>
      </c>
      <c r="C505" s="15" t="s">
        <v>2024</v>
      </c>
      <c r="D505" s="15" t="s">
        <v>1536</v>
      </c>
      <c r="E505" s="15"/>
      <c r="F505" s="16">
        <v>10</v>
      </c>
      <c r="G505" s="16">
        <v>0</v>
      </c>
      <c r="H505" s="16">
        <v>22904.76</v>
      </c>
      <c r="I505" s="15" t="s">
        <v>1537</v>
      </c>
      <c r="J505" s="17">
        <f t="shared" si="7"/>
        <v>0</v>
      </c>
    </row>
    <row r="506" spans="1:10" ht="15.75" customHeight="1" x14ac:dyDescent="0.3">
      <c r="A506" s="18">
        <v>45300</v>
      </c>
      <c r="B506" s="18">
        <v>45300</v>
      </c>
      <c r="C506" s="15" t="s">
        <v>2025</v>
      </c>
      <c r="D506" s="15" t="s">
        <v>1536</v>
      </c>
      <c r="E506" s="15"/>
      <c r="F506" s="16">
        <v>40</v>
      </c>
      <c r="G506" s="16">
        <v>0</v>
      </c>
      <c r="H506" s="16">
        <v>22864.76</v>
      </c>
      <c r="I506" s="15" t="s">
        <v>1537</v>
      </c>
      <c r="J506" s="17">
        <f t="shared" si="7"/>
        <v>0</v>
      </c>
    </row>
    <row r="507" spans="1:10" ht="15.75" customHeight="1" x14ac:dyDescent="0.3">
      <c r="A507" s="18">
        <v>45300</v>
      </c>
      <c r="B507" s="18">
        <v>45300</v>
      </c>
      <c r="C507" s="15" t="s">
        <v>2026</v>
      </c>
      <c r="D507" s="15" t="s">
        <v>1536</v>
      </c>
      <c r="E507" s="15"/>
      <c r="F507" s="16">
        <v>10</v>
      </c>
      <c r="G507" s="16">
        <v>0</v>
      </c>
      <c r="H507" s="16">
        <v>22854.76</v>
      </c>
      <c r="I507" s="15" t="s">
        <v>1537</v>
      </c>
      <c r="J507" s="17">
        <f t="shared" si="7"/>
        <v>0</v>
      </c>
    </row>
    <row r="508" spans="1:10" ht="15.75" customHeight="1" x14ac:dyDescent="0.3">
      <c r="A508" s="18">
        <v>45301</v>
      </c>
      <c r="B508" s="18">
        <v>45301</v>
      </c>
      <c r="C508" s="15" t="s">
        <v>2027</v>
      </c>
      <c r="D508" s="15" t="s">
        <v>1536</v>
      </c>
      <c r="E508" s="15"/>
      <c r="F508" s="16">
        <v>10</v>
      </c>
      <c r="G508" s="16">
        <v>0</v>
      </c>
      <c r="H508" s="16">
        <v>22844.76</v>
      </c>
      <c r="I508" s="15" t="s">
        <v>1537</v>
      </c>
      <c r="J508" s="17">
        <f t="shared" si="7"/>
        <v>0</v>
      </c>
    </row>
    <row r="509" spans="1:10" ht="15.75" customHeight="1" x14ac:dyDescent="0.3">
      <c r="A509" s="18">
        <v>45301</v>
      </c>
      <c r="B509" s="18">
        <v>45301</v>
      </c>
      <c r="C509" s="15" t="s">
        <v>2028</v>
      </c>
      <c r="D509" s="15" t="s">
        <v>1536</v>
      </c>
      <c r="E509" s="15"/>
      <c r="F509" s="16">
        <v>1030</v>
      </c>
      <c r="G509" s="16">
        <v>0</v>
      </c>
      <c r="H509" s="16">
        <v>21814.76</v>
      </c>
      <c r="I509" s="15" t="s">
        <v>1537</v>
      </c>
      <c r="J509" s="17">
        <f t="shared" si="7"/>
        <v>0</v>
      </c>
    </row>
    <row r="510" spans="1:10" ht="15.75" customHeight="1" x14ac:dyDescent="0.3">
      <c r="A510" s="18">
        <v>45301</v>
      </c>
      <c r="B510" s="18">
        <v>45301</v>
      </c>
      <c r="C510" s="15" t="s">
        <v>2029</v>
      </c>
      <c r="D510" s="15" t="s">
        <v>1536</v>
      </c>
      <c r="E510" s="15"/>
      <c r="F510" s="16">
        <v>34</v>
      </c>
      <c r="G510" s="16">
        <v>0</v>
      </c>
      <c r="H510" s="16">
        <v>21780.76</v>
      </c>
      <c r="I510" s="15" t="s">
        <v>1537</v>
      </c>
      <c r="J510" s="17">
        <f t="shared" si="7"/>
        <v>0</v>
      </c>
    </row>
    <row r="511" spans="1:10" ht="15.75" customHeight="1" x14ac:dyDescent="0.3">
      <c r="A511" s="18">
        <v>45301</v>
      </c>
      <c r="B511" s="18">
        <v>45301</v>
      </c>
      <c r="C511" s="15" t="s">
        <v>2030</v>
      </c>
      <c r="D511" s="15" t="s">
        <v>1536</v>
      </c>
      <c r="E511" s="15"/>
      <c r="F511" s="16">
        <v>65</v>
      </c>
      <c r="G511" s="16">
        <v>0</v>
      </c>
      <c r="H511" s="16">
        <v>21715.759999999998</v>
      </c>
      <c r="I511" s="15" t="s">
        <v>1537</v>
      </c>
      <c r="J511" s="17">
        <f t="shared" si="7"/>
        <v>0</v>
      </c>
    </row>
    <row r="512" spans="1:10" ht="15.75" customHeight="1" x14ac:dyDescent="0.3">
      <c r="A512" s="18">
        <v>45302</v>
      </c>
      <c r="B512" s="18">
        <v>45302</v>
      </c>
      <c r="C512" s="15" t="s">
        <v>2031</v>
      </c>
      <c r="D512" s="15" t="s">
        <v>1536</v>
      </c>
      <c r="E512" s="15"/>
      <c r="F512" s="16">
        <v>30</v>
      </c>
      <c r="G512" s="16">
        <v>0</v>
      </c>
      <c r="H512" s="16">
        <v>21685.759999999998</v>
      </c>
      <c r="I512" s="15" t="s">
        <v>1537</v>
      </c>
      <c r="J512" s="17">
        <f t="shared" si="7"/>
        <v>0</v>
      </c>
    </row>
    <row r="513" spans="1:10" ht="15.75" customHeight="1" x14ac:dyDescent="0.3">
      <c r="A513" s="18">
        <v>45302</v>
      </c>
      <c r="B513" s="18">
        <v>45302</v>
      </c>
      <c r="C513" s="15" t="s">
        <v>2032</v>
      </c>
      <c r="D513" s="15" t="s">
        <v>1536</v>
      </c>
      <c r="E513" s="15"/>
      <c r="F513" s="16">
        <v>230</v>
      </c>
      <c r="G513" s="16">
        <v>0</v>
      </c>
      <c r="H513" s="16">
        <v>21455.759999999998</v>
      </c>
      <c r="I513" s="15" t="s">
        <v>1537</v>
      </c>
      <c r="J513" s="17">
        <f t="shared" si="7"/>
        <v>0</v>
      </c>
    </row>
    <row r="514" spans="1:10" ht="15.75" customHeight="1" x14ac:dyDescent="0.3">
      <c r="A514" s="18">
        <v>45303</v>
      </c>
      <c r="B514" s="18">
        <v>45303</v>
      </c>
      <c r="C514" s="15" t="s">
        <v>2033</v>
      </c>
      <c r="D514" s="15" t="s">
        <v>1536</v>
      </c>
      <c r="E514" s="15"/>
      <c r="F514" s="16">
        <v>10</v>
      </c>
      <c r="G514" s="16">
        <v>0</v>
      </c>
      <c r="H514" s="16">
        <v>21445.759999999998</v>
      </c>
      <c r="I514" s="15" t="s">
        <v>1537</v>
      </c>
      <c r="J514" s="17">
        <f t="shared" si="7"/>
        <v>0</v>
      </c>
    </row>
    <row r="515" spans="1:10" ht="15.75" customHeight="1" x14ac:dyDescent="0.3">
      <c r="A515" s="18">
        <v>45303</v>
      </c>
      <c r="B515" s="18">
        <v>45303</v>
      </c>
      <c r="C515" s="15" t="s">
        <v>2034</v>
      </c>
      <c r="D515" s="15" t="s">
        <v>1536</v>
      </c>
      <c r="E515" s="15"/>
      <c r="F515" s="16">
        <v>30</v>
      </c>
      <c r="G515" s="16">
        <v>0</v>
      </c>
      <c r="H515" s="16">
        <v>21415.759999999998</v>
      </c>
      <c r="I515" s="15" t="s">
        <v>1537</v>
      </c>
      <c r="J515" s="17">
        <f t="shared" si="7"/>
        <v>0</v>
      </c>
    </row>
    <row r="516" spans="1:10" ht="15.75" customHeight="1" x14ac:dyDescent="0.3">
      <c r="A516" s="18">
        <v>45303</v>
      </c>
      <c r="B516" s="18">
        <v>45303</v>
      </c>
      <c r="C516" s="15" t="s">
        <v>2035</v>
      </c>
      <c r="D516" s="15" t="s">
        <v>1536</v>
      </c>
      <c r="E516" s="15"/>
      <c r="F516" s="16">
        <v>10</v>
      </c>
      <c r="G516" s="16">
        <v>0</v>
      </c>
      <c r="H516" s="16">
        <v>21405.759999999998</v>
      </c>
      <c r="I516" s="15" t="s">
        <v>1537</v>
      </c>
      <c r="J516" s="17">
        <f t="shared" si="7"/>
        <v>0</v>
      </c>
    </row>
    <row r="517" spans="1:10" ht="15.75" customHeight="1" x14ac:dyDescent="0.3">
      <c r="A517" s="18">
        <v>45303</v>
      </c>
      <c r="B517" s="18">
        <v>45303</v>
      </c>
      <c r="C517" s="15" t="s">
        <v>2036</v>
      </c>
      <c r="D517" s="15" t="s">
        <v>1536</v>
      </c>
      <c r="E517" s="15"/>
      <c r="F517" s="16">
        <v>45</v>
      </c>
      <c r="G517" s="16">
        <v>0</v>
      </c>
      <c r="H517" s="16">
        <v>21360.76</v>
      </c>
      <c r="I517" s="15" t="s">
        <v>1537</v>
      </c>
      <c r="J517" s="17">
        <f t="shared" si="7"/>
        <v>0</v>
      </c>
    </row>
    <row r="518" spans="1:10" ht="15.75" customHeight="1" x14ac:dyDescent="0.3">
      <c r="A518" s="18">
        <v>45304</v>
      </c>
      <c r="B518" s="18">
        <v>45304</v>
      </c>
      <c r="C518" s="15" t="s">
        <v>2037</v>
      </c>
      <c r="D518" s="15" t="s">
        <v>1536</v>
      </c>
      <c r="E518" s="15"/>
      <c r="F518" s="16">
        <v>40</v>
      </c>
      <c r="G518" s="16">
        <v>0</v>
      </c>
      <c r="H518" s="16">
        <v>21320.76</v>
      </c>
      <c r="I518" s="15" t="s">
        <v>1537</v>
      </c>
      <c r="J518" s="17">
        <f t="shared" si="7"/>
        <v>0</v>
      </c>
    </row>
    <row r="519" spans="1:10" ht="15.75" customHeight="1" x14ac:dyDescent="0.3">
      <c r="A519" s="18">
        <v>45304</v>
      </c>
      <c r="B519" s="18">
        <v>45304</v>
      </c>
      <c r="C519" s="15" t="s">
        <v>2038</v>
      </c>
      <c r="D519" s="15" t="s">
        <v>1536</v>
      </c>
      <c r="E519" s="15"/>
      <c r="F519" s="16">
        <v>15</v>
      </c>
      <c r="G519" s="16">
        <v>0</v>
      </c>
      <c r="H519" s="16">
        <v>21305.759999999998</v>
      </c>
      <c r="I519" s="15" t="s">
        <v>1537</v>
      </c>
      <c r="J519" s="17">
        <f t="shared" si="7"/>
        <v>0</v>
      </c>
    </row>
    <row r="520" spans="1:10" ht="15.75" customHeight="1" x14ac:dyDescent="0.3">
      <c r="A520" s="18">
        <v>45304</v>
      </c>
      <c r="B520" s="18">
        <v>45304</v>
      </c>
      <c r="C520" s="15" t="s">
        <v>2039</v>
      </c>
      <c r="D520" s="15" t="s">
        <v>1536</v>
      </c>
      <c r="E520" s="15"/>
      <c r="F520" s="16">
        <v>1583.6</v>
      </c>
      <c r="G520" s="16">
        <v>0</v>
      </c>
      <c r="H520" s="16">
        <v>19722.16</v>
      </c>
      <c r="I520" s="15" t="s">
        <v>1537</v>
      </c>
      <c r="J520" s="17">
        <f t="shared" si="7"/>
        <v>0</v>
      </c>
    </row>
    <row r="521" spans="1:10" ht="15.75" customHeight="1" x14ac:dyDescent="0.3">
      <c r="A521" s="18">
        <v>45304</v>
      </c>
      <c r="B521" s="18">
        <v>45304</v>
      </c>
      <c r="C521" s="15" t="s">
        <v>2040</v>
      </c>
      <c r="D521" s="15" t="s">
        <v>1536</v>
      </c>
      <c r="E521" s="15"/>
      <c r="F521" s="16">
        <v>1583.6</v>
      </c>
      <c r="G521" s="16">
        <v>0</v>
      </c>
      <c r="H521" s="16">
        <v>18138.560000000001</v>
      </c>
      <c r="I521" s="15" t="s">
        <v>1537</v>
      </c>
      <c r="J521" s="17">
        <f t="shared" si="7"/>
        <v>0</v>
      </c>
    </row>
    <row r="522" spans="1:10" ht="15.75" customHeight="1" x14ac:dyDescent="0.3">
      <c r="A522" s="18">
        <v>45304</v>
      </c>
      <c r="B522" s="18">
        <v>45304</v>
      </c>
      <c r="C522" s="15" t="s">
        <v>2041</v>
      </c>
      <c r="D522" s="15" t="s">
        <v>1536</v>
      </c>
      <c r="E522" s="15"/>
      <c r="F522" s="16">
        <v>20</v>
      </c>
      <c r="G522" s="16">
        <v>0</v>
      </c>
      <c r="H522" s="16">
        <v>18118.560000000001</v>
      </c>
      <c r="I522" s="15" t="s">
        <v>1537</v>
      </c>
      <c r="J522" s="17">
        <f t="shared" si="7"/>
        <v>0</v>
      </c>
    </row>
    <row r="523" spans="1:10" ht="15.75" customHeight="1" x14ac:dyDescent="0.3">
      <c r="A523" s="18">
        <v>45304</v>
      </c>
      <c r="B523" s="18">
        <v>45304</v>
      </c>
      <c r="C523" s="15" t="s">
        <v>2042</v>
      </c>
      <c r="D523" s="15" t="s">
        <v>1536</v>
      </c>
      <c r="E523" s="15"/>
      <c r="F523" s="16">
        <v>0</v>
      </c>
      <c r="G523" s="16">
        <v>500</v>
      </c>
      <c r="H523" s="16">
        <v>18618.560000000001</v>
      </c>
      <c r="I523" s="15" t="s">
        <v>1540</v>
      </c>
      <c r="J523" s="17">
        <f t="shared" si="7"/>
        <v>0</v>
      </c>
    </row>
    <row r="524" spans="1:10" ht="15.75" customHeight="1" x14ac:dyDescent="0.3">
      <c r="A524" s="18">
        <v>45305</v>
      </c>
      <c r="B524" s="18">
        <v>45305</v>
      </c>
      <c r="C524" s="15" t="s">
        <v>2043</v>
      </c>
      <c r="D524" s="15" t="s">
        <v>1536</v>
      </c>
      <c r="E524" s="15"/>
      <c r="F524" s="16">
        <v>20</v>
      </c>
      <c r="G524" s="16">
        <v>0</v>
      </c>
      <c r="H524" s="16">
        <v>18598.560000000001</v>
      </c>
      <c r="I524" s="15" t="s">
        <v>1537</v>
      </c>
      <c r="J524" s="17">
        <f t="shared" si="7"/>
        <v>0</v>
      </c>
    </row>
    <row r="525" spans="1:10" ht="15.75" customHeight="1" x14ac:dyDescent="0.3">
      <c r="A525" s="18">
        <v>45305</v>
      </c>
      <c r="B525" s="18">
        <v>45305</v>
      </c>
      <c r="C525" s="15" t="s">
        <v>2044</v>
      </c>
      <c r="D525" s="15" t="s">
        <v>1536</v>
      </c>
      <c r="E525" s="15"/>
      <c r="F525" s="16">
        <v>130</v>
      </c>
      <c r="G525" s="16">
        <v>0</v>
      </c>
      <c r="H525" s="16">
        <v>18468.560000000001</v>
      </c>
      <c r="I525" s="15" t="s">
        <v>1537</v>
      </c>
      <c r="J525" s="17">
        <f t="shared" si="7"/>
        <v>0</v>
      </c>
    </row>
    <row r="526" spans="1:10" ht="15.75" customHeight="1" x14ac:dyDescent="0.3">
      <c r="A526" s="18">
        <v>45306</v>
      </c>
      <c r="B526" s="18">
        <v>45306</v>
      </c>
      <c r="C526" s="15" t="s">
        <v>2045</v>
      </c>
      <c r="D526" s="15" t="s">
        <v>1536</v>
      </c>
      <c r="E526" s="15"/>
      <c r="F526" s="16">
        <v>60</v>
      </c>
      <c r="G526" s="16">
        <v>0</v>
      </c>
      <c r="H526" s="16">
        <v>18408.560000000001</v>
      </c>
      <c r="I526" s="15" t="s">
        <v>1537</v>
      </c>
      <c r="J526" s="17">
        <f t="shared" si="7"/>
        <v>0</v>
      </c>
    </row>
    <row r="527" spans="1:10" ht="15.75" customHeight="1" x14ac:dyDescent="0.3">
      <c r="A527" s="18">
        <v>45306</v>
      </c>
      <c r="B527" s="18">
        <v>45306</v>
      </c>
      <c r="C527" s="15" t="s">
        <v>2046</v>
      </c>
      <c r="D527" s="15" t="s">
        <v>1536</v>
      </c>
      <c r="E527" s="15"/>
      <c r="F527" s="16">
        <v>40</v>
      </c>
      <c r="G527" s="16">
        <v>0</v>
      </c>
      <c r="H527" s="16">
        <v>18368.560000000001</v>
      </c>
      <c r="I527" s="15" t="s">
        <v>1537</v>
      </c>
      <c r="J527" s="17">
        <f t="shared" si="7"/>
        <v>0</v>
      </c>
    </row>
    <row r="528" spans="1:10" ht="15.75" customHeight="1" x14ac:dyDescent="0.3">
      <c r="A528" s="18">
        <v>45306</v>
      </c>
      <c r="B528" s="18">
        <v>45306</v>
      </c>
      <c r="C528" s="15" t="s">
        <v>2047</v>
      </c>
      <c r="D528" s="15" t="s">
        <v>1536</v>
      </c>
      <c r="E528" s="15"/>
      <c r="F528" s="16">
        <v>180</v>
      </c>
      <c r="G528" s="16">
        <v>0</v>
      </c>
      <c r="H528" s="16">
        <v>18188.560000000001</v>
      </c>
      <c r="I528" s="15" t="s">
        <v>1537</v>
      </c>
      <c r="J528" s="17">
        <f t="shared" si="7"/>
        <v>0</v>
      </c>
    </row>
    <row r="529" spans="1:10" ht="15.75" customHeight="1" x14ac:dyDescent="0.3">
      <c r="A529" s="18">
        <v>45306</v>
      </c>
      <c r="B529" s="18">
        <v>45306</v>
      </c>
      <c r="C529" s="15" t="s">
        <v>2048</v>
      </c>
      <c r="D529" s="15" t="s">
        <v>1536</v>
      </c>
      <c r="E529" s="15"/>
      <c r="F529" s="16">
        <v>230</v>
      </c>
      <c r="G529" s="16">
        <v>0</v>
      </c>
      <c r="H529" s="16">
        <v>17958.560000000001</v>
      </c>
      <c r="I529" s="15" t="s">
        <v>1537</v>
      </c>
      <c r="J529" s="17">
        <f t="shared" si="7"/>
        <v>0</v>
      </c>
    </row>
    <row r="530" spans="1:10" ht="15.75" customHeight="1" x14ac:dyDescent="0.3">
      <c r="A530" s="18">
        <v>45307</v>
      </c>
      <c r="B530" s="18">
        <v>45307</v>
      </c>
      <c r="C530" s="15" t="s">
        <v>2049</v>
      </c>
      <c r="D530" s="15" t="s">
        <v>1536</v>
      </c>
      <c r="E530" s="15"/>
      <c r="F530" s="16">
        <v>40</v>
      </c>
      <c r="G530" s="16">
        <v>0</v>
      </c>
      <c r="H530" s="16">
        <v>17918.560000000001</v>
      </c>
      <c r="I530" s="15" t="s">
        <v>1537</v>
      </c>
      <c r="J530" s="17">
        <f t="shared" si="7"/>
        <v>0</v>
      </c>
    </row>
    <row r="531" spans="1:10" ht="15.75" customHeight="1" x14ac:dyDescent="0.3">
      <c r="A531" s="18">
        <v>45308</v>
      </c>
      <c r="B531" s="18">
        <v>45308</v>
      </c>
      <c r="C531" s="15" t="s">
        <v>2050</v>
      </c>
      <c r="D531" s="15" t="s">
        <v>1536</v>
      </c>
      <c r="E531" s="15"/>
      <c r="F531" s="16">
        <v>30</v>
      </c>
      <c r="G531" s="16">
        <v>0</v>
      </c>
      <c r="H531" s="16">
        <v>17888.560000000001</v>
      </c>
      <c r="I531" s="15" t="s">
        <v>1537</v>
      </c>
      <c r="J531" s="17">
        <f t="shared" ref="J531:J594" si="8">H530-F531+G531-H531</f>
        <v>0</v>
      </c>
    </row>
    <row r="532" spans="1:10" ht="15.75" customHeight="1" x14ac:dyDescent="0.3">
      <c r="A532" s="18">
        <v>45309</v>
      </c>
      <c r="B532" s="18">
        <v>45309</v>
      </c>
      <c r="C532" s="15" t="s">
        <v>2051</v>
      </c>
      <c r="D532" s="15" t="s">
        <v>1536</v>
      </c>
      <c r="E532" s="15"/>
      <c r="F532" s="16">
        <v>30</v>
      </c>
      <c r="G532" s="16">
        <v>0</v>
      </c>
      <c r="H532" s="16">
        <v>17858.560000000001</v>
      </c>
      <c r="I532" s="15" t="s">
        <v>1537</v>
      </c>
      <c r="J532" s="17">
        <f t="shared" si="8"/>
        <v>0</v>
      </c>
    </row>
    <row r="533" spans="1:10" ht="15.75" customHeight="1" x14ac:dyDescent="0.3">
      <c r="A533" s="18">
        <v>45309</v>
      </c>
      <c r="B533" s="18">
        <v>45309</v>
      </c>
      <c r="C533" s="15" t="s">
        <v>2052</v>
      </c>
      <c r="D533" s="15" t="s">
        <v>1536</v>
      </c>
      <c r="E533" s="15"/>
      <c r="F533" s="16">
        <v>70</v>
      </c>
      <c r="G533" s="16">
        <v>0</v>
      </c>
      <c r="H533" s="16">
        <v>17788.560000000001</v>
      </c>
      <c r="I533" s="15" t="s">
        <v>1537</v>
      </c>
      <c r="J533" s="17">
        <f t="shared" si="8"/>
        <v>0</v>
      </c>
    </row>
    <row r="534" spans="1:10" ht="15.75" customHeight="1" x14ac:dyDescent="0.3">
      <c r="A534" s="18">
        <v>45310</v>
      </c>
      <c r="B534" s="18">
        <v>45310</v>
      </c>
      <c r="C534" s="15" t="s">
        <v>2053</v>
      </c>
      <c r="D534" s="15" t="s">
        <v>1536</v>
      </c>
      <c r="E534" s="15"/>
      <c r="F534" s="16">
        <v>15</v>
      </c>
      <c r="G534" s="16">
        <v>0</v>
      </c>
      <c r="H534" s="16">
        <v>17773.560000000001</v>
      </c>
      <c r="I534" s="15" t="s">
        <v>1537</v>
      </c>
      <c r="J534" s="17">
        <f t="shared" si="8"/>
        <v>0</v>
      </c>
    </row>
    <row r="535" spans="1:10" ht="15.75" customHeight="1" x14ac:dyDescent="0.3">
      <c r="A535" s="18">
        <v>45310</v>
      </c>
      <c r="B535" s="18">
        <v>45310</v>
      </c>
      <c r="C535" s="15" t="s">
        <v>2054</v>
      </c>
      <c r="D535" s="15" t="s">
        <v>1536</v>
      </c>
      <c r="E535" s="15"/>
      <c r="F535" s="16">
        <v>35</v>
      </c>
      <c r="G535" s="16">
        <v>0</v>
      </c>
      <c r="H535" s="16">
        <v>17738.560000000001</v>
      </c>
      <c r="I535" s="15" t="s">
        <v>1537</v>
      </c>
      <c r="J535" s="17">
        <f t="shared" si="8"/>
        <v>0</v>
      </c>
    </row>
    <row r="536" spans="1:10" ht="15.75" customHeight="1" x14ac:dyDescent="0.3">
      <c r="A536" s="18">
        <v>45310</v>
      </c>
      <c r="B536" s="18">
        <v>45310</v>
      </c>
      <c r="C536" s="15" t="s">
        <v>2055</v>
      </c>
      <c r="D536" s="15" t="s">
        <v>1536</v>
      </c>
      <c r="E536" s="15"/>
      <c r="F536" s="16">
        <v>18</v>
      </c>
      <c r="G536" s="16">
        <v>0</v>
      </c>
      <c r="H536" s="16">
        <v>17720.560000000001</v>
      </c>
      <c r="I536" s="15" t="s">
        <v>1537</v>
      </c>
      <c r="J536" s="17">
        <f t="shared" si="8"/>
        <v>0</v>
      </c>
    </row>
    <row r="537" spans="1:10" ht="15.75" customHeight="1" x14ac:dyDescent="0.3">
      <c r="A537" s="18">
        <v>45310</v>
      </c>
      <c r="B537" s="18">
        <v>45310</v>
      </c>
      <c r="C537" s="15" t="s">
        <v>2056</v>
      </c>
      <c r="D537" s="15" t="s">
        <v>1536</v>
      </c>
      <c r="E537" s="15"/>
      <c r="F537" s="16">
        <v>2500</v>
      </c>
      <c r="G537" s="16">
        <v>0</v>
      </c>
      <c r="H537" s="16">
        <v>15220.56</v>
      </c>
      <c r="I537" s="15" t="s">
        <v>1537</v>
      </c>
      <c r="J537" s="17">
        <f t="shared" si="8"/>
        <v>0</v>
      </c>
    </row>
    <row r="538" spans="1:10" ht="15.75" customHeight="1" x14ac:dyDescent="0.3">
      <c r="A538" s="18">
        <v>45310</v>
      </c>
      <c r="B538" s="18">
        <v>45310</v>
      </c>
      <c r="C538" s="15" t="s">
        <v>2057</v>
      </c>
      <c r="D538" s="15" t="s">
        <v>1536</v>
      </c>
      <c r="E538" s="15"/>
      <c r="F538" s="16">
        <v>80</v>
      </c>
      <c r="G538" s="16">
        <v>0</v>
      </c>
      <c r="H538" s="16">
        <v>15140.56</v>
      </c>
      <c r="I538" s="15" t="s">
        <v>1537</v>
      </c>
      <c r="J538" s="17">
        <f t="shared" si="8"/>
        <v>0</v>
      </c>
    </row>
    <row r="539" spans="1:10" ht="15.75" customHeight="1" x14ac:dyDescent="0.3">
      <c r="A539" s="18">
        <v>45310</v>
      </c>
      <c r="B539" s="18">
        <v>45310</v>
      </c>
      <c r="C539" s="15" t="s">
        <v>2058</v>
      </c>
      <c r="D539" s="15" t="s">
        <v>1536</v>
      </c>
      <c r="E539" s="15"/>
      <c r="F539" s="16">
        <v>50</v>
      </c>
      <c r="G539" s="16">
        <v>0</v>
      </c>
      <c r="H539" s="16">
        <v>15090.56</v>
      </c>
      <c r="I539" s="15" t="s">
        <v>1537</v>
      </c>
      <c r="J539" s="17">
        <f t="shared" si="8"/>
        <v>0</v>
      </c>
    </row>
    <row r="540" spans="1:10" ht="15.75" customHeight="1" x14ac:dyDescent="0.3">
      <c r="A540" s="18">
        <v>45311</v>
      </c>
      <c r="B540" s="18">
        <v>45311</v>
      </c>
      <c r="C540" s="15" t="s">
        <v>2059</v>
      </c>
      <c r="D540" s="15" t="s">
        <v>1536</v>
      </c>
      <c r="E540" s="15"/>
      <c r="F540" s="16">
        <v>30</v>
      </c>
      <c r="G540" s="16">
        <v>0</v>
      </c>
      <c r="H540" s="16">
        <v>15060.56</v>
      </c>
      <c r="I540" s="15" t="s">
        <v>1537</v>
      </c>
      <c r="J540" s="17">
        <f t="shared" si="8"/>
        <v>0</v>
      </c>
    </row>
    <row r="541" spans="1:10" ht="15.75" customHeight="1" x14ac:dyDescent="0.3">
      <c r="A541" s="18">
        <v>45311</v>
      </c>
      <c r="B541" s="18">
        <v>45311</v>
      </c>
      <c r="C541" s="15" t="s">
        <v>2060</v>
      </c>
      <c r="D541" s="15" t="s">
        <v>1536</v>
      </c>
      <c r="E541" s="15"/>
      <c r="F541" s="16">
        <v>70</v>
      </c>
      <c r="G541" s="16">
        <v>0</v>
      </c>
      <c r="H541" s="16">
        <v>14990.56</v>
      </c>
      <c r="I541" s="15" t="s">
        <v>1537</v>
      </c>
      <c r="J541" s="17">
        <f t="shared" si="8"/>
        <v>0</v>
      </c>
    </row>
    <row r="542" spans="1:10" ht="15.75" customHeight="1" x14ac:dyDescent="0.3">
      <c r="A542" s="18">
        <v>45311</v>
      </c>
      <c r="B542" s="18">
        <v>45311</v>
      </c>
      <c r="C542" s="15" t="s">
        <v>2061</v>
      </c>
      <c r="D542" s="15" t="s">
        <v>1536</v>
      </c>
      <c r="E542" s="15"/>
      <c r="F542" s="16">
        <v>25</v>
      </c>
      <c r="G542" s="16">
        <v>0</v>
      </c>
      <c r="H542" s="16">
        <v>14965.56</v>
      </c>
      <c r="I542" s="15" t="s">
        <v>1537</v>
      </c>
      <c r="J542" s="17">
        <f t="shared" si="8"/>
        <v>0</v>
      </c>
    </row>
    <row r="543" spans="1:10" ht="15.75" customHeight="1" x14ac:dyDescent="0.3">
      <c r="A543" s="18">
        <v>45311</v>
      </c>
      <c r="B543" s="18">
        <v>45311</v>
      </c>
      <c r="C543" s="15" t="s">
        <v>2062</v>
      </c>
      <c r="D543" s="15" t="s">
        <v>1536</v>
      </c>
      <c r="E543" s="15"/>
      <c r="F543" s="16">
        <v>70</v>
      </c>
      <c r="G543" s="16">
        <v>0</v>
      </c>
      <c r="H543" s="16">
        <v>14895.56</v>
      </c>
      <c r="I543" s="15" t="s">
        <v>1537</v>
      </c>
      <c r="J543" s="17">
        <f t="shared" si="8"/>
        <v>0</v>
      </c>
    </row>
    <row r="544" spans="1:10" ht="15.75" customHeight="1" x14ac:dyDescent="0.3">
      <c r="A544" s="18">
        <v>45312</v>
      </c>
      <c r="B544" s="18">
        <v>45312</v>
      </c>
      <c r="C544" s="15" t="s">
        <v>2063</v>
      </c>
      <c r="D544" s="15" t="s">
        <v>1536</v>
      </c>
      <c r="E544" s="15"/>
      <c r="F544" s="16">
        <v>1000</v>
      </c>
      <c r="G544" s="16">
        <v>0</v>
      </c>
      <c r="H544" s="16">
        <v>13895.56</v>
      </c>
      <c r="I544" s="15" t="s">
        <v>1537</v>
      </c>
      <c r="J544" s="17">
        <f t="shared" si="8"/>
        <v>0</v>
      </c>
    </row>
    <row r="545" spans="1:10" ht="15.75" customHeight="1" x14ac:dyDescent="0.3">
      <c r="A545" s="18">
        <v>45312</v>
      </c>
      <c r="B545" s="18">
        <v>45312</v>
      </c>
      <c r="C545" s="15" t="s">
        <v>2064</v>
      </c>
      <c r="D545" s="15" t="s">
        <v>1536</v>
      </c>
      <c r="E545" s="15"/>
      <c r="F545" s="16">
        <v>1000</v>
      </c>
      <c r="G545" s="16">
        <v>0</v>
      </c>
      <c r="H545" s="16">
        <v>12895.56</v>
      </c>
      <c r="I545" s="15" t="s">
        <v>1537</v>
      </c>
      <c r="J545" s="17">
        <f t="shared" si="8"/>
        <v>0</v>
      </c>
    </row>
    <row r="546" spans="1:10" ht="15.75" customHeight="1" x14ac:dyDescent="0.3">
      <c r="A546" s="18">
        <v>45312</v>
      </c>
      <c r="B546" s="18">
        <v>45312</v>
      </c>
      <c r="C546" s="15" t="s">
        <v>2065</v>
      </c>
      <c r="D546" s="15" t="s">
        <v>1536</v>
      </c>
      <c r="E546" s="15"/>
      <c r="F546" s="16">
        <v>18</v>
      </c>
      <c r="G546" s="16">
        <v>0</v>
      </c>
      <c r="H546" s="16">
        <v>12877.56</v>
      </c>
      <c r="I546" s="15" t="s">
        <v>1537</v>
      </c>
      <c r="J546" s="17">
        <f t="shared" si="8"/>
        <v>0</v>
      </c>
    </row>
    <row r="547" spans="1:10" ht="15.75" customHeight="1" x14ac:dyDescent="0.3">
      <c r="A547" s="18">
        <v>45312</v>
      </c>
      <c r="B547" s="18">
        <v>45312</v>
      </c>
      <c r="C547" s="15" t="s">
        <v>2066</v>
      </c>
      <c r="D547" s="15" t="s">
        <v>1536</v>
      </c>
      <c r="E547" s="15"/>
      <c r="F547" s="16">
        <v>280</v>
      </c>
      <c r="G547" s="16">
        <v>0</v>
      </c>
      <c r="H547" s="16">
        <v>12597.56</v>
      </c>
      <c r="I547" s="15" t="s">
        <v>1537</v>
      </c>
      <c r="J547" s="17">
        <f t="shared" si="8"/>
        <v>0</v>
      </c>
    </row>
    <row r="548" spans="1:10" ht="15.75" customHeight="1" x14ac:dyDescent="0.3">
      <c r="A548" s="18">
        <v>45312</v>
      </c>
      <c r="B548" s="18">
        <v>45312</v>
      </c>
      <c r="C548" s="15" t="s">
        <v>2067</v>
      </c>
      <c r="D548" s="15" t="s">
        <v>1536</v>
      </c>
      <c r="E548" s="15"/>
      <c r="F548" s="16">
        <v>160</v>
      </c>
      <c r="G548" s="16">
        <v>0</v>
      </c>
      <c r="H548" s="16">
        <v>12437.56</v>
      </c>
      <c r="I548" s="15" t="s">
        <v>1537</v>
      </c>
      <c r="J548" s="17">
        <f t="shared" si="8"/>
        <v>0</v>
      </c>
    </row>
    <row r="549" spans="1:10" ht="15.75" customHeight="1" x14ac:dyDescent="0.3">
      <c r="A549" s="18">
        <v>45312</v>
      </c>
      <c r="B549" s="18">
        <v>45312</v>
      </c>
      <c r="C549" s="15" t="s">
        <v>2068</v>
      </c>
      <c r="D549" s="15" t="s">
        <v>1536</v>
      </c>
      <c r="E549" s="15"/>
      <c r="F549" s="16">
        <v>90</v>
      </c>
      <c r="G549" s="16">
        <v>0</v>
      </c>
      <c r="H549" s="16">
        <v>12347.56</v>
      </c>
      <c r="I549" s="15" t="s">
        <v>1537</v>
      </c>
      <c r="J549" s="17">
        <f t="shared" si="8"/>
        <v>0</v>
      </c>
    </row>
    <row r="550" spans="1:10" ht="15.75" customHeight="1" x14ac:dyDescent="0.3">
      <c r="A550" s="18">
        <v>45312</v>
      </c>
      <c r="B550" s="18">
        <v>45312</v>
      </c>
      <c r="C550" s="15" t="s">
        <v>2069</v>
      </c>
      <c r="D550" s="15" t="s">
        <v>1536</v>
      </c>
      <c r="E550" s="15"/>
      <c r="F550" s="16">
        <v>100</v>
      </c>
      <c r="G550" s="16">
        <v>0</v>
      </c>
      <c r="H550" s="16">
        <v>12247.56</v>
      </c>
      <c r="I550" s="15" t="s">
        <v>1537</v>
      </c>
      <c r="J550" s="17">
        <f t="shared" si="8"/>
        <v>0</v>
      </c>
    </row>
    <row r="551" spans="1:10" ht="15.75" customHeight="1" x14ac:dyDescent="0.3">
      <c r="A551" s="18">
        <v>45313</v>
      </c>
      <c r="B551" s="18">
        <v>45313</v>
      </c>
      <c r="C551" s="15" t="s">
        <v>2070</v>
      </c>
      <c r="D551" s="15" t="s">
        <v>1536</v>
      </c>
      <c r="E551" s="15"/>
      <c r="F551" s="16">
        <v>30</v>
      </c>
      <c r="G551" s="16">
        <v>0</v>
      </c>
      <c r="H551" s="16">
        <v>12217.56</v>
      </c>
      <c r="I551" s="15" t="s">
        <v>1537</v>
      </c>
      <c r="J551" s="17">
        <f t="shared" si="8"/>
        <v>0</v>
      </c>
    </row>
    <row r="552" spans="1:10" ht="15.75" customHeight="1" x14ac:dyDescent="0.3">
      <c r="A552" s="18">
        <v>45313</v>
      </c>
      <c r="B552" s="18">
        <v>45313</v>
      </c>
      <c r="C552" s="15" t="s">
        <v>2071</v>
      </c>
      <c r="D552" s="15" t="s">
        <v>1536</v>
      </c>
      <c r="E552" s="15"/>
      <c r="F552" s="16">
        <v>20</v>
      </c>
      <c r="G552" s="16">
        <v>0</v>
      </c>
      <c r="H552" s="16">
        <v>12197.56</v>
      </c>
      <c r="I552" s="15" t="s">
        <v>1537</v>
      </c>
      <c r="J552" s="17">
        <f t="shared" si="8"/>
        <v>0</v>
      </c>
    </row>
    <row r="553" spans="1:10" ht="15.75" customHeight="1" x14ac:dyDescent="0.3">
      <c r="A553" s="18">
        <v>45313</v>
      </c>
      <c r="B553" s="18">
        <v>45313</v>
      </c>
      <c r="C553" s="15" t="s">
        <v>2072</v>
      </c>
      <c r="D553" s="15" t="s">
        <v>1536</v>
      </c>
      <c r="E553" s="15"/>
      <c r="F553" s="16">
        <v>40</v>
      </c>
      <c r="G553" s="16">
        <v>0</v>
      </c>
      <c r="H553" s="16">
        <v>12157.56</v>
      </c>
      <c r="I553" s="15" t="s">
        <v>1537</v>
      </c>
      <c r="J553" s="17">
        <f t="shared" si="8"/>
        <v>0</v>
      </c>
    </row>
    <row r="554" spans="1:10" ht="15.75" customHeight="1" x14ac:dyDescent="0.3">
      <c r="A554" s="18">
        <v>45313</v>
      </c>
      <c r="B554" s="18">
        <v>45313</v>
      </c>
      <c r="C554" s="15" t="s">
        <v>2073</v>
      </c>
      <c r="D554" s="15" t="s">
        <v>1536</v>
      </c>
      <c r="E554" s="15"/>
      <c r="F554" s="16">
        <v>70</v>
      </c>
      <c r="G554" s="16">
        <v>0</v>
      </c>
      <c r="H554" s="16">
        <v>12087.56</v>
      </c>
      <c r="I554" s="15" t="s">
        <v>1537</v>
      </c>
      <c r="J554" s="17">
        <f t="shared" si="8"/>
        <v>0</v>
      </c>
    </row>
    <row r="555" spans="1:10" ht="15.75" customHeight="1" x14ac:dyDescent="0.3">
      <c r="A555" s="18">
        <v>45313</v>
      </c>
      <c r="B555" s="18">
        <v>45313</v>
      </c>
      <c r="C555" s="15" t="s">
        <v>2074</v>
      </c>
      <c r="D555" s="15" t="s">
        <v>1536</v>
      </c>
      <c r="E555" s="15"/>
      <c r="F555" s="16">
        <v>20</v>
      </c>
      <c r="G555" s="16">
        <v>0</v>
      </c>
      <c r="H555" s="16">
        <v>12067.56</v>
      </c>
      <c r="I555" s="15" t="s">
        <v>1537</v>
      </c>
      <c r="J555" s="17">
        <f t="shared" si="8"/>
        <v>0</v>
      </c>
    </row>
    <row r="556" spans="1:10" ht="15.75" customHeight="1" x14ac:dyDescent="0.3">
      <c r="A556" s="18">
        <v>45313</v>
      </c>
      <c r="B556" s="18">
        <v>45314</v>
      </c>
      <c r="C556" s="15" t="s">
        <v>2075</v>
      </c>
      <c r="D556" s="15" t="s">
        <v>1536</v>
      </c>
      <c r="E556" s="15"/>
      <c r="F556" s="16">
        <v>160</v>
      </c>
      <c r="G556" s="16">
        <v>0</v>
      </c>
      <c r="H556" s="16">
        <v>11907.56</v>
      </c>
      <c r="I556" s="15" t="s">
        <v>1537</v>
      </c>
      <c r="J556" s="17">
        <f t="shared" si="8"/>
        <v>0</v>
      </c>
    </row>
    <row r="557" spans="1:10" ht="15.75" customHeight="1" x14ac:dyDescent="0.3">
      <c r="A557" s="18">
        <v>45314</v>
      </c>
      <c r="B557" s="18">
        <v>45314</v>
      </c>
      <c r="C557" s="15" t="s">
        <v>2076</v>
      </c>
      <c r="D557" s="15" t="s">
        <v>1536</v>
      </c>
      <c r="E557" s="15"/>
      <c r="F557" s="16">
        <v>30</v>
      </c>
      <c r="G557" s="16">
        <v>0</v>
      </c>
      <c r="H557" s="16">
        <v>11877.56</v>
      </c>
      <c r="I557" s="15" t="s">
        <v>1537</v>
      </c>
      <c r="J557" s="17">
        <f t="shared" si="8"/>
        <v>0</v>
      </c>
    </row>
    <row r="558" spans="1:10" ht="15.75" customHeight="1" x14ac:dyDescent="0.3">
      <c r="A558" s="18">
        <v>45314</v>
      </c>
      <c r="B558" s="18">
        <v>45314</v>
      </c>
      <c r="C558" s="15" t="s">
        <v>2077</v>
      </c>
      <c r="D558" s="15" t="s">
        <v>1536</v>
      </c>
      <c r="E558" s="15"/>
      <c r="F558" s="16">
        <v>40</v>
      </c>
      <c r="G558" s="16">
        <v>0</v>
      </c>
      <c r="H558" s="16">
        <v>11837.56</v>
      </c>
      <c r="I558" s="15" t="s">
        <v>1537</v>
      </c>
      <c r="J558" s="17">
        <f t="shared" si="8"/>
        <v>0</v>
      </c>
    </row>
    <row r="559" spans="1:10" ht="15.75" customHeight="1" x14ac:dyDescent="0.3">
      <c r="A559" s="18">
        <v>45314</v>
      </c>
      <c r="B559" s="18">
        <v>45314</v>
      </c>
      <c r="C559" s="15" t="s">
        <v>2078</v>
      </c>
      <c r="D559" s="15" t="s">
        <v>1536</v>
      </c>
      <c r="E559" s="15"/>
      <c r="F559" s="16">
        <v>18</v>
      </c>
      <c r="G559" s="16">
        <v>0</v>
      </c>
      <c r="H559" s="16">
        <v>11819.56</v>
      </c>
      <c r="I559" s="15" t="s">
        <v>1537</v>
      </c>
      <c r="J559" s="17">
        <f t="shared" si="8"/>
        <v>0</v>
      </c>
    </row>
    <row r="560" spans="1:10" ht="15.75" customHeight="1" x14ac:dyDescent="0.3">
      <c r="A560" s="18">
        <v>45315</v>
      </c>
      <c r="B560" s="18">
        <v>45315</v>
      </c>
      <c r="C560" s="15" t="s">
        <v>2079</v>
      </c>
      <c r="D560" s="15" t="s">
        <v>1536</v>
      </c>
      <c r="E560" s="15"/>
      <c r="F560" s="16">
        <v>30</v>
      </c>
      <c r="G560" s="16">
        <v>0</v>
      </c>
      <c r="H560" s="16">
        <v>11789.56</v>
      </c>
      <c r="I560" s="15" t="s">
        <v>1537</v>
      </c>
      <c r="J560" s="17">
        <f t="shared" si="8"/>
        <v>0</v>
      </c>
    </row>
    <row r="561" spans="1:10" ht="15.75" customHeight="1" x14ac:dyDescent="0.3">
      <c r="A561" s="18">
        <v>45315</v>
      </c>
      <c r="B561" s="18">
        <v>45315</v>
      </c>
      <c r="C561" s="15" t="s">
        <v>2080</v>
      </c>
      <c r="D561" s="15" t="s">
        <v>1536</v>
      </c>
      <c r="E561" s="15"/>
      <c r="F561" s="16">
        <v>30</v>
      </c>
      <c r="G561" s="16">
        <v>0</v>
      </c>
      <c r="H561" s="16">
        <v>11759.56</v>
      </c>
      <c r="I561" s="15" t="s">
        <v>1537</v>
      </c>
      <c r="J561" s="17">
        <f t="shared" si="8"/>
        <v>0</v>
      </c>
    </row>
    <row r="562" spans="1:10" ht="15.75" customHeight="1" x14ac:dyDescent="0.3">
      <c r="A562" s="18">
        <v>45315</v>
      </c>
      <c r="B562" s="18">
        <v>45315</v>
      </c>
      <c r="C562" s="15" t="s">
        <v>2081</v>
      </c>
      <c r="D562" s="15" t="s">
        <v>1536</v>
      </c>
      <c r="E562" s="15"/>
      <c r="F562" s="16">
        <v>45</v>
      </c>
      <c r="G562" s="16">
        <v>0</v>
      </c>
      <c r="H562" s="16">
        <v>11714.56</v>
      </c>
      <c r="I562" s="15" t="s">
        <v>1537</v>
      </c>
      <c r="J562" s="17">
        <f t="shared" si="8"/>
        <v>0</v>
      </c>
    </row>
    <row r="563" spans="1:10" ht="15.75" customHeight="1" x14ac:dyDescent="0.3">
      <c r="A563" s="18">
        <v>45315</v>
      </c>
      <c r="B563" s="18">
        <v>45315</v>
      </c>
      <c r="C563" s="15" t="s">
        <v>2082</v>
      </c>
      <c r="D563" s="15" t="s">
        <v>1536</v>
      </c>
      <c r="E563" s="15"/>
      <c r="F563" s="16">
        <v>30</v>
      </c>
      <c r="G563" s="16">
        <v>0</v>
      </c>
      <c r="H563" s="16">
        <v>11684.56</v>
      </c>
      <c r="I563" s="15" t="s">
        <v>1537</v>
      </c>
      <c r="J563" s="17">
        <f t="shared" si="8"/>
        <v>0</v>
      </c>
    </row>
    <row r="564" spans="1:10" ht="15.75" customHeight="1" x14ac:dyDescent="0.3">
      <c r="A564" s="18">
        <v>45315</v>
      </c>
      <c r="B564" s="18">
        <v>45315</v>
      </c>
      <c r="C564" s="15" t="s">
        <v>2083</v>
      </c>
      <c r="D564" s="15" t="s">
        <v>1536</v>
      </c>
      <c r="E564" s="15"/>
      <c r="F564" s="16">
        <v>273</v>
      </c>
      <c r="G564" s="16">
        <v>0</v>
      </c>
      <c r="H564" s="16">
        <v>11411.56</v>
      </c>
      <c r="I564" s="15" t="s">
        <v>1537</v>
      </c>
      <c r="J564" s="17">
        <f t="shared" si="8"/>
        <v>0</v>
      </c>
    </row>
    <row r="565" spans="1:10" ht="15.75" customHeight="1" x14ac:dyDescent="0.3">
      <c r="A565" s="18">
        <v>45315</v>
      </c>
      <c r="B565" s="18">
        <v>45315</v>
      </c>
      <c r="C565" s="15" t="s">
        <v>2084</v>
      </c>
      <c r="D565" s="15" t="s">
        <v>1536</v>
      </c>
      <c r="E565" s="15"/>
      <c r="F565" s="16">
        <v>30</v>
      </c>
      <c r="G565" s="16">
        <v>0</v>
      </c>
      <c r="H565" s="16">
        <v>11381.56</v>
      </c>
      <c r="I565" s="15" t="s">
        <v>1537</v>
      </c>
      <c r="J565" s="17">
        <f t="shared" si="8"/>
        <v>0</v>
      </c>
    </row>
    <row r="566" spans="1:10" ht="15.75" customHeight="1" x14ac:dyDescent="0.3">
      <c r="A566" s="18">
        <v>45316</v>
      </c>
      <c r="B566" s="18">
        <v>45316</v>
      </c>
      <c r="C566" s="15" t="s">
        <v>2085</v>
      </c>
      <c r="D566" s="15" t="s">
        <v>1536</v>
      </c>
      <c r="E566" s="15"/>
      <c r="F566" s="16">
        <v>2000</v>
      </c>
      <c r="G566" s="16">
        <v>0</v>
      </c>
      <c r="H566" s="16">
        <v>9381.56</v>
      </c>
      <c r="I566" s="15" t="s">
        <v>1537</v>
      </c>
      <c r="J566" s="17">
        <f t="shared" si="8"/>
        <v>0</v>
      </c>
    </row>
    <row r="567" spans="1:10" ht="15.75" customHeight="1" x14ac:dyDescent="0.3">
      <c r="A567" s="18">
        <v>45316</v>
      </c>
      <c r="B567" s="18">
        <v>45316</v>
      </c>
      <c r="C567" s="15" t="s">
        <v>2086</v>
      </c>
      <c r="D567" s="15" t="s">
        <v>1536</v>
      </c>
      <c r="E567" s="15"/>
      <c r="F567" s="16">
        <v>30</v>
      </c>
      <c r="G567" s="16">
        <v>0</v>
      </c>
      <c r="H567" s="16">
        <v>9351.56</v>
      </c>
      <c r="I567" s="15" t="s">
        <v>1537</v>
      </c>
      <c r="J567" s="17">
        <f t="shared" si="8"/>
        <v>0</v>
      </c>
    </row>
    <row r="568" spans="1:10" ht="15.75" customHeight="1" x14ac:dyDescent="0.3">
      <c r="A568" s="18">
        <v>45316</v>
      </c>
      <c r="B568" s="18">
        <v>45316</v>
      </c>
      <c r="C568" s="15" t="s">
        <v>2087</v>
      </c>
      <c r="D568" s="15" t="s">
        <v>1536</v>
      </c>
      <c r="E568" s="15"/>
      <c r="F568" s="16">
        <v>30</v>
      </c>
      <c r="G568" s="16">
        <v>0</v>
      </c>
      <c r="H568" s="16">
        <v>9321.56</v>
      </c>
      <c r="I568" s="15" t="s">
        <v>1537</v>
      </c>
      <c r="J568" s="17">
        <f t="shared" si="8"/>
        <v>0</v>
      </c>
    </row>
    <row r="569" spans="1:10" ht="15.75" customHeight="1" x14ac:dyDescent="0.3">
      <c r="A569" s="18">
        <v>45316</v>
      </c>
      <c r="B569" s="18">
        <v>45316</v>
      </c>
      <c r="C569" s="15" t="s">
        <v>2088</v>
      </c>
      <c r="D569" s="15" t="s">
        <v>1536</v>
      </c>
      <c r="E569" s="15"/>
      <c r="F569" s="16">
        <v>21</v>
      </c>
      <c r="G569" s="16">
        <v>0</v>
      </c>
      <c r="H569" s="16">
        <v>9300.56</v>
      </c>
      <c r="I569" s="15" t="s">
        <v>1537</v>
      </c>
      <c r="J569" s="17">
        <f t="shared" si="8"/>
        <v>0</v>
      </c>
    </row>
    <row r="570" spans="1:10" ht="15.75" customHeight="1" x14ac:dyDescent="0.3">
      <c r="A570" s="18">
        <v>45316</v>
      </c>
      <c r="B570" s="18">
        <v>45316</v>
      </c>
      <c r="C570" s="15" t="s">
        <v>2089</v>
      </c>
      <c r="D570" s="15" t="s">
        <v>1536</v>
      </c>
      <c r="E570" s="15"/>
      <c r="F570" s="16">
        <v>40</v>
      </c>
      <c r="G570" s="16">
        <v>0</v>
      </c>
      <c r="H570" s="16">
        <v>9260.56</v>
      </c>
      <c r="I570" s="15" t="s">
        <v>1537</v>
      </c>
      <c r="J570" s="17">
        <f t="shared" si="8"/>
        <v>0</v>
      </c>
    </row>
    <row r="571" spans="1:10" ht="15.75" customHeight="1" x14ac:dyDescent="0.3">
      <c r="A571" s="18">
        <v>45317</v>
      </c>
      <c r="B571" s="18">
        <v>45317</v>
      </c>
      <c r="C571" s="15" t="s">
        <v>2090</v>
      </c>
      <c r="D571" s="15" t="s">
        <v>1536</v>
      </c>
      <c r="E571" s="15"/>
      <c r="F571" s="16">
        <v>70</v>
      </c>
      <c r="G571" s="16">
        <v>0</v>
      </c>
      <c r="H571" s="16">
        <v>9190.56</v>
      </c>
      <c r="I571" s="15" t="s">
        <v>1537</v>
      </c>
      <c r="J571" s="17">
        <f t="shared" si="8"/>
        <v>0</v>
      </c>
    </row>
    <row r="572" spans="1:10" ht="15.75" customHeight="1" x14ac:dyDescent="0.3">
      <c r="A572" s="18">
        <v>45317</v>
      </c>
      <c r="B572" s="18">
        <v>45317</v>
      </c>
      <c r="C572" s="15" t="s">
        <v>2091</v>
      </c>
      <c r="D572" s="15" t="s">
        <v>1536</v>
      </c>
      <c r="E572" s="15"/>
      <c r="F572" s="16">
        <v>25</v>
      </c>
      <c r="G572" s="16">
        <v>0</v>
      </c>
      <c r="H572" s="16">
        <v>9165.56</v>
      </c>
      <c r="I572" s="15" t="s">
        <v>1537</v>
      </c>
      <c r="J572" s="17">
        <f t="shared" si="8"/>
        <v>0</v>
      </c>
    </row>
    <row r="573" spans="1:10" ht="15.75" customHeight="1" x14ac:dyDescent="0.3">
      <c r="A573" s="18">
        <v>45317</v>
      </c>
      <c r="B573" s="18">
        <v>45317</v>
      </c>
      <c r="C573" s="15" t="s">
        <v>2092</v>
      </c>
      <c r="D573" s="15" t="s">
        <v>1536</v>
      </c>
      <c r="E573" s="15"/>
      <c r="F573" s="16">
        <v>40</v>
      </c>
      <c r="G573" s="16">
        <v>0</v>
      </c>
      <c r="H573" s="16">
        <v>9125.56</v>
      </c>
      <c r="I573" s="15" t="s">
        <v>1537</v>
      </c>
      <c r="J573" s="17">
        <f t="shared" si="8"/>
        <v>0</v>
      </c>
    </row>
    <row r="574" spans="1:10" ht="15.75" customHeight="1" x14ac:dyDescent="0.3">
      <c r="A574" s="18">
        <v>45317</v>
      </c>
      <c r="B574" s="18">
        <v>45317</v>
      </c>
      <c r="C574" s="15" t="s">
        <v>2093</v>
      </c>
      <c r="D574" s="15" t="s">
        <v>1536</v>
      </c>
      <c r="E574" s="15"/>
      <c r="F574" s="16">
        <v>30</v>
      </c>
      <c r="G574" s="16">
        <v>0</v>
      </c>
      <c r="H574" s="16">
        <v>9095.56</v>
      </c>
      <c r="I574" s="15" t="s">
        <v>1537</v>
      </c>
      <c r="J574" s="17">
        <f t="shared" si="8"/>
        <v>0</v>
      </c>
    </row>
    <row r="575" spans="1:10" ht="15.75" customHeight="1" x14ac:dyDescent="0.3">
      <c r="A575" s="18">
        <v>45317</v>
      </c>
      <c r="B575" s="18">
        <v>45317</v>
      </c>
      <c r="C575" s="15" t="s">
        <v>2094</v>
      </c>
      <c r="D575" s="15" t="s">
        <v>1536</v>
      </c>
      <c r="E575" s="15"/>
      <c r="F575" s="16">
        <v>22</v>
      </c>
      <c r="G575" s="16">
        <v>0</v>
      </c>
      <c r="H575" s="16">
        <v>9073.56</v>
      </c>
      <c r="I575" s="15" t="s">
        <v>1537</v>
      </c>
      <c r="J575" s="17">
        <f t="shared" si="8"/>
        <v>0</v>
      </c>
    </row>
    <row r="576" spans="1:10" ht="15.75" customHeight="1" x14ac:dyDescent="0.3">
      <c r="A576" s="18">
        <v>45317</v>
      </c>
      <c r="B576" s="18">
        <v>45317</v>
      </c>
      <c r="C576" s="15" t="s">
        <v>2095</v>
      </c>
      <c r="D576" s="15" t="s">
        <v>1536</v>
      </c>
      <c r="E576" s="15"/>
      <c r="F576" s="16">
        <v>250</v>
      </c>
      <c r="G576" s="16">
        <v>0</v>
      </c>
      <c r="H576" s="16">
        <v>8823.56</v>
      </c>
      <c r="I576" s="15" t="s">
        <v>1537</v>
      </c>
      <c r="J576" s="17">
        <f t="shared" si="8"/>
        <v>0</v>
      </c>
    </row>
    <row r="577" spans="1:10" ht="15.75" customHeight="1" x14ac:dyDescent="0.3">
      <c r="A577" s="18">
        <v>45318</v>
      </c>
      <c r="B577" s="18">
        <v>45318</v>
      </c>
      <c r="C577" s="15" t="s">
        <v>2096</v>
      </c>
      <c r="D577" s="15" t="s">
        <v>1536</v>
      </c>
      <c r="E577" s="15"/>
      <c r="F577" s="16">
        <v>15</v>
      </c>
      <c r="G577" s="16">
        <v>0</v>
      </c>
      <c r="H577" s="16">
        <v>8808.56</v>
      </c>
      <c r="I577" s="15" t="s">
        <v>1537</v>
      </c>
      <c r="J577" s="17">
        <f t="shared" si="8"/>
        <v>0</v>
      </c>
    </row>
    <row r="578" spans="1:10" ht="15.75" customHeight="1" x14ac:dyDescent="0.3">
      <c r="A578" s="18">
        <v>45318</v>
      </c>
      <c r="B578" s="18">
        <v>45318</v>
      </c>
      <c r="C578" s="15" t="s">
        <v>2097</v>
      </c>
      <c r="D578" s="15" t="s">
        <v>1536</v>
      </c>
      <c r="E578" s="15"/>
      <c r="F578" s="16">
        <v>30</v>
      </c>
      <c r="G578" s="16">
        <v>0</v>
      </c>
      <c r="H578" s="16">
        <v>8778.56</v>
      </c>
      <c r="I578" s="15" t="s">
        <v>1537</v>
      </c>
      <c r="J578" s="17">
        <f t="shared" si="8"/>
        <v>0</v>
      </c>
    </row>
    <row r="579" spans="1:10" ht="15.75" customHeight="1" x14ac:dyDescent="0.3">
      <c r="A579" s="18">
        <v>45318</v>
      </c>
      <c r="B579" s="18">
        <v>45318</v>
      </c>
      <c r="C579" s="15" t="s">
        <v>2098</v>
      </c>
      <c r="D579" s="15" t="s">
        <v>1536</v>
      </c>
      <c r="E579" s="15"/>
      <c r="F579" s="16">
        <v>45</v>
      </c>
      <c r="G579" s="16">
        <v>0</v>
      </c>
      <c r="H579" s="16">
        <v>8733.56</v>
      </c>
      <c r="I579" s="15" t="s">
        <v>1537</v>
      </c>
      <c r="J579" s="17">
        <f t="shared" si="8"/>
        <v>0</v>
      </c>
    </row>
    <row r="580" spans="1:10" ht="15.75" customHeight="1" x14ac:dyDescent="0.3">
      <c r="A580" s="18">
        <v>45318</v>
      </c>
      <c r="B580" s="18">
        <v>45318</v>
      </c>
      <c r="C580" s="15" t="s">
        <v>2099</v>
      </c>
      <c r="D580" s="15" t="s">
        <v>1536</v>
      </c>
      <c r="E580" s="15"/>
      <c r="F580" s="16">
        <v>18</v>
      </c>
      <c r="G580" s="16">
        <v>0</v>
      </c>
      <c r="H580" s="16">
        <v>8715.56</v>
      </c>
      <c r="I580" s="15" t="s">
        <v>1537</v>
      </c>
      <c r="J580" s="17">
        <f t="shared" si="8"/>
        <v>0</v>
      </c>
    </row>
    <row r="581" spans="1:10" ht="15.75" customHeight="1" x14ac:dyDescent="0.3">
      <c r="A581" s="18">
        <v>45320</v>
      </c>
      <c r="B581" s="18">
        <v>45320</v>
      </c>
      <c r="C581" s="15" t="s">
        <v>2100</v>
      </c>
      <c r="D581" s="15" t="s">
        <v>1536</v>
      </c>
      <c r="E581" s="15"/>
      <c r="F581" s="16">
        <v>18</v>
      </c>
      <c r="G581" s="16">
        <v>0</v>
      </c>
      <c r="H581" s="16">
        <v>8697.56</v>
      </c>
      <c r="I581" s="15" t="s">
        <v>1537</v>
      </c>
      <c r="J581" s="17">
        <f t="shared" si="8"/>
        <v>0</v>
      </c>
    </row>
    <row r="582" spans="1:10" ht="15.75" customHeight="1" x14ac:dyDescent="0.3">
      <c r="A582" s="18">
        <v>45320</v>
      </c>
      <c r="B582" s="18">
        <v>45320</v>
      </c>
      <c r="C582" s="15" t="s">
        <v>2101</v>
      </c>
      <c r="D582" s="15" t="s">
        <v>1536</v>
      </c>
      <c r="E582" s="15"/>
      <c r="F582" s="16">
        <v>25</v>
      </c>
      <c r="G582" s="16">
        <v>0</v>
      </c>
      <c r="H582" s="16">
        <v>8672.56</v>
      </c>
      <c r="I582" s="15" t="s">
        <v>1537</v>
      </c>
      <c r="J582" s="17">
        <f t="shared" si="8"/>
        <v>0</v>
      </c>
    </row>
    <row r="583" spans="1:10" ht="15.75" customHeight="1" x14ac:dyDescent="0.3">
      <c r="A583" s="18">
        <v>45320</v>
      </c>
      <c r="B583" s="18">
        <v>45320</v>
      </c>
      <c r="C583" s="15" t="s">
        <v>2102</v>
      </c>
      <c r="D583" s="15" t="s">
        <v>1536</v>
      </c>
      <c r="E583" s="15"/>
      <c r="F583" s="16">
        <v>65</v>
      </c>
      <c r="G583" s="16">
        <v>0</v>
      </c>
      <c r="H583" s="16">
        <v>8607.56</v>
      </c>
      <c r="I583" s="15" t="s">
        <v>1537</v>
      </c>
      <c r="J583" s="17">
        <f t="shared" si="8"/>
        <v>0</v>
      </c>
    </row>
    <row r="584" spans="1:10" ht="15.75" customHeight="1" x14ac:dyDescent="0.3">
      <c r="A584" s="18">
        <v>45320</v>
      </c>
      <c r="B584" s="18">
        <v>45320</v>
      </c>
      <c r="C584" s="15" t="s">
        <v>2103</v>
      </c>
      <c r="D584" s="15" t="s">
        <v>1536</v>
      </c>
      <c r="E584" s="15"/>
      <c r="F584" s="16">
        <v>40</v>
      </c>
      <c r="G584" s="16">
        <v>0</v>
      </c>
      <c r="H584" s="16">
        <v>8567.56</v>
      </c>
      <c r="I584" s="15" t="s">
        <v>1537</v>
      </c>
      <c r="J584" s="17">
        <f t="shared" si="8"/>
        <v>0</v>
      </c>
    </row>
    <row r="585" spans="1:10" ht="15.75" customHeight="1" x14ac:dyDescent="0.3">
      <c r="A585" s="18">
        <v>45320</v>
      </c>
      <c r="B585" s="18">
        <v>45320</v>
      </c>
      <c r="C585" s="15" t="s">
        <v>2104</v>
      </c>
      <c r="D585" s="15" t="s">
        <v>1536</v>
      </c>
      <c r="E585" s="15"/>
      <c r="F585" s="16">
        <v>20</v>
      </c>
      <c r="G585" s="16">
        <v>0</v>
      </c>
      <c r="H585" s="16">
        <v>8547.56</v>
      </c>
      <c r="I585" s="15" t="s">
        <v>1537</v>
      </c>
      <c r="J585" s="17">
        <f t="shared" si="8"/>
        <v>0</v>
      </c>
    </row>
    <row r="586" spans="1:10" ht="15.75" customHeight="1" x14ac:dyDescent="0.3">
      <c r="A586" s="18">
        <v>45320</v>
      </c>
      <c r="B586" s="18">
        <v>45320</v>
      </c>
      <c r="C586" s="15" t="s">
        <v>2105</v>
      </c>
      <c r="D586" s="15" t="s">
        <v>1536</v>
      </c>
      <c r="E586" s="15"/>
      <c r="F586" s="16">
        <v>40</v>
      </c>
      <c r="G586" s="16">
        <v>0</v>
      </c>
      <c r="H586" s="16">
        <v>8507.56</v>
      </c>
      <c r="I586" s="15" t="s">
        <v>1537</v>
      </c>
      <c r="J586" s="17">
        <f t="shared" si="8"/>
        <v>0</v>
      </c>
    </row>
    <row r="587" spans="1:10" ht="15.75" customHeight="1" x14ac:dyDescent="0.3">
      <c r="A587" s="18">
        <v>45321</v>
      </c>
      <c r="B587" s="18">
        <v>45321</v>
      </c>
      <c r="C587" s="15" t="s">
        <v>2106</v>
      </c>
      <c r="D587" s="15" t="s">
        <v>1536</v>
      </c>
      <c r="E587" s="15"/>
      <c r="F587" s="16">
        <v>30</v>
      </c>
      <c r="G587" s="16">
        <v>0</v>
      </c>
      <c r="H587" s="16">
        <v>8477.56</v>
      </c>
      <c r="I587" s="15" t="s">
        <v>1537</v>
      </c>
      <c r="J587" s="17">
        <f t="shared" si="8"/>
        <v>0</v>
      </c>
    </row>
    <row r="588" spans="1:10" ht="15.75" customHeight="1" x14ac:dyDescent="0.3">
      <c r="A588" s="18">
        <v>45321</v>
      </c>
      <c r="B588" s="18">
        <v>45321</v>
      </c>
      <c r="C588" s="15" t="s">
        <v>2107</v>
      </c>
      <c r="D588" s="15" t="s">
        <v>1536</v>
      </c>
      <c r="E588" s="15"/>
      <c r="F588" s="16">
        <v>40</v>
      </c>
      <c r="G588" s="16">
        <v>0</v>
      </c>
      <c r="H588" s="16">
        <v>8437.56</v>
      </c>
      <c r="I588" s="15" t="s">
        <v>1537</v>
      </c>
      <c r="J588" s="17">
        <f t="shared" si="8"/>
        <v>0</v>
      </c>
    </row>
    <row r="589" spans="1:10" ht="15.75" customHeight="1" x14ac:dyDescent="0.3">
      <c r="A589" s="18">
        <v>45321</v>
      </c>
      <c r="B589" s="18">
        <v>45321</v>
      </c>
      <c r="C589" s="15" t="s">
        <v>2108</v>
      </c>
      <c r="D589" s="15" t="s">
        <v>1536</v>
      </c>
      <c r="E589" s="15"/>
      <c r="F589" s="16">
        <v>20</v>
      </c>
      <c r="G589" s="16">
        <v>0</v>
      </c>
      <c r="H589" s="16">
        <v>8417.56</v>
      </c>
      <c r="I589" s="15" t="s">
        <v>1537</v>
      </c>
      <c r="J589" s="17">
        <f t="shared" si="8"/>
        <v>0</v>
      </c>
    </row>
    <row r="590" spans="1:10" ht="15.75" customHeight="1" x14ac:dyDescent="0.3">
      <c r="A590" s="18">
        <v>45321</v>
      </c>
      <c r="B590" s="18">
        <v>45321</v>
      </c>
      <c r="C590" s="15" t="s">
        <v>2109</v>
      </c>
      <c r="D590" s="15" t="s">
        <v>1536</v>
      </c>
      <c r="E590" s="15"/>
      <c r="F590" s="16">
        <v>200</v>
      </c>
      <c r="G590" s="16">
        <v>0</v>
      </c>
      <c r="H590" s="16">
        <v>8217.56</v>
      </c>
      <c r="I590" s="15" t="s">
        <v>1537</v>
      </c>
      <c r="J590" s="17">
        <f t="shared" si="8"/>
        <v>0</v>
      </c>
    </row>
    <row r="591" spans="1:10" ht="15.75" customHeight="1" x14ac:dyDescent="0.3">
      <c r="A591" s="18">
        <v>45321</v>
      </c>
      <c r="B591" s="18">
        <v>45321</v>
      </c>
      <c r="C591" s="15" t="s">
        <v>2110</v>
      </c>
      <c r="D591" s="15" t="s">
        <v>1536</v>
      </c>
      <c r="E591" s="15"/>
      <c r="F591" s="16">
        <v>40</v>
      </c>
      <c r="G591" s="16">
        <v>0</v>
      </c>
      <c r="H591" s="16">
        <v>8177.56</v>
      </c>
      <c r="I591" s="15" t="s">
        <v>1537</v>
      </c>
      <c r="J591" s="17">
        <f t="shared" si="8"/>
        <v>0</v>
      </c>
    </row>
    <row r="592" spans="1:10" ht="15.75" customHeight="1" x14ac:dyDescent="0.3">
      <c r="A592" s="18">
        <v>45322</v>
      </c>
      <c r="B592" s="18">
        <v>45322</v>
      </c>
      <c r="C592" s="15" t="s">
        <v>2111</v>
      </c>
      <c r="D592" s="15" t="s">
        <v>1536</v>
      </c>
      <c r="E592" s="15"/>
      <c r="F592" s="16">
        <v>18</v>
      </c>
      <c r="G592" s="16">
        <v>0</v>
      </c>
      <c r="H592" s="16">
        <v>8159.56</v>
      </c>
      <c r="I592" s="15" t="s">
        <v>1537</v>
      </c>
      <c r="J592" s="17">
        <f t="shared" si="8"/>
        <v>0</v>
      </c>
    </row>
    <row r="593" spans="1:10" ht="15.75" customHeight="1" x14ac:dyDescent="0.3">
      <c r="A593" s="18">
        <v>45322</v>
      </c>
      <c r="B593" s="18">
        <v>45322</v>
      </c>
      <c r="C593" s="15" t="s">
        <v>2112</v>
      </c>
      <c r="D593" s="15" t="s">
        <v>1536</v>
      </c>
      <c r="E593" s="15"/>
      <c r="F593" s="16">
        <v>225</v>
      </c>
      <c r="G593" s="16">
        <v>0</v>
      </c>
      <c r="H593" s="16">
        <v>7934.56</v>
      </c>
      <c r="I593" s="15" t="s">
        <v>1537</v>
      </c>
      <c r="J593" s="17">
        <f t="shared" si="8"/>
        <v>0</v>
      </c>
    </row>
    <row r="594" spans="1:10" ht="15.75" customHeight="1" x14ac:dyDescent="0.3">
      <c r="A594" s="18">
        <v>45322</v>
      </c>
      <c r="B594" s="18">
        <v>45322</v>
      </c>
      <c r="C594" s="15" t="s">
        <v>2113</v>
      </c>
      <c r="D594" s="15" t="s">
        <v>1536</v>
      </c>
      <c r="E594" s="15"/>
      <c r="F594" s="16">
        <v>30</v>
      </c>
      <c r="G594" s="16">
        <v>0</v>
      </c>
      <c r="H594" s="16">
        <v>7904.56</v>
      </c>
      <c r="I594" s="15" t="s">
        <v>1537</v>
      </c>
      <c r="J594" s="17">
        <f t="shared" si="8"/>
        <v>0</v>
      </c>
    </row>
    <row r="595" spans="1:10" ht="15.75" customHeight="1" x14ac:dyDescent="0.3">
      <c r="A595" s="18">
        <v>45322</v>
      </c>
      <c r="B595" s="18">
        <v>45322</v>
      </c>
      <c r="C595" s="15" t="s">
        <v>2114</v>
      </c>
      <c r="D595" s="15" t="s">
        <v>1536</v>
      </c>
      <c r="E595" s="15"/>
      <c r="F595" s="16">
        <v>10</v>
      </c>
      <c r="G595" s="16">
        <v>0</v>
      </c>
      <c r="H595" s="16">
        <v>7894.56</v>
      </c>
      <c r="I595" s="15" t="s">
        <v>1537</v>
      </c>
      <c r="J595" s="17">
        <f t="shared" ref="J595:J658" si="9">H594-F595+G595-H595</f>
        <v>0</v>
      </c>
    </row>
    <row r="596" spans="1:10" ht="15.75" customHeight="1" x14ac:dyDescent="0.3">
      <c r="A596" s="18">
        <v>45322</v>
      </c>
      <c r="B596" s="18">
        <v>45322</v>
      </c>
      <c r="C596" s="15" t="s">
        <v>2115</v>
      </c>
      <c r="D596" s="15" t="s">
        <v>1536</v>
      </c>
      <c r="E596" s="15"/>
      <c r="F596" s="16">
        <v>40</v>
      </c>
      <c r="G596" s="16">
        <v>0</v>
      </c>
      <c r="H596" s="16">
        <v>7854.56</v>
      </c>
      <c r="I596" s="15" t="s">
        <v>1537</v>
      </c>
      <c r="J596" s="17">
        <f t="shared" si="9"/>
        <v>0</v>
      </c>
    </row>
    <row r="597" spans="1:10" ht="15.75" customHeight="1" x14ac:dyDescent="0.3">
      <c r="A597" s="18">
        <v>45322</v>
      </c>
      <c r="B597" s="18">
        <v>45322</v>
      </c>
      <c r="C597" s="15" t="s">
        <v>2116</v>
      </c>
      <c r="D597" s="15" t="s">
        <v>1536</v>
      </c>
      <c r="E597" s="15"/>
      <c r="F597" s="16">
        <v>17</v>
      </c>
      <c r="G597" s="16">
        <v>0</v>
      </c>
      <c r="H597" s="16">
        <v>7837.56</v>
      </c>
      <c r="I597" s="15" t="s">
        <v>1537</v>
      </c>
      <c r="J597" s="17">
        <f t="shared" si="9"/>
        <v>0</v>
      </c>
    </row>
    <row r="598" spans="1:10" ht="15.75" customHeight="1" x14ac:dyDescent="0.3">
      <c r="A598" s="18">
        <v>45322</v>
      </c>
      <c r="B598" s="18">
        <v>45322</v>
      </c>
      <c r="C598" s="15" t="s">
        <v>2117</v>
      </c>
      <c r="D598" s="15" t="s">
        <v>1536</v>
      </c>
      <c r="E598" s="15"/>
      <c r="F598" s="16">
        <v>0</v>
      </c>
      <c r="G598" s="16">
        <v>22500</v>
      </c>
      <c r="H598" s="16">
        <v>30337.56</v>
      </c>
      <c r="I598" s="15" t="s">
        <v>1540</v>
      </c>
      <c r="J598" s="17">
        <f t="shared" si="9"/>
        <v>0</v>
      </c>
    </row>
    <row r="599" spans="1:10" ht="15.75" customHeight="1" x14ac:dyDescent="0.3">
      <c r="A599" s="18">
        <v>45324</v>
      </c>
      <c r="B599" s="18">
        <v>45324</v>
      </c>
      <c r="C599" s="15" t="s">
        <v>2118</v>
      </c>
      <c r="D599" s="15" t="s">
        <v>1536</v>
      </c>
      <c r="E599" s="15"/>
      <c r="F599" s="16">
        <v>40</v>
      </c>
      <c r="G599" s="16">
        <v>0</v>
      </c>
      <c r="H599" s="16">
        <v>30297.56</v>
      </c>
      <c r="I599" s="15" t="s">
        <v>1537</v>
      </c>
      <c r="J599" s="17">
        <f t="shared" si="9"/>
        <v>0</v>
      </c>
    </row>
    <row r="600" spans="1:10" ht="15.75" customHeight="1" x14ac:dyDescent="0.3">
      <c r="A600" s="18">
        <v>45324</v>
      </c>
      <c r="B600" s="18">
        <v>45324</v>
      </c>
      <c r="C600" s="15" t="s">
        <v>2119</v>
      </c>
      <c r="D600" s="15" t="s">
        <v>1536</v>
      </c>
      <c r="E600" s="15"/>
      <c r="F600" s="16">
        <v>9297.56</v>
      </c>
      <c r="G600" s="16">
        <v>0</v>
      </c>
      <c r="H600" s="16">
        <v>21000</v>
      </c>
      <c r="I600" s="15" t="s">
        <v>1537</v>
      </c>
      <c r="J600" s="17">
        <f t="shared" si="9"/>
        <v>0</v>
      </c>
    </row>
    <row r="601" spans="1:10" ht="15.75" customHeight="1" x14ac:dyDescent="0.3">
      <c r="A601" s="18">
        <v>45324</v>
      </c>
      <c r="B601" s="18">
        <v>45324</v>
      </c>
      <c r="C601" s="15" t="s">
        <v>2120</v>
      </c>
      <c r="D601" s="15" t="s">
        <v>1536</v>
      </c>
      <c r="E601" s="15"/>
      <c r="F601" s="16">
        <v>90</v>
      </c>
      <c r="G601" s="16">
        <v>0</v>
      </c>
      <c r="H601" s="16">
        <v>20910</v>
      </c>
      <c r="I601" s="15" t="s">
        <v>1537</v>
      </c>
      <c r="J601" s="17">
        <f t="shared" si="9"/>
        <v>0</v>
      </c>
    </row>
    <row r="602" spans="1:10" ht="15.75" customHeight="1" x14ac:dyDescent="0.3">
      <c r="A602" s="18">
        <v>45325</v>
      </c>
      <c r="B602" s="18">
        <v>45325</v>
      </c>
      <c r="C602" s="15" t="s">
        <v>2121</v>
      </c>
      <c r="D602" s="15" t="s">
        <v>1536</v>
      </c>
      <c r="E602" s="15"/>
      <c r="F602" s="16">
        <v>1000</v>
      </c>
      <c r="G602" s="16">
        <v>0</v>
      </c>
      <c r="H602" s="16">
        <v>19910</v>
      </c>
      <c r="I602" s="15" t="s">
        <v>1537</v>
      </c>
      <c r="J602" s="17">
        <f t="shared" si="9"/>
        <v>0</v>
      </c>
    </row>
    <row r="603" spans="1:10" ht="15.75" customHeight="1" x14ac:dyDescent="0.3">
      <c r="A603" s="18">
        <v>45325</v>
      </c>
      <c r="B603" s="18">
        <v>45325</v>
      </c>
      <c r="C603" s="15" t="s">
        <v>2122</v>
      </c>
      <c r="D603" s="15" t="s">
        <v>1536</v>
      </c>
      <c r="E603" s="15"/>
      <c r="F603" s="16">
        <v>78</v>
      </c>
      <c r="G603" s="16">
        <v>0</v>
      </c>
      <c r="H603" s="16">
        <v>19832</v>
      </c>
      <c r="I603" s="15" t="s">
        <v>1537</v>
      </c>
      <c r="J603" s="17">
        <f t="shared" si="9"/>
        <v>0</v>
      </c>
    </row>
    <row r="604" spans="1:10" ht="15.75" customHeight="1" x14ac:dyDescent="0.3">
      <c r="A604" s="18">
        <v>45325</v>
      </c>
      <c r="B604" s="18">
        <v>45325</v>
      </c>
      <c r="C604" s="15" t="s">
        <v>2123</v>
      </c>
      <c r="D604" s="15" t="s">
        <v>1536</v>
      </c>
      <c r="E604" s="15"/>
      <c r="F604" s="16">
        <v>50</v>
      </c>
      <c r="G604" s="16">
        <v>0</v>
      </c>
      <c r="H604" s="16">
        <v>19782</v>
      </c>
      <c r="I604" s="15" t="s">
        <v>1537</v>
      </c>
      <c r="J604" s="17">
        <f t="shared" si="9"/>
        <v>0</v>
      </c>
    </row>
    <row r="605" spans="1:10" ht="15.75" customHeight="1" x14ac:dyDescent="0.3">
      <c r="A605" s="18">
        <v>45325</v>
      </c>
      <c r="B605" s="18">
        <v>45325</v>
      </c>
      <c r="C605" s="15" t="s">
        <v>2124</v>
      </c>
      <c r="D605" s="15" t="s">
        <v>1536</v>
      </c>
      <c r="E605" s="15"/>
      <c r="F605" s="16">
        <v>37</v>
      </c>
      <c r="G605" s="16">
        <v>0</v>
      </c>
      <c r="H605" s="16">
        <v>19745</v>
      </c>
      <c r="I605" s="15" t="s">
        <v>1537</v>
      </c>
      <c r="J605" s="17">
        <f t="shared" si="9"/>
        <v>0</v>
      </c>
    </row>
    <row r="606" spans="1:10" ht="15.75" customHeight="1" x14ac:dyDescent="0.3">
      <c r="A606" s="18">
        <v>45325</v>
      </c>
      <c r="B606" s="18">
        <v>45325</v>
      </c>
      <c r="C606" s="15" t="s">
        <v>2125</v>
      </c>
      <c r="D606" s="15" t="s">
        <v>1536</v>
      </c>
      <c r="E606" s="15"/>
      <c r="F606" s="16">
        <v>30</v>
      </c>
      <c r="G606" s="16">
        <v>0</v>
      </c>
      <c r="H606" s="16">
        <v>19715</v>
      </c>
      <c r="I606" s="15" t="s">
        <v>1537</v>
      </c>
      <c r="J606" s="17">
        <f t="shared" si="9"/>
        <v>0</v>
      </c>
    </row>
    <row r="607" spans="1:10" ht="15.75" customHeight="1" x14ac:dyDescent="0.3">
      <c r="A607" s="18">
        <v>45325</v>
      </c>
      <c r="B607" s="18">
        <v>45325</v>
      </c>
      <c r="C607" s="15" t="s">
        <v>2126</v>
      </c>
      <c r="D607" s="15" t="s">
        <v>1536</v>
      </c>
      <c r="E607" s="15"/>
      <c r="F607" s="16">
        <v>40</v>
      </c>
      <c r="G607" s="16">
        <v>0</v>
      </c>
      <c r="H607" s="16">
        <v>19675</v>
      </c>
      <c r="I607" s="15" t="s">
        <v>1537</v>
      </c>
      <c r="J607" s="17">
        <f t="shared" si="9"/>
        <v>0</v>
      </c>
    </row>
    <row r="608" spans="1:10" ht="15.75" customHeight="1" x14ac:dyDescent="0.3">
      <c r="A608" s="18">
        <v>45326</v>
      </c>
      <c r="B608" s="18">
        <v>45326</v>
      </c>
      <c r="C608" s="15" t="s">
        <v>2127</v>
      </c>
      <c r="D608" s="15" t="s">
        <v>1536</v>
      </c>
      <c r="E608" s="15"/>
      <c r="F608" s="16">
        <v>18</v>
      </c>
      <c r="G608" s="16">
        <v>0</v>
      </c>
      <c r="H608" s="16">
        <v>19657</v>
      </c>
      <c r="I608" s="15" t="s">
        <v>1537</v>
      </c>
      <c r="J608" s="17">
        <f t="shared" si="9"/>
        <v>0</v>
      </c>
    </row>
    <row r="609" spans="1:10" ht="15.75" customHeight="1" x14ac:dyDescent="0.3">
      <c r="A609" s="18">
        <v>45326</v>
      </c>
      <c r="B609" s="18">
        <v>45326</v>
      </c>
      <c r="C609" s="15" t="s">
        <v>2128</v>
      </c>
      <c r="D609" s="15" t="s">
        <v>1536</v>
      </c>
      <c r="E609" s="15"/>
      <c r="F609" s="16">
        <v>17</v>
      </c>
      <c r="G609" s="16">
        <v>0</v>
      </c>
      <c r="H609" s="16">
        <v>19640</v>
      </c>
      <c r="I609" s="15" t="s">
        <v>1537</v>
      </c>
      <c r="J609" s="17">
        <f t="shared" si="9"/>
        <v>0</v>
      </c>
    </row>
    <row r="610" spans="1:10" ht="15.75" customHeight="1" x14ac:dyDescent="0.3">
      <c r="A610" s="18">
        <v>45326</v>
      </c>
      <c r="B610" s="18">
        <v>45326</v>
      </c>
      <c r="C610" s="15" t="s">
        <v>2129</v>
      </c>
      <c r="D610" s="15" t="s">
        <v>1536</v>
      </c>
      <c r="E610" s="15"/>
      <c r="F610" s="16">
        <v>30</v>
      </c>
      <c r="G610" s="16">
        <v>0</v>
      </c>
      <c r="H610" s="16">
        <v>19610</v>
      </c>
      <c r="I610" s="15" t="s">
        <v>1537</v>
      </c>
      <c r="J610" s="17">
        <f t="shared" si="9"/>
        <v>0</v>
      </c>
    </row>
    <row r="611" spans="1:10" ht="15.75" customHeight="1" x14ac:dyDescent="0.3">
      <c r="A611" s="18">
        <v>45326</v>
      </c>
      <c r="B611" s="18">
        <v>45326</v>
      </c>
      <c r="C611" s="15" t="s">
        <v>2130</v>
      </c>
      <c r="D611" s="15" t="s">
        <v>1536</v>
      </c>
      <c r="E611" s="15"/>
      <c r="F611" s="16">
        <v>60</v>
      </c>
      <c r="G611" s="16">
        <v>0</v>
      </c>
      <c r="H611" s="16">
        <v>19550</v>
      </c>
      <c r="I611" s="15" t="s">
        <v>1537</v>
      </c>
      <c r="J611" s="17">
        <f t="shared" si="9"/>
        <v>0</v>
      </c>
    </row>
    <row r="612" spans="1:10" ht="15.75" customHeight="1" x14ac:dyDescent="0.3">
      <c r="A612" s="18">
        <v>45326</v>
      </c>
      <c r="B612" s="18">
        <v>45326</v>
      </c>
      <c r="C612" s="15" t="s">
        <v>2131</v>
      </c>
      <c r="D612" s="15" t="s">
        <v>1536</v>
      </c>
      <c r="E612" s="15"/>
      <c r="F612" s="16">
        <v>293</v>
      </c>
      <c r="G612" s="16">
        <v>0</v>
      </c>
      <c r="H612" s="16">
        <v>19257</v>
      </c>
      <c r="I612" s="15" t="s">
        <v>1537</v>
      </c>
      <c r="J612" s="17">
        <f t="shared" si="9"/>
        <v>0</v>
      </c>
    </row>
    <row r="613" spans="1:10" ht="15.75" customHeight="1" x14ac:dyDescent="0.3">
      <c r="A613" s="18">
        <v>45327</v>
      </c>
      <c r="B613" s="18">
        <v>45327</v>
      </c>
      <c r="C613" s="15" t="s">
        <v>2132</v>
      </c>
      <c r="D613" s="15" t="s">
        <v>1536</v>
      </c>
      <c r="E613" s="15"/>
      <c r="F613" s="16">
        <v>30</v>
      </c>
      <c r="G613" s="16">
        <v>0</v>
      </c>
      <c r="H613" s="16">
        <v>19227</v>
      </c>
      <c r="I613" s="15" t="s">
        <v>1537</v>
      </c>
      <c r="J613" s="17">
        <f t="shared" si="9"/>
        <v>0</v>
      </c>
    </row>
    <row r="614" spans="1:10" ht="15.75" customHeight="1" x14ac:dyDescent="0.3">
      <c r="A614" s="18">
        <v>45327</v>
      </c>
      <c r="B614" s="18">
        <v>45327</v>
      </c>
      <c r="C614" s="15" t="s">
        <v>2133</v>
      </c>
      <c r="D614" s="15" t="s">
        <v>1536</v>
      </c>
      <c r="E614" s="15"/>
      <c r="F614" s="16">
        <v>10</v>
      </c>
      <c r="G614" s="16">
        <v>0</v>
      </c>
      <c r="H614" s="16">
        <v>19217</v>
      </c>
      <c r="I614" s="15" t="s">
        <v>1537</v>
      </c>
      <c r="J614" s="17">
        <f t="shared" si="9"/>
        <v>0</v>
      </c>
    </row>
    <row r="615" spans="1:10" ht="15.75" customHeight="1" x14ac:dyDescent="0.3">
      <c r="A615" s="18">
        <v>45327</v>
      </c>
      <c r="B615" s="18">
        <v>45327</v>
      </c>
      <c r="C615" s="15" t="s">
        <v>2134</v>
      </c>
      <c r="D615" s="15" t="s">
        <v>1536</v>
      </c>
      <c r="E615" s="15"/>
      <c r="F615" s="16">
        <v>20</v>
      </c>
      <c r="G615" s="16">
        <v>0</v>
      </c>
      <c r="H615" s="16">
        <v>19197</v>
      </c>
      <c r="I615" s="15" t="s">
        <v>1537</v>
      </c>
      <c r="J615" s="17">
        <f t="shared" si="9"/>
        <v>0</v>
      </c>
    </row>
    <row r="616" spans="1:10" ht="15.75" customHeight="1" x14ac:dyDescent="0.3">
      <c r="A616" s="18">
        <v>45327</v>
      </c>
      <c r="B616" s="18">
        <v>45327</v>
      </c>
      <c r="C616" s="15" t="s">
        <v>2135</v>
      </c>
      <c r="D616" s="15" t="s">
        <v>1536</v>
      </c>
      <c r="E616" s="15"/>
      <c r="F616" s="16">
        <v>30</v>
      </c>
      <c r="G616" s="16">
        <v>0</v>
      </c>
      <c r="H616" s="16">
        <v>19167</v>
      </c>
      <c r="I616" s="15" t="s">
        <v>1537</v>
      </c>
      <c r="J616" s="17">
        <f t="shared" si="9"/>
        <v>0</v>
      </c>
    </row>
    <row r="617" spans="1:10" ht="15.75" customHeight="1" x14ac:dyDescent="0.3">
      <c r="A617" s="18">
        <v>45327</v>
      </c>
      <c r="B617" s="18">
        <v>45327</v>
      </c>
      <c r="C617" s="15" t="s">
        <v>2136</v>
      </c>
      <c r="D617" s="15" t="s">
        <v>1536</v>
      </c>
      <c r="E617" s="15"/>
      <c r="F617" s="16">
        <v>10</v>
      </c>
      <c r="G617" s="16">
        <v>0</v>
      </c>
      <c r="H617" s="16">
        <v>19157</v>
      </c>
      <c r="I617" s="15" t="s">
        <v>1537</v>
      </c>
      <c r="J617" s="17">
        <f t="shared" si="9"/>
        <v>0</v>
      </c>
    </row>
    <row r="618" spans="1:10" ht="15.75" customHeight="1" x14ac:dyDescent="0.3">
      <c r="A618" s="18">
        <v>45328</v>
      </c>
      <c r="B618" s="18">
        <v>45328</v>
      </c>
      <c r="C618" s="15" t="s">
        <v>2137</v>
      </c>
      <c r="D618" s="15" t="s">
        <v>1536</v>
      </c>
      <c r="E618" s="15"/>
      <c r="F618" s="16">
        <v>10</v>
      </c>
      <c r="G618" s="16">
        <v>0</v>
      </c>
      <c r="H618" s="16">
        <v>19147</v>
      </c>
      <c r="I618" s="15" t="s">
        <v>1537</v>
      </c>
      <c r="J618" s="17">
        <f t="shared" si="9"/>
        <v>0</v>
      </c>
    </row>
    <row r="619" spans="1:10" ht="15.75" customHeight="1" x14ac:dyDescent="0.3">
      <c r="A619" s="18">
        <v>45328</v>
      </c>
      <c r="B619" s="18">
        <v>45328</v>
      </c>
      <c r="C619" s="15" t="s">
        <v>2138</v>
      </c>
      <c r="D619" s="15" t="s">
        <v>1536</v>
      </c>
      <c r="E619" s="15"/>
      <c r="F619" s="16">
        <v>70</v>
      </c>
      <c r="G619" s="16">
        <v>0</v>
      </c>
      <c r="H619" s="16">
        <v>19077</v>
      </c>
      <c r="I619" s="15" t="s">
        <v>1537</v>
      </c>
      <c r="J619" s="17">
        <f t="shared" si="9"/>
        <v>0</v>
      </c>
    </row>
    <row r="620" spans="1:10" ht="15.75" customHeight="1" x14ac:dyDescent="0.3">
      <c r="A620" s="18">
        <v>45328</v>
      </c>
      <c r="B620" s="18">
        <v>45328</v>
      </c>
      <c r="C620" s="15" t="s">
        <v>2139</v>
      </c>
      <c r="D620" s="15" t="s">
        <v>1536</v>
      </c>
      <c r="E620" s="15"/>
      <c r="F620" s="16">
        <v>170</v>
      </c>
      <c r="G620" s="16">
        <v>0</v>
      </c>
      <c r="H620" s="16">
        <v>18907</v>
      </c>
      <c r="I620" s="15" t="s">
        <v>1537</v>
      </c>
      <c r="J620" s="17">
        <f t="shared" si="9"/>
        <v>0</v>
      </c>
    </row>
    <row r="621" spans="1:10" ht="15.75" customHeight="1" x14ac:dyDescent="0.3">
      <c r="A621" s="18">
        <v>45328</v>
      </c>
      <c r="B621" s="18">
        <v>45328</v>
      </c>
      <c r="C621" s="15" t="s">
        <v>2140</v>
      </c>
      <c r="D621" s="15" t="s">
        <v>1536</v>
      </c>
      <c r="E621" s="15"/>
      <c r="F621" s="16">
        <v>40</v>
      </c>
      <c r="G621" s="16">
        <v>0</v>
      </c>
      <c r="H621" s="16">
        <v>18867</v>
      </c>
      <c r="I621" s="15" t="s">
        <v>1537</v>
      </c>
      <c r="J621" s="17">
        <f t="shared" si="9"/>
        <v>0</v>
      </c>
    </row>
    <row r="622" spans="1:10" ht="15.75" customHeight="1" x14ac:dyDescent="0.3">
      <c r="A622" s="18">
        <v>45328</v>
      </c>
      <c r="B622" s="18">
        <v>45328</v>
      </c>
      <c r="C622" s="15" t="s">
        <v>2141</v>
      </c>
      <c r="D622" s="15" t="s">
        <v>1536</v>
      </c>
      <c r="E622" s="15"/>
      <c r="F622" s="16">
        <v>10</v>
      </c>
      <c r="G622" s="16">
        <v>0</v>
      </c>
      <c r="H622" s="16">
        <v>18857</v>
      </c>
      <c r="I622" s="15" t="s">
        <v>1537</v>
      </c>
      <c r="J622" s="17">
        <f t="shared" si="9"/>
        <v>0</v>
      </c>
    </row>
    <row r="623" spans="1:10" ht="15.75" customHeight="1" x14ac:dyDescent="0.3">
      <c r="A623" s="18">
        <v>45328</v>
      </c>
      <c r="B623" s="18">
        <v>45328</v>
      </c>
      <c r="C623" s="15" t="s">
        <v>2142</v>
      </c>
      <c r="D623" s="15" t="s">
        <v>1536</v>
      </c>
      <c r="E623" s="15"/>
      <c r="F623" s="16">
        <v>25</v>
      </c>
      <c r="G623" s="16">
        <v>0</v>
      </c>
      <c r="H623" s="16">
        <v>18832</v>
      </c>
      <c r="I623" s="15" t="s">
        <v>1537</v>
      </c>
      <c r="J623" s="17">
        <f t="shared" si="9"/>
        <v>0</v>
      </c>
    </row>
    <row r="624" spans="1:10" ht="15.75" customHeight="1" x14ac:dyDescent="0.3">
      <c r="A624" s="18">
        <v>45328</v>
      </c>
      <c r="B624" s="18">
        <v>45328</v>
      </c>
      <c r="C624" s="15" t="s">
        <v>2143</v>
      </c>
      <c r="D624" s="15" t="s">
        <v>1536</v>
      </c>
      <c r="E624" s="15"/>
      <c r="F624" s="16">
        <v>70</v>
      </c>
      <c r="G624" s="16">
        <v>0</v>
      </c>
      <c r="H624" s="16">
        <v>18762</v>
      </c>
      <c r="I624" s="15" t="s">
        <v>1537</v>
      </c>
      <c r="J624" s="17">
        <f t="shared" si="9"/>
        <v>0</v>
      </c>
    </row>
    <row r="625" spans="1:10" ht="15.75" customHeight="1" x14ac:dyDescent="0.3">
      <c r="A625" s="18">
        <v>45329</v>
      </c>
      <c r="B625" s="18">
        <v>45329</v>
      </c>
      <c r="C625" s="15" t="s">
        <v>2144</v>
      </c>
      <c r="D625" s="15" t="s">
        <v>1536</v>
      </c>
      <c r="E625" s="15"/>
      <c r="F625" s="16">
        <v>45</v>
      </c>
      <c r="G625" s="16">
        <v>0</v>
      </c>
      <c r="H625" s="16">
        <v>18717</v>
      </c>
      <c r="I625" s="15" t="s">
        <v>1537</v>
      </c>
      <c r="J625" s="17">
        <f t="shared" si="9"/>
        <v>0</v>
      </c>
    </row>
    <row r="626" spans="1:10" ht="15.75" customHeight="1" x14ac:dyDescent="0.3">
      <c r="A626" s="18">
        <v>45329</v>
      </c>
      <c r="B626" s="18">
        <v>45329</v>
      </c>
      <c r="C626" s="15" t="s">
        <v>2145</v>
      </c>
      <c r="D626" s="15" t="s">
        <v>1536</v>
      </c>
      <c r="E626" s="15"/>
      <c r="F626" s="16">
        <v>80</v>
      </c>
      <c r="G626" s="16">
        <v>0</v>
      </c>
      <c r="H626" s="16">
        <v>18637</v>
      </c>
      <c r="I626" s="15" t="s">
        <v>1537</v>
      </c>
      <c r="J626" s="17">
        <f t="shared" si="9"/>
        <v>0</v>
      </c>
    </row>
    <row r="627" spans="1:10" ht="15.75" customHeight="1" x14ac:dyDescent="0.3">
      <c r="A627" s="18">
        <v>45329</v>
      </c>
      <c r="B627" s="18">
        <v>45329</v>
      </c>
      <c r="C627" s="15" t="s">
        <v>2146</v>
      </c>
      <c r="D627" s="15" t="s">
        <v>1536</v>
      </c>
      <c r="E627" s="15"/>
      <c r="F627" s="16">
        <v>80</v>
      </c>
      <c r="G627" s="16">
        <v>0</v>
      </c>
      <c r="H627" s="16">
        <v>18557</v>
      </c>
      <c r="I627" s="15" t="s">
        <v>1537</v>
      </c>
      <c r="J627" s="17">
        <f t="shared" si="9"/>
        <v>0</v>
      </c>
    </row>
    <row r="628" spans="1:10" ht="15.75" customHeight="1" x14ac:dyDescent="0.3">
      <c r="A628" s="18">
        <v>45329</v>
      </c>
      <c r="B628" s="18">
        <v>45329</v>
      </c>
      <c r="C628" s="15" t="s">
        <v>2147</v>
      </c>
      <c r="D628" s="15" t="s">
        <v>1536</v>
      </c>
      <c r="E628" s="15"/>
      <c r="F628" s="16">
        <v>75</v>
      </c>
      <c r="G628" s="16">
        <v>0</v>
      </c>
      <c r="H628" s="16">
        <v>18482</v>
      </c>
      <c r="I628" s="15" t="s">
        <v>1537</v>
      </c>
      <c r="J628" s="17">
        <f t="shared" si="9"/>
        <v>0</v>
      </c>
    </row>
    <row r="629" spans="1:10" ht="15.75" customHeight="1" x14ac:dyDescent="0.3">
      <c r="A629" s="18">
        <v>45330</v>
      </c>
      <c r="B629" s="18">
        <v>45330</v>
      </c>
      <c r="C629" s="15" t="s">
        <v>2148</v>
      </c>
      <c r="D629" s="15" t="s">
        <v>1536</v>
      </c>
      <c r="E629" s="15"/>
      <c r="F629" s="16">
        <v>31</v>
      </c>
      <c r="G629" s="16">
        <v>0</v>
      </c>
      <c r="H629" s="16">
        <v>18451</v>
      </c>
      <c r="I629" s="15" t="s">
        <v>1537</v>
      </c>
      <c r="J629" s="17">
        <f t="shared" si="9"/>
        <v>0</v>
      </c>
    </row>
    <row r="630" spans="1:10" ht="15.75" customHeight="1" x14ac:dyDescent="0.3">
      <c r="A630" s="18">
        <v>45330</v>
      </c>
      <c r="B630" s="18">
        <v>45330</v>
      </c>
      <c r="C630" s="15" t="s">
        <v>2149</v>
      </c>
      <c r="D630" s="15" t="s">
        <v>1536</v>
      </c>
      <c r="E630" s="15"/>
      <c r="F630" s="16">
        <v>10</v>
      </c>
      <c r="G630" s="16">
        <v>0</v>
      </c>
      <c r="H630" s="16">
        <v>18441</v>
      </c>
      <c r="I630" s="15" t="s">
        <v>1537</v>
      </c>
      <c r="J630" s="17">
        <f t="shared" si="9"/>
        <v>0</v>
      </c>
    </row>
    <row r="631" spans="1:10" ht="15.75" customHeight="1" x14ac:dyDescent="0.3">
      <c r="A631" s="18">
        <v>45330</v>
      </c>
      <c r="B631" s="18">
        <v>45330</v>
      </c>
      <c r="C631" s="15" t="s">
        <v>2150</v>
      </c>
      <c r="D631" s="15" t="s">
        <v>1536</v>
      </c>
      <c r="E631" s="15"/>
      <c r="F631" s="16">
        <v>70</v>
      </c>
      <c r="G631" s="16">
        <v>0</v>
      </c>
      <c r="H631" s="16">
        <v>18371</v>
      </c>
      <c r="I631" s="15" t="s">
        <v>1537</v>
      </c>
      <c r="J631" s="17">
        <f t="shared" si="9"/>
        <v>0</v>
      </c>
    </row>
    <row r="632" spans="1:10" ht="15.75" customHeight="1" x14ac:dyDescent="0.3">
      <c r="A632" s="18">
        <v>45330</v>
      </c>
      <c r="B632" s="18">
        <v>45330</v>
      </c>
      <c r="C632" s="15" t="s">
        <v>2151</v>
      </c>
      <c r="D632" s="15" t="s">
        <v>1536</v>
      </c>
      <c r="E632" s="15"/>
      <c r="F632" s="16">
        <v>10</v>
      </c>
      <c r="G632" s="16">
        <v>0</v>
      </c>
      <c r="H632" s="16">
        <v>18361</v>
      </c>
      <c r="I632" s="15" t="s">
        <v>1537</v>
      </c>
      <c r="J632" s="17">
        <f t="shared" si="9"/>
        <v>0</v>
      </c>
    </row>
    <row r="633" spans="1:10" ht="15.75" customHeight="1" x14ac:dyDescent="0.3">
      <c r="A633" s="18">
        <v>45330</v>
      </c>
      <c r="B633" s="18">
        <v>45330</v>
      </c>
      <c r="C633" s="15" t="s">
        <v>2152</v>
      </c>
      <c r="D633" s="15" t="s">
        <v>1536</v>
      </c>
      <c r="E633" s="15"/>
      <c r="F633" s="16">
        <v>50</v>
      </c>
      <c r="G633" s="16">
        <v>0</v>
      </c>
      <c r="H633" s="16">
        <v>18311</v>
      </c>
      <c r="I633" s="15" t="s">
        <v>1537</v>
      </c>
      <c r="J633" s="17">
        <f t="shared" si="9"/>
        <v>0</v>
      </c>
    </row>
    <row r="634" spans="1:10" ht="15.75" customHeight="1" x14ac:dyDescent="0.3">
      <c r="A634" s="18">
        <v>45331</v>
      </c>
      <c r="B634" s="18">
        <v>45331</v>
      </c>
      <c r="C634" s="15" t="s">
        <v>2153</v>
      </c>
      <c r="D634" s="15" t="s">
        <v>1536</v>
      </c>
      <c r="E634" s="15"/>
      <c r="F634" s="16">
        <v>18</v>
      </c>
      <c r="G634" s="16">
        <v>0</v>
      </c>
      <c r="H634" s="16">
        <v>18293</v>
      </c>
      <c r="I634" s="15" t="s">
        <v>1537</v>
      </c>
      <c r="J634" s="17">
        <f t="shared" si="9"/>
        <v>0</v>
      </c>
    </row>
    <row r="635" spans="1:10" ht="15.75" customHeight="1" x14ac:dyDescent="0.3">
      <c r="A635" s="18">
        <v>45331</v>
      </c>
      <c r="B635" s="18">
        <v>45331</v>
      </c>
      <c r="C635" s="15" t="s">
        <v>2154</v>
      </c>
      <c r="D635" s="15" t="s">
        <v>1536</v>
      </c>
      <c r="E635" s="15"/>
      <c r="F635" s="16">
        <v>30</v>
      </c>
      <c r="G635" s="16">
        <v>0</v>
      </c>
      <c r="H635" s="16">
        <v>18263</v>
      </c>
      <c r="I635" s="15" t="s">
        <v>1537</v>
      </c>
      <c r="J635" s="17">
        <f t="shared" si="9"/>
        <v>0</v>
      </c>
    </row>
    <row r="636" spans="1:10" ht="15.75" customHeight="1" x14ac:dyDescent="0.3">
      <c r="A636" s="18">
        <v>45331</v>
      </c>
      <c r="B636" s="18">
        <v>45331</v>
      </c>
      <c r="C636" s="15" t="s">
        <v>2155</v>
      </c>
      <c r="D636" s="15" t="s">
        <v>1536</v>
      </c>
      <c r="E636" s="15"/>
      <c r="F636" s="16">
        <v>21</v>
      </c>
      <c r="G636" s="16">
        <v>0</v>
      </c>
      <c r="H636" s="16">
        <v>18242</v>
      </c>
      <c r="I636" s="15" t="s">
        <v>1537</v>
      </c>
      <c r="J636" s="17">
        <f t="shared" si="9"/>
        <v>0</v>
      </c>
    </row>
    <row r="637" spans="1:10" ht="15.75" customHeight="1" x14ac:dyDescent="0.3">
      <c r="A637" s="18">
        <v>45331</v>
      </c>
      <c r="B637" s="18">
        <v>45331</v>
      </c>
      <c r="C637" s="15" t="s">
        <v>2156</v>
      </c>
      <c r="D637" s="15" t="s">
        <v>1536</v>
      </c>
      <c r="E637" s="15"/>
      <c r="F637" s="16">
        <v>10</v>
      </c>
      <c r="G637" s="16">
        <v>0</v>
      </c>
      <c r="H637" s="16">
        <v>18232</v>
      </c>
      <c r="I637" s="15" t="s">
        <v>1537</v>
      </c>
      <c r="J637" s="17">
        <f t="shared" si="9"/>
        <v>0</v>
      </c>
    </row>
    <row r="638" spans="1:10" ht="15.75" customHeight="1" x14ac:dyDescent="0.3">
      <c r="A638" s="18">
        <v>45331</v>
      </c>
      <c r="B638" s="18">
        <v>45331</v>
      </c>
      <c r="C638" s="15" t="s">
        <v>2157</v>
      </c>
      <c r="D638" s="15" t="s">
        <v>1536</v>
      </c>
      <c r="E638" s="15"/>
      <c r="F638" s="16">
        <v>30</v>
      </c>
      <c r="G638" s="16">
        <v>0</v>
      </c>
      <c r="H638" s="16">
        <v>18202</v>
      </c>
      <c r="I638" s="15" t="s">
        <v>1537</v>
      </c>
      <c r="J638" s="17">
        <f t="shared" si="9"/>
        <v>0</v>
      </c>
    </row>
    <row r="639" spans="1:10" ht="15.75" customHeight="1" x14ac:dyDescent="0.3">
      <c r="A639" s="18">
        <v>45331</v>
      </c>
      <c r="B639" s="18">
        <v>45331</v>
      </c>
      <c r="C639" s="15" t="s">
        <v>2158</v>
      </c>
      <c r="D639" s="15" t="s">
        <v>1536</v>
      </c>
      <c r="E639" s="15"/>
      <c r="F639" s="16">
        <v>60</v>
      </c>
      <c r="G639" s="16">
        <v>0</v>
      </c>
      <c r="H639" s="16">
        <v>18142</v>
      </c>
      <c r="I639" s="15" t="s">
        <v>1537</v>
      </c>
      <c r="J639" s="17">
        <f t="shared" si="9"/>
        <v>0</v>
      </c>
    </row>
    <row r="640" spans="1:10" ht="15.75" customHeight="1" x14ac:dyDescent="0.3">
      <c r="A640" s="18">
        <v>45331</v>
      </c>
      <c r="B640" s="18">
        <v>45331</v>
      </c>
      <c r="C640" s="15" t="s">
        <v>2159</v>
      </c>
      <c r="D640" s="15" t="s">
        <v>1536</v>
      </c>
      <c r="E640" s="15"/>
      <c r="F640" s="16">
        <v>690</v>
      </c>
      <c r="G640" s="16">
        <v>0</v>
      </c>
      <c r="H640" s="16">
        <v>17452</v>
      </c>
      <c r="I640" s="15" t="s">
        <v>1537</v>
      </c>
      <c r="J640" s="17">
        <f t="shared" si="9"/>
        <v>0</v>
      </c>
    </row>
    <row r="641" spans="1:10" ht="15.75" customHeight="1" x14ac:dyDescent="0.3">
      <c r="A641" s="18">
        <v>45332</v>
      </c>
      <c r="B641" s="18">
        <v>45332</v>
      </c>
      <c r="C641" s="15" t="s">
        <v>2160</v>
      </c>
      <c r="D641" s="15" t="s">
        <v>1536</v>
      </c>
      <c r="E641" s="15"/>
      <c r="F641" s="16">
        <v>20</v>
      </c>
      <c r="G641" s="16">
        <v>0</v>
      </c>
      <c r="H641" s="16">
        <v>17432</v>
      </c>
      <c r="I641" s="15" t="s">
        <v>1537</v>
      </c>
      <c r="J641" s="17">
        <f t="shared" si="9"/>
        <v>0</v>
      </c>
    </row>
    <row r="642" spans="1:10" ht="15.75" customHeight="1" x14ac:dyDescent="0.3">
      <c r="A642" s="18">
        <v>45332</v>
      </c>
      <c r="B642" s="18">
        <v>45332</v>
      </c>
      <c r="C642" s="15" t="s">
        <v>2161</v>
      </c>
      <c r="D642" s="15" t="s">
        <v>1536</v>
      </c>
      <c r="E642" s="15"/>
      <c r="F642" s="16">
        <v>187.15</v>
      </c>
      <c r="G642" s="16">
        <v>0</v>
      </c>
      <c r="H642" s="16">
        <v>17244.849999999999</v>
      </c>
      <c r="I642" s="15" t="s">
        <v>1537</v>
      </c>
      <c r="J642" s="17">
        <f t="shared" si="9"/>
        <v>0</v>
      </c>
    </row>
    <row r="643" spans="1:10" ht="15.75" customHeight="1" x14ac:dyDescent="0.3">
      <c r="A643" s="18">
        <v>45332</v>
      </c>
      <c r="B643" s="18">
        <v>45332</v>
      </c>
      <c r="C643" s="15" t="s">
        <v>2162</v>
      </c>
      <c r="D643" s="15" t="s">
        <v>1536</v>
      </c>
      <c r="E643" s="15"/>
      <c r="F643" s="16">
        <v>45</v>
      </c>
      <c r="G643" s="16">
        <v>0</v>
      </c>
      <c r="H643" s="16">
        <v>17199.849999999999</v>
      </c>
      <c r="I643" s="15" t="s">
        <v>1537</v>
      </c>
      <c r="J643" s="17">
        <f t="shared" si="9"/>
        <v>0</v>
      </c>
    </row>
    <row r="644" spans="1:10" ht="15.75" customHeight="1" x14ac:dyDescent="0.3">
      <c r="A644" s="18">
        <v>45332</v>
      </c>
      <c r="B644" s="18">
        <v>45332</v>
      </c>
      <c r="C644" s="15" t="s">
        <v>2163</v>
      </c>
      <c r="D644" s="15" t="s">
        <v>1536</v>
      </c>
      <c r="E644" s="15"/>
      <c r="F644" s="16">
        <v>12000</v>
      </c>
      <c r="G644" s="16">
        <v>0</v>
      </c>
      <c r="H644" s="16">
        <v>5199.8500000000004</v>
      </c>
      <c r="I644" s="15" t="s">
        <v>1537</v>
      </c>
      <c r="J644" s="17">
        <f t="shared" si="9"/>
        <v>0</v>
      </c>
    </row>
    <row r="645" spans="1:10" ht="15.75" customHeight="1" x14ac:dyDescent="0.3">
      <c r="A645" s="18">
        <v>45332</v>
      </c>
      <c r="B645" s="18">
        <v>45332</v>
      </c>
      <c r="C645" s="15" t="s">
        <v>2164</v>
      </c>
      <c r="D645" s="15" t="s">
        <v>1536</v>
      </c>
      <c r="E645" s="15"/>
      <c r="F645" s="16">
        <v>10</v>
      </c>
      <c r="G645" s="16">
        <v>0</v>
      </c>
      <c r="H645" s="16">
        <v>5189.8500000000004</v>
      </c>
      <c r="I645" s="15" t="s">
        <v>1537</v>
      </c>
      <c r="J645" s="17">
        <f t="shared" si="9"/>
        <v>0</v>
      </c>
    </row>
    <row r="646" spans="1:10" ht="15.75" customHeight="1" x14ac:dyDescent="0.3">
      <c r="A646" s="18">
        <v>45333</v>
      </c>
      <c r="B646" s="18">
        <v>45333</v>
      </c>
      <c r="C646" s="15" t="s">
        <v>2165</v>
      </c>
      <c r="D646" s="15" t="s">
        <v>1536</v>
      </c>
      <c r="E646" s="15"/>
      <c r="F646" s="16">
        <v>5</v>
      </c>
      <c r="G646" s="16">
        <v>0</v>
      </c>
      <c r="H646" s="16">
        <v>5184.8500000000004</v>
      </c>
      <c r="I646" s="15" t="s">
        <v>1537</v>
      </c>
      <c r="J646" s="17">
        <f t="shared" si="9"/>
        <v>0</v>
      </c>
    </row>
    <row r="647" spans="1:10" ht="15.75" customHeight="1" x14ac:dyDescent="0.3">
      <c r="A647" s="18">
        <v>45333</v>
      </c>
      <c r="B647" s="18">
        <v>45333</v>
      </c>
      <c r="C647" s="15" t="s">
        <v>2166</v>
      </c>
      <c r="D647" s="15" t="s">
        <v>1536</v>
      </c>
      <c r="E647" s="15"/>
      <c r="F647" s="16">
        <v>30</v>
      </c>
      <c r="G647" s="16">
        <v>0</v>
      </c>
      <c r="H647" s="16">
        <v>5154.8500000000004</v>
      </c>
      <c r="I647" s="15" t="s">
        <v>1537</v>
      </c>
      <c r="J647" s="17">
        <f t="shared" si="9"/>
        <v>0</v>
      </c>
    </row>
    <row r="648" spans="1:10" ht="15.75" customHeight="1" x14ac:dyDescent="0.3">
      <c r="A648" s="18">
        <v>45333</v>
      </c>
      <c r="B648" s="18">
        <v>45333</v>
      </c>
      <c r="C648" s="15" t="s">
        <v>2167</v>
      </c>
      <c r="D648" s="15" t="s">
        <v>1536</v>
      </c>
      <c r="E648" s="15"/>
      <c r="F648" s="16">
        <v>50</v>
      </c>
      <c r="G648" s="16">
        <v>0</v>
      </c>
      <c r="H648" s="16">
        <v>5104.8500000000004</v>
      </c>
      <c r="I648" s="15" t="s">
        <v>1537</v>
      </c>
      <c r="J648" s="17">
        <f t="shared" si="9"/>
        <v>0</v>
      </c>
    </row>
    <row r="649" spans="1:10" ht="15.75" customHeight="1" x14ac:dyDescent="0.3">
      <c r="A649" s="18">
        <v>45334</v>
      </c>
      <c r="B649" s="18">
        <v>45334</v>
      </c>
      <c r="C649" s="15" t="s">
        <v>2168</v>
      </c>
      <c r="D649" s="15" t="s">
        <v>1536</v>
      </c>
      <c r="E649" s="15"/>
      <c r="F649" s="16">
        <v>10</v>
      </c>
      <c r="G649" s="16">
        <v>0</v>
      </c>
      <c r="H649" s="16">
        <v>5094.8500000000004</v>
      </c>
      <c r="I649" s="15" t="s">
        <v>1537</v>
      </c>
      <c r="J649" s="17">
        <f t="shared" si="9"/>
        <v>0</v>
      </c>
    </row>
    <row r="650" spans="1:10" ht="15.75" customHeight="1" x14ac:dyDescent="0.3">
      <c r="A650" s="18">
        <v>45334</v>
      </c>
      <c r="B650" s="18">
        <v>45334</v>
      </c>
      <c r="C650" s="15" t="s">
        <v>2169</v>
      </c>
      <c r="D650" s="15" t="s">
        <v>1536</v>
      </c>
      <c r="E650" s="15"/>
      <c r="F650" s="16">
        <v>10</v>
      </c>
      <c r="G650" s="16">
        <v>0</v>
      </c>
      <c r="H650" s="16">
        <v>5084.8500000000004</v>
      </c>
      <c r="I650" s="15" t="s">
        <v>1537</v>
      </c>
      <c r="J650" s="17">
        <f t="shared" si="9"/>
        <v>0</v>
      </c>
    </row>
    <row r="651" spans="1:10" ht="15.75" customHeight="1" x14ac:dyDescent="0.3">
      <c r="A651" s="18">
        <v>45334</v>
      </c>
      <c r="B651" s="18">
        <v>45334</v>
      </c>
      <c r="C651" s="15" t="s">
        <v>2170</v>
      </c>
      <c r="D651" s="15" t="s">
        <v>1536</v>
      </c>
      <c r="E651" s="15"/>
      <c r="F651" s="16">
        <v>40</v>
      </c>
      <c r="G651" s="16">
        <v>0</v>
      </c>
      <c r="H651" s="16">
        <v>5044.8500000000004</v>
      </c>
      <c r="I651" s="15" t="s">
        <v>1537</v>
      </c>
      <c r="J651" s="17">
        <f t="shared" si="9"/>
        <v>0</v>
      </c>
    </row>
    <row r="652" spans="1:10" ht="15.75" customHeight="1" x14ac:dyDescent="0.3">
      <c r="A652" s="18">
        <v>45334</v>
      </c>
      <c r="B652" s="18">
        <v>45334</v>
      </c>
      <c r="C652" s="15" t="s">
        <v>2171</v>
      </c>
      <c r="D652" s="15" t="s">
        <v>1536</v>
      </c>
      <c r="E652" s="15"/>
      <c r="F652" s="16">
        <v>20</v>
      </c>
      <c r="G652" s="16">
        <v>0</v>
      </c>
      <c r="H652" s="16">
        <v>5024.8500000000004</v>
      </c>
      <c r="I652" s="15" t="s">
        <v>1537</v>
      </c>
      <c r="J652" s="17">
        <f t="shared" si="9"/>
        <v>0</v>
      </c>
    </row>
    <row r="653" spans="1:10" ht="15.75" customHeight="1" x14ac:dyDescent="0.3">
      <c r="A653" s="18">
        <v>45334</v>
      </c>
      <c r="B653" s="18">
        <v>45334</v>
      </c>
      <c r="C653" s="15" t="s">
        <v>2172</v>
      </c>
      <c r="D653" s="15" t="s">
        <v>1536</v>
      </c>
      <c r="E653" s="15"/>
      <c r="F653" s="16">
        <v>40</v>
      </c>
      <c r="G653" s="16">
        <v>0</v>
      </c>
      <c r="H653" s="16">
        <v>4984.8500000000004</v>
      </c>
      <c r="I653" s="15" t="s">
        <v>1537</v>
      </c>
      <c r="J653" s="17">
        <f t="shared" si="9"/>
        <v>0</v>
      </c>
    </row>
    <row r="654" spans="1:10" ht="15.75" customHeight="1" x14ac:dyDescent="0.3">
      <c r="A654" s="18">
        <v>45334</v>
      </c>
      <c r="B654" s="18">
        <v>45334</v>
      </c>
      <c r="C654" s="15" t="s">
        <v>2173</v>
      </c>
      <c r="D654" s="15" t="s">
        <v>1536</v>
      </c>
      <c r="E654" s="15"/>
      <c r="F654" s="16">
        <v>245</v>
      </c>
      <c r="G654" s="16">
        <v>0</v>
      </c>
      <c r="H654" s="16">
        <v>4739.8500000000004</v>
      </c>
      <c r="I654" s="15" t="s">
        <v>1537</v>
      </c>
      <c r="J654" s="17">
        <f t="shared" si="9"/>
        <v>0</v>
      </c>
    </row>
    <row r="655" spans="1:10" ht="15.75" customHeight="1" x14ac:dyDescent="0.3">
      <c r="A655" s="18">
        <v>45334</v>
      </c>
      <c r="B655" s="18">
        <v>45334</v>
      </c>
      <c r="C655" s="15" t="s">
        <v>2174</v>
      </c>
      <c r="D655" s="15" t="s">
        <v>1536</v>
      </c>
      <c r="E655" s="15"/>
      <c r="F655" s="16">
        <v>10</v>
      </c>
      <c r="G655" s="16">
        <v>0</v>
      </c>
      <c r="H655" s="16">
        <v>4729.8500000000004</v>
      </c>
      <c r="I655" s="15" t="s">
        <v>1537</v>
      </c>
      <c r="J655" s="17">
        <f t="shared" si="9"/>
        <v>0</v>
      </c>
    </row>
    <row r="656" spans="1:10" ht="15.75" customHeight="1" x14ac:dyDescent="0.3">
      <c r="A656" s="18">
        <v>45335</v>
      </c>
      <c r="B656" s="18">
        <v>45335</v>
      </c>
      <c r="C656" s="15" t="s">
        <v>2175</v>
      </c>
      <c r="D656" s="15" t="s">
        <v>1536</v>
      </c>
      <c r="E656" s="15"/>
      <c r="F656" s="16">
        <v>10</v>
      </c>
      <c r="G656" s="16">
        <v>0</v>
      </c>
      <c r="H656" s="16">
        <v>4719.8500000000004</v>
      </c>
      <c r="I656" s="15" t="s">
        <v>1537</v>
      </c>
      <c r="J656" s="17">
        <f t="shared" si="9"/>
        <v>0</v>
      </c>
    </row>
    <row r="657" spans="1:10" ht="15.75" customHeight="1" x14ac:dyDescent="0.3">
      <c r="A657" s="18">
        <v>45335</v>
      </c>
      <c r="B657" s="18">
        <v>45335</v>
      </c>
      <c r="C657" s="15" t="s">
        <v>2176</v>
      </c>
      <c r="D657" s="15" t="s">
        <v>1536</v>
      </c>
      <c r="E657" s="15"/>
      <c r="F657" s="16">
        <v>90</v>
      </c>
      <c r="G657" s="16">
        <v>0</v>
      </c>
      <c r="H657" s="16">
        <v>4629.8500000000004</v>
      </c>
      <c r="I657" s="15" t="s">
        <v>1537</v>
      </c>
      <c r="J657" s="17">
        <f t="shared" si="9"/>
        <v>0</v>
      </c>
    </row>
    <row r="658" spans="1:10" ht="15.75" customHeight="1" x14ac:dyDescent="0.3">
      <c r="A658" s="18">
        <v>45335</v>
      </c>
      <c r="B658" s="18">
        <v>45335</v>
      </c>
      <c r="C658" s="15" t="s">
        <v>2177</v>
      </c>
      <c r="D658" s="15" t="s">
        <v>1536</v>
      </c>
      <c r="E658" s="15"/>
      <c r="F658" s="16">
        <v>90</v>
      </c>
      <c r="G658" s="16">
        <v>0</v>
      </c>
      <c r="H658" s="16">
        <v>4539.8500000000004</v>
      </c>
      <c r="I658" s="15" t="s">
        <v>1537</v>
      </c>
      <c r="J658" s="17">
        <f t="shared" si="9"/>
        <v>0</v>
      </c>
    </row>
    <row r="659" spans="1:10" ht="15.75" customHeight="1" x14ac:dyDescent="0.3">
      <c r="A659" s="18">
        <v>45335</v>
      </c>
      <c r="B659" s="18">
        <v>45335</v>
      </c>
      <c r="C659" s="15" t="s">
        <v>2178</v>
      </c>
      <c r="D659" s="15" t="s">
        <v>1536</v>
      </c>
      <c r="E659" s="15"/>
      <c r="F659" s="16">
        <v>130</v>
      </c>
      <c r="G659" s="16">
        <v>0</v>
      </c>
      <c r="H659" s="16">
        <v>4409.8500000000004</v>
      </c>
      <c r="I659" s="15" t="s">
        <v>1537</v>
      </c>
      <c r="J659" s="17">
        <f t="shared" ref="J659:J722" si="10">H658-F659+G659-H659</f>
        <v>0</v>
      </c>
    </row>
    <row r="660" spans="1:10" ht="15.75" customHeight="1" x14ac:dyDescent="0.3">
      <c r="A660" s="18">
        <v>45336</v>
      </c>
      <c r="B660" s="18">
        <v>45336</v>
      </c>
      <c r="C660" s="15" t="s">
        <v>2179</v>
      </c>
      <c r="D660" s="15" t="s">
        <v>1536</v>
      </c>
      <c r="E660" s="15"/>
      <c r="F660" s="16">
        <v>20</v>
      </c>
      <c r="G660" s="16">
        <v>0</v>
      </c>
      <c r="H660" s="16">
        <v>4389.8500000000004</v>
      </c>
      <c r="I660" s="15" t="s">
        <v>1537</v>
      </c>
      <c r="J660" s="17">
        <f t="shared" si="10"/>
        <v>0</v>
      </c>
    </row>
    <row r="661" spans="1:10" ht="15.75" customHeight="1" x14ac:dyDescent="0.3">
      <c r="A661" s="18">
        <v>45336</v>
      </c>
      <c r="B661" s="18">
        <v>45336</v>
      </c>
      <c r="C661" s="15" t="s">
        <v>2180</v>
      </c>
      <c r="D661" s="15" t="s">
        <v>1536</v>
      </c>
      <c r="E661" s="15"/>
      <c r="F661" s="16">
        <v>60</v>
      </c>
      <c r="G661" s="16">
        <v>0</v>
      </c>
      <c r="H661" s="16">
        <v>4329.8500000000004</v>
      </c>
      <c r="I661" s="15" t="s">
        <v>1537</v>
      </c>
      <c r="J661" s="17">
        <f t="shared" si="10"/>
        <v>0</v>
      </c>
    </row>
    <row r="662" spans="1:10" ht="15.75" customHeight="1" x14ac:dyDescent="0.3">
      <c r="A662" s="18">
        <v>45336</v>
      </c>
      <c r="B662" s="18">
        <v>45336</v>
      </c>
      <c r="C662" s="15" t="s">
        <v>2181</v>
      </c>
      <c r="D662" s="15" t="s">
        <v>1536</v>
      </c>
      <c r="E662" s="15"/>
      <c r="F662" s="16">
        <v>15</v>
      </c>
      <c r="G662" s="16">
        <v>0</v>
      </c>
      <c r="H662" s="16">
        <v>4314.8500000000004</v>
      </c>
      <c r="I662" s="15" t="s">
        <v>1537</v>
      </c>
      <c r="J662" s="17">
        <f t="shared" si="10"/>
        <v>0</v>
      </c>
    </row>
    <row r="663" spans="1:10" ht="15.75" customHeight="1" x14ac:dyDescent="0.3">
      <c r="A663" s="18">
        <v>45336</v>
      </c>
      <c r="B663" s="18">
        <v>45336</v>
      </c>
      <c r="C663" s="15" t="s">
        <v>2182</v>
      </c>
      <c r="D663" s="15" t="s">
        <v>1536</v>
      </c>
      <c r="E663" s="15"/>
      <c r="F663" s="16">
        <v>10</v>
      </c>
      <c r="G663" s="16">
        <v>0</v>
      </c>
      <c r="H663" s="16">
        <v>4304.8500000000004</v>
      </c>
      <c r="I663" s="15" t="s">
        <v>1537</v>
      </c>
      <c r="J663" s="17">
        <f t="shared" si="10"/>
        <v>0</v>
      </c>
    </row>
    <row r="664" spans="1:10" ht="15.75" customHeight="1" x14ac:dyDescent="0.3">
      <c r="A664" s="18">
        <v>45336</v>
      </c>
      <c r="B664" s="18">
        <v>45336</v>
      </c>
      <c r="C664" s="15" t="s">
        <v>2183</v>
      </c>
      <c r="D664" s="15" t="s">
        <v>1536</v>
      </c>
      <c r="E664" s="15"/>
      <c r="F664" s="16">
        <v>32</v>
      </c>
      <c r="G664" s="16">
        <v>0</v>
      </c>
      <c r="H664" s="16">
        <v>4272.8500000000004</v>
      </c>
      <c r="I664" s="15" t="s">
        <v>1537</v>
      </c>
      <c r="J664" s="17">
        <f t="shared" si="10"/>
        <v>0</v>
      </c>
    </row>
    <row r="665" spans="1:10" ht="15.75" customHeight="1" x14ac:dyDescent="0.3">
      <c r="A665" s="18">
        <v>45336</v>
      </c>
      <c r="B665" s="18">
        <v>45336</v>
      </c>
      <c r="C665" s="15" t="s">
        <v>2184</v>
      </c>
      <c r="D665" s="15" t="s">
        <v>1536</v>
      </c>
      <c r="E665" s="15"/>
      <c r="F665" s="16">
        <v>70</v>
      </c>
      <c r="G665" s="16">
        <v>0</v>
      </c>
      <c r="H665" s="16">
        <v>4202.8500000000004</v>
      </c>
      <c r="I665" s="15" t="s">
        <v>1537</v>
      </c>
      <c r="J665" s="17">
        <f t="shared" si="10"/>
        <v>0</v>
      </c>
    </row>
    <row r="666" spans="1:10" ht="15.75" customHeight="1" x14ac:dyDescent="0.3">
      <c r="A666" s="18">
        <v>45336</v>
      </c>
      <c r="B666" s="18">
        <v>45336</v>
      </c>
      <c r="C666" s="15" t="s">
        <v>2185</v>
      </c>
      <c r="D666" s="15" t="s">
        <v>1536</v>
      </c>
      <c r="E666" s="15"/>
      <c r="F666" s="16">
        <v>80</v>
      </c>
      <c r="G666" s="16">
        <v>0</v>
      </c>
      <c r="H666" s="16">
        <v>4122.8500000000004</v>
      </c>
      <c r="I666" s="15" t="s">
        <v>1537</v>
      </c>
      <c r="J666" s="17">
        <f t="shared" si="10"/>
        <v>0</v>
      </c>
    </row>
    <row r="667" spans="1:10" ht="15.75" customHeight="1" x14ac:dyDescent="0.3">
      <c r="A667" s="18">
        <v>45337</v>
      </c>
      <c r="B667" s="18">
        <v>45337</v>
      </c>
      <c r="C667" s="15" t="s">
        <v>2186</v>
      </c>
      <c r="D667" s="15" t="s">
        <v>1536</v>
      </c>
      <c r="E667" s="15"/>
      <c r="F667" s="16">
        <v>20</v>
      </c>
      <c r="G667" s="16">
        <v>0</v>
      </c>
      <c r="H667" s="16">
        <v>4102.8500000000004</v>
      </c>
      <c r="I667" s="15" t="s">
        <v>1537</v>
      </c>
      <c r="J667" s="17">
        <f t="shared" si="10"/>
        <v>0</v>
      </c>
    </row>
    <row r="668" spans="1:10" ht="15.75" customHeight="1" x14ac:dyDescent="0.3">
      <c r="A668" s="18">
        <v>45337</v>
      </c>
      <c r="B668" s="18">
        <v>45337</v>
      </c>
      <c r="C668" s="15" t="s">
        <v>2187</v>
      </c>
      <c r="D668" s="15" t="s">
        <v>1536</v>
      </c>
      <c r="E668" s="15"/>
      <c r="F668" s="16">
        <v>10</v>
      </c>
      <c r="G668" s="16">
        <v>0</v>
      </c>
      <c r="H668" s="16">
        <v>4092.85</v>
      </c>
      <c r="I668" s="15" t="s">
        <v>1537</v>
      </c>
      <c r="J668" s="17">
        <f t="shared" si="10"/>
        <v>0</v>
      </c>
    </row>
    <row r="669" spans="1:10" ht="15.75" customHeight="1" x14ac:dyDescent="0.3">
      <c r="A669" s="18">
        <v>45337</v>
      </c>
      <c r="B669" s="18">
        <v>45337</v>
      </c>
      <c r="C669" s="15" t="s">
        <v>2188</v>
      </c>
      <c r="D669" s="15" t="s">
        <v>1536</v>
      </c>
      <c r="E669" s="15"/>
      <c r="F669" s="16">
        <v>10</v>
      </c>
      <c r="G669" s="16">
        <v>0</v>
      </c>
      <c r="H669" s="16">
        <v>4082.85</v>
      </c>
      <c r="I669" s="15" t="s">
        <v>1537</v>
      </c>
      <c r="J669" s="17">
        <f t="shared" si="10"/>
        <v>0</v>
      </c>
    </row>
    <row r="670" spans="1:10" ht="15.75" customHeight="1" x14ac:dyDescent="0.3">
      <c r="A670" s="18">
        <v>45337</v>
      </c>
      <c r="B670" s="18">
        <v>45337</v>
      </c>
      <c r="C670" s="15" t="s">
        <v>2189</v>
      </c>
      <c r="D670" s="15" t="s">
        <v>1536</v>
      </c>
      <c r="E670" s="15"/>
      <c r="F670" s="16">
        <v>945</v>
      </c>
      <c r="G670" s="16">
        <v>0</v>
      </c>
      <c r="H670" s="16">
        <v>3137.85</v>
      </c>
      <c r="I670" s="15" t="s">
        <v>1537</v>
      </c>
      <c r="J670" s="17">
        <f t="shared" si="10"/>
        <v>0</v>
      </c>
    </row>
    <row r="671" spans="1:10" ht="15.75" customHeight="1" x14ac:dyDescent="0.3">
      <c r="A671" s="18">
        <v>45337</v>
      </c>
      <c r="B671" s="18">
        <v>45337</v>
      </c>
      <c r="C671" s="15" t="s">
        <v>2190</v>
      </c>
      <c r="D671" s="15" t="s">
        <v>1536</v>
      </c>
      <c r="E671" s="15"/>
      <c r="F671" s="16">
        <v>30</v>
      </c>
      <c r="G671" s="16">
        <v>0</v>
      </c>
      <c r="H671" s="16">
        <v>3107.85</v>
      </c>
      <c r="I671" s="15" t="s">
        <v>1537</v>
      </c>
      <c r="J671" s="17">
        <f t="shared" si="10"/>
        <v>0</v>
      </c>
    </row>
    <row r="672" spans="1:10" ht="15.75" customHeight="1" x14ac:dyDescent="0.3">
      <c r="A672" s="18">
        <v>45337</v>
      </c>
      <c r="B672" s="18">
        <v>45337</v>
      </c>
      <c r="C672" s="15" t="s">
        <v>2191</v>
      </c>
      <c r="D672" s="15" t="s">
        <v>1536</v>
      </c>
      <c r="E672" s="15"/>
      <c r="F672" s="16">
        <v>387.45</v>
      </c>
      <c r="G672" s="16">
        <v>0</v>
      </c>
      <c r="H672" s="16">
        <v>2720.4</v>
      </c>
      <c r="I672" s="15" t="s">
        <v>1537</v>
      </c>
      <c r="J672" s="17">
        <f t="shared" si="10"/>
        <v>0</v>
      </c>
    </row>
    <row r="673" spans="1:10" ht="15.75" customHeight="1" x14ac:dyDescent="0.3">
      <c r="A673" s="18">
        <v>45337</v>
      </c>
      <c r="B673" s="18">
        <v>45337</v>
      </c>
      <c r="C673" s="15" t="s">
        <v>2192</v>
      </c>
      <c r="D673" s="15" t="s">
        <v>1536</v>
      </c>
      <c r="E673" s="15"/>
      <c r="F673" s="16">
        <v>148</v>
      </c>
      <c r="G673" s="16">
        <v>0</v>
      </c>
      <c r="H673" s="16">
        <v>2572.4</v>
      </c>
      <c r="I673" s="15" t="s">
        <v>1537</v>
      </c>
      <c r="J673" s="17">
        <f t="shared" si="10"/>
        <v>0</v>
      </c>
    </row>
    <row r="674" spans="1:10" ht="15.75" customHeight="1" x14ac:dyDescent="0.3">
      <c r="A674" s="18">
        <v>45337</v>
      </c>
      <c r="B674" s="18">
        <v>45337</v>
      </c>
      <c r="C674" s="15" t="s">
        <v>2193</v>
      </c>
      <c r="D674" s="15" t="s">
        <v>1536</v>
      </c>
      <c r="E674" s="15"/>
      <c r="F674" s="16">
        <v>899</v>
      </c>
      <c r="G674" s="16">
        <v>0</v>
      </c>
      <c r="H674" s="16">
        <v>1673.4</v>
      </c>
      <c r="I674" s="15" t="s">
        <v>1537</v>
      </c>
      <c r="J674" s="17">
        <f t="shared" si="10"/>
        <v>0</v>
      </c>
    </row>
    <row r="675" spans="1:10" ht="15.75" customHeight="1" x14ac:dyDescent="0.3">
      <c r="A675" s="18">
        <v>45337</v>
      </c>
      <c r="B675" s="18">
        <v>45337</v>
      </c>
      <c r="C675" s="15" t="s">
        <v>2194</v>
      </c>
      <c r="D675" s="15" t="s">
        <v>1536</v>
      </c>
      <c r="E675" s="15"/>
      <c r="F675" s="16">
        <v>499</v>
      </c>
      <c r="G675" s="16">
        <v>0</v>
      </c>
      <c r="H675" s="16">
        <v>1174.4000000000001</v>
      </c>
      <c r="I675" s="15" t="s">
        <v>1537</v>
      </c>
      <c r="J675" s="17">
        <f t="shared" si="10"/>
        <v>0</v>
      </c>
    </row>
    <row r="676" spans="1:10" ht="15.75" customHeight="1" x14ac:dyDescent="0.3">
      <c r="A676" s="18">
        <v>45337</v>
      </c>
      <c r="B676" s="18">
        <v>45337</v>
      </c>
      <c r="C676" s="15" t="s">
        <v>2195</v>
      </c>
      <c r="D676" s="15" t="s">
        <v>1536</v>
      </c>
      <c r="E676" s="15"/>
      <c r="F676" s="16">
        <v>373</v>
      </c>
      <c r="G676" s="16">
        <v>0</v>
      </c>
      <c r="H676" s="16">
        <v>801.4</v>
      </c>
      <c r="I676" s="15" t="s">
        <v>1537</v>
      </c>
      <c r="J676" s="17">
        <f t="shared" si="10"/>
        <v>0</v>
      </c>
    </row>
    <row r="677" spans="1:10" ht="15.75" customHeight="1" x14ac:dyDescent="0.3">
      <c r="A677" s="18">
        <v>45338</v>
      </c>
      <c r="B677" s="18">
        <v>45338</v>
      </c>
      <c r="C677" s="15" t="s">
        <v>2196</v>
      </c>
      <c r="D677" s="15" t="s">
        <v>1536</v>
      </c>
      <c r="E677" s="15"/>
      <c r="F677" s="16">
        <v>20</v>
      </c>
      <c r="G677" s="16">
        <v>0</v>
      </c>
      <c r="H677" s="16">
        <v>781.4</v>
      </c>
      <c r="I677" s="15" t="s">
        <v>1537</v>
      </c>
      <c r="J677" s="17">
        <f t="shared" si="10"/>
        <v>0</v>
      </c>
    </row>
    <row r="678" spans="1:10" ht="15.75" customHeight="1" x14ac:dyDescent="0.3">
      <c r="A678" s="18">
        <v>45339</v>
      </c>
      <c r="B678" s="18">
        <v>45339</v>
      </c>
      <c r="C678" s="15" t="s">
        <v>2197</v>
      </c>
      <c r="D678" s="15" t="s">
        <v>1536</v>
      </c>
      <c r="E678" s="15"/>
      <c r="F678" s="16">
        <v>0</v>
      </c>
      <c r="G678" s="16">
        <v>55.28</v>
      </c>
      <c r="H678" s="16">
        <v>836.68</v>
      </c>
      <c r="I678" s="15" t="s">
        <v>1540</v>
      </c>
      <c r="J678" s="17">
        <f t="shared" si="10"/>
        <v>0</v>
      </c>
    </row>
    <row r="679" spans="1:10" ht="15.75" customHeight="1" x14ac:dyDescent="0.3">
      <c r="A679" s="18">
        <v>45340</v>
      </c>
      <c r="B679" s="18">
        <v>45340</v>
      </c>
      <c r="C679" s="15" t="s">
        <v>2198</v>
      </c>
      <c r="D679" s="15" t="s">
        <v>1536</v>
      </c>
      <c r="E679" s="15"/>
      <c r="F679" s="16">
        <v>538.15</v>
      </c>
      <c r="G679" s="16">
        <v>0</v>
      </c>
      <c r="H679" s="16">
        <v>298.52999999999997</v>
      </c>
      <c r="I679" s="15" t="s">
        <v>1537</v>
      </c>
      <c r="J679" s="17">
        <f t="shared" si="10"/>
        <v>0</v>
      </c>
    </row>
    <row r="680" spans="1:10" ht="15.75" customHeight="1" x14ac:dyDescent="0.3">
      <c r="A680" s="18">
        <v>45340</v>
      </c>
      <c r="B680" s="18">
        <v>45340</v>
      </c>
      <c r="C680" s="15" t="s">
        <v>2199</v>
      </c>
      <c r="D680" s="15" t="s">
        <v>1536</v>
      </c>
      <c r="E680" s="15"/>
      <c r="F680" s="16">
        <v>0</v>
      </c>
      <c r="G680" s="16">
        <v>538.15</v>
      </c>
      <c r="H680" s="16">
        <v>836.68</v>
      </c>
      <c r="I680" s="15" t="s">
        <v>1540</v>
      </c>
      <c r="J680" s="17">
        <f t="shared" si="10"/>
        <v>0</v>
      </c>
    </row>
    <row r="681" spans="1:10" ht="15.75" customHeight="1" x14ac:dyDescent="0.3">
      <c r="A681" s="18">
        <v>45342</v>
      </c>
      <c r="B681" s="18">
        <v>45342</v>
      </c>
      <c r="C681" s="15" t="s">
        <v>2200</v>
      </c>
      <c r="D681" s="15" t="s">
        <v>1536</v>
      </c>
      <c r="E681" s="15"/>
      <c r="F681" s="16">
        <v>0</v>
      </c>
      <c r="G681" s="16">
        <v>5000</v>
      </c>
      <c r="H681" s="16">
        <v>5836.68</v>
      </c>
      <c r="I681" s="15" t="s">
        <v>1540</v>
      </c>
      <c r="J681" s="17">
        <f t="shared" si="10"/>
        <v>0</v>
      </c>
    </row>
    <row r="682" spans="1:10" ht="15.75" customHeight="1" x14ac:dyDescent="0.3">
      <c r="A682" s="18">
        <v>45343</v>
      </c>
      <c r="B682" s="18">
        <v>45343</v>
      </c>
      <c r="C682" s="15" t="s">
        <v>2201</v>
      </c>
      <c r="D682" s="15" t="s">
        <v>1536</v>
      </c>
      <c r="E682" s="15"/>
      <c r="F682" s="16">
        <v>1000</v>
      </c>
      <c r="G682" s="16">
        <v>0</v>
      </c>
      <c r="H682" s="16">
        <v>4836.68</v>
      </c>
      <c r="I682" s="15" t="s">
        <v>1537</v>
      </c>
      <c r="J682" s="17">
        <f t="shared" si="10"/>
        <v>0</v>
      </c>
    </row>
    <row r="683" spans="1:10" ht="15.75" customHeight="1" x14ac:dyDescent="0.3">
      <c r="A683" s="18">
        <v>45343</v>
      </c>
      <c r="B683" s="18">
        <v>45343</v>
      </c>
      <c r="C683" s="15" t="s">
        <v>2202</v>
      </c>
      <c r="D683" s="15" t="s">
        <v>1536</v>
      </c>
      <c r="E683" s="15"/>
      <c r="F683" s="16">
        <v>1000</v>
      </c>
      <c r="G683" s="16">
        <v>0</v>
      </c>
      <c r="H683" s="16">
        <v>3836.68</v>
      </c>
      <c r="I683" s="15" t="s">
        <v>1537</v>
      </c>
      <c r="J683" s="17">
        <f t="shared" si="10"/>
        <v>0</v>
      </c>
    </row>
    <row r="684" spans="1:10" ht="15.75" customHeight="1" x14ac:dyDescent="0.3">
      <c r="A684" s="18">
        <v>45343</v>
      </c>
      <c r="B684" s="18">
        <v>45343</v>
      </c>
      <c r="C684" s="15" t="s">
        <v>2203</v>
      </c>
      <c r="D684" s="15" t="s">
        <v>1536</v>
      </c>
      <c r="E684" s="15"/>
      <c r="F684" s="16">
        <v>40</v>
      </c>
      <c r="G684" s="16">
        <v>0</v>
      </c>
      <c r="H684" s="16">
        <v>3796.68</v>
      </c>
      <c r="I684" s="15" t="s">
        <v>1537</v>
      </c>
      <c r="J684" s="17">
        <f t="shared" si="10"/>
        <v>0</v>
      </c>
    </row>
    <row r="685" spans="1:10" ht="15.75" customHeight="1" x14ac:dyDescent="0.3">
      <c r="A685" s="18">
        <v>45343</v>
      </c>
      <c r="B685" s="18">
        <v>45343</v>
      </c>
      <c r="C685" s="15" t="s">
        <v>2204</v>
      </c>
      <c r="D685" s="15" t="s">
        <v>1536</v>
      </c>
      <c r="E685" s="15"/>
      <c r="F685" s="16">
        <v>50</v>
      </c>
      <c r="G685" s="16">
        <v>0</v>
      </c>
      <c r="H685" s="16">
        <v>3746.68</v>
      </c>
      <c r="I685" s="15" t="s">
        <v>1537</v>
      </c>
      <c r="J685" s="17">
        <f t="shared" si="10"/>
        <v>0</v>
      </c>
    </row>
    <row r="686" spans="1:10" ht="15.75" customHeight="1" x14ac:dyDescent="0.3">
      <c r="A686" s="18">
        <v>45345</v>
      </c>
      <c r="B686" s="18">
        <v>45345</v>
      </c>
      <c r="C686" s="15" t="s">
        <v>2205</v>
      </c>
      <c r="D686" s="15" t="s">
        <v>1536</v>
      </c>
      <c r="E686" s="15"/>
      <c r="F686" s="16">
        <v>40</v>
      </c>
      <c r="G686" s="16">
        <v>0</v>
      </c>
      <c r="H686" s="16">
        <v>3706.68</v>
      </c>
      <c r="I686" s="15" t="s">
        <v>1537</v>
      </c>
      <c r="J686" s="17">
        <f t="shared" si="10"/>
        <v>0</v>
      </c>
    </row>
    <row r="687" spans="1:10" ht="15.75" customHeight="1" x14ac:dyDescent="0.3">
      <c r="A687" s="18">
        <v>45345</v>
      </c>
      <c r="B687" s="18">
        <v>45345</v>
      </c>
      <c r="C687" s="15" t="s">
        <v>2206</v>
      </c>
      <c r="D687" s="15" t="s">
        <v>1536</v>
      </c>
      <c r="E687" s="15"/>
      <c r="F687" s="16">
        <v>40</v>
      </c>
      <c r="G687" s="16">
        <v>0</v>
      </c>
      <c r="H687" s="16">
        <v>3666.68</v>
      </c>
      <c r="I687" s="15" t="s">
        <v>1537</v>
      </c>
      <c r="J687" s="17">
        <f t="shared" si="10"/>
        <v>0</v>
      </c>
    </row>
    <row r="688" spans="1:10" ht="15.75" customHeight="1" x14ac:dyDescent="0.3">
      <c r="A688" s="18">
        <v>45347</v>
      </c>
      <c r="B688" s="18">
        <v>45347</v>
      </c>
      <c r="C688" s="15" t="s">
        <v>2207</v>
      </c>
      <c r="D688" s="15" t="s">
        <v>1536</v>
      </c>
      <c r="E688" s="15"/>
      <c r="F688" s="16">
        <v>2000</v>
      </c>
      <c r="G688" s="16">
        <v>0</v>
      </c>
      <c r="H688" s="16">
        <v>1666.68</v>
      </c>
      <c r="I688" s="15" t="s">
        <v>1537</v>
      </c>
      <c r="J688" s="17">
        <f t="shared" si="10"/>
        <v>0</v>
      </c>
    </row>
    <row r="689" spans="1:10" ht="15.75" customHeight="1" x14ac:dyDescent="0.3">
      <c r="A689" s="18">
        <v>45349</v>
      </c>
      <c r="B689" s="18">
        <v>45349</v>
      </c>
      <c r="C689" s="15" t="s">
        <v>2208</v>
      </c>
      <c r="D689" s="15" t="s">
        <v>1536</v>
      </c>
      <c r="E689" s="15"/>
      <c r="F689" s="16">
        <v>80</v>
      </c>
      <c r="G689" s="16">
        <v>0</v>
      </c>
      <c r="H689" s="16">
        <v>1586.68</v>
      </c>
      <c r="I689" s="15" t="s">
        <v>1537</v>
      </c>
      <c r="J689" s="17">
        <f t="shared" si="10"/>
        <v>0</v>
      </c>
    </row>
    <row r="690" spans="1:10" ht="15.75" customHeight="1" x14ac:dyDescent="0.3">
      <c r="A690" s="18">
        <v>45350</v>
      </c>
      <c r="B690" s="18">
        <v>45350</v>
      </c>
      <c r="C690" s="15" t="s">
        <v>2209</v>
      </c>
      <c r="D690" s="15" t="s">
        <v>1536</v>
      </c>
      <c r="E690" s="15"/>
      <c r="F690" s="16">
        <v>30</v>
      </c>
      <c r="G690" s="16">
        <v>0</v>
      </c>
      <c r="H690" s="16">
        <v>1556.68</v>
      </c>
      <c r="I690" s="15" t="s">
        <v>1537</v>
      </c>
      <c r="J690" s="17">
        <f t="shared" si="10"/>
        <v>0</v>
      </c>
    </row>
    <row r="691" spans="1:10" ht="15.75" customHeight="1" x14ac:dyDescent="0.3">
      <c r="A691" s="18">
        <v>45350</v>
      </c>
      <c r="B691" s="18">
        <v>45350</v>
      </c>
      <c r="C691" s="15" t="s">
        <v>2210</v>
      </c>
      <c r="D691" s="15" t="s">
        <v>1536</v>
      </c>
      <c r="E691" s="15"/>
      <c r="F691" s="16">
        <v>40</v>
      </c>
      <c r="G691" s="16">
        <v>0</v>
      </c>
      <c r="H691" s="16">
        <v>1516.68</v>
      </c>
      <c r="I691" s="15" t="s">
        <v>1537</v>
      </c>
      <c r="J691" s="17">
        <f t="shared" si="10"/>
        <v>0</v>
      </c>
    </row>
    <row r="692" spans="1:10" ht="15.75" customHeight="1" x14ac:dyDescent="0.3">
      <c r="A692" s="18">
        <v>45350</v>
      </c>
      <c r="B692" s="18">
        <v>45350</v>
      </c>
      <c r="C692" s="15" t="s">
        <v>2211</v>
      </c>
      <c r="D692" s="15" t="s">
        <v>1536</v>
      </c>
      <c r="E692" s="15"/>
      <c r="F692" s="16">
        <v>50</v>
      </c>
      <c r="G692" s="16">
        <v>0</v>
      </c>
      <c r="H692" s="16">
        <v>1466.68</v>
      </c>
      <c r="I692" s="15" t="s">
        <v>1537</v>
      </c>
      <c r="J692" s="17">
        <f t="shared" si="10"/>
        <v>0</v>
      </c>
    </row>
    <row r="693" spans="1:10" ht="15.75" customHeight="1" x14ac:dyDescent="0.3">
      <c r="A693" s="18">
        <v>45351</v>
      </c>
      <c r="B693" s="18">
        <v>45351</v>
      </c>
      <c r="C693" s="15" t="s">
        <v>2212</v>
      </c>
      <c r="D693" s="15" t="s">
        <v>1536</v>
      </c>
      <c r="E693" s="15"/>
      <c r="F693" s="16">
        <v>150</v>
      </c>
      <c r="G693" s="16">
        <v>0</v>
      </c>
      <c r="H693" s="16">
        <v>1316.68</v>
      </c>
      <c r="I693" s="15" t="s">
        <v>1537</v>
      </c>
      <c r="J693" s="17">
        <f t="shared" si="10"/>
        <v>0</v>
      </c>
    </row>
    <row r="694" spans="1:10" ht="15.75" customHeight="1" x14ac:dyDescent="0.3">
      <c r="A694" s="18">
        <v>45351</v>
      </c>
      <c r="B694" s="18">
        <v>45351</v>
      </c>
      <c r="C694" s="15" t="s">
        <v>2213</v>
      </c>
      <c r="D694" s="15" t="s">
        <v>1536</v>
      </c>
      <c r="E694" s="15"/>
      <c r="F694" s="16">
        <v>140</v>
      </c>
      <c r="G694" s="16">
        <v>0</v>
      </c>
      <c r="H694" s="16">
        <v>1176.68</v>
      </c>
      <c r="I694" s="15" t="s">
        <v>1537</v>
      </c>
      <c r="J694" s="17">
        <f t="shared" si="10"/>
        <v>0</v>
      </c>
    </row>
    <row r="695" spans="1:10" ht="15.75" customHeight="1" x14ac:dyDescent="0.3">
      <c r="A695" s="18">
        <v>45351</v>
      </c>
      <c r="B695" s="18">
        <v>45351</v>
      </c>
      <c r="C695" s="15" t="s">
        <v>2214</v>
      </c>
      <c r="D695" s="15" t="s">
        <v>1536</v>
      </c>
      <c r="E695" s="15"/>
      <c r="F695" s="16">
        <v>40</v>
      </c>
      <c r="G695" s="16">
        <v>0</v>
      </c>
      <c r="H695" s="16">
        <v>1136.68</v>
      </c>
      <c r="I695" s="15" t="s">
        <v>1537</v>
      </c>
      <c r="J695" s="17">
        <f t="shared" si="10"/>
        <v>0</v>
      </c>
    </row>
    <row r="696" spans="1:10" ht="15.75" customHeight="1" x14ac:dyDescent="0.3">
      <c r="A696" s="18">
        <v>45351</v>
      </c>
      <c r="B696" s="18">
        <v>45351</v>
      </c>
      <c r="C696" s="15" t="s">
        <v>2215</v>
      </c>
      <c r="D696" s="15" t="s">
        <v>1536</v>
      </c>
      <c r="E696" s="15"/>
      <c r="F696" s="16">
        <v>100</v>
      </c>
      <c r="G696" s="16">
        <v>0</v>
      </c>
      <c r="H696" s="16">
        <v>1036.68</v>
      </c>
      <c r="I696" s="15" t="s">
        <v>1537</v>
      </c>
      <c r="J696" s="17">
        <f t="shared" si="10"/>
        <v>0</v>
      </c>
    </row>
    <row r="697" spans="1:10" ht="15.75" customHeight="1" x14ac:dyDescent="0.3">
      <c r="A697" s="18">
        <v>45351</v>
      </c>
      <c r="B697" s="18">
        <v>45351</v>
      </c>
      <c r="C697" s="15" t="s">
        <v>2216</v>
      </c>
      <c r="D697" s="15" t="s">
        <v>1536</v>
      </c>
      <c r="E697" s="15"/>
      <c r="F697" s="16">
        <v>85</v>
      </c>
      <c r="G697" s="16">
        <v>0</v>
      </c>
      <c r="H697" s="16">
        <v>951.68</v>
      </c>
      <c r="I697" s="15" t="s">
        <v>1537</v>
      </c>
      <c r="J697" s="17">
        <f t="shared" si="10"/>
        <v>0</v>
      </c>
    </row>
    <row r="698" spans="1:10" ht="15.75" customHeight="1" x14ac:dyDescent="0.3">
      <c r="A698" s="18">
        <v>45351</v>
      </c>
      <c r="B698" s="18">
        <v>45351</v>
      </c>
      <c r="C698" s="15" t="s">
        <v>2217</v>
      </c>
      <c r="D698" s="15" t="s">
        <v>1536</v>
      </c>
      <c r="E698" s="15"/>
      <c r="F698" s="16">
        <v>80</v>
      </c>
      <c r="G698" s="16">
        <v>0</v>
      </c>
      <c r="H698" s="16">
        <v>871.68</v>
      </c>
      <c r="I698" s="15" t="s">
        <v>1537</v>
      </c>
      <c r="J698" s="17">
        <f t="shared" si="10"/>
        <v>0</v>
      </c>
    </row>
    <row r="699" spans="1:10" ht="15.75" customHeight="1" x14ac:dyDescent="0.3">
      <c r="A699" s="18">
        <v>45352</v>
      </c>
      <c r="B699" s="18">
        <v>45352</v>
      </c>
      <c r="C699" s="15" t="s">
        <v>2218</v>
      </c>
      <c r="D699" s="15" t="s">
        <v>1536</v>
      </c>
      <c r="E699" s="15"/>
      <c r="F699" s="16">
        <v>20</v>
      </c>
      <c r="G699" s="16">
        <v>0</v>
      </c>
      <c r="H699" s="16">
        <v>851.68</v>
      </c>
      <c r="I699" s="15" t="s">
        <v>1537</v>
      </c>
      <c r="J699" s="17">
        <f t="shared" si="10"/>
        <v>0</v>
      </c>
    </row>
    <row r="700" spans="1:10" ht="15.75" customHeight="1" x14ac:dyDescent="0.3">
      <c r="A700" s="18">
        <v>45352</v>
      </c>
      <c r="B700" s="18">
        <v>45352</v>
      </c>
      <c r="C700" s="15" t="s">
        <v>2219</v>
      </c>
      <c r="D700" s="15" t="s">
        <v>1536</v>
      </c>
      <c r="E700" s="15"/>
      <c r="F700" s="16">
        <v>126</v>
      </c>
      <c r="G700" s="16">
        <v>0</v>
      </c>
      <c r="H700" s="16">
        <v>725.68</v>
      </c>
      <c r="I700" s="15" t="s">
        <v>1537</v>
      </c>
      <c r="J700" s="17">
        <f t="shared" si="10"/>
        <v>0</v>
      </c>
    </row>
    <row r="701" spans="1:10" ht="15.75" customHeight="1" x14ac:dyDescent="0.3">
      <c r="A701" s="18">
        <v>45352</v>
      </c>
      <c r="B701" s="18">
        <v>45352</v>
      </c>
      <c r="C701" s="15" t="s">
        <v>2220</v>
      </c>
      <c r="D701" s="15" t="s">
        <v>1536</v>
      </c>
      <c r="E701" s="15"/>
      <c r="F701" s="16">
        <v>0</v>
      </c>
      <c r="G701" s="16">
        <v>22500</v>
      </c>
      <c r="H701" s="16">
        <v>23225.68</v>
      </c>
      <c r="I701" s="15" t="s">
        <v>1540</v>
      </c>
      <c r="J701" s="17">
        <f t="shared" si="10"/>
        <v>0</v>
      </c>
    </row>
    <row r="702" spans="1:10" ht="15.75" customHeight="1" x14ac:dyDescent="0.3">
      <c r="A702" s="18">
        <v>45352</v>
      </c>
      <c r="B702" s="18">
        <v>45352</v>
      </c>
      <c r="C702" s="15" t="s">
        <v>2221</v>
      </c>
      <c r="D702" s="15" t="s">
        <v>1536</v>
      </c>
      <c r="E702" s="15"/>
      <c r="F702" s="16">
        <v>200</v>
      </c>
      <c r="G702" s="16">
        <v>0</v>
      </c>
      <c r="H702" s="16">
        <v>23025.68</v>
      </c>
      <c r="I702" s="15" t="s">
        <v>1537</v>
      </c>
      <c r="J702" s="17">
        <f t="shared" si="10"/>
        <v>0</v>
      </c>
    </row>
    <row r="703" spans="1:10" ht="15.75" customHeight="1" x14ac:dyDescent="0.3">
      <c r="A703" s="18">
        <v>45352</v>
      </c>
      <c r="B703" s="18">
        <v>45352</v>
      </c>
      <c r="C703" s="15" t="s">
        <v>2222</v>
      </c>
      <c r="D703" s="15" t="s">
        <v>1536</v>
      </c>
      <c r="E703" s="15"/>
      <c r="F703" s="16">
        <v>1240</v>
      </c>
      <c r="G703" s="16">
        <v>0</v>
      </c>
      <c r="H703" s="16">
        <v>21785.68</v>
      </c>
      <c r="I703" s="15" t="s">
        <v>1537</v>
      </c>
      <c r="J703" s="17">
        <f t="shared" si="10"/>
        <v>0</v>
      </c>
    </row>
    <row r="704" spans="1:10" ht="15.75" customHeight="1" x14ac:dyDescent="0.3">
      <c r="A704" s="18">
        <v>45352</v>
      </c>
      <c r="B704" s="18">
        <v>45352</v>
      </c>
      <c r="C704" s="15" t="s">
        <v>2223</v>
      </c>
      <c r="D704" s="15" t="s">
        <v>1536</v>
      </c>
      <c r="E704" s="15"/>
      <c r="F704" s="16">
        <v>100</v>
      </c>
      <c r="G704" s="16">
        <v>0</v>
      </c>
      <c r="H704" s="16">
        <v>21685.68</v>
      </c>
      <c r="I704" s="15" t="s">
        <v>1537</v>
      </c>
      <c r="J704" s="17">
        <f t="shared" si="10"/>
        <v>0</v>
      </c>
    </row>
    <row r="705" spans="1:10" ht="15.75" customHeight="1" x14ac:dyDescent="0.3">
      <c r="A705" s="18">
        <v>45352</v>
      </c>
      <c r="B705" s="18">
        <v>45352</v>
      </c>
      <c r="C705" s="15" t="s">
        <v>2224</v>
      </c>
      <c r="D705" s="15" t="s">
        <v>1536</v>
      </c>
      <c r="E705" s="15"/>
      <c r="F705" s="16">
        <v>746</v>
      </c>
      <c r="G705" s="16">
        <v>0</v>
      </c>
      <c r="H705" s="16">
        <v>20939.68</v>
      </c>
      <c r="I705" s="15" t="s">
        <v>1537</v>
      </c>
      <c r="J705" s="17">
        <f t="shared" si="10"/>
        <v>0</v>
      </c>
    </row>
    <row r="706" spans="1:10" ht="15.75" customHeight="1" x14ac:dyDescent="0.3">
      <c r="A706" s="18">
        <v>45353</v>
      </c>
      <c r="B706" s="18">
        <v>45353</v>
      </c>
      <c r="C706" s="15" t="s">
        <v>2225</v>
      </c>
      <c r="D706" s="15" t="s">
        <v>1536</v>
      </c>
      <c r="E706" s="15"/>
      <c r="F706" s="16">
        <v>12</v>
      </c>
      <c r="G706" s="16">
        <v>0</v>
      </c>
      <c r="H706" s="16">
        <v>20927.68</v>
      </c>
      <c r="I706" s="15" t="s">
        <v>1537</v>
      </c>
      <c r="J706" s="17">
        <f t="shared" si="10"/>
        <v>0</v>
      </c>
    </row>
    <row r="707" spans="1:10" ht="15.75" customHeight="1" x14ac:dyDescent="0.3">
      <c r="A707" s="18">
        <v>45353</v>
      </c>
      <c r="B707" s="18">
        <v>45353</v>
      </c>
      <c r="C707" s="15" t="s">
        <v>2226</v>
      </c>
      <c r="D707" s="15" t="s">
        <v>1536</v>
      </c>
      <c r="E707" s="15"/>
      <c r="F707" s="16">
        <v>699</v>
      </c>
      <c r="G707" s="16">
        <v>0</v>
      </c>
      <c r="H707" s="16">
        <v>20228.68</v>
      </c>
      <c r="I707" s="15" t="s">
        <v>1537</v>
      </c>
      <c r="J707" s="17">
        <f t="shared" si="10"/>
        <v>0</v>
      </c>
    </row>
    <row r="708" spans="1:10" ht="15.75" customHeight="1" x14ac:dyDescent="0.3">
      <c r="A708" s="18">
        <v>45353</v>
      </c>
      <c r="B708" s="18">
        <v>45353</v>
      </c>
      <c r="C708" s="15" t="s">
        <v>2227</v>
      </c>
      <c r="D708" s="15" t="s">
        <v>1536</v>
      </c>
      <c r="E708" s="15"/>
      <c r="F708" s="16">
        <v>62</v>
      </c>
      <c r="G708" s="16">
        <v>0</v>
      </c>
      <c r="H708" s="16">
        <v>20166.68</v>
      </c>
      <c r="I708" s="15" t="s">
        <v>1537</v>
      </c>
      <c r="J708" s="17">
        <f t="shared" si="10"/>
        <v>0</v>
      </c>
    </row>
    <row r="709" spans="1:10" ht="15.75" customHeight="1" x14ac:dyDescent="0.3">
      <c r="A709" s="18">
        <v>45353</v>
      </c>
      <c r="B709" s="18">
        <v>45353</v>
      </c>
      <c r="C709" s="15" t="s">
        <v>2228</v>
      </c>
      <c r="D709" s="15" t="s">
        <v>1536</v>
      </c>
      <c r="E709" s="15"/>
      <c r="F709" s="16">
        <v>578</v>
      </c>
      <c r="G709" s="16">
        <v>0</v>
      </c>
      <c r="H709" s="16">
        <v>19588.68</v>
      </c>
      <c r="I709" s="15" t="s">
        <v>1537</v>
      </c>
      <c r="J709" s="17">
        <f t="shared" si="10"/>
        <v>0</v>
      </c>
    </row>
    <row r="710" spans="1:10" ht="15.75" customHeight="1" x14ac:dyDescent="0.3">
      <c r="A710" s="18">
        <v>45353</v>
      </c>
      <c r="B710" s="18">
        <v>45353</v>
      </c>
      <c r="C710" s="15" t="s">
        <v>2229</v>
      </c>
      <c r="D710" s="15" t="s">
        <v>1536</v>
      </c>
      <c r="E710" s="15"/>
      <c r="F710" s="16">
        <v>484.25</v>
      </c>
      <c r="G710" s="16">
        <v>0</v>
      </c>
      <c r="H710" s="16">
        <v>19104.43</v>
      </c>
      <c r="I710" s="15" t="s">
        <v>1537</v>
      </c>
      <c r="J710" s="17">
        <f t="shared" si="10"/>
        <v>0</v>
      </c>
    </row>
    <row r="711" spans="1:10" ht="15.75" customHeight="1" x14ac:dyDescent="0.3">
      <c r="A711" s="18">
        <v>45354</v>
      </c>
      <c r="B711" s="18">
        <v>45354</v>
      </c>
      <c r="C711" s="15" t="s">
        <v>2230</v>
      </c>
      <c r="D711" s="15" t="s">
        <v>1536</v>
      </c>
      <c r="E711" s="15"/>
      <c r="F711" s="16">
        <v>371</v>
      </c>
      <c r="G711" s="16">
        <v>0</v>
      </c>
      <c r="H711" s="16">
        <v>18733.43</v>
      </c>
      <c r="I711" s="15" t="s">
        <v>1537</v>
      </c>
      <c r="J711" s="17">
        <f t="shared" si="10"/>
        <v>0</v>
      </c>
    </row>
    <row r="712" spans="1:10" ht="15.75" customHeight="1" x14ac:dyDescent="0.3">
      <c r="A712" s="18">
        <v>45354</v>
      </c>
      <c r="B712" s="18">
        <v>45354</v>
      </c>
      <c r="C712" s="15" t="s">
        <v>2231</v>
      </c>
      <c r="D712" s="15" t="s">
        <v>1536</v>
      </c>
      <c r="E712" s="15"/>
      <c r="F712" s="16">
        <v>263</v>
      </c>
      <c r="G712" s="16">
        <v>0</v>
      </c>
      <c r="H712" s="16">
        <v>18470.43</v>
      </c>
      <c r="I712" s="15" t="s">
        <v>1537</v>
      </c>
      <c r="J712" s="17">
        <f t="shared" si="10"/>
        <v>0</v>
      </c>
    </row>
    <row r="713" spans="1:10" ht="15.75" customHeight="1" x14ac:dyDescent="0.3">
      <c r="A713" s="18">
        <v>45354</v>
      </c>
      <c r="B713" s="18">
        <v>45354</v>
      </c>
      <c r="C713" s="15" t="s">
        <v>2232</v>
      </c>
      <c r="D713" s="15" t="s">
        <v>1536</v>
      </c>
      <c r="E713" s="15"/>
      <c r="F713" s="16">
        <v>1000</v>
      </c>
      <c r="G713" s="16">
        <v>0</v>
      </c>
      <c r="H713" s="16">
        <v>17470.43</v>
      </c>
      <c r="I713" s="15" t="s">
        <v>1537</v>
      </c>
      <c r="J713" s="17">
        <f t="shared" si="10"/>
        <v>0</v>
      </c>
    </row>
    <row r="714" spans="1:10" ht="15.75" customHeight="1" x14ac:dyDescent="0.3">
      <c r="A714" s="18">
        <v>45354</v>
      </c>
      <c r="B714" s="18">
        <v>45354</v>
      </c>
      <c r="C714" s="15" t="s">
        <v>2233</v>
      </c>
      <c r="D714" s="15" t="s">
        <v>1536</v>
      </c>
      <c r="E714" s="15"/>
      <c r="F714" s="16">
        <v>477</v>
      </c>
      <c r="G714" s="16">
        <v>0</v>
      </c>
      <c r="H714" s="16">
        <v>16993.43</v>
      </c>
      <c r="I714" s="15" t="s">
        <v>1537</v>
      </c>
      <c r="J714" s="17">
        <f t="shared" si="10"/>
        <v>0</v>
      </c>
    </row>
    <row r="715" spans="1:10" ht="15.75" customHeight="1" x14ac:dyDescent="0.3">
      <c r="A715" s="18">
        <v>45354</v>
      </c>
      <c r="B715" s="18">
        <v>45354</v>
      </c>
      <c r="C715" s="15" t="s">
        <v>2234</v>
      </c>
      <c r="D715" s="15" t="s">
        <v>1536</v>
      </c>
      <c r="E715" s="15"/>
      <c r="F715" s="16">
        <v>103</v>
      </c>
      <c r="G715" s="16">
        <v>0</v>
      </c>
      <c r="H715" s="16">
        <v>16890.43</v>
      </c>
      <c r="I715" s="15" t="s">
        <v>1537</v>
      </c>
      <c r="J715" s="17">
        <f t="shared" si="10"/>
        <v>0</v>
      </c>
    </row>
    <row r="716" spans="1:10" ht="15.75" customHeight="1" x14ac:dyDescent="0.3">
      <c r="A716" s="18">
        <v>45354</v>
      </c>
      <c r="B716" s="18">
        <v>45354</v>
      </c>
      <c r="C716" s="15" t="s">
        <v>2235</v>
      </c>
      <c r="D716" s="15" t="s">
        <v>1536</v>
      </c>
      <c r="E716" s="15"/>
      <c r="F716" s="16">
        <v>156</v>
      </c>
      <c r="G716" s="16">
        <v>0</v>
      </c>
      <c r="H716" s="16">
        <v>16734.43</v>
      </c>
      <c r="I716" s="15" t="s">
        <v>1537</v>
      </c>
      <c r="J716" s="17">
        <f t="shared" si="10"/>
        <v>0</v>
      </c>
    </row>
    <row r="717" spans="1:10" ht="15.75" customHeight="1" x14ac:dyDescent="0.3">
      <c r="A717" s="18">
        <v>45354</v>
      </c>
      <c r="B717" s="18">
        <v>45354</v>
      </c>
      <c r="C717" s="15" t="s">
        <v>2236</v>
      </c>
      <c r="D717" s="15" t="s">
        <v>1536</v>
      </c>
      <c r="E717" s="15"/>
      <c r="F717" s="16">
        <v>32.58</v>
      </c>
      <c r="G717" s="16">
        <v>0</v>
      </c>
      <c r="H717" s="16">
        <v>16701.849999999999</v>
      </c>
      <c r="I717" s="15" t="s">
        <v>1537</v>
      </c>
      <c r="J717" s="17">
        <f t="shared" si="10"/>
        <v>0</v>
      </c>
    </row>
    <row r="718" spans="1:10" ht="15.75" customHeight="1" x14ac:dyDescent="0.3">
      <c r="A718" s="18">
        <v>45354</v>
      </c>
      <c r="B718" s="18">
        <v>45355</v>
      </c>
      <c r="C718" s="15" t="s">
        <v>2237</v>
      </c>
      <c r="D718" s="15" t="s">
        <v>1536</v>
      </c>
      <c r="E718" s="15"/>
      <c r="F718" s="16">
        <v>43.05</v>
      </c>
      <c r="G718" s="16">
        <v>0</v>
      </c>
      <c r="H718" s="16">
        <v>16658.8</v>
      </c>
      <c r="I718" s="15" t="s">
        <v>1537</v>
      </c>
      <c r="J718" s="17">
        <f t="shared" si="10"/>
        <v>0</v>
      </c>
    </row>
    <row r="719" spans="1:10" ht="15.75" customHeight="1" x14ac:dyDescent="0.3">
      <c r="A719" s="18">
        <v>45355</v>
      </c>
      <c r="B719" s="18">
        <v>45355</v>
      </c>
      <c r="C719" s="15" t="s">
        <v>2238</v>
      </c>
      <c r="D719" s="15" t="s">
        <v>1536</v>
      </c>
      <c r="E719" s="15"/>
      <c r="F719" s="16">
        <v>906</v>
      </c>
      <c r="G719" s="16">
        <v>0</v>
      </c>
      <c r="H719" s="16">
        <v>15752.8</v>
      </c>
      <c r="I719" s="15" t="s">
        <v>1537</v>
      </c>
      <c r="J719" s="17">
        <f t="shared" si="10"/>
        <v>0</v>
      </c>
    </row>
    <row r="720" spans="1:10" ht="15.75" customHeight="1" x14ac:dyDescent="0.3">
      <c r="A720" s="18">
        <v>45355</v>
      </c>
      <c r="B720" s="18">
        <v>45356</v>
      </c>
      <c r="C720" s="15" t="s">
        <v>2239</v>
      </c>
      <c r="D720" s="15" t="s">
        <v>1536</v>
      </c>
      <c r="E720" s="15"/>
      <c r="F720" s="16">
        <v>115</v>
      </c>
      <c r="G720" s="16">
        <v>0</v>
      </c>
      <c r="H720" s="16">
        <v>15637.8</v>
      </c>
      <c r="I720" s="15" t="s">
        <v>1537</v>
      </c>
      <c r="J720" s="17">
        <f t="shared" si="10"/>
        <v>0</v>
      </c>
    </row>
    <row r="721" spans="1:10" ht="15.75" customHeight="1" x14ac:dyDescent="0.3">
      <c r="A721" s="18">
        <v>45356</v>
      </c>
      <c r="B721" s="18">
        <v>45356</v>
      </c>
      <c r="C721" s="15" t="s">
        <v>2240</v>
      </c>
      <c r="D721" s="15" t="s">
        <v>1536</v>
      </c>
      <c r="E721" s="15"/>
      <c r="F721" s="16">
        <v>156</v>
      </c>
      <c r="G721" s="16">
        <v>0</v>
      </c>
      <c r="H721" s="16">
        <v>15481.8</v>
      </c>
      <c r="I721" s="15" t="s">
        <v>1537</v>
      </c>
      <c r="J721" s="17">
        <f t="shared" si="10"/>
        <v>0</v>
      </c>
    </row>
    <row r="722" spans="1:10" ht="15.75" customHeight="1" x14ac:dyDescent="0.3">
      <c r="A722" s="18">
        <v>45356</v>
      </c>
      <c r="B722" s="18">
        <v>45356</v>
      </c>
      <c r="C722" s="15" t="s">
        <v>2241</v>
      </c>
      <c r="D722" s="15" t="s">
        <v>1536</v>
      </c>
      <c r="E722" s="15"/>
      <c r="F722" s="16">
        <v>110</v>
      </c>
      <c r="G722" s="16">
        <v>0</v>
      </c>
      <c r="H722" s="16">
        <v>15371.8</v>
      </c>
      <c r="I722" s="15" t="s">
        <v>1537</v>
      </c>
      <c r="J722" s="17">
        <f t="shared" si="10"/>
        <v>0</v>
      </c>
    </row>
    <row r="723" spans="1:10" ht="15.75" customHeight="1" x14ac:dyDescent="0.3">
      <c r="A723" s="18">
        <v>45356</v>
      </c>
      <c r="B723" s="18">
        <v>45356</v>
      </c>
      <c r="C723" s="15" t="s">
        <v>2242</v>
      </c>
      <c r="D723" s="15" t="s">
        <v>1536</v>
      </c>
      <c r="E723" s="15"/>
      <c r="F723" s="16">
        <v>437</v>
      </c>
      <c r="G723" s="16">
        <v>0</v>
      </c>
      <c r="H723" s="16">
        <v>14934.8</v>
      </c>
      <c r="I723" s="15" t="s">
        <v>1537</v>
      </c>
      <c r="J723" s="17">
        <f t="shared" ref="J723:J786" si="11">H722-F723+G723-H723</f>
        <v>0</v>
      </c>
    </row>
    <row r="724" spans="1:10" ht="15.75" customHeight="1" x14ac:dyDescent="0.3">
      <c r="A724" s="18">
        <v>45357</v>
      </c>
      <c r="B724" s="18">
        <v>45357</v>
      </c>
      <c r="C724" s="15" t="s">
        <v>2243</v>
      </c>
      <c r="D724" s="15" t="s">
        <v>1536</v>
      </c>
      <c r="E724" s="15"/>
      <c r="F724" s="16">
        <v>152.25</v>
      </c>
      <c r="G724" s="16">
        <v>0</v>
      </c>
      <c r="H724" s="16">
        <v>14782.55</v>
      </c>
      <c r="I724" s="15" t="s">
        <v>1537</v>
      </c>
      <c r="J724" s="17">
        <f t="shared" si="11"/>
        <v>0</v>
      </c>
    </row>
    <row r="725" spans="1:10" ht="15.75" customHeight="1" x14ac:dyDescent="0.3">
      <c r="A725" s="18">
        <v>45357</v>
      </c>
      <c r="B725" s="18">
        <v>45357</v>
      </c>
      <c r="C725" s="15" t="s">
        <v>2244</v>
      </c>
      <c r="D725" s="15" t="s">
        <v>1536</v>
      </c>
      <c r="E725" s="15"/>
      <c r="F725" s="16">
        <v>156</v>
      </c>
      <c r="G725" s="16">
        <v>0</v>
      </c>
      <c r="H725" s="16">
        <v>14626.55</v>
      </c>
      <c r="I725" s="15" t="s">
        <v>1537</v>
      </c>
      <c r="J725" s="17">
        <f t="shared" si="11"/>
        <v>0</v>
      </c>
    </row>
    <row r="726" spans="1:10" ht="15.75" customHeight="1" x14ac:dyDescent="0.3">
      <c r="A726" s="18">
        <v>45357</v>
      </c>
      <c r="B726" s="18">
        <v>45357</v>
      </c>
      <c r="C726" s="15" t="s">
        <v>2245</v>
      </c>
      <c r="D726" s="15" t="s">
        <v>1536</v>
      </c>
      <c r="E726" s="15"/>
      <c r="F726" s="16">
        <v>290</v>
      </c>
      <c r="G726" s="16">
        <v>0</v>
      </c>
      <c r="H726" s="16">
        <v>14336.55</v>
      </c>
      <c r="I726" s="15" t="s">
        <v>1537</v>
      </c>
      <c r="J726" s="17">
        <f t="shared" si="11"/>
        <v>0</v>
      </c>
    </row>
    <row r="727" spans="1:10" ht="15.75" customHeight="1" x14ac:dyDescent="0.3">
      <c r="A727" s="18">
        <v>45357</v>
      </c>
      <c r="B727" s="18">
        <v>45357</v>
      </c>
      <c r="C727" s="15" t="s">
        <v>2246</v>
      </c>
      <c r="D727" s="15" t="s">
        <v>1536</v>
      </c>
      <c r="E727" s="15"/>
      <c r="F727" s="16">
        <v>35</v>
      </c>
      <c r="G727" s="16">
        <v>0</v>
      </c>
      <c r="H727" s="16">
        <v>14301.55</v>
      </c>
      <c r="I727" s="15" t="s">
        <v>1537</v>
      </c>
      <c r="J727" s="17">
        <f t="shared" si="11"/>
        <v>0</v>
      </c>
    </row>
    <row r="728" spans="1:10" ht="15.75" customHeight="1" x14ac:dyDescent="0.3">
      <c r="A728" s="18">
        <v>45357</v>
      </c>
      <c r="B728" s="18">
        <v>45357</v>
      </c>
      <c r="C728" s="15" t="s">
        <v>2247</v>
      </c>
      <c r="D728" s="15" t="s">
        <v>1536</v>
      </c>
      <c r="E728" s="15"/>
      <c r="F728" s="16">
        <v>183.7</v>
      </c>
      <c r="G728" s="16">
        <v>0</v>
      </c>
      <c r="H728" s="16">
        <v>14117.85</v>
      </c>
      <c r="I728" s="15" t="s">
        <v>1537</v>
      </c>
      <c r="J728" s="17">
        <f t="shared" si="11"/>
        <v>0</v>
      </c>
    </row>
    <row r="729" spans="1:10" ht="15.75" customHeight="1" x14ac:dyDescent="0.3">
      <c r="A729" s="18">
        <v>45358</v>
      </c>
      <c r="B729" s="18">
        <v>45358</v>
      </c>
      <c r="C729" s="15" t="s">
        <v>2248</v>
      </c>
      <c r="D729" s="15" t="s">
        <v>1536</v>
      </c>
      <c r="E729" s="15"/>
      <c r="F729" s="16">
        <v>60</v>
      </c>
      <c r="G729" s="16">
        <v>0</v>
      </c>
      <c r="H729" s="16">
        <v>14057.85</v>
      </c>
      <c r="I729" s="15" t="s">
        <v>1537</v>
      </c>
      <c r="J729" s="17">
        <f t="shared" si="11"/>
        <v>0</v>
      </c>
    </row>
    <row r="730" spans="1:10" ht="15.75" customHeight="1" x14ac:dyDescent="0.3">
      <c r="A730" s="18">
        <v>45358</v>
      </c>
      <c r="B730" s="18">
        <v>45358</v>
      </c>
      <c r="C730" s="15" t="s">
        <v>2249</v>
      </c>
      <c r="D730" s="15" t="s">
        <v>1536</v>
      </c>
      <c r="E730" s="15"/>
      <c r="F730" s="16">
        <v>353</v>
      </c>
      <c r="G730" s="16">
        <v>0</v>
      </c>
      <c r="H730" s="16">
        <v>13704.85</v>
      </c>
      <c r="I730" s="15" t="s">
        <v>1537</v>
      </c>
      <c r="J730" s="17">
        <f t="shared" si="11"/>
        <v>0</v>
      </c>
    </row>
    <row r="731" spans="1:10" ht="15.75" customHeight="1" x14ac:dyDescent="0.3">
      <c r="A731" s="18">
        <v>45358</v>
      </c>
      <c r="B731" s="18">
        <v>45358</v>
      </c>
      <c r="C731" s="15" t="s">
        <v>2250</v>
      </c>
      <c r="D731" s="15" t="s">
        <v>1536</v>
      </c>
      <c r="E731" s="15"/>
      <c r="F731" s="16">
        <v>40</v>
      </c>
      <c r="G731" s="16">
        <v>0</v>
      </c>
      <c r="H731" s="16">
        <v>13664.85</v>
      </c>
      <c r="I731" s="15" t="s">
        <v>1537</v>
      </c>
      <c r="J731" s="17">
        <f t="shared" si="11"/>
        <v>0</v>
      </c>
    </row>
    <row r="732" spans="1:10" ht="15.75" customHeight="1" x14ac:dyDescent="0.3">
      <c r="A732" s="18">
        <v>45358</v>
      </c>
      <c r="B732" s="18">
        <v>45358</v>
      </c>
      <c r="C732" s="15" t="s">
        <v>2251</v>
      </c>
      <c r="D732" s="15" t="s">
        <v>1536</v>
      </c>
      <c r="E732" s="15"/>
      <c r="F732" s="16">
        <v>301</v>
      </c>
      <c r="G732" s="16">
        <v>0</v>
      </c>
      <c r="H732" s="16">
        <v>13363.85</v>
      </c>
      <c r="I732" s="15" t="s">
        <v>1537</v>
      </c>
      <c r="J732" s="17">
        <f t="shared" si="11"/>
        <v>0</v>
      </c>
    </row>
    <row r="733" spans="1:10" ht="15.75" customHeight="1" x14ac:dyDescent="0.3">
      <c r="A733" s="18">
        <v>45358</v>
      </c>
      <c r="B733" s="18">
        <v>45358</v>
      </c>
      <c r="C733" s="15" t="s">
        <v>2252</v>
      </c>
      <c r="D733" s="15" t="s">
        <v>1536</v>
      </c>
      <c r="E733" s="15"/>
      <c r="F733" s="16">
        <v>354.42</v>
      </c>
      <c r="G733" s="16">
        <v>0</v>
      </c>
      <c r="H733" s="16">
        <v>13009.43</v>
      </c>
      <c r="I733" s="15" t="s">
        <v>1537</v>
      </c>
      <c r="J733" s="17">
        <f t="shared" si="11"/>
        <v>0</v>
      </c>
    </row>
    <row r="734" spans="1:10" ht="15.75" customHeight="1" x14ac:dyDescent="0.3">
      <c r="A734" s="18">
        <v>45359</v>
      </c>
      <c r="B734" s="18">
        <v>45359</v>
      </c>
      <c r="C734" s="15" t="s">
        <v>2253</v>
      </c>
      <c r="D734" s="15" t="s">
        <v>1536</v>
      </c>
      <c r="E734" s="15"/>
      <c r="F734" s="16">
        <v>50</v>
      </c>
      <c r="G734" s="16">
        <v>0</v>
      </c>
      <c r="H734" s="16">
        <v>12959.43</v>
      </c>
      <c r="I734" s="15" t="s">
        <v>1537</v>
      </c>
      <c r="J734" s="17">
        <f t="shared" si="11"/>
        <v>0</v>
      </c>
    </row>
    <row r="735" spans="1:10" ht="15.75" customHeight="1" x14ac:dyDescent="0.3">
      <c r="A735" s="18">
        <v>45359</v>
      </c>
      <c r="B735" s="18">
        <v>45359</v>
      </c>
      <c r="C735" s="15" t="s">
        <v>2254</v>
      </c>
      <c r="D735" s="15" t="s">
        <v>1536</v>
      </c>
      <c r="E735" s="15"/>
      <c r="F735" s="16">
        <v>80</v>
      </c>
      <c r="G735" s="16">
        <v>0</v>
      </c>
      <c r="H735" s="16">
        <v>12879.43</v>
      </c>
      <c r="I735" s="15" t="s">
        <v>1537</v>
      </c>
      <c r="J735" s="17">
        <f t="shared" si="11"/>
        <v>0</v>
      </c>
    </row>
    <row r="736" spans="1:10" ht="15.75" customHeight="1" x14ac:dyDescent="0.3">
      <c r="A736" s="18">
        <v>45359</v>
      </c>
      <c r="B736" s="18">
        <v>45359</v>
      </c>
      <c r="C736" s="15" t="s">
        <v>2255</v>
      </c>
      <c r="D736" s="15" t="s">
        <v>1536</v>
      </c>
      <c r="E736" s="15"/>
      <c r="F736" s="16">
        <v>176.17</v>
      </c>
      <c r="G736" s="16">
        <v>0</v>
      </c>
      <c r="H736" s="16">
        <v>12703.26</v>
      </c>
      <c r="I736" s="15" t="s">
        <v>1537</v>
      </c>
      <c r="J736" s="17">
        <f t="shared" si="11"/>
        <v>0</v>
      </c>
    </row>
    <row r="737" spans="1:10" ht="15.75" customHeight="1" x14ac:dyDescent="0.3">
      <c r="A737" s="18">
        <v>45359</v>
      </c>
      <c r="B737" s="18">
        <v>45359</v>
      </c>
      <c r="C737" s="15" t="s">
        <v>2256</v>
      </c>
      <c r="D737" s="15" t="s">
        <v>1536</v>
      </c>
      <c r="E737" s="15"/>
      <c r="F737" s="16">
        <v>206.42</v>
      </c>
      <c r="G737" s="16">
        <v>0</v>
      </c>
      <c r="H737" s="16">
        <v>12496.84</v>
      </c>
      <c r="I737" s="15" t="s">
        <v>1537</v>
      </c>
      <c r="J737" s="17">
        <f t="shared" si="11"/>
        <v>0</v>
      </c>
    </row>
    <row r="738" spans="1:10" ht="15.75" customHeight="1" x14ac:dyDescent="0.3">
      <c r="A738" s="18">
        <v>45360</v>
      </c>
      <c r="B738" s="18">
        <v>45360</v>
      </c>
      <c r="C738" s="15" t="s">
        <v>2257</v>
      </c>
      <c r="D738" s="15" t="s">
        <v>1536</v>
      </c>
      <c r="E738" s="15"/>
      <c r="F738" s="16">
        <v>56</v>
      </c>
      <c r="G738" s="16">
        <v>0</v>
      </c>
      <c r="H738" s="16">
        <v>12440.84</v>
      </c>
      <c r="I738" s="15" t="s">
        <v>1537</v>
      </c>
      <c r="J738" s="17">
        <f t="shared" si="11"/>
        <v>0</v>
      </c>
    </row>
    <row r="739" spans="1:10" ht="15.75" customHeight="1" x14ac:dyDescent="0.3">
      <c r="A739" s="18">
        <v>45360</v>
      </c>
      <c r="B739" s="18">
        <v>45360</v>
      </c>
      <c r="C739" s="15" t="s">
        <v>2258</v>
      </c>
      <c r="D739" s="15" t="s">
        <v>1536</v>
      </c>
      <c r="E739" s="15"/>
      <c r="F739" s="16">
        <v>406.75</v>
      </c>
      <c r="G739" s="16">
        <v>0</v>
      </c>
      <c r="H739" s="16">
        <v>12034.09</v>
      </c>
      <c r="I739" s="15" t="s">
        <v>1537</v>
      </c>
      <c r="J739" s="17">
        <f t="shared" si="11"/>
        <v>0</v>
      </c>
    </row>
    <row r="740" spans="1:10" ht="15.75" customHeight="1" x14ac:dyDescent="0.3">
      <c r="A740" s="18">
        <v>45360</v>
      </c>
      <c r="B740" s="18">
        <v>45360</v>
      </c>
      <c r="C740" s="15" t="s">
        <v>2259</v>
      </c>
      <c r="D740" s="15" t="s">
        <v>1536</v>
      </c>
      <c r="E740" s="15"/>
      <c r="F740" s="16">
        <v>201</v>
      </c>
      <c r="G740" s="16">
        <v>0</v>
      </c>
      <c r="H740" s="16">
        <v>11833.09</v>
      </c>
      <c r="I740" s="15" t="s">
        <v>1537</v>
      </c>
      <c r="J740" s="17">
        <f t="shared" si="11"/>
        <v>0</v>
      </c>
    </row>
    <row r="741" spans="1:10" ht="15.75" customHeight="1" x14ac:dyDescent="0.3">
      <c r="A741" s="18">
        <v>45360</v>
      </c>
      <c r="B741" s="18">
        <v>45360</v>
      </c>
      <c r="C741" s="15" t="s">
        <v>2260</v>
      </c>
      <c r="D741" s="15" t="s">
        <v>1536</v>
      </c>
      <c r="E741" s="15"/>
      <c r="F741" s="16">
        <v>53</v>
      </c>
      <c r="G741" s="16">
        <v>0</v>
      </c>
      <c r="H741" s="16">
        <v>11780.09</v>
      </c>
      <c r="I741" s="15" t="s">
        <v>1537</v>
      </c>
      <c r="J741" s="17">
        <f t="shared" si="11"/>
        <v>0</v>
      </c>
    </row>
    <row r="742" spans="1:10" ht="15.75" customHeight="1" x14ac:dyDescent="0.3">
      <c r="A742" s="18">
        <v>45360</v>
      </c>
      <c r="B742" s="18">
        <v>45360</v>
      </c>
      <c r="C742" s="15" t="s">
        <v>2261</v>
      </c>
      <c r="D742" s="15" t="s">
        <v>1536</v>
      </c>
      <c r="E742" s="15"/>
      <c r="F742" s="16">
        <v>2904</v>
      </c>
      <c r="G742" s="16">
        <v>0</v>
      </c>
      <c r="H742" s="16">
        <v>8876.09</v>
      </c>
      <c r="I742" s="15" t="s">
        <v>1537</v>
      </c>
      <c r="J742" s="17">
        <f t="shared" si="11"/>
        <v>0</v>
      </c>
    </row>
    <row r="743" spans="1:10" ht="15.75" customHeight="1" x14ac:dyDescent="0.3">
      <c r="A743" s="18">
        <v>45360</v>
      </c>
      <c r="B743" s="18">
        <v>45360</v>
      </c>
      <c r="C743" s="15" t="s">
        <v>2262</v>
      </c>
      <c r="D743" s="15" t="s">
        <v>1536</v>
      </c>
      <c r="E743" s="15"/>
      <c r="F743" s="16">
        <v>41</v>
      </c>
      <c r="G743" s="16">
        <v>0</v>
      </c>
      <c r="H743" s="16">
        <v>8835.09</v>
      </c>
      <c r="I743" s="15" t="s">
        <v>1537</v>
      </c>
      <c r="J743" s="17">
        <f t="shared" si="11"/>
        <v>0</v>
      </c>
    </row>
    <row r="744" spans="1:10" ht="15.75" customHeight="1" x14ac:dyDescent="0.3">
      <c r="A744" s="18">
        <v>45360</v>
      </c>
      <c r="B744" s="18">
        <v>45360</v>
      </c>
      <c r="C744" s="15" t="s">
        <v>2263</v>
      </c>
      <c r="D744" s="15" t="s">
        <v>1536</v>
      </c>
      <c r="E744" s="15"/>
      <c r="F744" s="16">
        <v>635</v>
      </c>
      <c r="G744" s="16">
        <v>0</v>
      </c>
      <c r="H744" s="16">
        <v>8200.09</v>
      </c>
      <c r="I744" s="15" t="s">
        <v>1537</v>
      </c>
      <c r="J744" s="17">
        <f t="shared" si="11"/>
        <v>0</v>
      </c>
    </row>
    <row r="745" spans="1:10" ht="15.75" customHeight="1" x14ac:dyDescent="0.3">
      <c r="A745" s="18">
        <v>45360</v>
      </c>
      <c r="B745" s="18">
        <v>45360</v>
      </c>
      <c r="C745" s="15" t="s">
        <v>2264</v>
      </c>
      <c r="D745" s="15" t="s">
        <v>1536</v>
      </c>
      <c r="E745" s="15"/>
      <c r="F745" s="16">
        <v>35</v>
      </c>
      <c r="G745" s="16">
        <v>0</v>
      </c>
      <c r="H745" s="16">
        <v>8165.09</v>
      </c>
      <c r="I745" s="15" t="s">
        <v>1537</v>
      </c>
      <c r="J745" s="17">
        <f t="shared" si="11"/>
        <v>0</v>
      </c>
    </row>
    <row r="746" spans="1:10" ht="15.75" customHeight="1" x14ac:dyDescent="0.3">
      <c r="A746" s="18">
        <v>45360</v>
      </c>
      <c r="B746" s="18">
        <v>45360</v>
      </c>
      <c r="C746" s="15" t="s">
        <v>2265</v>
      </c>
      <c r="D746" s="15" t="s">
        <v>1536</v>
      </c>
      <c r="E746" s="15"/>
      <c r="F746" s="16">
        <v>292.07</v>
      </c>
      <c r="G746" s="16">
        <v>0</v>
      </c>
      <c r="H746" s="16">
        <v>7873.02</v>
      </c>
      <c r="I746" s="15" t="s">
        <v>1537</v>
      </c>
      <c r="J746" s="17">
        <f t="shared" si="11"/>
        <v>0</v>
      </c>
    </row>
    <row r="747" spans="1:10" ht="15.75" customHeight="1" x14ac:dyDescent="0.3">
      <c r="A747" s="18">
        <v>45361</v>
      </c>
      <c r="B747" s="18">
        <v>45361</v>
      </c>
      <c r="C747" s="15" t="s">
        <v>2266</v>
      </c>
      <c r="D747" s="15" t="s">
        <v>1536</v>
      </c>
      <c r="E747" s="15"/>
      <c r="F747" s="16">
        <v>10</v>
      </c>
      <c r="G747" s="16">
        <v>0</v>
      </c>
      <c r="H747" s="16">
        <v>7863.02</v>
      </c>
      <c r="I747" s="15" t="s">
        <v>1537</v>
      </c>
      <c r="J747" s="17">
        <f t="shared" si="11"/>
        <v>0</v>
      </c>
    </row>
    <row r="748" spans="1:10" ht="15.75" customHeight="1" x14ac:dyDescent="0.3">
      <c r="A748" s="18">
        <v>45361</v>
      </c>
      <c r="B748" s="18">
        <v>45361</v>
      </c>
      <c r="C748" s="15" t="s">
        <v>2267</v>
      </c>
      <c r="D748" s="15" t="s">
        <v>1536</v>
      </c>
      <c r="E748" s="15"/>
      <c r="F748" s="16">
        <v>105</v>
      </c>
      <c r="G748" s="16">
        <v>0</v>
      </c>
      <c r="H748" s="16">
        <v>7758.02</v>
      </c>
      <c r="I748" s="15" t="s">
        <v>1537</v>
      </c>
      <c r="J748" s="17">
        <f t="shared" si="11"/>
        <v>0</v>
      </c>
    </row>
    <row r="749" spans="1:10" ht="15.75" customHeight="1" x14ac:dyDescent="0.3">
      <c r="A749" s="18">
        <v>45361</v>
      </c>
      <c r="B749" s="18">
        <v>45361</v>
      </c>
      <c r="C749" s="15" t="s">
        <v>2268</v>
      </c>
      <c r="D749" s="15" t="s">
        <v>1536</v>
      </c>
      <c r="E749" s="15"/>
      <c r="F749" s="16">
        <v>10</v>
      </c>
      <c r="G749" s="16">
        <v>0</v>
      </c>
      <c r="H749" s="16">
        <v>7748.02</v>
      </c>
      <c r="I749" s="15" t="s">
        <v>1537</v>
      </c>
      <c r="J749" s="17">
        <f t="shared" si="11"/>
        <v>0</v>
      </c>
    </row>
    <row r="750" spans="1:10" ht="15.75" customHeight="1" x14ac:dyDescent="0.3">
      <c r="A750" s="18">
        <v>45361</v>
      </c>
      <c r="B750" s="18">
        <v>45361</v>
      </c>
      <c r="C750" s="15" t="s">
        <v>2269</v>
      </c>
      <c r="D750" s="15" t="s">
        <v>1536</v>
      </c>
      <c r="E750" s="15"/>
      <c r="F750" s="16">
        <v>41</v>
      </c>
      <c r="G750" s="16">
        <v>0</v>
      </c>
      <c r="H750" s="16">
        <v>7707.02</v>
      </c>
      <c r="I750" s="15" t="s">
        <v>1537</v>
      </c>
      <c r="J750" s="17">
        <f t="shared" si="11"/>
        <v>0</v>
      </c>
    </row>
    <row r="751" spans="1:10" ht="15.75" customHeight="1" x14ac:dyDescent="0.3">
      <c r="A751" s="18">
        <v>45361</v>
      </c>
      <c r="B751" s="18">
        <v>45361</v>
      </c>
      <c r="C751" s="15" t="s">
        <v>2270</v>
      </c>
      <c r="D751" s="15" t="s">
        <v>1536</v>
      </c>
      <c r="E751" s="15"/>
      <c r="F751" s="16">
        <v>600</v>
      </c>
      <c r="G751" s="16">
        <v>0</v>
      </c>
      <c r="H751" s="16">
        <v>7107.02</v>
      </c>
      <c r="I751" s="15" t="s">
        <v>1537</v>
      </c>
      <c r="J751" s="17">
        <f t="shared" si="11"/>
        <v>0</v>
      </c>
    </row>
    <row r="752" spans="1:10" ht="15.75" customHeight="1" x14ac:dyDescent="0.3">
      <c r="A752" s="18">
        <v>45361</v>
      </c>
      <c r="B752" s="18">
        <v>45361</v>
      </c>
      <c r="C752" s="15" t="s">
        <v>2271</v>
      </c>
      <c r="D752" s="15" t="s">
        <v>1536</v>
      </c>
      <c r="E752" s="15"/>
      <c r="F752" s="16">
        <v>105</v>
      </c>
      <c r="G752" s="16">
        <v>0</v>
      </c>
      <c r="H752" s="16">
        <v>7002.02</v>
      </c>
      <c r="I752" s="15" t="s">
        <v>1537</v>
      </c>
      <c r="J752" s="17">
        <f t="shared" si="11"/>
        <v>0</v>
      </c>
    </row>
    <row r="753" spans="1:10" ht="15.75" customHeight="1" x14ac:dyDescent="0.3">
      <c r="A753" s="18">
        <v>45361</v>
      </c>
      <c r="B753" s="18">
        <v>45361</v>
      </c>
      <c r="C753" s="15" t="s">
        <v>2272</v>
      </c>
      <c r="D753" s="15" t="s">
        <v>1536</v>
      </c>
      <c r="E753" s="15"/>
      <c r="F753" s="16">
        <v>506.17</v>
      </c>
      <c r="G753" s="16">
        <v>0</v>
      </c>
      <c r="H753" s="16">
        <v>6495.85</v>
      </c>
      <c r="I753" s="15" t="s">
        <v>1537</v>
      </c>
      <c r="J753" s="17">
        <f t="shared" si="11"/>
        <v>0</v>
      </c>
    </row>
    <row r="754" spans="1:10" ht="15.75" customHeight="1" x14ac:dyDescent="0.3">
      <c r="A754" s="18">
        <v>45362</v>
      </c>
      <c r="B754" s="18">
        <v>45362</v>
      </c>
      <c r="C754" s="15" t="s">
        <v>2273</v>
      </c>
      <c r="D754" s="15" t="s">
        <v>1536</v>
      </c>
      <c r="E754" s="15"/>
      <c r="F754" s="16">
        <v>60</v>
      </c>
      <c r="G754" s="16">
        <v>0</v>
      </c>
      <c r="H754" s="16">
        <v>6435.85</v>
      </c>
      <c r="I754" s="15" t="s">
        <v>1537</v>
      </c>
      <c r="J754" s="17">
        <f t="shared" si="11"/>
        <v>0</v>
      </c>
    </row>
    <row r="755" spans="1:10" ht="15.75" customHeight="1" x14ac:dyDescent="0.3">
      <c r="A755" s="18">
        <v>45362</v>
      </c>
      <c r="B755" s="18">
        <v>45362</v>
      </c>
      <c r="C755" s="15" t="s">
        <v>2274</v>
      </c>
      <c r="D755" s="15" t="s">
        <v>1536</v>
      </c>
      <c r="E755" s="15"/>
      <c r="F755" s="16">
        <v>90</v>
      </c>
      <c r="G755" s="16">
        <v>0</v>
      </c>
      <c r="H755" s="16">
        <v>6345.85</v>
      </c>
      <c r="I755" s="15" t="s">
        <v>1537</v>
      </c>
      <c r="J755" s="17">
        <f t="shared" si="11"/>
        <v>0</v>
      </c>
    </row>
    <row r="756" spans="1:10" ht="15.75" customHeight="1" x14ac:dyDescent="0.3">
      <c r="A756" s="18">
        <v>45362</v>
      </c>
      <c r="B756" s="18">
        <v>45362</v>
      </c>
      <c r="C756" s="15" t="s">
        <v>2275</v>
      </c>
      <c r="D756" s="15" t="s">
        <v>1536</v>
      </c>
      <c r="E756" s="15"/>
      <c r="F756" s="16">
        <v>27</v>
      </c>
      <c r="G756" s="16">
        <v>0</v>
      </c>
      <c r="H756" s="16">
        <v>6318.85</v>
      </c>
      <c r="I756" s="15" t="s">
        <v>1537</v>
      </c>
      <c r="J756" s="17">
        <f t="shared" si="11"/>
        <v>0</v>
      </c>
    </row>
    <row r="757" spans="1:10" ht="15.75" customHeight="1" x14ac:dyDescent="0.3">
      <c r="A757" s="18">
        <v>45362</v>
      </c>
      <c r="B757" s="18">
        <v>45362</v>
      </c>
      <c r="C757" s="15" t="s">
        <v>2276</v>
      </c>
      <c r="D757" s="15" t="s">
        <v>1536</v>
      </c>
      <c r="E757" s="15"/>
      <c r="F757" s="16">
        <v>784.18</v>
      </c>
      <c r="G757" s="16">
        <v>0</v>
      </c>
      <c r="H757" s="16">
        <v>5534.67</v>
      </c>
      <c r="I757" s="15" t="s">
        <v>1537</v>
      </c>
      <c r="J757" s="17">
        <f t="shared" si="11"/>
        <v>0</v>
      </c>
    </row>
    <row r="758" spans="1:10" ht="15.75" customHeight="1" x14ac:dyDescent="0.3">
      <c r="A758" s="18">
        <v>45362</v>
      </c>
      <c r="B758" s="18">
        <v>45362</v>
      </c>
      <c r="C758" s="15" t="s">
        <v>2277</v>
      </c>
      <c r="D758" s="15" t="s">
        <v>1536</v>
      </c>
      <c r="E758" s="15"/>
      <c r="F758" s="16">
        <v>40</v>
      </c>
      <c r="G758" s="16">
        <v>0</v>
      </c>
      <c r="H758" s="16">
        <v>5494.67</v>
      </c>
      <c r="I758" s="15" t="s">
        <v>1537</v>
      </c>
      <c r="J758" s="17">
        <f t="shared" si="11"/>
        <v>0</v>
      </c>
    </row>
    <row r="759" spans="1:10" ht="15.75" customHeight="1" x14ac:dyDescent="0.3">
      <c r="A759" s="18">
        <v>45363</v>
      </c>
      <c r="B759" s="18">
        <v>45363</v>
      </c>
      <c r="C759" s="15" t="s">
        <v>2278</v>
      </c>
      <c r="D759" s="15" t="s">
        <v>1536</v>
      </c>
      <c r="E759" s="15"/>
      <c r="F759" s="16">
        <v>10</v>
      </c>
      <c r="G759" s="16">
        <v>0</v>
      </c>
      <c r="H759" s="16">
        <v>5484.67</v>
      </c>
      <c r="I759" s="15" t="s">
        <v>1537</v>
      </c>
      <c r="J759" s="17">
        <f t="shared" si="11"/>
        <v>0</v>
      </c>
    </row>
    <row r="760" spans="1:10" ht="15.75" customHeight="1" x14ac:dyDescent="0.3">
      <c r="A760" s="18">
        <v>45363</v>
      </c>
      <c r="B760" s="18">
        <v>45363</v>
      </c>
      <c r="C760" s="15" t="s">
        <v>2279</v>
      </c>
      <c r="D760" s="15" t="s">
        <v>1536</v>
      </c>
      <c r="E760" s="15"/>
      <c r="F760" s="16">
        <v>160</v>
      </c>
      <c r="G760" s="16">
        <v>0</v>
      </c>
      <c r="H760" s="16">
        <v>5324.67</v>
      </c>
      <c r="I760" s="15" t="s">
        <v>1537</v>
      </c>
      <c r="J760" s="17">
        <f t="shared" si="11"/>
        <v>0</v>
      </c>
    </row>
    <row r="761" spans="1:10" ht="15.75" customHeight="1" x14ac:dyDescent="0.3">
      <c r="A761" s="18">
        <v>45363</v>
      </c>
      <c r="B761" s="18">
        <v>45363</v>
      </c>
      <c r="C761" s="15" t="s">
        <v>2280</v>
      </c>
      <c r="D761" s="15" t="s">
        <v>1536</v>
      </c>
      <c r="E761" s="15"/>
      <c r="F761" s="16">
        <v>25</v>
      </c>
      <c r="G761" s="16">
        <v>0</v>
      </c>
      <c r="H761" s="16">
        <v>5299.67</v>
      </c>
      <c r="I761" s="15" t="s">
        <v>1537</v>
      </c>
      <c r="J761" s="17">
        <f t="shared" si="11"/>
        <v>0</v>
      </c>
    </row>
    <row r="762" spans="1:10" ht="15.75" customHeight="1" x14ac:dyDescent="0.3">
      <c r="A762" s="18">
        <v>45363</v>
      </c>
      <c r="B762" s="18">
        <v>45363</v>
      </c>
      <c r="C762" s="15" t="s">
        <v>2281</v>
      </c>
      <c r="D762" s="15" t="s">
        <v>1536</v>
      </c>
      <c r="E762" s="15"/>
      <c r="F762" s="16">
        <v>300</v>
      </c>
      <c r="G762" s="16">
        <v>0</v>
      </c>
      <c r="H762" s="16">
        <v>4999.67</v>
      </c>
      <c r="I762" s="15" t="s">
        <v>1537</v>
      </c>
      <c r="J762" s="17">
        <f t="shared" si="11"/>
        <v>0</v>
      </c>
    </row>
    <row r="763" spans="1:10" ht="15.75" customHeight="1" x14ac:dyDescent="0.3">
      <c r="A763" s="18">
        <v>45363</v>
      </c>
      <c r="B763" s="18">
        <v>45363</v>
      </c>
      <c r="C763" s="15" t="s">
        <v>2282</v>
      </c>
      <c r="D763" s="15" t="s">
        <v>1536</v>
      </c>
      <c r="E763" s="15"/>
      <c r="F763" s="16">
        <v>43</v>
      </c>
      <c r="G763" s="16">
        <v>0</v>
      </c>
      <c r="H763" s="16">
        <v>4956.67</v>
      </c>
      <c r="I763" s="15" t="s">
        <v>1537</v>
      </c>
      <c r="J763" s="17">
        <f t="shared" si="11"/>
        <v>0</v>
      </c>
    </row>
    <row r="764" spans="1:10" ht="15.75" customHeight="1" x14ac:dyDescent="0.3">
      <c r="A764" s="18">
        <v>45363</v>
      </c>
      <c r="B764" s="18">
        <v>45363</v>
      </c>
      <c r="C764" s="15" t="s">
        <v>2283</v>
      </c>
      <c r="D764" s="15" t="s">
        <v>1536</v>
      </c>
      <c r="E764" s="15"/>
      <c r="F764" s="16">
        <v>35</v>
      </c>
      <c r="G764" s="16">
        <v>0</v>
      </c>
      <c r="H764" s="16">
        <v>4921.67</v>
      </c>
      <c r="I764" s="15" t="s">
        <v>1537</v>
      </c>
      <c r="J764" s="17">
        <f t="shared" si="11"/>
        <v>0</v>
      </c>
    </row>
    <row r="765" spans="1:10" ht="15.75" customHeight="1" x14ac:dyDescent="0.3">
      <c r="A765" s="18">
        <v>45363</v>
      </c>
      <c r="B765" s="18">
        <v>45363</v>
      </c>
      <c r="C765" s="15" t="s">
        <v>2284</v>
      </c>
      <c r="D765" s="15" t="s">
        <v>1536</v>
      </c>
      <c r="E765" s="15"/>
      <c r="F765" s="16">
        <v>20</v>
      </c>
      <c r="G765" s="16">
        <v>0</v>
      </c>
      <c r="H765" s="16">
        <v>4901.67</v>
      </c>
      <c r="I765" s="15" t="s">
        <v>1537</v>
      </c>
      <c r="J765" s="17">
        <f t="shared" si="11"/>
        <v>0</v>
      </c>
    </row>
    <row r="766" spans="1:10" ht="15.75" customHeight="1" x14ac:dyDescent="0.3">
      <c r="A766" s="18">
        <v>45364</v>
      </c>
      <c r="B766" s="18">
        <v>45364</v>
      </c>
      <c r="C766" s="15" t="s">
        <v>2285</v>
      </c>
      <c r="D766" s="15" t="s">
        <v>1536</v>
      </c>
      <c r="E766" s="15"/>
      <c r="F766" s="16">
        <v>30</v>
      </c>
      <c r="G766" s="16">
        <v>0</v>
      </c>
      <c r="H766" s="16">
        <v>4871.67</v>
      </c>
      <c r="I766" s="15" t="s">
        <v>1537</v>
      </c>
      <c r="J766" s="17">
        <f t="shared" si="11"/>
        <v>0</v>
      </c>
    </row>
    <row r="767" spans="1:10" ht="15.75" customHeight="1" x14ac:dyDescent="0.3">
      <c r="A767" s="18">
        <v>45364</v>
      </c>
      <c r="B767" s="18">
        <v>45364</v>
      </c>
      <c r="C767" s="15" t="s">
        <v>2286</v>
      </c>
      <c r="D767" s="15" t="s">
        <v>1536</v>
      </c>
      <c r="E767" s="15"/>
      <c r="F767" s="16">
        <v>40</v>
      </c>
      <c r="G767" s="16">
        <v>0</v>
      </c>
      <c r="H767" s="16">
        <v>4831.67</v>
      </c>
      <c r="I767" s="15" t="s">
        <v>1537</v>
      </c>
      <c r="J767" s="17">
        <f t="shared" si="11"/>
        <v>0</v>
      </c>
    </row>
    <row r="768" spans="1:10" ht="15.75" customHeight="1" x14ac:dyDescent="0.3">
      <c r="A768" s="18">
        <v>45365</v>
      </c>
      <c r="B768" s="18">
        <v>45365</v>
      </c>
      <c r="C768" s="15" t="s">
        <v>2287</v>
      </c>
      <c r="D768" s="15" t="s">
        <v>1536</v>
      </c>
      <c r="E768" s="15"/>
      <c r="F768" s="16">
        <v>20</v>
      </c>
      <c r="G768" s="16">
        <v>0</v>
      </c>
      <c r="H768" s="16">
        <v>4811.67</v>
      </c>
      <c r="I768" s="15" t="s">
        <v>1537</v>
      </c>
      <c r="J768" s="17">
        <f t="shared" si="11"/>
        <v>0</v>
      </c>
    </row>
    <row r="769" spans="1:10" ht="15.75" customHeight="1" x14ac:dyDescent="0.3">
      <c r="A769" s="18">
        <v>45365</v>
      </c>
      <c r="B769" s="18">
        <v>45365</v>
      </c>
      <c r="C769" s="15" t="s">
        <v>2288</v>
      </c>
      <c r="D769" s="15" t="s">
        <v>1536</v>
      </c>
      <c r="E769" s="15"/>
      <c r="F769" s="16">
        <v>75</v>
      </c>
      <c r="G769" s="16">
        <v>0</v>
      </c>
      <c r="H769" s="16">
        <v>4736.67</v>
      </c>
      <c r="I769" s="15" t="s">
        <v>1537</v>
      </c>
      <c r="J769" s="17">
        <f t="shared" si="11"/>
        <v>0</v>
      </c>
    </row>
    <row r="770" spans="1:10" ht="15.75" customHeight="1" x14ac:dyDescent="0.3">
      <c r="A770" s="18">
        <v>45365</v>
      </c>
      <c r="B770" s="18">
        <v>45365</v>
      </c>
      <c r="C770" s="15" t="s">
        <v>2289</v>
      </c>
      <c r="D770" s="15" t="s">
        <v>1536</v>
      </c>
      <c r="E770" s="15"/>
      <c r="F770" s="16">
        <v>2274</v>
      </c>
      <c r="G770" s="16">
        <v>0</v>
      </c>
      <c r="H770" s="16">
        <v>2462.67</v>
      </c>
      <c r="I770" s="15" t="s">
        <v>1537</v>
      </c>
      <c r="J770" s="17">
        <f t="shared" si="11"/>
        <v>0</v>
      </c>
    </row>
    <row r="771" spans="1:10" ht="15.75" customHeight="1" x14ac:dyDescent="0.3">
      <c r="A771" s="18">
        <v>45366</v>
      </c>
      <c r="B771" s="18">
        <v>45366</v>
      </c>
      <c r="C771" s="15" t="s">
        <v>2290</v>
      </c>
      <c r="D771" s="15" t="s">
        <v>1536</v>
      </c>
      <c r="E771" s="15"/>
      <c r="F771" s="16">
        <v>2099</v>
      </c>
      <c r="G771" s="16">
        <v>0</v>
      </c>
      <c r="H771" s="16">
        <v>363.67</v>
      </c>
      <c r="I771" s="15" t="s">
        <v>1537</v>
      </c>
      <c r="J771" s="17">
        <f t="shared" si="11"/>
        <v>0</v>
      </c>
    </row>
    <row r="772" spans="1:10" ht="15.75" customHeight="1" x14ac:dyDescent="0.3">
      <c r="A772" s="18">
        <v>45366</v>
      </c>
      <c r="B772" s="18">
        <v>45366</v>
      </c>
      <c r="C772" s="15" t="s">
        <v>2291</v>
      </c>
      <c r="D772" s="15" t="s">
        <v>1536</v>
      </c>
      <c r="E772" s="15"/>
      <c r="F772" s="16">
        <v>0</v>
      </c>
      <c r="G772" s="16">
        <v>275</v>
      </c>
      <c r="H772" s="16">
        <v>638.66999999999996</v>
      </c>
      <c r="I772" s="15" t="s">
        <v>1540</v>
      </c>
      <c r="J772" s="17">
        <f t="shared" si="11"/>
        <v>0</v>
      </c>
    </row>
    <row r="773" spans="1:10" ht="15.75" customHeight="1" x14ac:dyDescent="0.3">
      <c r="A773" s="18">
        <v>45366</v>
      </c>
      <c r="B773" s="18">
        <v>45366</v>
      </c>
      <c r="C773" s="15" t="s">
        <v>2292</v>
      </c>
      <c r="D773" s="15" t="s">
        <v>1536</v>
      </c>
      <c r="E773" s="15"/>
      <c r="F773" s="16">
        <v>0</v>
      </c>
      <c r="G773" s="16">
        <v>5000</v>
      </c>
      <c r="H773" s="16">
        <v>5638.67</v>
      </c>
      <c r="I773" s="15" t="s">
        <v>1540</v>
      </c>
      <c r="J773" s="17">
        <f t="shared" si="11"/>
        <v>0</v>
      </c>
    </row>
    <row r="774" spans="1:10" ht="15.75" customHeight="1" x14ac:dyDescent="0.3">
      <c r="A774" s="18">
        <v>45366</v>
      </c>
      <c r="B774" s="18">
        <v>45366</v>
      </c>
      <c r="C774" s="15" t="s">
        <v>2293</v>
      </c>
      <c r="D774" s="15" t="s">
        <v>1536</v>
      </c>
      <c r="E774" s="15"/>
      <c r="F774" s="16">
        <v>2000</v>
      </c>
      <c r="G774" s="16">
        <v>0</v>
      </c>
      <c r="H774" s="16">
        <v>3638.67</v>
      </c>
      <c r="I774" s="15" t="s">
        <v>1537</v>
      </c>
      <c r="J774" s="17">
        <f t="shared" si="11"/>
        <v>0</v>
      </c>
    </row>
    <row r="775" spans="1:10" ht="15.75" customHeight="1" x14ac:dyDescent="0.3">
      <c r="A775" s="18">
        <v>45366</v>
      </c>
      <c r="B775" s="18">
        <v>45366</v>
      </c>
      <c r="C775" s="15" t="s">
        <v>2294</v>
      </c>
      <c r="D775" s="15" t="s">
        <v>1536</v>
      </c>
      <c r="E775" s="15"/>
      <c r="F775" s="16">
        <v>10</v>
      </c>
      <c r="G775" s="16">
        <v>0</v>
      </c>
      <c r="H775" s="16">
        <v>3628.67</v>
      </c>
      <c r="I775" s="15" t="s">
        <v>1537</v>
      </c>
      <c r="J775" s="17">
        <f t="shared" si="11"/>
        <v>0</v>
      </c>
    </row>
    <row r="776" spans="1:10" ht="15.75" customHeight="1" x14ac:dyDescent="0.3">
      <c r="A776" s="18">
        <v>45366</v>
      </c>
      <c r="B776" s="18">
        <v>45366</v>
      </c>
      <c r="C776" s="15" t="s">
        <v>2295</v>
      </c>
      <c r="D776" s="15" t="s">
        <v>1536</v>
      </c>
      <c r="E776" s="15"/>
      <c r="F776" s="16">
        <v>0</v>
      </c>
      <c r="G776" s="16">
        <v>1999</v>
      </c>
      <c r="H776" s="16">
        <v>5627.67</v>
      </c>
      <c r="I776" s="15" t="s">
        <v>1540</v>
      </c>
      <c r="J776" s="17">
        <f t="shared" si="11"/>
        <v>0</v>
      </c>
    </row>
    <row r="777" spans="1:10" ht="15.75" customHeight="1" x14ac:dyDescent="0.3">
      <c r="A777" s="18">
        <v>45366</v>
      </c>
      <c r="B777" s="18">
        <v>45366</v>
      </c>
      <c r="C777" s="15" t="s">
        <v>2296</v>
      </c>
      <c r="D777" s="15" t="s">
        <v>1536</v>
      </c>
      <c r="E777" s="15"/>
      <c r="F777" s="16">
        <v>90</v>
      </c>
      <c r="G777" s="16">
        <v>0</v>
      </c>
      <c r="H777" s="16">
        <v>5537.67</v>
      </c>
      <c r="I777" s="15" t="s">
        <v>1537</v>
      </c>
      <c r="J777" s="17">
        <f t="shared" si="11"/>
        <v>0</v>
      </c>
    </row>
    <row r="778" spans="1:10" ht="15.75" customHeight="1" x14ac:dyDescent="0.3">
      <c r="A778" s="18">
        <v>45366</v>
      </c>
      <c r="B778" s="18">
        <v>45366</v>
      </c>
      <c r="C778" s="15" t="s">
        <v>2297</v>
      </c>
      <c r="D778" s="15" t="s">
        <v>1536</v>
      </c>
      <c r="E778" s="15"/>
      <c r="F778" s="16">
        <v>110</v>
      </c>
      <c r="G778" s="16">
        <v>0</v>
      </c>
      <c r="H778" s="16">
        <v>5427.67</v>
      </c>
      <c r="I778" s="15" t="s">
        <v>1537</v>
      </c>
      <c r="J778" s="17">
        <f t="shared" si="11"/>
        <v>0</v>
      </c>
    </row>
    <row r="779" spans="1:10" ht="15.75" customHeight="1" x14ac:dyDescent="0.3">
      <c r="A779" s="18">
        <v>45366</v>
      </c>
      <c r="B779" s="18">
        <v>45366</v>
      </c>
      <c r="C779" s="15" t="s">
        <v>2298</v>
      </c>
      <c r="D779" s="15" t="s">
        <v>1536</v>
      </c>
      <c r="E779" s="15"/>
      <c r="F779" s="16">
        <v>40</v>
      </c>
      <c r="G779" s="16">
        <v>0</v>
      </c>
      <c r="H779" s="16">
        <v>5387.67</v>
      </c>
      <c r="I779" s="15" t="s">
        <v>1537</v>
      </c>
      <c r="J779" s="17">
        <f t="shared" si="11"/>
        <v>0</v>
      </c>
    </row>
    <row r="780" spans="1:10" ht="15.75" customHeight="1" x14ac:dyDescent="0.3">
      <c r="A780" s="18">
        <v>45368</v>
      </c>
      <c r="B780" s="18">
        <v>45368</v>
      </c>
      <c r="C780" s="15" t="s">
        <v>2299</v>
      </c>
      <c r="D780" s="15" t="s">
        <v>1536</v>
      </c>
      <c r="E780" s="15"/>
      <c r="F780" s="16">
        <v>50</v>
      </c>
      <c r="G780" s="16">
        <v>0</v>
      </c>
      <c r="H780" s="16">
        <v>5337.67</v>
      </c>
      <c r="I780" s="15" t="s">
        <v>1537</v>
      </c>
      <c r="J780" s="17">
        <f t="shared" si="11"/>
        <v>0</v>
      </c>
    </row>
    <row r="781" spans="1:10" ht="15.75" customHeight="1" x14ac:dyDescent="0.3">
      <c r="A781" s="18">
        <v>45368</v>
      </c>
      <c r="B781" s="18">
        <v>45368</v>
      </c>
      <c r="C781" s="15" t="s">
        <v>2300</v>
      </c>
      <c r="D781" s="15" t="s">
        <v>1536</v>
      </c>
      <c r="E781" s="15"/>
      <c r="F781" s="16">
        <v>52.79</v>
      </c>
      <c r="G781" s="16">
        <v>0</v>
      </c>
      <c r="H781" s="16">
        <v>5284.88</v>
      </c>
      <c r="I781" s="15" t="s">
        <v>1537</v>
      </c>
      <c r="J781" s="17">
        <f t="shared" si="11"/>
        <v>0</v>
      </c>
    </row>
    <row r="782" spans="1:10" ht="15.75" customHeight="1" x14ac:dyDescent="0.3">
      <c r="A782" s="18">
        <v>45368</v>
      </c>
      <c r="B782" s="18">
        <v>45368</v>
      </c>
      <c r="C782" s="15" t="s">
        <v>2301</v>
      </c>
      <c r="D782" s="15" t="s">
        <v>1536</v>
      </c>
      <c r="E782" s="15"/>
      <c r="F782" s="16">
        <v>561</v>
      </c>
      <c r="G782" s="16">
        <v>0</v>
      </c>
      <c r="H782" s="16">
        <v>4723.88</v>
      </c>
      <c r="I782" s="15" t="s">
        <v>1537</v>
      </c>
      <c r="J782" s="17">
        <f t="shared" si="11"/>
        <v>0</v>
      </c>
    </row>
    <row r="783" spans="1:10" ht="15.75" customHeight="1" x14ac:dyDescent="0.3">
      <c r="A783" s="18">
        <v>45368</v>
      </c>
      <c r="B783" s="18">
        <v>45368</v>
      </c>
      <c r="C783" s="15" t="s">
        <v>2302</v>
      </c>
      <c r="D783" s="15" t="s">
        <v>1536</v>
      </c>
      <c r="E783" s="15"/>
      <c r="F783" s="16">
        <v>0</v>
      </c>
      <c r="G783" s="16">
        <v>300</v>
      </c>
      <c r="H783" s="16">
        <v>5023.88</v>
      </c>
      <c r="I783" s="15" t="s">
        <v>1540</v>
      </c>
      <c r="J783" s="17">
        <f t="shared" si="11"/>
        <v>0</v>
      </c>
    </row>
    <row r="784" spans="1:10" ht="15.75" customHeight="1" x14ac:dyDescent="0.3">
      <c r="A784" s="18">
        <v>45368</v>
      </c>
      <c r="B784" s="18">
        <v>45368</v>
      </c>
      <c r="C784" s="15" t="s">
        <v>2303</v>
      </c>
      <c r="D784" s="15" t="s">
        <v>1536</v>
      </c>
      <c r="E784" s="15"/>
      <c r="F784" s="16">
        <v>64.02</v>
      </c>
      <c r="G784" s="16">
        <v>0</v>
      </c>
      <c r="H784" s="16">
        <v>4959.8599999999997</v>
      </c>
      <c r="I784" s="15" t="s">
        <v>1537</v>
      </c>
      <c r="J784" s="17">
        <f t="shared" si="11"/>
        <v>0</v>
      </c>
    </row>
    <row r="785" spans="1:10" ht="15.75" customHeight="1" x14ac:dyDescent="0.3">
      <c r="A785" s="18">
        <v>45369</v>
      </c>
      <c r="B785" s="18">
        <v>45369</v>
      </c>
      <c r="C785" s="15" t="s">
        <v>2304</v>
      </c>
      <c r="D785" s="15" t="s">
        <v>1536</v>
      </c>
      <c r="E785" s="15"/>
      <c r="F785" s="16">
        <v>40</v>
      </c>
      <c r="G785" s="16">
        <v>0</v>
      </c>
      <c r="H785" s="16">
        <v>4919.8599999999997</v>
      </c>
      <c r="I785" s="15" t="s">
        <v>1537</v>
      </c>
      <c r="J785" s="17">
        <f t="shared" si="11"/>
        <v>0</v>
      </c>
    </row>
    <row r="786" spans="1:10" ht="15.75" customHeight="1" x14ac:dyDescent="0.3">
      <c r="A786" s="18">
        <v>45369</v>
      </c>
      <c r="B786" s="18">
        <v>45369</v>
      </c>
      <c r="C786" s="15" t="s">
        <v>2305</v>
      </c>
      <c r="D786" s="15" t="s">
        <v>1536</v>
      </c>
      <c r="E786" s="15"/>
      <c r="F786" s="16">
        <v>0</v>
      </c>
      <c r="G786" s="16">
        <v>1</v>
      </c>
      <c r="H786" s="16">
        <v>4920.8599999999997</v>
      </c>
      <c r="I786" s="15" t="s">
        <v>1540</v>
      </c>
      <c r="J786" s="17">
        <f t="shared" si="11"/>
        <v>0</v>
      </c>
    </row>
    <row r="787" spans="1:10" ht="15.75" customHeight="1" x14ac:dyDescent="0.3">
      <c r="A787" s="18">
        <v>45369</v>
      </c>
      <c r="B787" s="18">
        <v>45369</v>
      </c>
      <c r="C787" s="15" t="s">
        <v>2306</v>
      </c>
      <c r="D787" s="15" t="s">
        <v>1536</v>
      </c>
      <c r="E787" s="15"/>
      <c r="F787" s="16">
        <v>60</v>
      </c>
      <c r="G787" s="16">
        <v>0</v>
      </c>
      <c r="H787" s="16">
        <v>4860.8599999999997</v>
      </c>
      <c r="I787" s="15" t="s">
        <v>1537</v>
      </c>
      <c r="J787" s="17">
        <f t="shared" ref="J787:J850" si="12">H786-F787+G787-H787</f>
        <v>0</v>
      </c>
    </row>
    <row r="788" spans="1:10" ht="15.75" customHeight="1" x14ac:dyDescent="0.3">
      <c r="A788" s="18">
        <v>45369</v>
      </c>
      <c r="B788" s="18">
        <v>45369</v>
      </c>
      <c r="C788" s="15" t="s">
        <v>2307</v>
      </c>
      <c r="D788" s="15" t="s">
        <v>1536</v>
      </c>
      <c r="E788" s="15"/>
      <c r="F788" s="16">
        <v>37.700000000000003</v>
      </c>
      <c r="G788" s="16">
        <v>0</v>
      </c>
      <c r="H788" s="16">
        <v>4823.16</v>
      </c>
      <c r="I788" s="15" t="s">
        <v>1537</v>
      </c>
      <c r="J788" s="17">
        <f t="shared" si="12"/>
        <v>0</v>
      </c>
    </row>
    <row r="789" spans="1:10" ht="15.75" customHeight="1" x14ac:dyDescent="0.3">
      <c r="A789" s="18">
        <v>45369</v>
      </c>
      <c r="B789" s="18">
        <v>45369</v>
      </c>
      <c r="C789" s="15" t="s">
        <v>2308</v>
      </c>
      <c r="D789" s="15" t="s">
        <v>1536</v>
      </c>
      <c r="E789" s="15"/>
      <c r="F789" s="16">
        <v>40</v>
      </c>
      <c r="G789" s="16">
        <v>0</v>
      </c>
      <c r="H789" s="16">
        <v>4783.16</v>
      </c>
      <c r="I789" s="15" t="s">
        <v>1537</v>
      </c>
      <c r="J789" s="17">
        <f t="shared" si="12"/>
        <v>0</v>
      </c>
    </row>
    <row r="790" spans="1:10" ht="15.75" customHeight="1" x14ac:dyDescent="0.3">
      <c r="A790" s="18">
        <v>45370</v>
      </c>
      <c r="B790" s="18">
        <v>45370</v>
      </c>
      <c r="C790" s="15" t="s">
        <v>2309</v>
      </c>
      <c r="D790" s="15" t="s">
        <v>1536</v>
      </c>
      <c r="E790" s="15"/>
      <c r="F790" s="16">
        <v>152.25</v>
      </c>
      <c r="G790" s="16">
        <v>0</v>
      </c>
      <c r="H790" s="16">
        <v>4630.91</v>
      </c>
      <c r="I790" s="15" t="s">
        <v>1537</v>
      </c>
      <c r="J790" s="17">
        <f t="shared" si="12"/>
        <v>0</v>
      </c>
    </row>
    <row r="791" spans="1:10" ht="15.75" customHeight="1" x14ac:dyDescent="0.3">
      <c r="A791" s="18">
        <v>45370</v>
      </c>
      <c r="B791" s="18">
        <v>45370</v>
      </c>
      <c r="C791" s="15" t="s">
        <v>2310</v>
      </c>
      <c r="D791" s="15" t="s">
        <v>1536</v>
      </c>
      <c r="E791" s="15"/>
      <c r="F791" s="16">
        <v>54.3</v>
      </c>
      <c r="G791" s="16">
        <v>0</v>
      </c>
      <c r="H791" s="16">
        <v>4576.6099999999997</v>
      </c>
      <c r="I791" s="15" t="s">
        <v>1537</v>
      </c>
      <c r="J791" s="17">
        <f t="shared" si="12"/>
        <v>0</v>
      </c>
    </row>
    <row r="792" spans="1:10" ht="15.75" customHeight="1" x14ac:dyDescent="0.3">
      <c r="A792" s="18">
        <v>45370</v>
      </c>
      <c r="B792" s="18">
        <v>45370</v>
      </c>
      <c r="C792" s="15" t="s">
        <v>2311</v>
      </c>
      <c r="D792" s="15" t="s">
        <v>1536</v>
      </c>
      <c r="E792" s="15"/>
      <c r="F792" s="16">
        <v>59.93</v>
      </c>
      <c r="G792" s="16">
        <v>0</v>
      </c>
      <c r="H792" s="16">
        <v>4516.68</v>
      </c>
      <c r="I792" s="15" t="s">
        <v>1537</v>
      </c>
      <c r="J792" s="17">
        <f t="shared" si="12"/>
        <v>0</v>
      </c>
    </row>
    <row r="793" spans="1:10" ht="15.75" customHeight="1" x14ac:dyDescent="0.3">
      <c r="A793" s="18">
        <v>45371</v>
      </c>
      <c r="B793" s="18">
        <v>45371</v>
      </c>
      <c r="C793" s="15" t="s">
        <v>2312</v>
      </c>
      <c r="D793" s="15" t="s">
        <v>1536</v>
      </c>
      <c r="E793" s="15"/>
      <c r="F793" s="16">
        <v>10</v>
      </c>
      <c r="G793" s="16">
        <v>0</v>
      </c>
      <c r="H793" s="16">
        <v>4506.68</v>
      </c>
      <c r="I793" s="15" t="s">
        <v>1537</v>
      </c>
      <c r="J793" s="17">
        <f t="shared" si="12"/>
        <v>0</v>
      </c>
    </row>
    <row r="794" spans="1:10" ht="15.75" customHeight="1" x14ac:dyDescent="0.3">
      <c r="A794" s="18">
        <v>45371</v>
      </c>
      <c r="B794" s="18">
        <v>45371</v>
      </c>
      <c r="C794" s="15" t="s">
        <v>2313</v>
      </c>
      <c r="D794" s="15" t="s">
        <v>1536</v>
      </c>
      <c r="E794" s="15"/>
      <c r="F794" s="16">
        <v>110</v>
      </c>
      <c r="G794" s="16">
        <v>0</v>
      </c>
      <c r="H794" s="16">
        <v>4396.68</v>
      </c>
      <c r="I794" s="15" t="s">
        <v>1537</v>
      </c>
      <c r="J794" s="17">
        <f t="shared" si="12"/>
        <v>0</v>
      </c>
    </row>
    <row r="795" spans="1:10" ht="15.75" customHeight="1" x14ac:dyDescent="0.3">
      <c r="A795" s="18">
        <v>45371</v>
      </c>
      <c r="B795" s="18">
        <v>45371</v>
      </c>
      <c r="C795" s="15" t="s">
        <v>2314</v>
      </c>
      <c r="D795" s="15" t="s">
        <v>1536</v>
      </c>
      <c r="E795" s="15"/>
      <c r="F795" s="16">
        <v>100</v>
      </c>
      <c r="G795" s="16">
        <v>0</v>
      </c>
      <c r="H795" s="16">
        <v>4296.68</v>
      </c>
      <c r="I795" s="15" t="s">
        <v>1537</v>
      </c>
      <c r="J795" s="17">
        <f t="shared" si="12"/>
        <v>0</v>
      </c>
    </row>
    <row r="796" spans="1:10" ht="15.75" customHeight="1" x14ac:dyDescent="0.3">
      <c r="A796" s="18">
        <v>45371</v>
      </c>
      <c r="B796" s="18">
        <v>45371</v>
      </c>
      <c r="C796" s="15" t="s">
        <v>2315</v>
      </c>
      <c r="D796" s="15" t="s">
        <v>1536</v>
      </c>
      <c r="E796" s="15"/>
      <c r="F796" s="16">
        <v>40</v>
      </c>
      <c r="G796" s="16">
        <v>0</v>
      </c>
      <c r="H796" s="16">
        <v>4256.68</v>
      </c>
      <c r="I796" s="15" t="s">
        <v>1537</v>
      </c>
      <c r="J796" s="17">
        <f t="shared" si="12"/>
        <v>0</v>
      </c>
    </row>
    <row r="797" spans="1:10" ht="15.75" customHeight="1" x14ac:dyDescent="0.3">
      <c r="A797" s="18">
        <v>45372</v>
      </c>
      <c r="B797" s="18">
        <v>45372</v>
      </c>
      <c r="C797" s="15" t="s">
        <v>2316</v>
      </c>
      <c r="D797" s="15" t="s">
        <v>1536</v>
      </c>
      <c r="E797" s="15"/>
      <c r="F797" s="16">
        <v>180</v>
      </c>
      <c r="G797" s="16">
        <v>0</v>
      </c>
      <c r="H797" s="16">
        <v>4076.68</v>
      </c>
      <c r="I797" s="15" t="s">
        <v>1537</v>
      </c>
      <c r="J797" s="17">
        <f t="shared" si="12"/>
        <v>0</v>
      </c>
    </row>
    <row r="798" spans="1:10" ht="15.75" customHeight="1" x14ac:dyDescent="0.3">
      <c r="A798" s="18">
        <v>45372</v>
      </c>
      <c r="B798" s="18">
        <v>45372</v>
      </c>
      <c r="C798" s="15" t="s">
        <v>2317</v>
      </c>
      <c r="D798" s="15" t="s">
        <v>1536</v>
      </c>
      <c r="E798" s="15"/>
      <c r="F798" s="16">
        <v>114</v>
      </c>
      <c r="G798" s="16">
        <v>0</v>
      </c>
      <c r="H798" s="16">
        <v>3962.68</v>
      </c>
      <c r="I798" s="15" t="s">
        <v>1537</v>
      </c>
      <c r="J798" s="17">
        <f t="shared" si="12"/>
        <v>0</v>
      </c>
    </row>
    <row r="799" spans="1:10" ht="15.75" customHeight="1" x14ac:dyDescent="0.3">
      <c r="A799" s="18">
        <v>45372</v>
      </c>
      <c r="B799" s="18">
        <v>45372</v>
      </c>
      <c r="C799" s="15" t="s">
        <v>2318</v>
      </c>
      <c r="D799" s="15" t="s">
        <v>1536</v>
      </c>
      <c r="E799" s="15"/>
      <c r="F799" s="16">
        <v>700</v>
      </c>
      <c r="G799" s="16">
        <v>0</v>
      </c>
      <c r="H799" s="16">
        <v>3262.68</v>
      </c>
      <c r="I799" s="15" t="s">
        <v>1537</v>
      </c>
      <c r="J799" s="17">
        <f t="shared" si="12"/>
        <v>0</v>
      </c>
    </row>
    <row r="800" spans="1:10" ht="15.75" customHeight="1" x14ac:dyDescent="0.3">
      <c r="A800" s="18">
        <v>45372</v>
      </c>
      <c r="B800" s="18">
        <v>45372</v>
      </c>
      <c r="C800" s="15" t="s">
        <v>2319</v>
      </c>
      <c r="D800" s="15" t="s">
        <v>1536</v>
      </c>
      <c r="E800" s="15"/>
      <c r="F800" s="16">
        <v>500</v>
      </c>
      <c r="G800" s="16">
        <v>0</v>
      </c>
      <c r="H800" s="16">
        <v>2762.68</v>
      </c>
      <c r="I800" s="15" t="s">
        <v>1537</v>
      </c>
      <c r="J800" s="17">
        <f t="shared" si="12"/>
        <v>0</v>
      </c>
    </row>
    <row r="801" spans="1:10" ht="15.75" customHeight="1" x14ac:dyDescent="0.3">
      <c r="A801" s="18">
        <v>45372</v>
      </c>
      <c r="B801" s="18">
        <v>45372</v>
      </c>
      <c r="C801" s="15" t="s">
        <v>2320</v>
      </c>
      <c r="D801" s="15" t="s">
        <v>1536</v>
      </c>
      <c r="E801" s="15"/>
      <c r="F801" s="16">
        <v>548</v>
      </c>
      <c r="G801" s="16">
        <v>0</v>
      </c>
      <c r="H801" s="16">
        <v>2214.6799999999998</v>
      </c>
      <c r="I801" s="15" t="s">
        <v>1537</v>
      </c>
      <c r="J801" s="17">
        <f t="shared" si="12"/>
        <v>0</v>
      </c>
    </row>
    <row r="802" spans="1:10" ht="15.75" customHeight="1" x14ac:dyDescent="0.3">
      <c r="A802" s="18">
        <v>45372</v>
      </c>
      <c r="B802" s="18">
        <v>45372</v>
      </c>
      <c r="C802" s="15" t="s">
        <v>2321</v>
      </c>
      <c r="D802" s="15" t="s">
        <v>1536</v>
      </c>
      <c r="E802" s="15"/>
      <c r="F802" s="16">
        <v>51</v>
      </c>
      <c r="G802" s="16">
        <v>0</v>
      </c>
      <c r="H802" s="16">
        <v>2163.6799999999998</v>
      </c>
      <c r="I802" s="15" t="s">
        <v>1537</v>
      </c>
      <c r="J802" s="17">
        <f t="shared" si="12"/>
        <v>0</v>
      </c>
    </row>
    <row r="803" spans="1:10" ht="15.75" customHeight="1" x14ac:dyDescent="0.3">
      <c r="A803" s="18">
        <v>45372</v>
      </c>
      <c r="B803" s="18">
        <v>45372</v>
      </c>
      <c r="C803" s="15" t="s">
        <v>2322</v>
      </c>
      <c r="D803" s="15" t="s">
        <v>1536</v>
      </c>
      <c r="E803" s="15"/>
      <c r="F803" s="16">
        <v>20</v>
      </c>
      <c r="G803" s="16">
        <v>0</v>
      </c>
      <c r="H803" s="16">
        <v>2143.6799999999998</v>
      </c>
      <c r="I803" s="15" t="s">
        <v>1537</v>
      </c>
      <c r="J803" s="17">
        <f t="shared" si="12"/>
        <v>0</v>
      </c>
    </row>
    <row r="804" spans="1:10" ht="15.75" customHeight="1" x14ac:dyDescent="0.3">
      <c r="A804" s="18">
        <v>45372</v>
      </c>
      <c r="B804" s="18">
        <v>45372</v>
      </c>
      <c r="C804" s="15" t="s">
        <v>2323</v>
      </c>
      <c r="D804" s="15" t="s">
        <v>1536</v>
      </c>
      <c r="E804" s="15"/>
      <c r="F804" s="16">
        <v>86</v>
      </c>
      <c r="G804" s="16">
        <v>0</v>
      </c>
      <c r="H804" s="16">
        <v>2057.6799999999998</v>
      </c>
      <c r="I804" s="15" t="s">
        <v>1537</v>
      </c>
      <c r="J804" s="17">
        <f t="shared" si="12"/>
        <v>0</v>
      </c>
    </row>
    <row r="805" spans="1:10" ht="15.75" customHeight="1" x14ac:dyDescent="0.3">
      <c r="A805" s="18">
        <v>45373</v>
      </c>
      <c r="B805" s="18">
        <v>45373</v>
      </c>
      <c r="C805" s="15" t="s">
        <v>2324</v>
      </c>
      <c r="D805" s="15" t="s">
        <v>1536</v>
      </c>
      <c r="E805" s="15"/>
      <c r="F805" s="16">
        <v>10</v>
      </c>
      <c r="G805" s="16">
        <v>0</v>
      </c>
      <c r="H805" s="16">
        <v>2047.68</v>
      </c>
      <c r="I805" s="15" t="s">
        <v>1537</v>
      </c>
      <c r="J805" s="17">
        <f t="shared" si="12"/>
        <v>0</v>
      </c>
    </row>
    <row r="806" spans="1:10" ht="15.75" customHeight="1" x14ac:dyDescent="0.3">
      <c r="A806" s="18">
        <v>45373</v>
      </c>
      <c r="B806" s="18">
        <v>45373</v>
      </c>
      <c r="C806" s="15" t="s">
        <v>2325</v>
      </c>
      <c r="D806" s="15" t="s">
        <v>1536</v>
      </c>
      <c r="E806" s="15"/>
      <c r="F806" s="16">
        <v>10</v>
      </c>
      <c r="G806" s="16">
        <v>0</v>
      </c>
      <c r="H806" s="16">
        <v>2037.68</v>
      </c>
      <c r="I806" s="15" t="s">
        <v>1537</v>
      </c>
      <c r="J806" s="17">
        <f t="shared" si="12"/>
        <v>0</v>
      </c>
    </row>
    <row r="807" spans="1:10" ht="15.75" customHeight="1" x14ac:dyDescent="0.3">
      <c r="A807" s="18">
        <v>45373</v>
      </c>
      <c r="B807" s="18">
        <v>45373</v>
      </c>
      <c r="C807" s="15" t="s">
        <v>2326</v>
      </c>
      <c r="D807" s="15" t="s">
        <v>1536</v>
      </c>
      <c r="E807" s="15"/>
      <c r="F807" s="16">
        <v>40</v>
      </c>
      <c r="G807" s="16">
        <v>0</v>
      </c>
      <c r="H807" s="16">
        <v>1997.68</v>
      </c>
      <c r="I807" s="15" t="s">
        <v>1537</v>
      </c>
      <c r="J807" s="17">
        <f t="shared" si="12"/>
        <v>0</v>
      </c>
    </row>
    <row r="808" spans="1:10" ht="15.75" customHeight="1" x14ac:dyDescent="0.3">
      <c r="A808" s="18">
        <v>45373</v>
      </c>
      <c r="B808" s="18">
        <v>45373</v>
      </c>
      <c r="C808" s="15" t="s">
        <v>2327</v>
      </c>
      <c r="D808" s="15" t="s">
        <v>1536</v>
      </c>
      <c r="E808" s="15"/>
      <c r="F808" s="16">
        <v>35</v>
      </c>
      <c r="G808" s="16">
        <v>0</v>
      </c>
      <c r="H808" s="16">
        <v>1962.68</v>
      </c>
      <c r="I808" s="15" t="s">
        <v>1537</v>
      </c>
      <c r="J808" s="17">
        <f t="shared" si="12"/>
        <v>0</v>
      </c>
    </row>
    <row r="809" spans="1:10" ht="15.75" customHeight="1" x14ac:dyDescent="0.3">
      <c r="A809" s="18">
        <v>45373</v>
      </c>
      <c r="B809" s="18">
        <v>45373</v>
      </c>
      <c r="C809" s="15" t="s">
        <v>2328</v>
      </c>
      <c r="D809" s="15" t="s">
        <v>1536</v>
      </c>
      <c r="E809" s="15"/>
      <c r="F809" s="16">
        <v>0</v>
      </c>
      <c r="G809" s="16">
        <v>2000</v>
      </c>
      <c r="H809" s="16">
        <v>3962.68</v>
      </c>
      <c r="I809" s="15" t="s">
        <v>1540</v>
      </c>
      <c r="J809" s="17">
        <f t="shared" si="12"/>
        <v>0</v>
      </c>
    </row>
    <row r="810" spans="1:10" ht="15.75" customHeight="1" x14ac:dyDescent="0.3">
      <c r="A810" s="18">
        <v>45374</v>
      </c>
      <c r="B810" s="18">
        <v>45374</v>
      </c>
      <c r="C810" s="15" t="s">
        <v>2329</v>
      </c>
      <c r="D810" s="15" t="s">
        <v>1536</v>
      </c>
      <c r="E810" s="15"/>
      <c r="F810" s="16">
        <v>133.4</v>
      </c>
      <c r="G810" s="16">
        <v>0</v>
      </c>
      <c r="H810" s="16">
        <v>3829.28</v>
      </c>
      <c r="I810" s="15" t="s">
        <v>1537</v>
      </c>
      <c r="J810" s="17">
        <f t="shared" si="12"/>
        <v>0</v>
      </c>
    </row>
    <row r="811" spans="1:10" ht="15.75" customHeight="1" x14ac:dyDescent="0.3">
      <c r="A811" s="18">
        <v>45374</v>
      </c>
      <c r="B811" s="18">
        <v>45373</v>
      </c>
      <c r="C811" s="15" t="s">
        <v>2330</v>
      </c>
      <c r="D811" s="15" t="s">
        <v>1536</v>
      </c>
      <c r="E811" s="15"/>
      <c r="F811" s="16">
        <v>0</v>
      </c>
      <c r="G811" s="16">
        <v>113</v>
      </c>
      <c r="H811" s="16">
        <v>3942.28</v>
      </c>
      <c r="I811" s="15" t="s">
        <v>1540</v>
      </c>
      <c r="J811" s="17">
        <f t="shared" si="12"/>
        <v>0</v>
      </c>
    </row>
    <row r="812" spans="1:10" ht="15.75" customHeight="1" x14ac:dyDescent="0.3">
      <c r="A812" s="18">
        <v>45374</v>
      </c>
      <c r="B812" s="18">
        <v>45374</v>
      </c>
      <c r="C812" s="15" t="s">
        <v>2331</v>
      </c>
      <c r="D812" s="15" t="s">
        <v>1536</v>
      </c>
      <c r="E812" s="15"/>
      <c r="F812" s="16">
        <v>0</v>
      </c>
      <c r="G812" s="16">
        <v>1.01</v>
      </c>
      <c r="H812" s="16">
        <v>3943.29</v>
      </c>
      <c r="I812" s="15" t="s">
        <v>1540</v>
      </c>
      <c r="J812" s="17">
        <f t="shared" si="12"/>
        <v>0</v>
      </c>
    </row>
    <row r="813" spans="1:10" ht="15.75" customHeight="1" x14ac:dyDescent="0.3">
      <c r="A813" s="18">
        <v>45374</v>
      </c>
      <c r="B813" s="18">
        <v>45374</v>
      </c>
      <c r="C813" s="15" t="s">
        <v>2332</v>
      </c>
      <c r="D813" s="15" t="s">
        <v>1536</v>
      </c>
      <c r="E813" s="15"/>
      <c r="F813" s="16">
        <v>2000</v>
      </c>
      <c r="G813" s="16">
        <v>0</v>
      </c>
      <c r="H813" s="16">
        <v>1943.29</v>
      </c>
      <c r="I813" s="15" t="s">
        <v>1537</v>
      </c>
      <c r="J813" s="17">
        <f t="shared" si="12"/>
        <v>0</v>
      </c>
    </row>
    <row r="814" spans="1:10" ht="15.75" customHeight="1" x14ac:dyDescent="0.3">
      <c r="A814" s="18">
        <v>45374</v>
      </c>
      <c r="B814" s="18">
        <v>45374</v>
      </c>
      <c r="C814" s="15" t="s">
        <v>2333</v>
      </c>
      <c r="D814" s="15" t="s">
        <v>1536</v>
      </c>
      <c r="E814" s="15"/>
      <c r="F814" s="16">
        <v>25</v>
      </c>
      <c r="G814" s="16">
        <v>0</v>
      </c>
      <c r="H814" s="16">
        <v>1918.29</v>
      </c>
      <c r="I814" s="15" t="s">
        <v>1537</v>
      </c>
      <c r="J814" s="17">
        <f t="shared" si="12"/>
        <v>0</v>
      </c>
    </row>
    <row r="815" spans="1:10" ht="15.75" customHeight="1" x14ac:dyDescent="0.3">
      <c r="A815" s="18">
        <v>45374</v>
      </c>
      <c r="B815" s="18">
        <v>45374</v>
      </c>
      <c r="C815" s="15" t="s">
        <v>2334</v>
      </c>
      <c r="D815" s="15" t="s">
        <v>1536</v>
      </c>
      <c r="E815" s="15"/>
      <c r="F815" s="16">
        <v>49</v>
      </c>
      <c r="G815" s="16">
        <v>0</v>
      </c>
      <c r="H815" s="16">
        <v>1869.29</v>
      </c>
      <c r="I815" s="15" t="s">
        <v>1537</v>
      </c>
      <c r="J815" s="17">
        <f t="shared" si="12"/>
        <v>0</v>
      </c>
    </row>
    <row r="816" spans="1:10" ht="15.75" customHeight="1" x14ac:dyDescent="0.3">
      <c r="A816" s="18">
        <v>45374</v>
      </c>
      <c r="B816" s="18">
        <v>45374</v>
      </c>
      <c r="C816" s="15" t="s">
        <v>2335</v>
      </c>
      <c r="D816" s="15" t="s">
        <v>1536</v>
      </c>
      <c r="E816" s="15"/>
      <c r="F816" s="16">
        <v>70</v>
      </c>
      <c r="G816" s="16">
        <v>0</v>
      </c>
      <c r="H816" s="16">
        <v>1799.29</v>
      </c>
      <c r="I816" s="15" t="s">
        <v>1537</v>
      </c>
      <c r="J816" s="17">
        <f t="shared" si="12"/>
        <v>0</v>
      </c>
    </row>
    <row r="817" spans="1:10" ht="15.75" customHeight="1" x14ac:dyDescent="0.3">
      <c r="A817" s="18">
        <v>45374</v>
      </c>
      <c r="B817" s="18">
        <v>45374</v>
      </c>
      <c r="C817" s="15" t="s">
        <v>2336</v>
      </c>
      <c r="D817" s="15" t="s">
        <v>1536</v>
      </c>
      <c r="E817" s="15"/>
      <c r="F817" s="16">
        <v>20</v>
      </c>
      <c r="G817" s="16">
        <v>0</v>
      </c>
      <c r="H817" s="16">
        <v>1779.29</v>
      </c>
      <c r="I817" s="15" t="s">
        <v>1537</v>
      </c>
      <c r="J817" s="17">
        <f t="shared" si="12"/>
        <v>0</v>
      </c>
    </row>
    <row r="818" spans="1:10" ht="15.75" customHeight="1" x14ac:dyDescent="0.3">
      <c r="A818" s="18">
        <v>45375</v>
      </c>
      <c r="B818" s="18">
        <v>45375</v>
      </c>
      <c r="C818" s="15" t="s">
        <v>2337</v>
      </c>
      <c r="D818" s="15" t="s">
        <v>1536</v>
      </c>
      <c r="E818" s="15"/>
      <c r="F818" s="16">
        <v>40</v>
      </c>
      <c r="G818" s="16">
        <v>0</v>
      </c>
      <c r="H818" s="16">
        <v>1739.29</v>
      </c>
      <c r="I818" s="15" t="s">
        <v>1537</v>
      </c>
      <c r="J818" s="17">
        <f t="shared" si="12"/>
        <v>0</v>
      </c>
    </row>
    <row r="819" spans="1:10" ht="15.75" customHeight="1" x14ac:dyDescent="0.3">
      <c r="A819" s="18">
        <v>45375</v>
      </c>
      <c r="B819" s="18">
        <v>45375</v>
      </c>
      <c r="C819" s="15" t="s">
        <v>2338</v>
      </c>
      <c r="D819" s="15" t="s">
        <v>1536</v>
      </c>
      <c r="E819" s="15"/>
      <c r="F819" s="16">
        <v>42</v>
      </c>
      <c r="G819" s="16">
        <v>0</v>
      </c>
      <c r="H819" s="16">
        <v>1697.29</v>
      </c>
      <c r="I819" s="15" t="s">
        <v>1537</v>
      </c>
      <c r="J819" s="17">
        <f t="shared" si="12"/>
        <v>0</v>
      </c>
    </row>
    <row r="820" spans="1:10" ht="15.75" customHeight="1" x14ac:dyDescent="0.3">
      <c r="A820" s="18">
        <v>45375</v>
      </c>
      <c r="B820" s="18">
        <v>45375</v>
      </c>
      <c r="C820" s="15" t="s">
        <v>2339</v>
      </c>
      <c r="D820" s="15" t="s">
        <v>1536</v>
      </c>
      <c r="E820" s="15"/>
      <c r="F820" s="16">
        <v>40</v>
      </c>
      <c r="G820" s="16">
        <v>0</v>
      </c>
      <c r="H820" s="16">
        <v>1657.29</v>
      </c>
      <c r="I820" s="15" t="s">
        <v>1537</v>
      </c>
      <c r="J820" s="17">
        <f t="shared" si="12"/>
        <v>0</v>
      </c>
    </row>
    <row r="821" spans="1:10" ht="15.75" customHeight="1" x14ac:dyDescent="0.3">
      <c r="A821" s="18">
        <v>45375</v>
      </c>
      <c r="B821" s="18">
        <v>45375</v>
      </c>
      <c r="C821" s="15" t="s">
        <v>2340</v>
      </c>
      <c r="D821" s="15" t="s">
        <v>1536</v>
      </c>
      <c r="E821" s="15"/>
      <c r="F821" s="16">
        <v>120</v>
      </c>
      <c r="G821" s="16">
        <v>0</v>
      </c>
      <c r="H821" s="16">
        <v>1537.29</v>
      </c>
      <c r="I821" s="15" t="s">
        <v>1537</v>
      </c>
      <c r="J821" s="17">
        <f t="shared" si="12"/>
        <v>0</v>
      </c>
    </row>
    <row r="822" spans="1:10" ht="15.75" customHeight="1" x14ac:dyDescent="0.3">
      <c r="A822" s="18">
        <v>45375</v>
      </c>
      <c r="B822" s="18">
        <v>45375</v>
      </c>
      <c r="C822" s="15" t="s">
        <v>2341</v>
      </c>
      <c r="D822" s="15" t="s">
        <v>1536</v>
      </c>
      <c r="E822" s="15"/>
      <c r="F822" s="16">
        <v>20</v>
      </c>
      <c r="G822" s="16">
        <v>0</v>
      </c>
      <c r="H822" s="16">
        <v>1517.29</v>
      </c>
      <c r="I822" s="15" t="s">
        <v>1537</v>
      </c>
      <c r="J822" s="17">
        <f t="shared" si="12"/>
        <v>0</v>
      </c>
    </row>
    <row r="823" spans="1:10" ht="15.75" customHeight="1" x14ac:dyDescent="0.3">
      <c r="A823" s="18">
        <v>45375</v>
      </c>
      <c r="B823" s="18">
        <v>45375</v>
      </c>
      <c r="C823" s="15" t="s">
        <v>2342</v>
      </c>
      <c r="D823" s="15" t="s">
        <v>1536</v>
      </c>
      <c r="E823" s="15"/>
      <c r="F823" s="16">
        <v>48</v>
      </c>
      <c r="G823" s="16">
        <v>0</v>
      </c>
      <c r="H823" s="16">
        <v>1469.29</v>
      </c>
      <c r="I823" s="15" t="s">
        <v>1537</v>
      </c>
      <c r="J823" s="17">
        <f t="shared" si="12"/>
        <v>0</v>
      </c>
    </row>
    <row r="824" spans="1:10" ht="15.75" customHeight="1" x14ac:dyDescent="0.3">
      <c r="A824" s="18">
        <v>45375</v>
      </c>
      <c r="B824" s="18">
        <v>45375</v>
      </c>
      <c r="C824" s="15" t="s">
        <v>2343</v>
      </c>
      <c r="D824" s="15" t="s">
        <v>1536</v>
      </c>
      <c r="E824" s="15"/>
      <c r="F824" s="16">
        <v>75.2</v>
      </c>
      <c r="G824" s="16">
        <v>0</v>
      </c>
      <c r="H824" s="16">
        <v>1394.09</v>
      </c>
      <c r="I824" s="15" t="s">
        <v>1537</v>
      </c>
      <c r="J824" s="17">
        <f t="shared" si="12"/>
        <v>0</v>
      </c>
    </row>
    <row r="825" spans="1:10" ht="15.75" customHeight="1" x14ac:dyDescent="0.3">
      <c r="A825" s="18">
        <v>45375</v>
      </c>
      <c r="B825" s="18">
        <v>45376</v>
      </c>
      <c r="C825" s="15" t="s">
        <v>2344</v>
      </c>
      <c r="D825" s="15" t="s">
        <v>1536</v>
      </c>
      <c r="E825" s="15"/>
      <c r="F825" s="16">
        <v>200</v>
      </c>
      <c r="G825" s="16">
        <v>0</v>
      </c>
      <c r="H825" s="16">
        <v>1194.0899999999999</v>
      </c>
      <c r="I825" s="15" t="s">
        <v>1537</v>
      </c>
      <c r="J825" s="17">
        <f t="shared" si="12"/>
        <v>0</v>
      </c>
    </row>
    <row r="826" spans="1:10" ht="15.75" customHeight="1" x14ac:dyDescent="0.3">
      <c r="A826" s="18">
        <v>45376</v>
      </c>
      <c r="B826" s="18">
        <v>45376</v>
      </c>
      <c r="C826" s="15" t="s">
        <v>2345</v>
      </c>
      <c r="D826" s="15" t="s">
        <v>1536</v>
      </c>
      <c r="E826" s="15"/>
      <c r="F826" s="16">
        <v>99</v>
      </c>
      <c r="G826" s="16">
        <v>0</v>
      </c>
      <c r="H826" s="16">
        <v>1095.0899999999999</v>
      </c>
      <c r="I826" s="15" t="s">
        <v>1537</v>
      </c>
      <c r="J826" s="17">
        <f t="shared" si="12"/>
        <v>0</v>
      </c>
    </row>
    <row r="827" spans="1:10" ht="15.75" customHeight="1" x14ac:dyDescent="0.3">
      <c r="A827" s="18">
        <v>45376</v>
      </c>
      <c r="B827" s="18">
        <v>45376</v>
      </c>
      <c r="C827" s="15" t="s">
        <v>2346</v>
      </c>
      <c r="D827" s="15" t="s">
        <v>1536</v>
      </c>
      <c r="E827" s="15"/>
      <c r="F827" s="16">
        <v>25</v>
      </c>
      <c r="G827" s="16">
        <v>0</v>
      </c>
      <c r="H827" s="16">
        <v>1070.0899999999999</v>
      </c>
      <c r="I827" s="15" t="s">
        <v>1537</v>
      </c>
      <c r="J827" s="17">
        <f t="shared" si="12"/>
        <v>0</v>
      </c>
    </row>
    <row r="828" spans="1:10" ht="15.75" customHeight="1" x14ac:dyDescent="0.3">
      <c r="A828" s="18">
        <v>45376</v>
      </c>
      <c r="B828" s="18">
        <v>45376</v>
      </c>
      <c r="C828" s="15" t="s">
        <v>2347</v>
      </c>
      <c r="D828" s="15" t="s">
        <v>1536</v>
      </c>
      <c r="E828" s="15"/>
      <c r="F828" s="16">
        <v>100</v>
      </c>
      <c r="G828" s="16">
        <v>0</v>
      </c>
      <c r="H828" s="16">
        <v>970.09</v>
      </c>
      <c r="I828" s="15" t="s">
        <v>1537</v>
      </c>
      <c r="J828" s="17">
        <f t="shared" si="12"/>
        <v>0</v>
      </c>
    </row>
    <row r="829" spans="1:10" ht="15.75" customHeight="1" x14ac:dyDescent="0.3">
      <c r="A829" s="18">
        <v>45377</v>
      </c>
      <c r="B829" s="18">
        <v>45377</v>
      </c>
      <c r="C829" s="15" t="s">
        <v>2348</v>
      </c>
      <c r="D829" s="15" t="s">
        <v>1536</v>
      </c>
      <c r="E829" s="15"/>
      <c r="F829" s="16">
        <v>110</v>
      </c>
      <c r="G829" s="16">
        <v>0</v>
      </c>
      <c r="H829" s="16">
        <v>860.09</v>
      </c>
      <c r="I829" s="15" t="s">
        <v>1537</v>
      </c>
      <c r="J829" s="17">
        <f t="shared" si="12"/>
        <v>0</v>
      </c>
    </row>
    <row r="830" spans="1:10" ht="15.75" customHeight="1" x14ac:dyDescent="0.3">
      <c r="A830" s="18">
        <v>45377</v>
      </c>
      <c r="B830" s="18">
        <v>45377</v>
      </c>
      <c r="C830" s="15" t="s">
        <v>2349</v>
      </c>
      <c r="D830" s="15" t="s">
        <v>1536</v>
      </c>
      <c r="E830" s="15"/>
      <c r="F830" s="16">
        <v>39</v>
      </c>
      <c r="G830" s="16">
        <v>0</v>
      </c>
      <c r="H830" s="16">
        <v>821.09</v>
      </c>
      <c r="I830" s="15" t="s">
        <v>1537</v>
      </c>
      <c r="J830" s="17">
        <f t="shared" si="12"/>
        <v>0</v>
      </c>
    </row>
    <row r="831" spans="1:10" ht="15.75" customHeight="1" x14ac:dyDescent="0.3">
      <c r="A831" s="18">
        <v>45377</v>
      </c>
      <c r="B831" s="18">
        <v>45377</v>
      </c>
      <c r="C831" s="15" t="s">
        <v>2350</v>
      </c>
      <c r="D831" s="15" t="s">
        <v>1536</v>
      </c>
      <c r="E831" s="15"/>
      <c r="F831" s="16">
        <v>36</v>
      </c>
      <c r="G831" s="16">
        <v>0</v>
      </c>
      <c r="H831" s="16">
        <v>785.09</v>
      </c>
      <c r="I831" s="15" t="s">
        <v>1537</v>
      </c>
      <c r="J831" s="17">
        <f t="shared" si="12"/>
        <v>0</v>
      </c>
    </row>
    <row r="832" spans="1:10" ht="15.75" customHeight="1" x14ac:dyDescent="0.3">
      <c r="A832" s="18">
        <v>45377</v>
      </c>
      <c r="B832" s="18">
        <v>45377</v>
      </c>
      <c r="C832" s="15" t="s">
        <v>2351</v>
      </c>
      <c r="D832" s="15" t="s">
        <v>1536</v>
      </c>
      <c r="E832" s="15"/>
      <c r="F832" s="16">
        <v>25</v>
      </c>
      <c r="G832" s="16">
        <v>0</v>
      </c>
      <c r="H832" s="16">
        <v>760.09</v>
      </c>
      <c r="I832" s="15" t="s">
        <v>1537</v>
      </c>
      <c r="J832" s="17">
        <f t="shared" si="12"/>
        <v>0</v>
      </c>
    </row>
    <row r="833" spans="1:10" ht="15.75" customHeight="1" x14ac:dyDescent="0.3">
      <c r="A833" s="18">
        <v>45378</v>
      </c>
      <c r="B833" s="18">
        <v>45378</v>
      </c>
      <c r="C833" s="15" t="s">
        <v>2352</v>
      </c>
      <c r="D833" s="15" t="s">
        <v>1536</v>
      </c>
      <c r="E833" s="15"/>
      <c r="F833" s="16">
        <v>70</v>
      </c>
      <c r="G833" s="16">
        <v>0</v>
      </c>
      <c r="H833" s="16">
        <v>690.09</v>
      </c>
      <c r="I833" s="15" t="s">
        <v>1537</v>
      </c>
      <c r="J833" s="17">
        <f t="shared" si="12"/>
        <v>0</v>
      </c>
    </row>
    <row r="834" spans="1:10" ht="15.75" customHeight="1" x14ac:dyDescent="0.3">
      <c r="A834" s="18">
        <v>45378</v>
      </c>
      <c r="B834" s="18">
        <v>45378</v>
      </c>
      <c r="C834" s="15" t="s">
        <v>2353</v>
      </c>
      <c r="D834" s="15" t="s">
        <v>1536</v>
      </c>
      <c r="E834" s="15"/>
      <c r="F834" s="16">
        <v>25</v>
      </c>
      <c r="G834" s="16">
        <v>0</v>
      </c>
      <c r="H834" s="16">
        <v>665.09</v>
      </c>
      <c r="I834" s="15" t="s">
        <v>1537</v>
      </c>
      <c r="J834" s="17">
        <f t="shared" si="12"/>
        <v>0</v>
      </c>
    </row>
    <row r="835" spans="1:10" ht="15.75" customHeight="1" x14ac:dyDescent="0.3">
      <c r="A835" s="18">
        <v>45378</v>
      </c>
      <c r="B835" s="18">
        <v>45378</v>
      </c>
      <c r="C835" s="15" t="s">
        <v>2354</v>
      </c>
      <c r="D835" s="15" t="s">
        <v>1536</v>
      </c>
      <c r="E835" s="15"/>
      <c r="F835" s="16">
        <v>200</v>
      </c>
      <c r="G835" s="16">
        <v>0</v>
      </c>
      <c r="H835" s="16">
        <v>465.09</v>
      </c>
      <c r="I835" s="15" t="s">
        <v>1537</v>
      </c>
      <c r="J835" s="17">
        <f t="shared" si="12"/>
        <v>0</v>
      </c>
    </row>
    <row r="836" spans="1:10" ht="15.75" customHeight="1" x14ac:dyDescent="0.3">
      <c r="A836" s="18">
        <v>45379</v>
      </c>
      <c r="B836" s="18">
        <v>45379</v>
      </c>
      <c r="C836" s="15" t="s">
        <v>2355</v>
      </c>
      <c r="D836" s="15" t="s">
        <v>1536</v>
      </c>
      <c r="E836" s="15"/>
      <c r="F836" s="16">
        <v>99</v>
      </c>
      <c r="G836" s="16">
        <v>0</v>
      </c>
      <c r="H836" s="16">
        <v>366.09</v>
      </c>
      <c r="I836" s="15" t="s">
        <v>1537</v>
      </c>
      <c r="J836" s="17">
        <f t="shared" si="12"/>
        <v>0</v>
      </c>
    </row>
    <row r="837" spans="1:10" ht="15.75" customHeight="1" x14ac:dyDescent="0.3">
      <c r="A837" s="18">
        <v>45379</v>
      </c>
      <c r="B837" s="18">
        <v>45379</v>
      </c>
      <c r="C837" s="15" t="s">
        <v>2356</v>
      </c>
      <c r="D837" s="15" t="s">
        <v>1536</v>
      </c>
      <c r="E837" s="15"/>
      <c r="F837" s="16">
        <v>35</v>
      </c>
      <c r="G837" s="16">
        <v>0</v>
      </c>
      <c r="H837" s="16">
        <v>331.09</v>
      </c>
      <c r="I837" s="15" t="s">
        <v>1537</v>
      </c>
      <c r="J837" s="17">
        <f t="shared" si="12"/>
        <v>0</v>
      </c>
    </row>
    <row r="838" spans="1:10" ht="15.75" customHeight="1" x14ac:dyDescent="0.3">
      <c r="A838" s="18">
        <v>45379</v>
      </c>
      <c r="B838" s="18">
        <v>45379</v>
      </c>
      <c r="C838" s="15" t="s">
        <v>2357</v>
      </c>
      <c r="D838" s="15" t="s">
        <v>1536</v>
      </c>
      <c r="E838" s="15"/>
      <c r="F838" s="16">
        <v>10</v>
      </c>
      <c r="G838" s="16">
        <v>0</v>
      </c>
      <c r="H838" s="16">
        <v>321.08999999999997</v>
      </c>
      <c r="I838" s="15" t="s">
        <v>1537</v>
      </c>
      <c r="J838" s="17">
        <f t="shared" si="12"/>
        <v>0</v>
      </c>
    </row>
    <row r="839" spans="1:10" ht="15.75" customHeight="1" x14ac:dyDescent="0.3">
      <c r="A839" s="18">
        <v>45379</v>
      </c>
      <c r="B839" s="18">
        <v>45379</v>
      </c>
      <c r="C839" s="15" t="s">
        <v>2358</v>
      </c>
      <c r="D839" s="15" t="s">
        <v>1536</v>
      </c>
      <c r="E839" s="15"/>
      <c r="F839" s="16">
        <v>35</v>
      </c>
      <c r="G839" s="16">
        <v>0</v>
      </c>
      <c r="H839" s="16">
        <v>286.08999999999997</v>
      </c>
      <c r="I839" s="15" t="s">
        <v>1537</v>
      </c>
      <c r="J839" s="17">
        <f t="shared" si="12"/>
        <v>0</v>
      </c>
    </row>
    <row r="840" spans="1:10" ht="15.75" customHeight="1" x14ac:dyDescent="0.3">
      <c r="A840" s="18">
        <v>45379</v>
      </c>
      <c r="B840" s="18">
        <v>45379</v>
      </c>
      <c r="C840" s="15" t="s">
        <v>2359</v>
      </c>
      <c r="D840" s="15" t="s">
        <v>1536</v>
      </c>
      <c r="E840" s="15"/>
      <c r="F840" s="16">
        <v>40</v>
      </c>
      <c r="G840" s="16">
        <v>0</v>
      </c>
      <c r="H840" s="16">
        <v>246.09</v>
      </c>
      <c r="I840" s="15" t="s">
        <v>1537</v>
      </c>
      <c r="J840" s="17">
        <f t="shared" si="12"/>
        <v>0</v>
      </c>
    </row>
    <row r="841" spans="1:10" ht="15.75" customHeight="1" x14ac:dyDescent="0.3">
      <c r="A841" s="18">
        <v>45380</v>
      </c>
      <c r="B841" s="18">
        <v>45380</v>
      </c>
      <c r="C841" s="15" t="s">
        <v>2360</v>
      </c>
      <c r="D841" s="15" t="s">
        <v>1536</v>
      </c>
      <c r="E841" s="15"/>
      <c r="F841" s="16">
        <v>10</v>
      </c>
      <c r="G841" s="16">
        <v>0</v>
      </c>
      <c r="H841" s="16">
        <v>236.09</v>
      </c>
      <c r="I841" s="15" t="s">
        <v>1537</v>
      </c>
      <c r="J841" s="17">
        <f t="shared" si="12"/>
        <v>0</v>
      </c>
    </row>
    <row r="842" spans="1:10" ht="15.75" customHeight="1" x14ac:dyDescent="0.3">
      <c r="A842" s="18">
        <v>45380</v>
      </c>
      <c r="B842" s="18">
        <v>45380</v>
      </c>
      <c r="C842" s="15" t="s">
        <v>2361</v>
      </c>
      <c r="D842" s="15" t="s">
        <v>1536</v>
      </c>
      <c r="E842" s="15"/>
      <c r="F842" s="16">
        <v>70</v>
      </c>
      <c r="G842" s="16">
        <v>0</v>
      </c>
      <c r="H842" s="16">
        <v>166.09</v>
      </c>
      <c r="I842" s="15" t="s">
        <v>1537</v>
      </c>
      <c r="J842" s="17">
        <f t="shared" si="12"/>
        <v>0</v>
      </c>
    </row>
    <row r="843" spans="1:10" ht="15.75" customHeight="1" x14ac:dyDescent="0.3">
      <c r="A843" s="18">
        <v>45380</v>
      </c>
      <c r="B843" s="18">
        <v>45380</v>
      </c>
      <c r="C843" s="15" t="s">
        <v>2362</v>
      </c>
      <c r="D843" s="15" t="s">
        <v>1536</v>
      </c>
      <c r="E843" s="15"/>
      <c r="F843" s="16">
        <v>50</v>
      </c>
      <c r="G843" s="16">
        <v>0</v>
      </c>
      <c r="H843" s="16">
        <v>116.09</v>
      </c>
      <c r="I843" s="15" t="s">
        <v>1537</v>
      </c>
      <c r="J843" s="17">
        <f t="shared" si="12"/>
        <v>0</v>
      </c>
    </row>
    <row r="844" spans="1:10" ht="15.75" customHeight="1" x14ac:dyDescent="0.3">
      <c r="A844" s="18">
        <v>45381</v>
      </c>
      <c r="B844" s="18">
        <v>45381</v>
      </c>
      <c r="C844" s="15" t="s">
        <v>2363</v>
      </c>
      <c r="D844" s="15" t="s">
        <v>1536</v>
      </c>
      <c r="E844" s="15"/>
      <c r="F844" s="16">
        <v>20</v>
      </c>
      <c r="G844" s="16">
        <v>0</v>
      </c>
      <c r="H844" s="16">
        <v>96.09</v>
      </c>
      <c r="I844" s="15" t="s">
        <v>1537</v>
      </c>
      <c r="J844" s="17">
        <f t="shared" si="12"/>
        <v>0</v>
      </c>
    </row>
    <row r="845" spans="1:10" ht="15.75" customHeight="1" x14ac:dyDescent="0.3">
      <c r="A845" s="18">
        <v>45381</v>
      </c>
      <c r="B845" s="18">
        <v>45381</v>
      </c>
      <c r="C845" s="15" t="s">
        <v>2364</v>
      </c>
      <c r="D845" s="15" t="s">
        <v>1536</v>
      </c>
      <c r="E845" s="15"/>
      <c r="F845" s="16">
        <v>35</v>
      </c>
      <c r="G845" s="16">
        <v>0</v>
      </c>
      <c r="H845" s="16">
        <v>61.09</v>
      </c>
      <c r="I845" s="15" t="s">
        <v>1537</v>
      </c>
      <c r="J845" s="17">
        <f t="shared" si="12"/>
        <v>0</v>
      </c>
    </row>
    <row r="846" spans="1:10" ht="15.75" customHeight="1" x14ac:dyDescent="0.3">
      <c r="A846" s="18">
        <v>45381</v>
      </c>
      <c r="B846" s="18">
        <v>45381</v>
      </c>
      <c r="C846" s="15" t="s">
        <v>2365</v>
      </c>
      <c r="D846" s="15" t="s">
        <v>1536</v>
      </c>
      <c r="E846" s="15"/>
      <c r="F846" s="16">
        <v>60</v>
      </c>
      <c r="G846" s="16">
        <v>0</v>
      </c>
      <c r="H846" s="16">
        <v>1.0900000000000001</v>
      </c>
      <c r="I846" s="15" t="s">
        <v>1537</v>
      </c>
      <c r="J846" s="17">
        <f t="shared" si="12"/>
        <v>3.3306690738754696E-15</v>
      </c>
    </row>
    <row r="847" spans="1:10" ht="15.75" customHeight="1" x14ac:dyDescent="0.3">
      <c r="A847" s="18">
        <v>45381</v>
      </c>
      <c r="B847" s="18">
        <v>45381</v>
      </c>
      <c r="C847" s="15" t="s">
        <v>2366</v>
      </c>
      <c r="D847" s="15" t="s">
        <v>1536</v>
      </c>
      <c r="E847" s="15"/>
      <c r="F847" s="16">
        <v>0</v>
      </c>
      <c r="G847" s="16">
        <v>1</v>
      </c>
      <c r="H847" s="16">
        <v>2.09</v>
      </c>
      <c r="I847" s="15" t="s">
        <v>1540</v>
      </c>
      <c r="J847" s="17">
        <f t="shared" si="12"/>
        <v>0</v>
      </c>
    </row>
    <row r="848" spans="1:10" ht="15.75" customHeight="1" x14ac:dyDescent="0.3">
      <c r="A848" s="18">
        <v>45381</v>
      </c>
      <c r="B848" s="18">
        <v>45381</v>
      </c>
      <c r="C848" s="15" t="s">
        <v>2367</v>
      </c>
      <c r="D848" s="15" t="s">
        <v>1536</v>
      </c>
      <c r="E848" s="15"/>
      <c r="F848" s="16">
        <v>0</v>
      </c>
      <c r="G848" s="16">
        <v>1998</v>
      </c>
      <c r="H848" s="16">
        <v>2000.09</v>
      </c>
      <c r="I848" s="15" t="s">
        <v>1540</v>
      </c>
      <c r="J848" s="17">
        <f t="shared" si="12"/>
        <v>0</v>
      </c>
    </row>
    <row r="849" spans="1:10" ht="15.75" customHeight="1" x14ac:dyDescent="0.3">
      <c r="A849" s="18">
        <v>45382</v>
      </c>
      <c r="B849" s="18">
        <v>45382</v>
      </c>
      <c r="C849" s="15" t="s">
        <v>2368</v>
      </c>
      <c r="D849" s="15" t="s">
        <v>1536</v>
      </c>
      <c r="E849" s="15"/>
      <c r="F849" s="16">
        <v>80</v>
      </c>
      <c r="G849" s="16">
        <v>0</v>
      </c>
      <c r="H849" s="16">
        <v>1920.09</v>
      </c>
      <c r="I849" s="15" t="s">
        <v>1537</v>
      </c>
      <c r="J849" s="17">
        <f t="shared" si="12"/>
        <v>0</v>
      </c>
    </row>
    <row r="850" spans="1:10" ht="15.75" customHeight="1" x14ac:dyDescent="0.3">
      <c r="A850" s="18">
        <v>45382</v>
      </c>
      <c r="B850" s="18">
        <v>45382</v>
      </c>
      <c r="C850" s="15" t="s">
        <v>2369</v>
      </c>
      <c r="D850" s="15" t="s">
        <v>1536</v>
      </c>
      <c r="E850" s="15"/>
      <c r="F850" s="16">
        <v>30</v>
      </c>
      <c r="G850" s="16">
        <v>0</v>
      </c>
      <c r="H850" s="16">
        <v>1890.09</v>
      </c>
      <c r="I850" s="15" t="s">
        <v>1537</v>
      </c>
      <c r="J850" s="17">
        <f t="shared" si="12"/>
        <v>0</v>
      </c>
    </row>
    <row r="851" spans="1:10" ht="15.75" customHeight="1" x14ac:dyDescent="0.3">
      <c r="A851" s="18">
        <v>45382</v>
      </c>
      <c r="B851" s="18">
        <v>45382</v>
      </c>
      <c r="C851" s="15" t="s">
        <v>2370</v>
      </c>
      <c r="D851" s="15" t="s">
        <v>1536</v>
      </c>
      <c r="E851" s="15"/>
      <c r="F851" s="16">
        <v>593</v>
      </c>
      <c r="G851" s="16">
        <v>0</v>
      </c>
      <c r="H851" s="16">
        <v>1297.0899999999999</v>
      </c>
      <c r="I851" s="15" t="s">
        <v>1537</v>
      </c>
      <c r="J851" s="17">
        <f t="shared" ref="J851:J857" si="13">H850-F851+G851-H851</f>
        <v>0</v>
      </c>
    </row>
    <row r="852" spans="1:10" ht="15.75" customHeight="1" x14ac:dyDescent="0.3">
      <c r="A852" s="18">
        <v>45382</v>
      </c>
      <c r="B852" s="18">
        <v>45382</v>
      </c>
      <c r="C852" s="15" t="s">
        <v>2371</v>
      </c>
      <c r="D852" s="15" t="s">
        <v>1536</v>
      </c>
      <c r="E852" s="15"/>
      <c r="F852" s="16">
        <v>335</v>
      </c>
      <c r="G852" s="16">
        <v>0</v>
      </c>
      <c r="H852" s="16">
        <v>962.09</v>
      </c>
      <c r="I852" s="15" t="s">
        <v>1537</v>
      </c>
      <c r="J852" s="17">
        <f t="shared" si="13"/>
        <v>0</v>
      </c>
    </row>
    <row r="853" spans="1:10" ht="15.75" customHeight="1" x14ac:dyDescent="0.3">
      <c r="A853" s="18">
        <v>45382</v>
      </c>
      <c r="B853" s="18">
        <v>45382</v>
      </c>
      <c r="C853" s="15" t="s">
        <v>2372</v>
      </c>
      <c r="D853" s="15" t="s">
        <v>1536</v>
      </c>
      <c r="E853" s="15"/>
      <c r="F853" s="16">
        <v>35</v>
      </c>
      <c r="G853" s="16">
        <v>0</v>
      </c>
      <c r="H853" s="16">
        <v>927.09</v>
      </c>
      <c r="I853" s="15" t="s">
        <v>1537</v>
      </c>
      <c r="J853" s="17">
        <f t="shared" si="13"/>
        <v>0</v>
      </c>
    </row>
    <row r="854" spans="1:10" ht="15.75" customHeight="1" x14ac:dyDescent="0.3">
      <c r="A854" s="18">
        <v>45382</v>
      </c>
      <c r="B854" s="18">
        <v>45382</v>
      </c>
      <c r="C854" s="15" t="s">
        <v>2373</v>
      </c>
      <c r="D854" s="15" t="s">
        <v>1536</v>
      </c>
      <c r="E854" s="15"/>
      <c r="F854" s="16">
        <v>16</v>
      </c>
      <c r="G854" s="16">
        <v>0</v>
      </c>
      <c r="H854" s="16">
        <v>911.09</v>
      </c>
      <c r="I854" s="15" t="s">
        <v>1537</v>
      </c>
      <c r="J854" s="17">
        <f t="shared" si="13"/>
        <v>0</v>
      </c>
    </row>
    <row r="855" spans="1:10" ht="15.75" customHeight="1" x14ac:dyDescent="0.3">
      <c r="A855" s="18">
        <v>45382</v>
      </c>
      <c r="B855" s="18">
        <v>45383</v>
      </c>
      <c r="C855" s="15" t="s">
        <v>2374</v>
      </c>
      <c r="D855" s="15" t="s">
        <v>1536</v>
      </c>
      <c r="E855" s="15"/>
      <c r="F855" s="16">
        <v>60</v>
      </c>
      <c r="G855" s="16">
        <v>0</v>
      </c>
      <c r="H855" s="16">
        <v>851.09</v>
      </c>
      <c r="I855" s="15" t="s">
        <v>1537</v>
      </c>
      <c r="J855" s="17">
        <f t="shared" si="13"/>
        <v>0</v>
      </c>
    </row>
    <row r="856" spans="1:10" ht="15.75" customHeight="1" x14ac:dyDescent="0.3">
      <c r="A856" s="18">
        <v>45382</v>
      </c>
      <c r="B856" s="18">
        <v>45383</v>
      </c>
      <c r="C856" s="15" t="s">
        <v>2375</v>
      </c>
      <c r="D856" s="15" t="s">
        <v>1536</v>
      </c>
      <c r="E856" s="15"/>
      <c r="F856" s="16">
        <v>20</v>
      </c>
      <c r="G856" s="16">
        <v>0</v>
      </c>
      <c r="H856" s="16">
        <v>831.09</v>
      </c>
      <c r="I856" s="15" t="s">
        <v>1537</v>
      </c>
      <c r="J856" s="17">
        <f t="shared" si="13"/>
        <v>0</v>
      </c>
    </row>
    <row r="857" spans="1:10" ht="15.75" customHeight="1" x14ac:dyDescent="0.3">
      <c r="A857" s="18">
        <v>45382</v>
      </c>
      <c r="B857" s="18">
        <v>45383</v>
      </c>
      <c r="C857" s="15" t="s">
        <v>2376</v>
      </c>
      <c r="D857" s="15" t="s">
        <v>1536</v>
      </c>
      <c r="E857" s="15"/>
      <c r="F857" s="16">
        <v>60</v>
      </c>
      <c r="G857" s="16">
        <v>0</v>
      </c>
      <c r="H857" s="16">
        <v>771.09</v>
      </c>
      <c r="I857" s="15" t="s">
        <v>1537</v>
      </c>
      <c r="J857" s="17">
        <f t="shared" si="13"/>
        <v>0</v>
      </c>
    </row>
    <row r="858" spans="1:10" ht="15.75" customHeight="1" x14ac:dyDescent="0.3">
      <c r="A858" s="15"/>
      <c r="B858" s="15"/>
      <c r="C858" s="15" t="s">
        <v>2377</v>
      </c>
      <c r="D858" s="15"/>
      <c r="E858" s="15"/>
      <c r="F858" s="16">
        <v>179753.05</v>
      </c>
      <c r="G858" s="16">
        <v>180494.28</v>
      </c>
      <c r="H858" s="16"/>
      <c r="I858" s="15"/>
    </row>
    <row r="859" spans="1:10" ht="15.75" customHeight="1" x14ac:dyDescent="0.3">
      <c r="C859" s="14"/>
    </row>
    <row r="860" spans="1:10" ht="15.75" customHeight="1" x14ac:dyDescent="0.3">
      <c r="A860" s="15" t="s">
        <v>2378</v>
      </c>
      <c r="C860" s="14"/>
    </row>
    <row r="861" spans="1:10" ht="15.75" customHeight="1" x14ac:dyDescent="0.3">
      <c r="A861" s="15" t="s">
        <v>2379</v>
      </c>
      <c r="B861" s="15" t="s">
        <v>2380</v>
      </c>
      <c r="C861" s="15"/>
      <c r="D861" s="15" t="s">
        <v>2381</v>
      </c>
      <c r="E861" s="15" t="s">
        <v>2382</v>
      </c>
    </row>
    <row r="862" spans="1:10" ht="15.75" customHeight="1" x14ac:dyDescent="0.3">
      <c r="A862" s="15" t="s">
        <v>2383</v>
      </c>
      <c r="B862" s="15" t="s">
        <v>2384</v>
      </c>
      <c r="C862" s="15"/>
      <c r="D862" s="15" t="s">
        <v>2385</v>
      </c>
      <c r="E862" s="15" t="s">
        <v>2386</v>
      </c>
    </row>
    <row r="863" spans="1:10" ht="15.75" customHeight="1" x14ac:dyDescent="0.3">
      <c r="A863" s="15" t="s">
        <v>2387</v>
      </c>
      <c r="B863" s="15" t="s">
        <v>2388</v>
      </c>
      <c r="C863" s="15"/>
      <c r="D863" s="15" t="s">
        <v>2389</v>
      </c>
      <c r="E863" s="15" t="s">
        <v>2390</v>
      </c>
    </row>
    <row r="864" spans="1:10" ht="15.75" customHeight="1" x14ac:dyDescent="0.3">
      <c r="A864" s="42"/>
      <c r="B864" s="42"/>
      <c r="C864" s="42"/>
      <c r="D864" s="42"/>
      <c r="E864" s="42"/>
      <c r="F864" s="42"/>
      <c r="G864" s="42"/>
      <c r="H864" s="42"/>
      <c r="I864" s="42"/>
    </row>
    <row r="865" spans="1:9" ht="90" customHeight="1" x14ac:dyDescent="0.3">
      <c r="A865" s="44" t="s">
        <v>2391</v>
      </c>
      <c r="B865" s="42"/>
      <c r="C865" s="42"/>
      <c r="D865" s="42"/>
      <c r="E865" s="42"/>
      <c r="F865" s="42"/>
      <c r="G865" s="42"/>
      <c r="H865" s="42"/>
      <c r="I865" s="42"/>
    </row>
    <row r="866" spans="1:9" ht="15.75" customHeight="1" x14ac:dyDescent="0.3">
      <c r="C866" s="14"/>
    </row>
    <row r="867" spans="1:9" ht="30" customHeight="1" x14ac:dyDescent="0.3">
      <c r="A867" s="45" t="s">
        <v>2392</v>
      </c>
      <c r="B867" s="42"/>
      <c r="C867" s="42"/>
      <c r="D867" s="42"/>
      <c r="E867" s="42"/>
      <c r="F867" s="42"/>
      <c r="G867" s="42"/>
      <c r="H867" s="42"/>
      <c r="I867" s="42"/>
    </row>
    <row r="868" spans="1:9" ht="15.75" customHeight="1" x14ac:dyDescent="0.3">
      <c r="C868" s="14"/>
    </row>
    <row r="869" spans="1:9" ht="15.75" customHeight="1" x14ac:dyDescent="0.3">
      <c r="A869" s="45" t="s">
        <v>2393</v>
      </c>
      <c r="B869" s="42"/>
      <c r="C869" s="42"/>
      <c r="D869" s="42"/>
      <c r="E869" s="42"/>
      <c r="F869" s="42"/>
      <c r="G869" s="42"/>
      <c r="H869" s="42"/>
      <c r="I869" s="42"/>
    </row>
    <row r="870" spans="1:9" ht="15.75" customHeight="1" x14ac:dyDescent="0.3">
      <c r="C870" s="14"/>
    </row>
    <row r="871" spans="1:9" ht="15.75" customHeight="1" x14ac:dyDescent="0.3">
      <c r="A871" s="42"/>
      <c r="B871" s="42"/>
      <c r="C871" s="42"/>
      <c r="D871" s="42"/>
      <c r="E871" s="42"/>
      <c r="F871" s="42"/>
      <c r="G871" s="42"/>
      <c r="H871" s="42"/>
      <c r="I871" s="42"/>
    </row>
    <row r="872" spans="1:9" ht="15.75" customHeight="1" x14ac:dyDescent="0.3">
      <c r="C872" s="14"/>
    </row>
    <row r="873" spans="1:9" ht="15.75" customHeight="1" x14ac:dyDescent="0.3">
      <c r="A873" s="42"/>
      <c r="B873" s="42"/>
      <c r="C873" s="42"/>
      <c r="D873" s="42"/>
      <c r="E873" s="42"/>
      <c r="F873" s="42"/>
      <c r="G873" s="42"/>
      <c r="H873" s="42"/>
      <c r="I873" s="42"/>
    </row>
    <row r="874" spans="1:9" ht="15.75" customHeight="1" x14ac:dyDescent="0.3">
      <c r="C874" s="14"/>
    </row>
    <row r="875" spans="1:9" ht="15.75" customHeight="1" x14ac:dyDescent="0.3">
      <c r="A875" s="42"/>
      <c r="B875" s="42"/>
      <c r="C875" s="42"/>
      <c r="D875" s="42"/>
      <c r="E875" s="42"/>
      <c r="F875" s="42"/>
      <c r="G875" s="42"/>
      <c r="H875" s="42"/>
      <c r="I875" s="42"/>
    </row>
    <row r="876" spans="1:9" ht="15.75" customHeight="1" x14ac:dyDescent="0.3">
      <c r="C876" s="14"/>
    </row>
    <row r="877" spans="1:9" ht="15.75" customHeight="1" x14ac:dyDescent="0.3">
      <c r="A877" s="42"/>
      <c r="B877" s="42"/>
      <c r="C877" s="42"/>
      <c r="D877" s="42"/>
      <c r="E877" s="42"/>
      <c r="F877" s="42"/>
      <c r="G877" s="42"/>
      <c r="H877" s="42"/>
      <c r="I877" s="42"/>
    </row>
    <row r="878" spans="1:9" ht="15.75" customHeight="1" x14ac:dyDescent="0.3">
      <c r="C878" s="14"/>
    </row>
    <row r="879" spans="1:9" ht="15.75" customHeight="1" x14ac:dyDescent="0.3">
      <c r="A879" s="42"/>
      <c r="B879" s="42"/>
      <c r="C879" s="42"/>
      <c r="D879" s="42"/>
      <c r="E879" s="42"/>
      <c r="F879" s="42"/>
      <c r="G879" s="42"/>
      <c r="H879" s="42"/>
      <c r="I879" s="42"/>
    </row>
  </sheetData>
  <autoFilter ref="A16:I858" xr:uid="{00000000-0001-0000-0000-000000000000}"/>
  <mergeCells count="10">
    <mergeCell ref="A873:I873"/>
    <mergeCell ref="A875:I875"/>
    <mergeCell ref="A877:I877"/>
    <mergeCell ref="A879:I879"/>
    <mergeCell ref="A14:I14"/>
    <mergeCell ref="A864:I864"/>
    <mergeCell ref="A865:I865"/>
    <mergeCell ref="A867:I867"/>
    <mergeCell ref="A869:I869"/>
    <mergeCell ref="A871:I871"/>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AE5D5-B557-4323-9AE2-AD1BF970173C}">
  <dimension ref="A1:L25"/>
  <sheetViews>
    <sheetView workbookViewId="0">
      <selection activeCell="E15" sqref="E15"/>
    </sheetView>
  </sheetViews>
  <sheetFormatPr defaultRowHeight="14.4" x14ac:dyDescent="0.3"/>
  <cols>
    <col min="2" max="3" width="25.109375" customWidth="1"/>
    <col min="5" max="5" width="22.33203125" customWidth="1"/>
    <col min="6" max="6" width="39.6640625" customWidth="1"/>
    <col min="8" max="8" width="9" bestFit="1" customWidth="1"/>
    <col min="9" max="10" width="9.88671875" bestFit="1" customWidth="1"/>
  </cols>
  <sheetData>
    <row r="1" spans="1:12" x14ac:dyDescent="0.3">
      <c r="C1" t="s">
        <v>1438</v>
      </c>
    </row>
    <row r="2" spans="1:12" x14ac:dyDescent="0.3">
      <c r="A2" t="s">
        <v>1439</v>
      </c>
    </row>
    <row r="3" spans="1:12" x14ac:dyDescent="0.3">
      <c r="A3" t="s">
        <v>1440</v>
      </c>
      <c r="E3" t="s">
        <v>1441</v>
      </c>
      <c r="F3">
        <v>836844778</v>
      </c>
    </row>
    <row r="4" spans="1:12" x14ac:dyDescent="0.3">
      <c r="A4" t="s">
        <v>1442</v>
      </c>
      <c r="E4" t="s">
        <v>1443</v>
      </c>
      <c r="F4">
        <v>3649610333</v>
      </c>
    </row>
    <row r="5" spans="1:12" x14ac:dyDescent="0.3">
      <c r="A5" t="s">
        <v>1444</v>
      </c>
      <c r="E5" t="s">
        <v>49</v>
      </c>
      <c r="F5" t="s">
        <v>1445</v>
      </c>
    </row>
    <row r="6" spans="1:12" x14ac:dyDescent="0.3">
      <c r="A6" t="s">
        <v>1446</v>
      </c>
      <c r="E6" t="s">
        <v>1447</v>
      </c>
      <c r="F6" t="s">
        <v>1448</v>
      </c>
    </row>
    <row r="7" spans="1:12" x14ac:dyDescent="0.3">
      <c r="A7" t="s">
        <v>1449</v>
      </c>
      <c r="E7" t="s">
        <v>1450</v>
      </c>
      <c r="F7" t="s">
        <v>1451</v>
      </c>
    </row>
    <row r="8" spans="1:12" x14ac:dyDescent="0.3">
      <c r="A8" t="s">
        <v>1452</v>
      </c>
      <c r="E8" t="s">
        <v>1453</v>
      </c>
      <c r="F8" t="s">
        <v>1454</v>
      </c>
    </row>
    <row r="9" spans="1:12" x14ac:dyDescent="0.3">
      <c r="A9">
        <v>560103</v>
      </c>
      <c r="E9" t="s">
        <v>1455</v>
      </c>
    </row>
    <row r="10" spans="1:12" x14ac:dyDescent="0.3">
      <c r="E10" t="s">
        <v>1456</v>
      </c>
    </row>
    <row r="11" spans="1:12" x14ac:dyDescent="0.3">
      <c r="E11" t="s">
        <v>1457</v>
      </c>
      <c r="F11" t="s">
        <v>1458</v>
      </c>
    </row>
    <row r="12" spans="1:12" x14ac:dyDescent="0.3">
      <c r="E12" t="s">
        <v>1459</v>
      </c>
      <c r="F12">
        <v>560485072</v>
      </c>
    </row>
    <row r="14" spans="1:12" x14ac:dyDescent="0.3">
      <c r="A14" t="s">
        <v>1460</v>
      </c>
      <c r="B14" t="s">
        <v>1461</v>
      </c>
      <c r="C14" t="s">
        <v>1077</v>
      </c>
      <c r="D14" t="s">
        <v>1078</v>
      </c>
      <c r="E14" t="s">
        <v>1462</v>
      </c>
      <c r="F14" t="s">
        <v>1463</v>
      </c>
      <c r="G14" t="s">
        <v>1464</v>
      </c>
      <c r="H14" t="s">
        <v>19</v>
      </c>
      <c r="I14" t="s">
        <v>20</v>
      </c>
      <c r="J14" t="s">
        <v>1082</v>
      </c>
      <c r="K14" t="s">
        <v>1464</v>
      </c>
    </row>
    <row r="15" spans="1:12" x14ac:dyDescent="0.3">
      <c r="A15">
        <v>1</v>
      </c>
      <c r="B15" s="1">
        <v>45366</v>
      </c>
      <c r="C15" s="1">
        <v>45366</v>
      </c>
      <c r="D15" t="s">
        <v>1465</v>
      </c>
      <c r="E15" t="s">
        <v>1466</v>
      </c>
      <c r="F15" s="10">
        <v>9109</v>
      </c>
      <c r="G15" t="s">
        <v>20</v>
      </c>
      <c r="H15" s="2">
        <f>IF(G15=$H$14,F15,0)</f>
        <v>0</v>
      </c>
      <c r="I15" s="2">
        <f>IF(G15=$I$14,F15,0)</f>
        <v>9109</v>
      </c>
      <c r="J15" s="2">
        <v>9109</v>
      </c>
      <c r="K15" t="s">
        <v>20</v>
      </c>
    </row>
    <row r="16" spans="1:12" x14ac:dyDescent="0.3">
      <c r="A16">
        <v>2</v>
      </c>
      <c r="B16" s="1">
        <v>45369</v>
      </c>
      <c r="C16" s="1">
        <v>45369</v>
      </c>
      <c r="D16" t="s">
        <v>1467</v>
      </c>
      <c r="E16" t="s">
        <v>1468</v>
      </c>
      <c r="F16">
        <v>1</v>
      </c>
      <c r="G16" t="s">
        <v>19</v>
      </c>
      <c r="H16" s="2">
        <f t="shared" ref="H16:H25" si="0">IF(G16=$H$14,F16,0)</f>
        <v>1</v>
      </c>
      <c r="I16" s="2">
        <f t="shared" ref="I16:I25" si="1">IF(G16=$I$14,F16,0)</f>
        <v>0</v>
      </c>
      <c r="J16" s="2">
        <v>9108</v>
      </c>
      <c r="K16" t="s">
        <v>20</v>
      </c>
      <c r="L16" s="3">
        <f>J15-H16+I16-J16</f>
        <v>0</v>
      </c>
    </row>
    <row r="17" spans="1:12" x14ac:dyDescent="0.3">
      <c r="A17">
        <v>3</v>
      </c>
      <c r="B17" s="1">
        <v>45369</v>
      </c>
      <c r="C17" s="1">
        <v>45369</v>
      </c>
      <c r="D17" t="s">
        <v>1469</v>
      </c>
      <c r="E17" t="s">
        <v>1470</v>
      </c>
      <c r="F17" s="10">
        <v>4999</v>
      </c>
      <c r="G17" t="s">
        <v>19</v>
      </c>
      <c r="H17" s="2">
        <f t="shared" si="0"/>
        <v>4999</v>
      </c>
      <c r="I17" s="2">
        <f t="shared" si="1"/>
        <v>0</v>
      </c>
      <c r="J17" s="2">
        <v>4109</v>
      </c>
      <c r="K17" t="s">
        <v>20</v>
      </c>
      <c r="L17" s="3">
        <f t="shared" ref="L17:L25" si="2">J16-H17+I17-J17</f>
        <v>0</v>
      </c>
    </row>
    <row r="18" spans="1:12" x14ac:dyDescent="0.3">
      <c r="A18">
        <v>4</v>
      </c>
      <c r="B18" s="1">
        <v>45370</v>
      </c>
      <c r="C18" s="1">
        <v>45370</v>
      </c>
      <c r="D18" t="s">
        <v>1471</v>
      </c>
      <c r="E18" t="s">
        <v>1472</v>
      </c>
      <c r="F18" s="10">
        <v>4109</v>
      </c>
      <c r="G18" t="s">
        <v>19</v>
      </c>
      <c r="H18" s="2">
        <f t="shared" si="0"/>
        <v>4109</v>
      </c>
      <c r="I18" s="2">
        <f t="shared" si="1"/>
        <v>0</v>
      </c>
      <c r="J18" s="2">
        <v>0</v>
      </c>
      <c r="K18" t="s">
        <v>20</v>
      </c>
      <c r="L18" s="3">
        <f t="shared" si="2"/>
        <v>0</v>
      </c>
    </row>
    <row r="19" spans="1:12" x14ac:dyDescent="0.3">
      <c r="A19">
        <v>5</v>
      </c>
      <c r="B19" s="1">
        <v>45374</v>
      </c>
      <c r="C19" s="1">
        <v>45374</v>
      </c>
      <c r="D19" t="s">
        <v>1473</v>
      </c>
      <c r="E19" t="s">
        <v>1474</v>
      </c>
      <c r="F19">
        <v>1.01</v>
      </c>
      <c r="G19" t="s">
        <v>20</v>
      </c>
      <c r="H19" s="2">
        <f t="shared" si="0"/>
        <v>0</v>
      </c>
      <c r="I19" s="2">
        <f t="shared" si="1"/>
        <v>1.01</v>
      </c>
      <c r="J19" s="2">
        <v>1.01</v>
      </c>
      <c r="K19" t="s">
        <v>20</v>
      </c>
      <c r="L19" s="3">
        <f t="shared" si="2"/>
        <v>0</v>
      </c>
    </row>
    <row r="20" spans="1:12" x14ac:dyDescent="0.3">
      <c r="A20">
        <v>6</v>
      </c>
      <c r="B20" s="1">
        <v>45380</v>
      </c>
      <c r="C20" s="1">
        <v>45380</v>
      </c>
      <c r="D20" t="s">
        <v>1475</v>
      </c>
      <c r="E20" t="s">
        <v>1476</v>
      </c>
      <c r="F20" s="10">
        <v>63942</v>
      </c>
      <c r="G20" t="s">
        <v>20</v>
      </c>
      <c r="H20" s="2">
        <f t="shared" si="0"/>
        <v>0</v>
      </c>
      <c r="I20" s="2">
        <f t="shared" si="1"/>
        <v>63942</v>
      </c>
      <c r="J20" s="2">
        <v>63943.01</v>
      </c>
      <c r="K20" t="s">
        <v>20</v>
      </c>
      <c r="L20" s="3">
        <f t="shared" si="2"/>
        <v>0</v>
      </c>
    </row>
    <row r="21" spans="1:12" x14ac:dyDescent="0.3">
      <c r="A21">
        <v>7</v>
      </c>
      <c r="B21" s="1">
        <v>45381</v>
      </c>
      <c r="C21" s="1">
        <v>45381</v>
      </c>
      <c r="D21" t="s">
        <v>1477</v>
      </c>
      <c r="E21" t="s">
        <v>1478</v>
      </c>
      <c r="F21">
        <v>1</v>
      </c>
      <c r="G21" t="s">
        <v>19</v>
      </c>
      <c r="H21" s="2">
        <f t="shared" si="0"/>
        <v>1</v>
      </c>
      <c r="I21" s="2">
        <f t="shared" si="1"/>
        <v>0</v>
      </c>
      <c r="J21" s="2">
        <v>63942.01</v>
      </c>
      <c r="K21" t="s">
        <v>20</v>
      </c>
      <c r="L21" s="3">
        <f t="shared" si="2"/>
        <v>0</v>
      </c>
    </row>
    <row r="22" spans="1:12" x14ac:dyDescent="0.3">
      <c r="A22">
        <v>8</v>
      </c>
      <c r="B22" s="1">
        <v>45381</v>
      </c>
      <c r="C22" s="1">
        <v>45381</v>
      </c>
      <c r="D22" t="s">
        <v>1479</v>
      </c>
      <c r="E22" t="s">
        <v>1480</v>
      </c>
      <c r="F22" s="10">
        <v>1998</v>
      </c>
      <c r="G22" t="s">
        <v>19</v>
      </c>
      <c r="H22" s="2">
        <f t="shared" si="0"/>
        <v>1998</v>
      </c>
      <c r="I22" s="2">
        <f t="shared" si="1"/>
        <v>0</v>
      </c>
      <c r="J22" s="2">
        <v>61944.01</v>
      </c>
      <c r="K22" t="s">
        <v>20</v>
      </c>
      <c r="L22" s="3">
        <f t="shared" si="2"/>
        <v>0</v>
      </c>
    </row>
    <row r="23" spans="1:12" x14ac:dyDescent="0.3">
      <c r="A23">
        <v>9</v>
      </c>
      <c r="B23" s="1">
        <v>45381</v>
      </c>
      <c r="C23" s="1">
        <v>45381</v>
      </c>
      <c r="D23" t="s">
        <v>1481</v>
      </c>
      <c r="E23" t="s">
        <v>1482</v>
      </c>
      <c r="F23" s="10">
        <v>1998</v>
      </c>
      <c r="G23" t="s">
        <v>19</v>
      </c>
      <c r="H23" s="2">
        <f t="shared" si="0"/>
        <v>1998</v>
      </c>
      <c r="I23" s="2">
        <f t="shared" si="1"/>
        <v>0</v>
      </c>
      <c r="J23" s="2">
        <v>59946.01</v>
      </c>
      <c r="K23" t="s">
        <v>20</v>
      </c>
      <c r="L23" s="3">
        <f t="shared" si="2"/>
        <v>0</v>
      </c>
    </row>
    <row r="24" spans="1:12" x14ac:dyDescent="0.3">
      <c r="A24">
        <v>10</v>
      </c>
      <c r="B24" s="1">
        <v>45382</v>
      </c>
      <c r="C24" s="1">
        <v>45382</v>
      </c>
      <c r="D24" t="s">
        <v>1483</v>
      </c>
      <c r="E24">
        <v>409115178316</v>
      </c>
      <c r="F24">
        <v>245</v>
      </c>
      <c r="G24" t="s">
        <v>19</v>
      </c>
      <c r="H24" s="2">
        <f t="shared" si="0"/>
        <v>245</v>
      </c>
      <c r="I24" s="2">
        <f t="shared" si="1"/>
        <v>0</v>
      </c>
      <c r="J24" s="2">
        <v>59701.01</v>
      </c>
      <c r="K24" t="s">
        <v>20</v>
      </c>
      <c r="L24" s="3">
        <f t="shared" si="2"/>
        <v>0</v>
      </c>
    </row>
    <row r="25" spans="1:12" x14ac:dyDescent="0.3">
      <c r="A25">
        <v>11</v>
      </c>
      <c r="B25" s="1">
        <v>45383</v>
      </c>
      <c r="C25" s="1">
        <v>45382</v>
      </c>
      <c r="D25" t="s">
        <v>1484</v>
      </c>
      <c r="F25">
        <v>21</v>
      </c>
      <c r="G25" t="s">
        <v>20</v>
      </c>
      <c r="H25" s="2">
        <f t="shared" si="0"/>
        <v>0</v>
      </c>
      <c r="I25" s="2">
        <f t="shared" si="1"/>
        <v>21</v>
      </c>
      <c r="J25" s="2">
        <v>59722.01</v>
      </c>
      <c r="K25" t="s">
        <v>20</v>
      </c>
      <c r="L25" s="3">
        <f t="shared" si="2"/>
        <v>0</v>
      </c>
    </row>
  </sheetData>
  <autoFilter ref="A14:K25" xr:uid="{00000000-0009-0000-00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8C99E-44B2-4D66-B108-F7E36DCA341F}">
  <dimension ref="A1:G23"/>
  <sheetViews>
    <sheetView topLeftCell="A7" workbookViewId="0">
      <selection activeCell="A24" sqref="A24"/>
    </sheetView>
  </sheetViews>
  <sheetFormatPr defaultRowHeight="14.4" x14ac:dyDescent="0.3"/>
  <cols>
    <col min="1" max="1" width="17.5546875" customWidth="1"/>
    <col min="2" max="2" width="36.33203125" customWidth="1"/>
    <col min="3" max="5" width="17.5546875" customWidth="1"/>
  </cols>
  <sheetData>
    <row r="1" spans="1:2" x14ac:dyDescent="0.3">
      <c r="A1" t="s">
        <v>1052</v>
      </c>
      <c r="B1" t="s">
        <v>1053</v>
      </c>
    </row>
    <row r="2" spans="1:2" x14ac:dyDescent="0.3">
      <c r="A2" t="s">
        <v>1054</v>
      </c>
      <c r="B2" t="s">
        <v>1055</v>
      </c>
    </row>
    <row r="3" spans="1:2" x14ac:dyDescent="0.3">
      <c r="A3" t="s">
        <v>1056</v>
      </c>
      <c r="B3" t="s">
        <v>1057</v>
      </c>
    </row>
    <row r="4" spans="1:2" x14ac:dyDescent="0.3">
      <c r="A4" t="s">
        <v>1056</v>
      </c>
      <c r="B4" t="s">
        <v>4</v>
      </c>
    </row>
    <row r="5" spans="1:2" x14ac:dyDescent="0.3">
      <c r="A5" t="s">
        <v>1056</v>
      </c>
      <c r="B5" t="s">
        <v>1058</v>
      </c>
    </row>
    <row r="6" spans="1:2" x14ac:dyDescent="0.3">
      <c r="A6" t="s">
        <v>1059</v>
      </c>
      <c r="B6" s="9">
        <v>45404</v>
      </c>
    </row>
    <row r="7" spans="1:2" x14ac:dyDescent="0.3">
      <c r="A7" t="s">
        <v>1060</v>
      </c>
      <c r="B7" t="s">
        <v>1061</v>
      </c>
    </row>
    <row r="8" spans="1:2" x14ac:dyDescent="0.3">
      <c r="A8" t="s">
        <v>1062</v>
      </c>
      <c r="B8" t="s">
        <v>1063</v>
      </c>
    </row>
    <row r="9" spans="1:2" x14ac:dyDescent="0.3">
      <c r="A9" t="s">
        <v>1064</v>
      </c>
      <c r="B9" t="s">
        <v>1065</v>
      </c>
    </row>
    <row r="10" spans="1:2" x14ac:dyDescent="0.3">
      <c r="A10" t="s">
        <v>1066</v>
      </c>
      <c r="B10">
        <v>0</v>
      </c>
    </row>
    <row r="11" spans="1:2" x14ac:dyDescent="0.3">
      <c r="A11" t="s">
        <v>1067</v>
      </c>
      <c r="B11">
        <v>7.1</v>
      </c>
    </row>
    <row r="12" spans="1:2" x14ac:dyDescent="0.3">
      <c r="A12" t="s">
        <v>1068</v>
      </c>
      <c r="B12" t="s">
        <v>1069</v>
      </c>
    </row>
    <row r="13" spans="1:2" x14ac:dyDescent="0.3">
      <c r="A13" t="s">
        <v>1070</v>
      </c>
      <c r="B13" s="10">
        <v>17941</v>
      </c>
    </row>
    <row r="14" spans="1:2" x14ac:dyDescent="0.3">
      <c r="A14" t="s">
        <v>1071</v>
      </c>
      <c r="B14" s="9">
        <v>45017</v>
      </c>
    </row>
    <row r="15" spans="1:2" x14ac:dyDescent="0.3">
      <c r="A15" t="s">
        <v>1072</v>
      </c>
      <c r="B15" s="9">
        <v>45382</v>
      </c>
    </row>
    <row r="16" spans="1:2" x14ac:dyDescent="0.3">
      <c r="A16" t="s">
        <v>1073</v>
      </c>
      <c r="B16" s="9">
        <v>44107</v>
      </c>
    </row>
    <row r="17" spans="1:7" x14ac:dyDescent="0.3">
      <c r="A17" t="s">
        <v>1074</v>
      </c>
      <c r="B17">
        <v>0</v>
      </c>
    </row>
    <row r="18" spans="1:7" x14ac:dyDescent="0.3">
      <c r="A18" t="s">
        <v>1075</v>
      </c>
      <c r="B18" s="9">
        <v>49766</v>
      </c>
    </row>
    <row r="19" spans="1:7" x14ac:dyDescent="0.3">
      <c r="A19" t="s">
        <v>1076</v>
      </c>
      <c r="B19" t="s">
        <v>1077</v>
      </c>
      <c r="C19" t="s">
        <v>1078</v>
      </c>
      <c r="D19" t="s">
        <v>1079</v>
      </c>
      <c r="E19" t="s">
        <v>1080</v>
      </c>
      <c r="F19" t="s">
        <v>1081</v>
      </c>
      <c r="G19" t="s">
        <v>1082</v>
      </c>
    </row>
    <row r="20" spans="1:7" x14ac:dyDescent="0.3">
      <c r="A20" s="9">
        <v>45211</v>
      </c>
      <c r="B20" s="9">
        <v>45211</v>
      </c>
      <c r="C20" t="s">
        <v>1083</v>
      </c>
      <c r="D20" t="s">
        <v>1084</v>
      </c>
      <c r="E20" s="11">
        <v>0</v>
      </c>
      <c r="F20" s="10">
        <v>5000</v>
      </c>
      <c r="G20" s="10">
        <v>22941</v>
      </c>
    </row>
    <row r="21" spans="1:7" x14ac:dyDescent="0.3">
      <c r="A21" s="9">
        <v>45382</v>
      </c>
      <c r="B21" s="9">
        <v>45382</v>
      </c>
      <c r="C21" t="s">
        <v>1085</v>
      </c>
      <c r="E21" s="11">
        <v>0</v>
      </c>
      <c r="F21" s="10">
        <v>1422</v>
      </c>
      <c r="G21" s="10">
        <v>24363</v>
      </c>
    </row>
    <row r="23" spans="1:7" x14ac:dyDescent="0.3">
      <c r="A23" t="s">
        <v>1086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27E7D-3A71-4412-89AC-A7657E602CCB}">
  <dimension ref="A1:I321"/>
  <sheetViews>
    <sheetView topLeftCell="A18" workbookViewId="0">
      <selection activeCell="F18" sqref="F18"/>
    </sheetView>
  </sheetViews>
  <sheetFormatPr defaultRowHeight="14.4" x14ac:dyDescent="0.3"/>
  <cols>
    <col min="1" max="3" width="16" customWidth="1"/>
    <col min="4" max="4" width="35.109375" customWidth="1"/>
    <col min="5" max="8" width="16" customWidth="1"/>
  </cols>
  <sheetData>
    <row r="1" spans="1:2" x14ac:dyDescent="0.3">
      <c r="A1" t="s">
        <v>1052</v>
      </c>
      <c r="B1" t="s">
        <v>1053</v>
      </c>
    </row>
    <row r="2" spans="1:2" x14ac:dyDescent="0.3">
      <c r="A2" t="s">
        <v>1054</v>
      </c>
      <c r="B2" t="s">
        <v>1055</v>
      </c>
    </row>
    <row r="3" spans="1:2" x14ac:dyDescent="0.3">
      <c r="A3" t="s">
        <v>1056</v>
      </c>
      <c r="B3" t="s">
        <v>1057</v>
      </c>
    </row>
    <row r="4" spans="1:2" x14ac:dyDescent="0.3">
      <c r="A4" t="s">
        <v>1056</v>
      </c>
      <c r="B4" t="s">
        <v>4</v>
      </c>
    </row>
    <row r="5" spans="1:2" x14ac:dyDescent="0.3">
      <c r="A5" t="s">
        <v>1056</v>
      </c>
      <c r="B5" t="s">
        <v>1058</v>
      </c>
    </row>
    <row r="6" spans="1:2" x14ac:dyDescent="0.3">
      <c r="A6" t="s">
        <v>1059</v>
      </c>
      <c r="B6" s="9">
        <v>45404</v>
      </c>
    </row>
    <row r="7" spans="1:2" x14ac:dyDescent="0.3">
      <c r="A7" t="s">
        <v>1060</v>
      </c>
      <c r="B7" t="s">
        <v>1087</v>
      </c>
    </row>
    <row r="8" spans="1:2" x14ac:dyDescent="0.3">
      <c r="A8" t="s">
        <v>1062</v>
      </c>
      <c r="B8" t="s">
        <v>1088</v>
      </c>
    </row>
    <row r="9" spans="1:2" x14ac:dyDescent="0.3">
      <c r="A9" t="s">
        <v>1064</v>
      </c>
      <c r="B9" t="s">
        <v>1065</v>
      </c>
    </row>
    <row r="10" spans="1:2" x14ac:dyDescent="0.3">
      <c r="A10" t="s">
        <v>1066</v>
      </c>
      <c r="B10">
        <v>0</v>
      </c>
    </row>
    <row r="11" spans="1:2" x14ac:dyDescent="0.3">
      <c r="A11" t="s">
        <v>1067</v>
      </c>
      <c r="B11">
        <v>2.7</v>
      </c>
    </row>
    <row r="12" spans="1:2" x14ac:dyDescent="0.3">
      <c r="A12" t="s">
        <v>1089</v>
      </c>
      <c r="B12">
        <v>0</v>
      </c>
    </row>
    <row r="13" spans="1:2" x14ac:dyDescent="0.3">
      <c r="A13" t="s">
        <v>1090</v>
      </c>
      <c r="B13" t="s">
        <v>1091</v>
      </c>
    </row>
    <row r="14" spans="1:2" x14ac:dyDescent="0.3">
      <c r="A14" t="s">
        <v>1092</v>
      </c>
      <c r="B14" t="s">
        <v>1093</v>
      </c>
    </row>
    <row r="15" spans="1:2" x14ac:dyDescent="0.3">
      <c r="A15" t="s">
        <v>1094</v>
      </c>
      <c r="B15" t="s">
        <v>1095</v>
      </c>
    </row>
    <row r="16" spans="1:2" x14ac:dyDescent="0.3">
      <c r="A16" t="s">
        <v>1068</v>
      </c>
      <c r="B16" t="s">
        <v>1069</v>
      </c>
    </row>
    <row r="17" spans="1:9" x14ac:dyDescent="0.3">
      <c r="A17" t="s">
        <v>1070</v>
      </c>
      <c r="B17" s="10">
        <v>124395.27</v>
      </c>
    </row>
    <row r="18" spans="1:9" x14ac:dyDescent="0.3">
      <c r="A18" t="s">
        <v>1071</v>
      </c>
      <c r="B18" s="9">
        <v>45017</v>
      </c>
    </row>
    <row r="19" spans="1:9" x14ac:dyDescent="0.3">
      <c r="A19" t="s">
        <v>1072</v>
      </c>
      <c r="B19" s="9">
        <v>45382</v>
      </c>
    </row>
    <row r="20" spans="1:9" x14ac:dyDescent="0.3">
      <c r="A20" t="s">
        <v>1076</v>
      </c>
      <c r="B20" t="s">
        <v>1077</v>
      </c>
      <c r="C20" t="s">
        <v>1078</v>
      </c>
      <c r="D20" t="s">
        <v>1079</v>
      </c>
      <c r="E20" t="s">
        <v>1080</v>
      </c>
      <c r="F20" t="s">
        <v>1081</v>
      </c>
      <c r="G20" t="s">
        <v>1082</v>
      </c>
    </row>
    <row r="21" spans="1:9" x14ac:dyDescent="0.3">
      <c r="A21" s="9">
        <v>45017</v>
      </c>
      <c r="B21" s="9">
        <v>45017</v>
      </c>
      <c r="C21" t="s">
        <v>1096</v>
      </c>
      <c r="D21" t="s">
        <v>1097</v>
      </c>
      <c r="E21" s="2">
        <v>0</v>
      </c>
      <c r="F21" s="2">
        <v>95</v>
      </c>
      <c r="G21" s="2">
        <v>124490.27</v>
      </c>
    </row>
    <row r="22" spans="1:9" x14ac:dyDescent="0.3">
      <c r="A22" s="9">
        <v>45017</v>
      </c>
      <c r="B22" s="9">
        <v>45017</v>
      </c>
      <c r="C22" t="s">
        <v>1098</v>
      </c>
      <c r="D22" t="s">
        <v>1099</v>
      </c>
      <c r="E22" s="2">
        <v>70</v>
      </c>
      <c r="F22" s="2">
        <v>0</v>
      </c>
      <c r="G22" s="2">
        <v>124420.27</v>
      </c>
      <c r="I22" s="3">
        <f>G21-E22+F22-G22</f>
        <v>0</v>
      </c>
    </row>
    <row r="23" spans="1:9" x14ac:dyDescent="0.3">
      <c r="A23" s="9">
        <v>45018</v>
      </c>
      <c r="B23" s="9">
        <v>45018</v>
      </c>
      <c r="C23" t="s">
        <v>1100</v>
      </c>
      <c r="D23" t="s">
        <v>1101</v>
      </c>
      <c r="E23" s="2">
        <v>90</v>
      </c>
      <c r="F23" s="2">
        <v>0</v>
      </c>
      <c r="G23" s="2">
        <v>124330.27</v>
      </c>
      <c r="I23" s="3">
        <f t="shared" ref="I23:I86" si="0">G22-E23+F23-G23</f>
        <v>0</v>
      </c>
    </row>
    <row r="24" spans="1:9" x14ac:dyDescent="0.3">
      <c r="A24" s="9">
        <v>45018</v>
      </c>
      <c r="B24" s="9">
        <v>45018</v>
      </c>
      <c r="C24" t="s">
        <v>1102</v>
      </c>
      <c r="D24" t="s">
        <v>1103</v>
      </c>
      <c r="E24" s="2">
        <v>0</v>
      </c>
      <c r="F24" s="2">
        <v>30</v>
      </c>
      <c r="G24" s="2">
        <v>124360.27</v>
      </c>
      <c r="I24" s="3">
        <f t="shared" si="0"/>
        <v>0</v>
      </c>
    </row>
    <row r="25" spans="1:9" x14ac:dyDescent="0.3">
      <c r="A25" s="9">
        <v>45018</v>
      </c>
      <c r="B25" s="9">
        <v>45018</v>
      </c>
      <c r="C25" t="s">
        <v>1104</v>
      </c>
      <c r="D25" t="s">
        <v>1105</v>
      </c>
      <c r="E25" s="2">
        <v>210</v>
      </c>
      <c r="F25" s="2">
        <v>0</v>
      </c>
      <c r="G25" s="2">
        <v>124150.27</v>
      </c>
      <c r="I25" s="3">
        <f t="shared" si="0"/>
        <v>0</v>
      </c>
    </row>
    <row r="26" spans="1:9" x14ac:dyDescent="0.3">
      <c r="A26" s="9">
        <v>45018</v>
      </c>
      <c r="B26" s="9">
        <v>45018</v>
      </c>
      <c r="C26" t="s">
        <v>1106</v>
      </c>
      <c r="D26" t="s">
        <v>1107</v>
      </c>
      <c r="E26" s="2">
        <v>459</v>
      </c>
      <c r="F26" s="2">
        <v>0</v>
      </c>
      <c r="G26" s="2">
        <v>123691.27</v>
      </c>
      <c r="I26" s="3">
        <f t="shared" si="0"/>
        <v>0</v>
      </c>
    </row>
    <row r="27" spans="1:9" x14ac:dyDescent="0.3">
      <c r="A27" s="9">
        <v>45018</v>
      </c>
      <c r="B27" s="9">
        <v>45018</v>
      </c>
      <c r="C27" t="s">
        <v>1108</v>
      </c>
      <c r="D27" t="s">
        <v>1109</v>
      </c>
      <c r="E27" s="2">
        <v>71</v>
      </c>
      <c r="F27" s="2">
        <v>0</v>
      </c>
      <c r="G27" s="2">
        <v>123620.27</v>
      </c>
      <c r="I27" s="3">
        <f t="shared" si="0"/>
        <v>0</v>
      </c>
    </row>
    <row r="28" spans="1:9" x14ac:dyDescent="0.3">
      <c r="A28" s="9">
        <v>45019</v>
      </c>
      <c r="B28" s="9">
        <v>45019</v>
      </c>
      <c r="C28" t="s">
        <v>1110</v>
      </c>
      <c r="D28" t="s">
        <v>1111</v>
      </c>
      <c r="E28" s="2">
        <v>5000</v>
      </c>
      <c r="F28" s="2">
        <v>0</v>
      </c>
      <c r="G28" s="2">
        <v>118620.27</v>
      </c>
      <c r="I28" s="3">
        <f t="shared" si="0"/>
        <v>0</v>
      </c>
    </row>
    <row r="29" spans="1:9" x14ac:dyDescent="0.3">
      <c r="A29" s="9">
        <v>45020</v>
      </c>
      <c r="B29" s="9">
        <v>45020</v>
      </c>
      <c r="C29" t="s">
        <v>1112</v>
      </c>
      <c r="D29" t="s">
        <v>1113</v>
      </c>
      <c r="E29" s="2">
        <v>250</v>
      </c>
      <c r="F29" s="2">
        <v>0</v>
      </c>
      <c r="G29" s="2">
        <v>118370.27</v>
      </c>
      <c r="I29" s="3">
        <f t="shared" si="0"/>
        <v>0</v>
      </c>
    </row>
    <row r="30" spans="1:9" x14ac:dyDescent="0.3">
      <c r="A30" s="9">
        <v>45020</v>
      </c>
      <c r="B30" s="9">
        <v>45020</v>
      </c>
      <c r="C30" t="s">
        <v>1114</v>
      </c>
      <c r="D30" t="s">
        <v>1115</v>
      </c>
      <c r="E30" s="2">
        <v>30</v>
      </c>
      <c r="F30" s="2">
        <v>0</v>
      </c>
      <c r="G30" s="2">
        <v>118340.27</v>
      </c>
      <c r="I30" s="3">
        <f t="shared" si="0"/>
        <v>0</v>
      </c>
    </row>
    <row r="31" spans="1:9" x14ac:dyDescent="0.3">
      <c r="A31" s="9">
        <v>45021</v>
      </c>
      <c r="B31" s="9">
        <v>45021</v>
      </c>
      <c r="C31" t="s">
        <v>1116</v>
      </c>
      <c r="D31" t="s">
        <v>1117</v>
      </c>
      <c r="E31" s="2">
        <v>70</v>
      </c>
      <c r="F31" s="2">
        <v>0</v>
      </c>
      <c r="G31" s="2">
        <v>118270.27</v>
      </c>
      <c r="I31" s="3">
        <f t="shared" si="0"/>
        <v>0</v>
      </c>
    </row>
    <row r="32" spans="1:9" x14ac:dyDescent="0.3">
      <c r="A32" s="9">
        <v>45022</v>
      </c>
      <c r="B32" s="9">
        <v>45022</v>
      </c>
      <c r="C32" t="s">
        <v>1118</v>
      </c>
      <c r="D32" t="s">
        <v>1119</v>
      </c>
      <c r="E32" s="2">
        <v>104</v>
      </c>
      <c r="F32" s="2">
        <v>0</v>
      </c>
      <c r="G32" s="2">
        <v>118166.27</v>
      </c>
      <c r="I32" s="3">
        <f t="shared" si="0"/>
        <v>0</v>
      </c>
    </row>
    <row r="33" spans="1:9" x14ac:dyDescent="0.3">
      <c r="A33" s="9">
        <v>45022</v>
      </c>
      <c r="B33" s="9">
        <v>45022</v>
      </c>
      <c r="C33" t="s">
        <v>1120</v>
      </c>
      <c r="D33" t="s">
        <v>1121</v>
      </c>
      <c r="E33" s="2">
        <v>306</v>
      </c>
      <c r="F33" s="2">
        <v>0</v>
      </c>
      <c r="G33" s="2">
        <v>117860.27</v>
      </c>
      <c r="I33" s="3">
        <f t="shared" si="0"/>
        <v>0</v>
      </c>
    </row>
    <row r="34" spans="1:9" x14ac:dyDescent="0.3">
      <c r="A34" s="9">
        <v>45023</v>
      </c>
      <c r="B34" s="9">
        <v>45023</v>
      </c>
      <c r="C34" t="s">
        <v>1122</v>
      </c>
      <c r="D34" t="s">
        <v>1123</v>
      </c>
      <c r="E34" s="2">
        <v>1448.95</v>
      </c>
      <c r="F34" s="2">
        <v>0</v>
      </c>
      <c r="G34" s="2">
        <v>116411.32</v>
      </c>
      <c r="I34" s="3">
        <f t="shared" si="0"/>
        <v>0</v>
      </c>
    </row>
    <row r="35" spans="1:9" x14ac:dyDescent="0.3">
      <c r="A35" s="9">
        <v>45023</v>
      </c>
      <c r="B35" s="9">
        <v>45023</v>
      </c>
      <c r="C35" t="s">
        <v>1124</v>
      </c>
      <c r="D35" t="s">
        <v>1125</v>
      </c>
      <c r="E35" s="2">
        <v>902.15</v>
      </c>
      <c r="F35" s="2">
        <v>0</v>
      </c>
      <c r="G35" s="2">
        <v>115509.17</v>
      </c>
      <c r="I35" s="3">
        <f t="shared" si="0"/>
        <v>0</v>
      </c>
    </row>
    <row r="36" spans="1:9" x14ac:dyDescent="0.3">
      <c r="A36" s="9">
        <v>45023</v>
      </c>
      <c r="B36" s="9">
        <v>45023</v>
      </c>
      <c r="C36" t="s">
        <v>1126</v>
      </c>
      <c r="D36" t="s">
        <v>1127</v>
      </c>
      <c r="E36" s="2">
        <v>20</v>
      </c>
      <c r="F36" s="2">
        <v>0</v>
      </c>
      <c r="G36" s="2">
        <v>115489.17</v>
      </c>
      <c r="I36" s="3">
        <f t="shared" si="0"/>
        <v>0</v>
      </c>
    </row>
    <row r="37" spans="1:9" x14ac:dyDescent="0.3">
      <c r="A37" s="9">
        <v>45023</v>
      </c>
      <c r="B37" s="9">
        <v>45023</v>
      </c>
      <c r="C37" t="s">
        <v>1128</v>
      </c>
      <c r="D37" t="s">
        <v>1129</v>
      </c>
      <c r="E37" s="2">
        <v>602.15</v>
      </c>
      <c r="F37" s="2">
        <v>0</v>
      </c>
      <c r="G37" s="2">
        <v>114887.02</v>
      </c>
      <c r="I37" s="3">
        <f t="shared" si="0"/>
        <v>0</v>
      </c>
    </row>
    <row r="38" spans="1:9" x14ac:dyDescent="0.3">
      <c r="A38" s="9">
        <v>45023</v>
      </c>
      <c r="B38" s="9">
        <v>45023</v>
      </c>
      <c r="C38" t="s">
        <v>1130</v>
      </c>
      <c r="D38" t="s">
        <v>1131</v>
      </c>
      <c r="E38" s="2">
        <v>110</v>
      </c>
      <c r="F38" s="2">
        <v>0</v>
      </c>
      <c r="G38" s="2">
        <v>114777.02</v>
      </c>
      <c r="I38" s="3">
        <f t="shared" si="0"/>
        <v>0</v>
      </c>
    </row>
    <row r="39" spans="1:9" x14ac:dyDescent="0.3">
      <c r="A39" s="9">
        <v>45024</v>
      </c>
      <c r="B39" s="9">
        <v>45024</v>
      </c>
      <c r="C39" t="s">
        <v>1132</v>
      </c>
      <c r="D39" t="s">
        <v>1133</v>
      </c>
      <c r="E39" s="2">
        <v>40</v>
      </c>
      <c r="F39" s="2">
        <v>0</v>
      </c>
      <c r="G39" s="2">
        <v>114737.02</v>
      </c>
      <c r="I39" s="3">
        <f t="shared" si="0"/>
        <v>0</v>
      </c>
    </row>
    <row r="40" spans="1:9" x14ac:dyDescent="0.3">
      <c r="A40" s="9">
        <v>45024</v>
      </c>
      <c r="B40" s="9">
        <v>45024</v>
      </c>
      <c r="C40" t="s">
        <v>1134</v>
      </c>
      <c r="D40" t="s">
        <v>1135</v>
      </c>
      <c r="E40" s="2">
        <v>60</v>
      </c>
      <c r="F40" s="2">
        <v>0</v>
      </c>
      <c r="G40" s="2">
        <v>114677.02</v>
      </c>
      <c r="I40" s="3">
        <f t="shared" si="0"/>
        <v>0</v>
      </c>
    </row>
    <row r="41" spans="1:9" x14ac:dyDescent="0.3">
      <c r="A41" s="9">
        <v>45024</v>
      </c>
      <c r="B41" s="9">
        <v>45024</v>
      </c>
      <c r="C41" t="s">
        <v>1136</v>
      </c>
      <c r="D41" t="s">
        <v>1137</v>
      </c>
      <c r="E41" s="2">
        <v>132</v>
      </c>
      <c r="F41" s="2">
        <v>0</v>
      </c>
      <c r="G41" s="2">
        <v>114545.02</v>
      </c>
      <c r="I41" s="3">
        <f t="shared" si="0"/>
        <v>0</v>
      </c>
    </row>
    <row r="42" spans="1:9" x14ac:dyDescent="0.3">
      <c r="A42" s="9">
        <v>45024</v>
      </c>
      <c r="B42" s="9">
        <v>45024</v>
      </c>
      <c r="C42" t="s">
        <v>1138</v>
      </c>
      <c r="D42" t="s">
        <v>1139</v>
      </c>
      <c r="E42" s="2">
        <v>100</v>
      </c>
      <c r="F42" s="2">
        <v>0</v>
      </c>
      <c r="G42" s="2">
        <v>114445.02</v>
      </c>
      <c r="I42" s="3">
        <f t="shared" si="0"/>
        <v>0</v>
      </c>
    </row>
    <row r="43" spans="1:9" x14ac:dyDescent="0.3">
      <c r="A43" s="9">
        <v>45025</v>
      </c>
      <c r="B43" s="9">
        <v>45025</v>
      </c>
      <c r="C43" t="s">
        <v>1140</v>
      </c>
      <c r="D43" t="s">
        <v>1141</v>
      </c>
      <c r="E43" s="2">
        <v>125</v>
      </c>
      <c r="F43" s="2">
        <v>0</v>
      </c>
      <c r="G43" s="2">
        <v>114320.02</v>
      </c>
      <c r="I43" s="3">
        <f t="shared" si="0"/>
        <v>0</v>
      </c>
    </row>
    <row r="44" spans="1:9" x14ac:dyDescent="0.3">
      <c r="A44" s="9">
        <v>45025</v>
      </c>
      <c r="B44" s="9">
        <v>45025</v>
      </c>
      <c r="C44" t="s">
        <v>1142</v>
      </c>
      <c r="D44" t="s">
        <v>1143</v>
      </c>
      <c r="E44" s="2">
        <v>48.52</v>
      </c>
      <c r="F44" s="2">
        <v>0</v>
      </c>
      <c r="G44" s="2">
        <v>114271.5</v>
      </c>
      <c r="I44" s="3">
        <f t="shared" si="0"/>
        <v>0</v>
      </c>
    </row>
    <row r="45" spans="1:9" x14ac:dyDescent="0.3">
      <c r="A45" s="9">
        <v>45027</v>
      </c>
      <c r="B45" s="9">
        <v>45027</v>
      </c>
      <c r="C45" t="s">
        <v>1144</v>
      </c>
      <c r="E45" s="2">
        <v>0</v>
      </c>
      <c r="F45" s="2">
        <v>10</v>
      </c>
      <c r="G45" s="2">
        <v>114281.5</v>
      </c>
      <c r="I45" s="3">
        <f t="shared" si="0"/>
        <v>0</v>
      </c>
    </row>
    <row r="46" spans="1:9" x14ac:dyDescent="0.3">
      <c r="A46" s="9">
        <v>45027</v>
      </c>
      <c r="B46" s="9">
        <v>45027</v>
      </c>
      <c r="C46" t="s">
        <v>1145</v>
      </c>
      <c r="D46" t="s">
        <v>1146</v>
      </c>
      <c r="E46" s="2">
        <v>0</v>
      </c>
      <c r="F46" s="2">
        <v>830</v>
      </c>
      <c r="G46" s="2">
        <v>115111.5</v>
      </c>
      <c r="I46" s="3">
        <f t="shared" si="0"/>
        <v>0</v>
      </c>
    </row>
    <row r="47" spans="1:9" x14ac:dyDescent="0.3">
      <c r="A47" s="9">
        <v>45028</v>
      </c>
      <c r="B47" s="9">
        <v>45028</v>
      </c>
      <c r="C47" t="s">
        <v>1147</v>
      </c>
      <c r="D47" t="s">
        <v>1148</v>
      </c>
      <c r="E47" s="2">
        <v>100</v>
      </c>
      <c r="F47" s="2">
        <v>0</v>
      </c>
      <c r="G47" s="2">
        <v>115011.5</v>
      </c>
      <c r="I47" s="3">
        <f t="shared" si="0"/>
        <v>0</v>
      </c>
    </row>
    <row r="48" spans="1:9" x14ac:dyDescent="0.3">
      <c r="A48" s="9">
        <v>45028</v>
      </c>
      <c r="B48" s="9">
        <v>45028</v>
      </c>
      <c r="C48" t="s">
        <v>1149</v>
      </c>
      <c r="D48" t="s">
        <v>1148</v>
      </c>
      <c r="E48" s="2">
        <v>155</v>
      </c>
      <c r="F48" s="2">
        <v>0</v>
      </c>
      <c r="G48" s="2">
        <v>114856.5</v>
      </c>
      <c r="I48" s="3">
        <f t="shared" si="0"/>
        <v>0</v>
      </c>
    </row>
    <row r="49" spans="1:9" x14ac:dyDescent="0.3">
      <c r="A49" s="9">
        <v>45028</v>
      </c>
      <c r="B49" s="9">
        <v>45028</v>
      </c>
      <c r="C49" t="s">
        <v>1150</v>
      </c>
      <c r="D49" t="s">
        <v>1148</v>
      </c>
      <c r="E49" s="2">
        <v>148</v>
      </c>
      <c r="F49" s="2">
        <v>0</v>
      </c>
      <c r="G49" s="2">
        <v>114708.5</v>
      </c>
      <c r="I49" s="3">
        <f t="shared" si="0"/>
        <v>0</v>
      </c>
    </row>
    <row r="50" spans="1:9" x14ac:dyDescent="0.3">
      <c r="A50" s="9">
        <v>45029</v>
      </c>
      <c r="B50" s="9">
        <v>45029</v>
      </c>
      <c r="C50" t="s">
        <v>1151</v>
      </c>
      <c r="D50" t="s">
        <v>1152</v>
      </c>
      <c r="E50" s="2">
        <v>80</v>
      </c>
      <c r="F50" s="2">
        <v>0</v>
      </c>
      <c r="G50" s="2">
        <v>114628.5</v>
      </c>
      <c r="I50" s="3">
        <f t="shared" si="0"/>
        <v>0</v>
      </c>
    </row>
    <row r="51" spans="1:9" x14ac:dyDescent="0.3">
      <c r="A51" s="9">
        <v>45031</v>
      </c>
      <c r="B51" s="9">
        <v>45031</v>
      </c>
      <c r="C51" t="s">
        <v>1153</v>
      </c>
      <c r="D51" t="s">
        <v>1154</v>
      </c>
      <c r="E51" s="2">
        <v>1398.95</v>
      </c>
      <c r="F51" s="2">
        <v>0</v>
      </c>
      <c r="G51" s="2">
        <v>113229.55</v>
      </c>
      <c r="I51" s="3">
        <f t="shared" si="0"/>
        <v>0</v>
      </c>
    </row>
    <row r="52" spans="1:9" x14ac:dyDescent="0.3">
      <c r="A52" s="9">
        <v>45031</v>
      </c>
      <c r="B52" s="9">
        <v>45031</v>
      </c>
      <c r="C52" t="s">
        <v>1155</v>
      </c>
      <c r="D52" t="s">
        <v>1154</v>
      </c>
      <c r="E52" s="2">
        <v>110</v>
      </c>
      <c r="F52" s="2">
        <v>0</v>
      </c>
      <c r="G52" s="2">
        <v>113119.55</v>
      </c>
      <c r="I52" s="3">
        <f t="shared" si="0"/>
        <v>0</v>
      </c>
    </row>
    <row r="53" spans="1:9" x14ac:dyDescent="0.3">
      <c r="A53" s="9">
        <v>45031</v>
      </c>
      <c r="B53" s="9">
        <v>45031</v>
      </c>
      <c r="C53" t="s">
        <v>1156</v>
      </c>
      <c r="D53" t="s">
        <v>1154</v>
      </c>
      <c r="E53" s="2">
        <v>50</v>
      </c>
      <c r="F53" s="2">
        <v>0</v>
      </c>
      <c r="G53" s="2">
        <v>113069.55</v>
      </c>
      <c r="I53" s="3">
        <f t="shared" si="0"/>
        <v>0</v>
      </c>
    </row>
    <row r="54" spans="1:9" x14ac:dyDescent="0.3">
      <c r="A54" s="9">
        <v>45031</v>
      </c>
      <c r="B54" s="9">
        <v>45031</v>
      </c>
      <c r="C54" t="s">
        <v>1157</v>
      </c>
      <c r="D54" t="s">
        <v>1154</v>
      </c>
      <c r="E54" s="2">
        <v>220</v>
      </c>
      <c r="F54" s="2">
        <v>0</v>
      </c>
      <c r="G54" s="2">
        <v>112849.55</v>
      </c>
      <c r="I54" s="3">
        <f t="shared" si="0"/>
        <v>0</v>
      </c>
    </row>
    <row r="55" spans="1:9" x14ac:dyDescent="0.3">
      <c r="A55" s="9">
        <v>45032</v>
      </c>
      <c r="B55" s="9">
        <v>45032</v>
      </c>
      <c r="C55" t="s">
        <v>1158</v>
      </c>
      <c r="E55" s="2">
        <v>2000</v>
      </c>
      <c r="F55" s="2">
        <v>0</v>
      </c>
      <c r="G55" s="2">
        <v>110849.55</v>
      </c>
      <c r="I55" s="3">
        <f t="shared" si="0"/>
        <v>0</v>
      </c>
    </row>
    <row r="56" spans="1:9" x14ac:dyDescent="0.3">
      <c r="A56" s="9">
        <v>45033</v>
      </c>
      <c r="B56" s="9">
        <v>45033</v>
      </c>
      <c r="C56" t="s">
        <v>1159</v>
      </c>
      <c r="E56" s="2">
        <v>0</v>
      </c>
      <c r="F56" s="2">
        <v>348.5</v>
      </c>
      <c r="G56" s="2">
        <v>111198.05</v>
      </c>
      <c r="I56" s="3">
        <f t="shared" si="0"/>
        <v>0</v>
      </c>
    </row>
    <row r="57" spans="1:9" x14ac:dyDescent="0.3">
      <c r="A57" s="9">
        <v>45034</v>
      </c>
      <c r="B57" s="9">
        <v>45034</v>
      </c>
      <c r="C57" t="s">
        <v>1160</v>
      </c>
      <c r="D57" t="s">
        <v>1161</v>
      </c>
      <c r="E57" s="2">
        <v>20</v>
      </c>
      <c r="F57" s="2">
        <v>0</v>
      </c>
      <c r="G57" s="2">
        <v>111178.05</v>
      </c>
      <c r="I57" s="3">
        <f t="shared" si="0"/>
        <v>0</v>
      </c>
    </row>
    <row r="58" spans="1:9" x14ac:dyDescent="0.3">
      <c r="A58" s="9">
        <v>45034</v>
      </c>
      <c r="B58" s="9">
        <v>45034</v>
      </c>
      <c r="C58" t="s">
        <v>1162</v>
      </c>
      <c r="D58" t="s">
        <v>1146</v>
      </c>
      <c r="E58" s="2">
        <v>0</v>
      </c>
      <c r="F58" s="2">
        <v>11</v>
      </c>
      <c r="G58" s="2">
        <v>111189.05</v>
      </c>
      <c r="I58" s="3">
        <f t="shared" si="0"/>
        <v>0</v>
      </c>
    </row>
    <row r="59" spans="1:9" x14ac:dyDescent="0.3">
      <c r="A59" s="9">
        <v>45034</v>
      </c>
      <c r="B59" s="9">
        <v>45034</v>
      </c>
      <c r="C59" t="s">
        <v>1163</v>
      </c>
      <c r="D59" t="s">
        <v>1146</v>
      </c>
      <c r="E59" s="2">
        <v>0</v>
      </c>
      <c r="F59" s="2">
        <v>6</v>
      </c>
      <c r="G59" s="2">
        <v>111195.05</v>
      </c>
      <c r="I59" s="3">
        <f t="shared" si="0"/>
        <v>0</v>
      </c>
    </row>
    <row r="60" spans="1:9" x14ac:dyDescent="0.3">
      <c r="A60" s="9">
        <v>45034</v>
      </c>
      <c r="B60" s="9">
        <v>45034</v>
      </c>
      <c r="C60" t="s">
        <v>1164</v>
      </c>
      <c r="D60" t="s">
        <v>1161</v>
      </c>
      <c r="E60" s="2">
        <v>7500</v>
      </c>
      <c r="F60" s="2">
        <v>0</v>
      </c>
      <c r="G60" s="2">
        <v>103695.05</v>
      </c>
      <c r="I60" s="3">
        <f t="shared" si="0"/>
        <v>0</v>
      </c>
    </row>
    <row r="61" spans="1:9" x14ac:dyDescent="0.3">
      <c r="A61" s="9">
        <v>45034</v>
      </c>
      <c r="B61" s="9">
        <v>45034</v>
      </c>
      <c r="C61" t="s">
        <v>1165</v>
      </c>
      <c r="D61" t="s">
        <v>1161</v>
      </c>
      <c r="E61" s="2">
        <v>105</v>
      </c>
      <c r="F61" s="2">
        <v>0</v>
      </c>
      <c r="G61" s="2">
        <v>103590.05</v>
      </c>
      <c r="I61" s="3">
        <f t="shared" si="0"/>
        <v>0</v>
      </c>
    </row>
    <row r="62" spans="1:9" x14ac:dyDescent="0.3">
      <c r="A62" s="9">
        <v>45035</v>
      </c>
      <c r="B62" s="9">
        <v>45035</v>
      </c>
      <c r="C62" t="s">
        <v>1166</v>
      </c>
      <c r="D62" t="s">
        <v>1148</v>
      </c>
      <c r="E62" s="2">
        <v>830</v>
      </c>
      <c r="F62" s="2">
        <v>0</v>
      </c>
      <c r="G62" s="2">
        <v>102760.05</v>
      </c>
      <c r="I62" s="3">
        <f t="shared" si="0"/>
        <v>0</v>
      </c>
    </row>
    <row r="63" spans="1:9" x14ac:dyDescent="0.3">
      <c r="A63" s="9">
        <v>45035</v>
      </c>
      <c r="B63" s="9">
        <v>45035</v>
      </c>
      <c r="C63" t="s">
        <v>1167</v>
      </c>
      <c r="D63" t="s">
        <v>1148</v>
      </c>
      <c r="E63" s="2">
        <v>30</v>
      </c>
      <c r="F63" s="2">
        <v>0</v>
      </c>
      <c r="G63" s="2">
        <v>102730.05</v>
      </c>
      <c r="I63" s="3">
        <f t="shared" si="0"/>
        <v>0</v>
      </c>
    </row>
    <row r="64" spans="1:9" x14ac:dyDescent="0.3">
      <c r="A64" s="9">
        <v>45035</v>
      </c>
      <c r="B64" s="9">
        <v>45035</v>
      </c>
      <c r="C64" t="s">
        <v>1168</v>
      </c>
      <c r="D64" t="s">
        <v>1148</v>
      </c>
      <c r="E64" s="2">
        <v>70</v>
      </c>
      <c r="F64" s="2">
        <v>0</v>
      </c>
      <c r="G64" s="2">
        <v>102660.05</v>
      </c>
      <c r="I64" s="3">
        <f t="shared" si="0"/>
        <v>0</v>
      </c>
    </row>
    <row r="65" spans="1:9" x14ac:dyDescent="0.3">
      <c r="A65" s="9">
        <v>45036</v>
      </c>
      <c r="B65" s="9">
        <v>45036</v>
      </c>
      <c r="C65" t="s">
        <v>1169</v>
      </c>
      <c r="D65" t="s">
        <v>1170</v>
      </c>
      <c r="E65" s="2">
        <v>177</v>
      </c>
      <c r="F65" s="2">
        <v>0</v>
      </c>
      <c r="G65" s="2">
        <v>102483.05</v>
      </c>
      <c r="I65" s="3">
        <f t="shared" si="0"/>
        <v>0</v>
      </c>
    </row>
    <row r="66" spans="1:9" x14ac:dyDescent="0.3">
      <c r="A66" s="9">
        <v>45037</v>
      </c>
      <c r="B66" s="9">
        <v>45037</v>
      </c>
      <c r="C66" t="s">
        <v>1171</v>
      </c>
      <c r="D66" t="s">
        <v>1172</v>
      </c>
      <c r="E66" s="2">
        <v>370.25</v>
      </c>
      <c r="F66" s="2">
        <v>0</v>
      </c>
      <c r="G66" s="2">
        <v>102112.8</v>
      </c>
      <c r="I66" s="3">
        <f t="shared" si="0"/>
        <v>0</v>
      </c>
    </row>
    <row r="67" spans="1:9" x14ac:dyDescent="0.3">
      <c r="A67" s="9">
        <v>45038</v>
      </c>
      <c r="B67" s="9">
        <v>45038</v>
      </c>
      <c r="C67" t="s">
        <v>1173</v>
      </c>
      <c r="D67" t="s">
        <v>1154</v>
      </c>
      <c r="E67" s="2">
        <v>20</v>
      </c>
      <c r="F67" s="2">
        <v>0</v>
      </c>
      <c r="G67" s="2">
        <v>102092.8</v>
      </c>
      <c r="I67" s="3">
        <f t="shared" si="0"/>
        <v>0</v>
      </c>
    </row>
    <row r="68" spans="1:9" x14ac:dyDescent="0.3">
      <c r="A68" s="9">
        <v>45038</v>
      </c>
      <c r="B68" s="9">
        <v>45038</v>
      </c>
      <c r="C68" t="s">
        <v>1174</v>
      </c>
      <c r="D68" t="s">
        <v>1154</v>
      </c>
      <c r="E68" s="2">
        <v>31</v>
      </c>
      <c r="F68" s="2">
        <v>0</v>
      </c>
      <c r="G68" s="2">
        <v>102061.8</v>
      </c>
      <c r="I68" s="3">
        <f t="shared" si="0"/>
        <v>0</v>
      </c>
    </row>
    <row r="69" spans="1:9" x14ac:dyDescent="0.3">
      <c r="A69" s="9">
        <v>45041</v>
      </c>
      <c r="B69" s="9">
        <v>45041</v>
      </c>
      <c r="C69" t="s">
        <v>1175</v>
      </c>
      <c r="D69" t="s">
        <v>1161</v>
      </c>
      <c r="E69" s="2">
        <v>30</v>
      </c>
      <c r="F69" s="2">
        <v>0</v>
      </c>
      <c r="G69" s="2">
        <v>102031.8</v>
      </c>
      <c r="I69" s="3">
        <f t="shared" si="0"/>
        <v>0</v>
      </c>
    </row>
    <row r="70" spans="1:9" x14ac:dyDescent="0.3">
      <c r="A70" s="9">
        <v>45042</v>
      </c>
      <c r="B70" s="9">
        <v>45042</v>
      </c>
      <c r="C70" t="s">
        <v>1176</v>
      </c>
      <c r="D70" t="s">
        <v>1148</v>
      </c>
      <c r="E70" s="2">
        <v>69</v>
      </c>
      <c r="F70" s="2">
        <v>0</v>
      </c>
      <c r="G70" s="2">
        <v>101962.8</v>
      </c>
      <c r="I70" s="3">
        <f t="shared" si="0"/>
        <v>0</v>
      </c>
    </row>
    <row r="71" spans="1:9" x14ac:dyDescent="0.3">
      <c r="A71" s="9">
        <v>45042</v>
      </c>
      <c r="B71" s="9">
        <v>45042</v>
      </c>
      <c r="C71" t="s">
        <v>1177</v>
      </c>
      <c r="D71" t="s">
        <v>1148</v>
      </c>
      <c r="E71" s="2">
        <v>50</v>
      </c>
      <c r="F71" s="2">
        <v>0</v>
      </c>
      <c r="G71" s="2">
        <v>101912.8</v>
      </c>
      <c r="I71" s="3">
        <f t="shared" si="0"/>
        <v>0</v>
      </c>
    </row>
    <row r="72" spans="1:9" x14ac:dyDescent="0.3">
      <c r="A72" s="9">
        <v>45042</v>
      </c>
      <c r="B72" s="9">
        <v>45042</v>
      </c>
      <c r="C72" t="s">
        <v>1178</v>
      </c>
      <c r="D72" t="s">
        <v>1148</v>
      </c>
      <c r="E72" s="2">
        <v>991.82</v>
      </c>
      <c r="F72" s="2">
        <v>0</v>
      </c>
      <c r="G72" s="2">
        <v>100920.98</v>
      </c>
      <c r="I72" s="3">
        <f t="shared" si="0"/>
        <v>0</v>
      </c>
    </row>
    <row r="73" spans="1:9" x14ac:dyDescent="0.3">
      <c r="A73" s="9">
        <v>45043</v>
      </c>
      <c r="B73" s="9">
        <v>45043</v>
      </c>
      <c r="C73" t="s">
        <v>1179</v>
      </c>
      <c r="D73" t="s">
        <v>1152</v>
      </c>
      <c r="E73" s="2">
        <v>278</v>
      </c>
      <c r="F73" s="2">
        <v>0</v>
      </c>
      <c r="G73" s="2">
        <v>100642.98</v>
      </c>
      <c r="I73" s="3">
        <f t="shared" si="0"/>
        <v>0</v>
      </c>
    </row>
    <row r="74" spans="1:9" x14ac:dyDescent="0.3">
      <c r="A74" s="9">
        <v>45043</v>
      </c>
      <c r="B74" s="9">
        <v>45043</v>
      </c>
      <c r="C74" t="s">
        <v>1180</v>
      </c>
      <c r="D74" t="s">
        <v>1181</v>
      </c>
      <c r="E74" s="2">
        <v>0</v>
      </c>
      <c r="F74" s="2">
        <v>100</v>
      </c>
      <c r="G74" s="2">
        <v>100742.98</v>
      </c>
      <c r="I74" s="3">
        <f t="shared" si="0"/>
        <v>0</v>
      </c>
    </row>
    <row r="75" spans="1:9" x14ac:dyDescent="0.3">
      <c r="A75" s="9">
        <v>45043</v>
      </c>
      <c r="B75" s="9">
        <v>45043</v>
      </c>
      <c r="C75" t="s">
        <v>1182</v>
      </c>
      <c r="D75" t="s">
        <v>1152</v>
      </c>
      <c r="E75" s="2">
        <v>100</v>
      </c>
      <c r="F75" s="2">
        <v>0</v>
      </c>
      <c r="G75" s="2">
        <v>100642.98</v>
      </c>
      <c r="I75" s="3">
        <f t="shared" si="0"/>
        <v>0</v>
      </c>
    </row>
    <row r="76" spans="1:9" x14ac:dyDescent="0.3">
      <c r="A76" s="9">
        <v>45044</v>
      </c>
      <c r="B76" s="9">
        <v>45044</v>
      </c>
      <c r="C76" t="s">
        <v>1183</v>
      </c>
      <c r="D76" t="s">
        <v>1184</v>
      </c>
      <c r="E76" s="2">
        <v>0</v>
      </c>
      <c r="F76" s="2">
        <v>670</v>
      </c>
      <c r="G76" s="2">
        <v>101312.98</v>
      </c>
      <c r="I76" s="3">
        <f t="shared" si="0"/>
        <v>0</v>
      </c>
    </row>
    <row r="77" spans="1:9" x14ac:dyDescent="0.3">
      <c r="A77" s="9">
        <v>45044</v>
      </c>
      <c r="B77" s="9">
        <v>45044</v>
      </c>
      <c r="C77" t="s">
        <v>1185</v>
      </c>
      <c r="D77" t="s">
        <v>1172</v>
      </c>
      <c r="E77" s="2">
        <v>108</v>
      </c>
      <c r="F77" s="2">
        <v>0</v>
      </c>
      <c r="G77" s="2">
        <v>101204.98</v>
      </c>
      <c r="I77" s="3">
        <f t="shared" si="0"/>
        <v>0</v>
      </c>
    </row>
    <row r="78" spans="1:9" x14ac:dyDescent="0.3">
      <c r="A78" s="9">
        <v>45044</v>
      </c>
      <c r="B78" s="9">
        <v>45044</v>
      </c>
      <c r="C78" t="s">
        <v>1186</v>
      </c>
      <c r="D78" t="s">
        <v>1172</v>
      </c>
      <c r="E78" s="2">
        <v>256</v>
      </c>
      <c r="F78" s="2">
        <v>0</v>
      </c>
      <c r="G78" s="2">
        <v>100948.98</v>
      </c>
      <c r="I78" s="3">
        <f t="shared" si="0"/>
        <v>0</v>
      </c>
    </row>
    <row r="79" spans="1:9" x14ac:dyDescent="0.3">
      <c r="A79" s="9">
        <v>45044</v>
      </c>
      <c r="B79" s="9">
        <v>45044</v>
      </c>
      <c r="C79" t="s">
        <v>1187</v>
      </c>
      <c r="D79" t="s">
        <v>1172</v>
      </c>
      <c r="E79" s="2">
        <v>45</v>
      </c>
      <c r="F79" s="2">
        <v>0</v>
      </c>
      <c r="G79" s="2">
        <v>100903.98</v>
      </c>
      <c r="I79" s="3">
        <f t="shared" si="0"/>
        <v>0</v>
      </c>
    </row>
    <row r="80" spans="1:9" x14ac:dyDescent="0.3">
      <c r="A80" s="9">
        <v>45045</v>
      </c>
      <c r="B80" s="9">
        <v>45045</v>
      </c>
      <c r="C80" t="s">
        <v>1188</v>
      </c>
      <c r="D80" t="s">
        <v>1154</v>
      </c>
      <c r="E80" s="2">
        <v>840</v>
      </c>
      <c r="F80" s="2">
        <v>0</v>
      </c>
      <c r="G80" s="2">
        <v>100063.98</v>
      </c>
      <c r="I80" s="3">
        <f t="shared" si="0"/>
        <v>0</v>
      </c>
    </row>
    <row r="81" spans="1:9" x14ac:dyDescent="0.3">
      <c r="A81" s="9">
        <v>45046</v>
      </c>
      <c r="B81" s="9">
        <v>45046</v>
      </c>
      <c r="C81" t="s">
        <v>1189</v>
      </c>
      <c r="D81" t="s">
        <v>1143</v>
      </c>
      <c r="E81" s="2">
        <v>90</v>
      </c>
      <c r="F81" s="2">
        <v>0</v>
      </c>
      <c r="G81" s="2">
        <v>99973.98</v>
      </c>
      <c r="I81" s="3">
        <f t="shared" si="0"/>
        <v>0</v>
      </c>
    </row>
    <row r="82" spans="1:9" x14ac:dyDescent="0.3">
      <c r="A82" s="9">
        <v>45047</v>
      </c>
      <c r="B82" s="9">
        <v>45047</v>
      </c>
      <c r="C82" t="s">
        <v>1190</v>
      </c>
      <c r="D82" t="s">
        <v>1191</v>
      </c>
      <c r="E82" s="2">
        <v>90</v>
      </c>
      <c r="F82" s="2">
        <v>0</v>
      </c>
      <c r="G82" s="2">
        <v>99883.98</v>
      </c>
      <c r="I82" s="3">
        <f t="shared" si="0"/>
        <v>0</v>
      </c>
    </row>
    <row r="83" spans="1:9" x14ac:dyDescent="0.3">
      <c r="A83" s="9">
        <v>45050</v>
      </c>
      <c r="B83" s="9">
        <v>45050</v>
      </c>
      <c r="C83" t="s">
        <v>1192</v>
      </c>
      <c r="D83" t="s">
        <v>1152</v>
      </c>
      <c r="E83" s="2">
        <v>574</v>
      </c>
      <c r="F83" s="2">
        <v>0</v>
      </c>
      <c r="G83" s="2">
        <v>99309.98</v>
      </c>
      <c r="I83" s="3">
        <f t="shared" si="0"/>
        <v>0</v>
      </c>
    </row>
    <row r="84" spans="1:9" x14ac:dyDescent="0.3">
      <c r="A84" s="9">
        <v>45051</v>
      </c>
      <c r="B84" s="9">
        <v>45051</v>
      </c>
      <c r="C84" t="s">
        <v>1193</v>
      </c>
      <c r="D84" t="s">
        <v>1172</v>
      </c>
      <c r="E84" s="2">
        <v>260</v>
      </c>
      <c r="F84" s="2">
        <v>0</v>
      </c>
      <c r="G84" s="2">
        <v>99049.98</v>
      </c>
      <c r="I84" s="3">
        <f t="shared" si="0"/>
        <v>0</v>
      </c>
    </row>
    <row r="85" spans="1:9" x14ac:dyDescent="0.3">
      <c r="A85" s="9">
        <v>45052</v>
      </c>
      <c r="B85" s="9">
        <v>45052</v>
      </c>
      <c r="C85" t="s">
        <v>1194</v>
      </c>
      <c r="D85" t="s">
        <v>1154</v>
      </c>
      <c r="E85" s="2">
        <v>152</v>
      </c>
      <c r="F85" s="2">
        <v>0</v>
      </c>
      <c r="G85" s="2">
        <v>98897.98</v>
      </c>
      <c r="I85" s="3">
        <f t="shared" si="0"/>
        <v>0</v>
      </c>
    </row>
    <row r="86" spans="1:9" x14ac:dyDescent="0.3">
      <c r="A86" s="9">
        <v>45053</v>
      </c>
      <c r="B86" s="9">
        <v>45053</v>
      </c>
      <c r="C86" t="s">
        <v>1195</v>
      </c>
      <c r="D86" t="s">
        <v>1143</v>
      </c>
      <c r="E86" s="2">
        <v>160</v>
      </c>
      <c r="F86" s="2">
        <v>0</v>
      </c>
      <c r="G86" s="2">
        <v>98737.98</v>
      </c>
      <c r="I86" s="3">
        <f t="shared" si="0"/>
        <v>0</v>
      </c>
    </row>
    <row r="87" spans="1:9" x14ac:dyDescent="0.3">
      <c r="A87" s="9">
        <v>45053</v>
      </c>
      <c r="B87" s="9">
        <v>45053</v>
      </c>
      <c r="C87" t="s">
        <v>1196</v>
      </c>
      <c r="D87" t="s">
        <v>1143</v>
      </c>
      <c r="E87" s="2">
        <v>20</v>
      </c>
      <c r="F87" s="2">
        <v>0</v>
      </c>
      <c r="G87" s="2">
        <v>98717.98</v>
      </c>
      <c r="I87" s="3">
        <f t="shared" ref="I87:I150" si="1">G86-E87+F87-G87</f>
        <v>0</v>
      </c>
    </row>
    <row r="88" spans="1:9" x14ac:dyDescent="0.3">
      <c r="A88" s="9">
        <v>45053</v>
      </c>
      <c r="B88" s="9">
        <v>45053</v>
      </c>
      <c r="C88" t="s">
        <v>1197</v>
      </c>
      <c r="D88" t="s">
        <v>1143</v>
      </c>
      <c r="E88" s="2">
        <v>160</v>
      </c>
      <c r="F88" s="2">
        <v>0</v>
      </c>
      <c r="G88" s="2">
        <v>98557.98</v>
      </c>
      <c r="I88" s="3">
        <f t="shared" si="1"/>
        <v>0</v>
      </c>
    </row>
    <row r="89" spans="1:9" x14ac:dyDescent="0.3">
      <c r="A89" s="9">
        <v>45053</v>
      </c>
      <c r="B89" s="9">
        <v>45053</v>
      </c>
      <c r="C89" t="s">
        <v>1198</v>
      </c>
      <c r="D89" t="s">
        <v>1143</v>
      </c>
      <c r="E89" s="2">
        <v>8603.99</v>
      </c>
      <c r="F89" s="2">
        <v>0</v>
      </c>
      <c r="G89" s="2">
        <v>89953.99</v>
      </c>
      <c r="I89" s="3">
        <f t="shared" si="1"/>
        <v>0</v>
      </c>
    </row>
    <row r="90" spans="1:9" x14ac:dyDescent="0.3">
      <c r="A90" s="9">
        <v>45054</v>
      </c>
      <c r="B90" s="9">
        <v>45054</v>
      </c>
      <c r="C90" t="s">
        <v>1199</v>
      </c>
      <c r="D90" t="s">
        <v>1191</v>
      </c>
      <c r="E90" s="2">
        <v>8603.99</v>
      </c>
      <c r="F90" s="2">
        <v>0</v>
      </c>
      <c r="G90" s="2">
        <v>81350</v>
      </c>
      <c r="I90" s="3">
        <f t="shared" si="1"/>
        <v>0</v>
      </c>
    </row>
    <row r="91" spans="1:9" x14ac:dyDescent="0.3">
      <c r="A91" s="9">
        <v>45055</v>
      </c>
      <c r="B91" s="9">
        <v>45055</v>
      </c>
      <c r="C91" t="s">
        <v>1200</v>
      </c>
      <c r="D91" t="s">
        <v>1161</v>
      </c>
      <c r="E91" s="2">
        <v>20</v>
      </c>
      <c r="F91" s="2">
        <v>0</v>
      </c>
      <c r="G91" s="2">
        <v>81330</v>
      </c>
      <c r="I91" s="3">
        <f t="shared" si="1"/>
        <v>0</v>
      </c>
    </row>
    <row r="92" spans="1:9" x14ac:dyDescent="0.3">
      <c r="A92" s="9">
        <v>45055</v>
      </c>
      <c r="B92" s="9">
        <v>45055</v>
      </c>
      <c r="C92" t="s">
        <v>1201</v>
      </c>
      <c r="D92" t="s">
        <v>1202</v>
      </c>
      <c r="E92" s="2">
        <v>0</v>
      </c>
      <c r="F92" s="2">
        <v>1</v>
      </c>
      <c r="G92" s="2">
        <v>81331</v>
      </c>
      <c r="I92" s="3">
        <f t="shared" si="1"/>
        <v>0</v>
      </c>
    </row>
    <row r="93" spans="1:9" x14ac:dyDescent="0.3">
      <c r="A93" s="9">
        <v>45055</v>
      </c>
      <c r="B93" s="9">
        <v>45055</v>
      </c>
      <c r="C93" t="s">
        <v>1203</v>
      </c>
      <c r="D93" t="s">
        <v>1161</v>
      </c>
      <c r="E93" s="2">
        <v>673.81</v>
      </c>
      <c r="F93" s="2">
        <v>0</v>
      </c>
      <c r="G93" s="2">
        <v>80657.19</v>
      </c>
      <c r="I93" s="3">
        <f t="shared" si="1"/>
        <v>0</v>
      </c>
    </row>
    <row r="94" spans="1:9" x14ac:dyDescent="0.3">
      <c r="A94" s="9">
        <v>45057</v>
      </c>
      <c r="B94" s="9">
        <v>45057</v>
      </c>
      <c r="C94" t="s">
        <v>1204</v>
      </c>
      <c r="D94" t="s">
        <v>1152</v>
      </c>
      <c r="E94" s="2">
        <v>101.63</v>
      </c>
      <c r="F94" s="2">
        <v>0</v>
      </c>
      <c r="G94" s="2">
        <v>80555.56</v>
      </c>
      <c r="I94" s="3">
        <f t="shared" si="1"/>
        <v>0</v>
      </c>
    </row>
    <row r="95" spans="1:9" x14ac:dyDescent="0.3">
      <c r="A95" s="9">
        <v>45059</v>
      </c>
      <c r="B95" s="9">
        <v>45059</v>
      </c>
      <c r="C95" t="s">
        <v>1205</v>
      </c>
      <c r="D95" t="s">
        <v>1154</v>
      </c>
      <c r="E95" s="2">
        <v>240</v>
      </c>
      <c r="F95" s="2">
        <v>0</v>
      </c>
      <c r="G95" s="2">
        <v>80315.56</v>
      </c>
      <c r="I95" s="3">
        <f t="shared" si="1"/>
        <v>0</v>
      </c>
    </row>
    <row r="96" spans="1:9" x14ac:dyDescent="0.3">
      <c r="A96" s="9">
        <v>45059</v>
      </c>
      <c r="B96" s="9">
        <v>45059</v>
      </c>
      <c r="C96" t="s">
        <v>1206</v>
      </c>
      <c r="D96" t="s">
        <v>1154</v>
      </c>
      <c r="E96" s="2">
        <v>60</v>
      </c>
      <c r="F96" s="2">
        <v>0</v>
      </c>
      <c r="G96" s="2">
        <v>80255.56</v>
      </c>
      <c r="I96" s="3">
        <f t="shared" si="1"/>
        <v>0</v>
      </c>
    </row>
    <row r="97" spans="1:9" x14ac:dyDescent="0.3">
      <c r="A97" s="9">
        <v>45060</v>
      </c>
      <c r="B97" s="9">
        <v>45060</v>
      </c>
      <c r="C97" t="s">
        <v>1207</v>
      </c>
      <c r="D97" t="s">
        <v>1208</v>
      </c>
      <c r="E97" s="2">
        <v>0</v>
      </c>
      <c r="F97" s="2">
        <v>8603.99</v>
      </c>
      <c r="G97" s="2">
        <v>88859.55</v>
      </c>
      <c r="I97" s="3">
        <f t="shared" si="1"/>
        <v>0</v>
      </c>
    </row>
    <row r="98" spans="1:9" x14ac:dyDescent="0.3">
      <c r="A98" s="9">
        <v>45061</v>
      </c>
      <c r="B98" s="9">
        <v>45061</v>
      </c>
      <c r="C98" t="s">
        <v>1209</v>
      </c>
      <c r="D98" t="s">
        <v>1191</v>
      </c>
      <c r="E98" s="2">
        <v>70</v>
      </c>
      <c r="F98" s="2">
        <v>0</v>
      </c>
      <c r="G98" s="2">
        <v>88789.55</v>
      </c>
      <c r="I98" s="3">
        <f t="shared" si="1"/>
        <v>0</v>
      </c>
    </row>
    <row r="99" spans="1:9" x14ac:dyDescent="0.3">
      <c r="A99" s="9">
        <v>45062</v>
      </c>
      <c r="B99" s="9">
        <v>45062</v>
      </c>
      <c r="C99" t="s">
        <v>1210</v>
      </c>
      <c r="D99" t="s">
        <v>1146</v>
      </c>
      <c r="E99" s="2">
        <v>0</v>
      </c>
      <c r="F99" s="2">
        <v>100</v>
      </c>
      <c r="G99" s="2">
        <v>88889.55</v>
      </c>
      <c r="I99" s="3">
        <f t="shared" si="1"/>
        <v>0</v>
      </c>
    </row>
    <row r="100" spans="1:9" x14ac:dyDescent="0.3">
      <c r="A100" s="9">
        <v>45062</v>
      </c>
      <c r="B100" s="9">
        <v>45062</v>
      </c>
      <c r="C100" t="s">
        <v>1211</v>
      </c>
      <c r="D100" t="s">
        <v>1161</v>
      </c>
      <c r="E100" s="2">
        <v>537</v>
      </c>
      <c r="F100" s="2">
        <v>0</v>
      </c>
      <c r="G100" s="2">
        <v>88352.55</v>
      </c>
      <c r="I100" s="3">
        <f t="shared" si="1"/>
        <v>0</v>
      </c>
    </row>
    <row r="101" spans="1:9" x14ac:dyDescent="0.3">
      <c r="A101" s="9">
        <v>45063</v>
      </c>
      <c r="B101" s="9">
        <v>45063</v>
      </c>
      <c r="C101" t="s">
        <v>1212</v>
      </c>
      <c r="D101" t="s">
        <v>1213</v>
      </c>
      <c r="E101" s="2">
        <v>0</v>
      </c>
      <c r="F101" s="2">
        <v>250</v>
      </c>
      <c r="G101" s="2">
        <v>88602.55</v>
      </c>
      <c r="I101" s="3">
        <f t="shared" si="1"/>
        <v>0</v>
      </c>
    </row>
    <row r="102" spans="1:9" x14ac:dyDescent="0.3">
      <c r="A102" s="9">
        <v>45063</v>
      </c>
      <c r="B102" s="9">
        <v>45063</v>
      </c>
      <c r="C102" t="s">
        <v>1214</v>
      </c>
      <c r="D102" t="s">
        <v>1148</v>
      </c>
      <c r="E102" s="2">
        <v>140</v>
      </c>
      <c r="F102" s="2">
        <v>0</v>
      </c>
      <c r="G102" s="2">
        <v>88462.55</v>
      </c>
      <c r="I102" s="3">
        <f t="shared" si="1"/>
        <v>0</v>
      </c>
    </row>
    <row r="103" spans="1:9" x14ac:dyDescent="0.3">
      <c r="A103" s="9">
        <v>45064</v>
      </c>
      <c r="B103" s="9">
        <v>45064</v>
      </c>
      <c r="C103" t="s">
        <v>1215</v>
      </c>
      <c r="D103" t="s">
        <v>1152</v>
      </c>
      <c r="E103" s="2">
        <v>35</v>
      </c>
      <c r="F103" s="2">
        <v>0</v>
      </c>
      <c r="G103" s="2">
        <v>88427.55</v>
      </c>
      <c r="I103" s="3">
        <f t="shared" si="1"/>
        <v>0</v>
      </c>
    </row>
    <row r="104" spans="1:9" x14ac:dyDescent="0.3">
      <c r="A104" s="9">
        <v>45064</v>
      </c>
      <c r="B104" s="9">
        <v>45064</v>
      </c>
      <c r="C104" t="s">
        <v>1216</v>
      </c>
      <c r="E104" s="2">
        <v>0</v>
      </c>
      <c r="F104" s="2">
        <v>30</v>
      </c>
      <c r="G104" s="2">
        <v>88457.55</v>
      </c>
      <c r="I104" s="3">
        <f t="shared" si="1"/>
        <v>0</v>
      </c>
    </row>
    <row r="105" spans="1:9" x14ac:dyDescent="0.3">
      <c r="A105" s="9">
        <v>45064</v>
      </c>
      <c r="B105" s="9">
        <v>45064</v>
      </c>
      <c r="C105" t="s">
        <v>1217</v>
      </c>
      <c r="D105" t="s">
        <v>1152</v>
      </c>
      <c r="E105" s="2">
        <v>325</v>
      </c>
      <c r="F105" s="2">
        <v>0</v>
      </c>
      <c r="G105" s="2">
        <v>88132.55</v>
      </c>
      <c r="I105" s="3">
        <f t="shared" si="1"/>
        <v>0</v>
      </c>
    </row>
    <row r="106" spans="1:9" x14ac:dyDescent="0.3">
      <c r="A106" s="9">
        <v>45065</v>
      </c>
      <c r="B106" s="9">
        <v>45065</v>
      </c>
      <c r="C106" t="s">
        <v>1218</v>
      </c>
      <c r="D106" t="s">
        <v>1172</v>
      </c>
      <c r="E106" s="2">
        <v>549</v>
      </c>
      <c r="F106" s="2">
        <v>0</v>
      </c>
      <c r="G106" s="2">
        <v>87583.55</v>
      </c>
      <c r="I106" s="3">
        <f t="shared" si="1"/>
        <v>0</v>
      </c>
    </row>
    <row r="107" spans="1:9" x14ac:dyDescent="0.3">
      <c r="A107" s="9">
        <v>45066</v>
      </c>
      <c r="B107" s="9">
        <v>45066</v>
      </c>
      <c r="C107" t="s">
        <v>1219</v>
      </c>
      <c r="D107" t="s">
        <v>1154</v>
      </c>
      <c r="E107" s="2">
        <v>129</v>
      </c>
      <c r="F107" s="2">
        <v>0</v>
      </c>
      <c r="G107" s="2">
        <v>87454.55</v>
      </c>
      <c r="I107" s="3">
        <f t="shared" si="1"/>
        <v>0</v>
      </c>
    </row>
    <row r="108" spans="1:9" x14ac:dyDescent="0.3">
      <c r="A108" s="9">
        <v>45066</v>
      </c>
      <c r="B108" s="9">
        <v>45066</v>
      </c>
      <c r="C108" t="s">
        <v>1220</v>
      </c>
      <c r="D108" t="s">
        <v>1154</v>
      </c>
      <c r="E108" s="2">
        <v>142.15</v>
      </c>
      <c r="F108" s="2">
        <v>0</v>
      </c>
      <c r="G108" s="2">
        <v>87312.4</v>
      </c>
      <c r="I108" s="3">
        <f t="shared" si="1"/>
        <v>0</v>
      </c>
    </row>
    <row r="109" spans="1:9" x14ac:dyDescent="0.3">
      <c r="A109" s="9">
        <v>45066</v>
      </c>
      <c r="B109" s="9">
        <v>45066</v>
      </c>
      <c r="C109" t="s">
        <v>1221</v>
      </c>
      <c r="D109" t="s">
        <v>1154</v>
      </c>
      <c r="E109" s="2">
        <v>832.67</v>
      </c>
      <c r="F109" s="2">
        <v>0</v>
      </c>
      <c r="G109" s="2">
        <v>86479.73</v>
      </c>
      <c r="I109" s="3">
        <f t="shared" si="1"/>
        <v>0</v>
      </c>
    </row>
    <row r="110" spans="1:9" x14ac:dyDescent="0.3">
      <c r="A110" s="9">
        <v>45066</v>
      </c>
      <c r="B110" s="9">
        <v>45066</v>
      </c>
      <c r="C110" t="s">
        <v>1222</v>
      </c>
      <c r="D110" t="s">
        <v>1223</v>
      </c>
      <c r="E110" s="2">
        <v>0</v>
      </c>
      <c r="F110" s="2">
        <v>287</v>
      </c>
      <c r="G110" s="2">
        <v>86766.73</v>
      </c>
      <c r="I110" s="3">
        <f t="shared" si="1"/>
        <v>0</v>
      </c>
    </row>
    <row r="111" spans="1:9" x14ac:dyDescent="0.3">
      <c r="A111" s="9">
        <v>45067</v>
      </c>
      <c r="B111" s="9">
        <v>45067</v>
      </c>
      <c r="C111" t="s">
        <v>1224</v>
      </c>
      <c r="D111" t="s">
        <v>1143</v>
      </c>
      <c r="E111" s="2">
        <v>209.47</v>
      </c>
      <c r="F111" s="2">
        <v>0</v>
      </c>
      <c r="G111" s="2">
        <v>86557.26</v>
      </c>
      <c r="I111" s="3">
        <f t="shared" si="1"/>
        <v>0</v>
      </c>
    </row>
    <row r="112" spans="1:9" x14ac:dyDescent="0.3">
      <c r="A112" s="9">
        <v>45068</v>
      </c>
      <c r="B112" s="9">
        <v>45068</v>
      </c>
      <c r="C112" t="s">
        <v>1225</v>
      </c>
      <c r="D112" t="s">
        <v>1191</v>
      </c>
      <c r="E112" s="2">
        <v>91</v>
      </c>
      <c r="F112" s="2">
        <v>0</v>
      </c>
      <c r="G112" s="2">
        <v>86466.26</v>
      </c>
      <c r="I112" s="3">
        <f t="shared" si="1"/>
        <v>0</v>
      </c>
    </row>
    <row r="113" spans="1:9" x14ac:dyDescent="0.3">
      <c r="A113" s="9">
        <v>45071</v>
      </c>
      <c r="B113" s="9">
        <v>45071</v>
      </c>
      <c r="C113" t="s">
        <v>1226</v>
      </c>
      <c r="D113" t="s">
        <v>1152</v>
      </c>
      <c r="E113" s="2">
        <v>105</v>
      </c>
      <c r="F113" s="2">
        <v>0</v>
      </c>
      <c r="G113" s="2">
        <v>86361.26</v>
      </c>
      <c r="I113" s="3">
        <f t="shared" si="1"/>
        <v>0</v>
      </c>
    </row>
    <row r="114" spans="1:9" x14ac:dyDescent="0.3">
      <c r="A114" s="9">
        <v>45074</v>
      </c>
      <c r="B114" s="9">
        <v>45074</v>
      </c>
      <c r="C114" t="s">
        <v>1227</v>
      </c>
      <c r="D114" t="s">
        <v>1143</v>
      </c>
      <c r="E114" s="2">
        <v>70</v>
      </c>
      <c r="F114" s="2">
        <v>0</v>
      </c>
      <c r="G114" s="2">
        <v>86291.26</v>
      </c>
      <c r="I114" s="3">
        <f t="shared" si="1"/>
        <v>0</v>
      </c>
    </row>
    <row r="115" spans="1:9" x14ac:dyDescent="0.3">
      <c r="A115" s="9">
        <v>45075</v>
      </c>
      <c r="B115" s="9">
        <v>45075</v>
      </c>
      <c r="C115" t="s">
        <v>1228</v>
      </c>
      <c r="D115" t="s">
        <v>1229</v>
      </c>
      <c r="E115" s="2">
        <v>0</v>
      </c>
      <c r="F115" s="2">
        <v>36042.33</v>
      </c>
      <c r="G115" s="2">
        <v>122333.59</v>
      </c>
      <c r="I115" s="3">
        <f t="shared" si="1"/>
        <v>0</v>
      </c>
    </row>
    <row r="116" spans="1:9" x14ac:dyDescent="0.3">
      <c r="A116" s="9">
        <v>45075</v>
      </c>
      <c r="B116" s="9">
        <v>45075</v>
      </c>
      <c r="C116" t="s">
        <v>1230</v>
      </c>
      <c r="D116" t="s">
        <v>1191</v>
      </c>
      <c r="E116" s="2">
        <v>40</v>
      </c>
      <c r="F116" s="2">
        <v>0</v>
      </c>
      <c r="G116" s="2">
        <v>122293.59</v>
      </c>
      <c r="I116" s="3">
        <f t="shared" si="1"/>
        <v>0</v>
      </c>
    </row>
    <row r="117" spans="1:9" x14ac:dyDescent="0.3">
      <c r="A117" s="9">
        <v>45075</v>
      </c>
      <c r="B117" s="9">
        <v>45075</v>
      </c>
      <c r="C117" t="s">
        <v>1231</v>
      </c>
      <c r="D117" t="s">
        <v>1191</v>
      </c>
      <c r="E117" s="2">
        <v>60</v>
      </c>
      <c r="F117" s="2">
        <v>0</v>
      </c>
      <c r="G117" s="2">
        <v>122233.59</v>
      </c>
      <c r="I117" s="3">
        <f t="shared" si="1"/>
        <v>0</v>
      </c>
    </row>
    <row r="118" spans="1:9" x14ac:dyDescent="0.3">
      <c r="A118" s="9">
        <v>45076</v>
      </c>
      <c r="B118" s="9">
        <v>45076</v>
      </c>
      <c r="C118" t="s">
        <v>1232</v>
      </c>
      <c r="D118" t="s">
        <v>1161</v>
      </c>
      <c r="E118" s="2">
        <v>10000</v>
      </c>
      <c r="F118" s="2">
        <v>0</v>
      </c>
      <c r="G118" s="2">
        <v>112233.59</v>
      </c>
      <c r="I118" s="3">
        <f t="shared" si="1"/>
        <v>0</v>
      </c>
    </row>
    <row r="119" spans="1:9" x14ac:dyDescent="0.3">
      <c r="A119" s="9">
        <v>45076</v>
      </c>
      <c r="B119" s="9">
        <v>45076</v>
      </c>
      <c r="C119" t="s">
        <v>1233</v>
      </c>
      <c r="D119" t="s">
        <v>1161</v>
      </c>
      <c r="E119" s="2">
        <v>2513.6</v>
      </c>
      <c r="F119" s="2">
        <v>0</v>
      </c>
      <c r="G119" s="2">
        <v>109719.99</v>
      </c>
      <c r="I119" s="3">
        <f t="shared" si="1"/>
        <v>0</v>
      </c>
    </row>
    <row r="120" spans="1:9" x14ac:dyDescent="0.3">
      <c r="A120" s="9">
        <v>45076</v>
      </c>
      <c r="B120" s="9">
        <v>45076</v>
      </c>
      <c r="C120" t="s">
        <v>1234</v>
      </c>
      <c r="D120" t="s">
        <v>1161</v>
      </c>
      <c r="E120" s="2">
        <v>4964.3</v>
      </c>
      <c r="F120" s="2">
        <v>0</v>
      </c>
      <c r="G120" s="2">
        <v>104755.69</v>
      </c>
      <c r="I120" s="3">
        <f t="shared" si="1"/>
        <v>0</v>
      </c>
    </row>
    <row r="121" spans="1:9" x14ac:dyDescent="0.3">
      <c r="A121" s="9">
        <v>45076</v>
      </c>
      <c r="B121" s="9">
        <v>45076</v>
      </c>
      <c r="C121" t="s">
        <v>1235</v>
      </c>
      <c r="D121" t="s">
        <v>1161</v>
      </c>
      <c r="E121" s="2">
        <v>1758.95</v>
      </c>
      <c r="F121" s="2">
        <v>0</v>
      </c>
      <c r="G121" s="2">
        <v>102996.74</v>
      </c>
      <c r="I121" s="3">
        <f t="shared" si="1"/>
        <v>0</v>
      </c>
    </row>
    <row r="122" spans="1:9" x14ac:dyDescent="0.3">
      <c r="A122" s="9">
        <v>45076</v>
      </c>
      <c r="B122" s="9">
        <v>45076</v>
      </c>
      <c r="C122" t="s">
        <v>1236</v>
      </c>
      <c r="D122" t="s">
        <v>1161</v>
      </c>
      <c r="E122" s="2">
        <v>187.15</v>
      </c>
      <c r="F122" s="2">
        <v>0</v>
      </c>
      <c r="G122" s="2">
        <v>102809.59</v>
      </c>
      <c r="I122" s="3">
        <f t="shared" si="1"/>
        <v>0</v>
      </c>
    </row>
    <row r="123" spans="1:9" x14ac:dyDescent="0.3">
      <c r="A123" s="9">
        <v>45077</v>
      </c>
      <c r="B123" s="9">
        <v>45077</v>
      </c>
      <c r="C123" t="s">
        <v>1237</v>
      </c>
      <c r="D123" t="s">
        <v>1148</v>
      </c>
      <c r="E123" s="2">
        <v>65</v>
      </c>
      <c r="F123" s="2">
        <v>0</v>
      </c>
      <c r="G123" s="2">
        <v>102744.59</v>
      </c>
      <c r="I123" s="3">
        <f t="shared" si="1"/>
        <v>0</v>
      </c>
    </row>
    <row r="124" spans="1:9" x14ac:dyDescent="0.3">
      <c r="A124" s="9">
        <v>45078</v>
      </c>
      <c r="B124" s="9">
        <v>45078</v>
      </c>
      <c r="C124" t="s">
        <v>1238</v>
      </c>
      <c r="D124" t="s">
        <v>1152</v>
      </c>
      <c r="E124" s="2">
        <v>70</v>
      </c>
      <c r="F124" s="2">
        <v>0</v>
      </c>
      <c r="G124" s="2">
        <v>102674.59</v>
      </c>
      <c r="I124" s="3">
        <f t="shared" si="1"/>
        <v>0</v>
      </c>
    </row>
    <row r="125" spans="1:9" x14ac:dyDescent="0.3">
      <c r="A125" s="9">
        <v>45078</v>
      </c>
      <c r="B125" s="9">
        <v>45078</v>
      </c>
      <c r="C125" t="s">
        <v>1239</v>
      </c>
      <c r="D125" t="s">
        <v>1172</v>
      </c>
      <c r="E125" s="2">
        <v>126</v>
      </c>
      <c r="F125" s="2">
        <v>0</v>
      </c>
      <c r="G125" s="2">
        <v>102548.59</v>
      </c>
      <c r="I125" s="3">
        <f t="shared" si="1"/>
        <v>0</v>
      </c>
    </row>
    <row r="126" spans="1:9" x14ac:dyDescent="0.3">
      <c r="A126" s="9">
        <v>45080</v>
      </c>
      <c r="B126" s="9">
        <v>45080</v>
      </c>
      <c r="C126" t="s">
        <v>1240</v>
      </c>
      <c r="D126" t="s">
        <v>1223</v>
      </c>
      <c r="E126" s="2">
        <v>0</v>
      </c>
      <c r="F126" s="2">
        <v>2425</v>
      </c>
      <c r="G126" s="2">
        <v>104973.59</v>
      </c>
      <c r="I126" s="3">
        <f t="shared" si="1"/>
        <v>0</v>
      </c>
    </row>
    <row r="127" spans="1:9" x14ac:dyDescent="0.3">
      <c r="A127" s="9">
        <v>45081</v>
      </c>
      <c r="B127" s="9">
        <v>45081</v>
      </c>
      <c r="C127" t="s">
        <v>1241</v>
      </c>
      <c r="D127" t="s">
        <v>1143</v>
      </c>
      <c r="E127" s="2">
        <v>60</v>
      </c>
      <c r="F127" s="2">
        <v>0</v>
      </c>
      <c r="G127" s="2">
        <v>104913.59</v>
      </c>
      <c r="I127" s="3">
        <f t="shared" si="1"/>
        <v>0</v>
      </c>
    </row>
    <row r="128" spans="1:9" x14ac:dyDescent="0.3">
      <c r="A128" s="9">
        <v>45082</v>
      </c>
      <c r="B128" s="9">
        <v>45082</v>
      </c>
      <c r="C128" t="s">
        <v>1242</v>
      </c>
      <c r="D128" t="s">
        <v>1191</v>
      </c>
      <c r="E128" s="2">
        <v>20</v>
      </c>
      <c r="F128" s="2">
        <v>0</v>
      </c>
      <c r="G128" s="2">
        <v>104893.59</v>
      </c>
      <c r="I128" s="3">
        <f t="shared" si="1"/>
        <v>0</v>
      </c>
    </row>
    <row r="129" spans="1:9" x14ac:dyDescent="0.3">
      <c r="A129" s="9">
        <v>45082</v>
      </c>
      <c r="B129" s="9">
        <v>45082</v>
      </c>
      <c r="C129" t="s">
        <v>1243</v>
      </c>
      <c r="D129" t="s">
        <v>1161</v>
      </c>
      <c r="E129" s="2">
        <v>20</v>
      </c>
      <c r="F129" s="2">
        <v>0</v>
      </c>
      <c r="G129" s="2">
        <v>104873.59</v>
      </c>
      <c r="I129" s="3">
        <f t="shared" si="1"/>
        <v>0</v>
      </c>
    </row>
    <row r="130" spans="1:9" x14ac:dyDescent="0.3">
      <c r="A130" s="9">
        <v>45083</v>
      </c>
      <c r="B130" s="9">
        <v>45083</v>
      </c>
      <c r="C130" t="s">
        <v>1244</v>
      </c>
      <c r="D130" t="s">
        <v>1161</v>
      </c>
      <c r="E130" s="2">
        <v>50</v>
      </c>
      <c r="F130" s="2">
        <v>0</v>
      </c>
      <c r="G130" s="2">
        <v>104823.59</v>
      </c>
      <c r="I130" s="3">
        <f t="shared" si="1"/>
        <v>0</v>
      </c>
    </row>
    <row r="131" spans="1:9" x14ac:dyDescent="0.3">
      <c r="A131" s="9">
        <v>45084</v>
      </c>
      <c r="B131" s="9">
        <v>45084</v>
      </c>
      <c r="C131" t="s">
        <v>1245</v>
      </c>
      <c r="D131" t="s">
        <v>1148</v>
      </c>
      <c r="E131" s="2">
        <v>50</v>
      </c>
      <c r="F131" s="2">
        <v>0</v>
      </c>
      <c r="G131" s="2">
        <v>104773.59</v>
      </c>
      <c r="I131" s="3">
        <f t="shared" si="1"/>
        <v>0</v>
      </c>
    </row>
    <row r="132" spans="1:9" x14ac:dyDescent="0.3">
      <c r="A132" s="9">
        <v>45085</v>
      </c>
      <c r="B132" s="9">
        <v>45085</v>
      </c>
      <c r="C132" t="s">
        <v>1246</v>
      </c>
      <c r="D132" t="s">
        <v>1247</v>
      </c>
      <c r="E132" s="2">
        <v>0</v>
      </c>
      <c r="F132" s="2">
        <v>122.23</v>
      </c>
      <c r="G132" s="2">
        <v>104895.82</v>
      </c>
      <c r="I132" s="3">
        <f t="shared" si="1"/>
        <v>0</v>
      </c>
    </row>
    <row r="133" spans="1:9" x14ac:dyDescent="0.3">
      <c r="A133" s="9">
        <v>45085</v>
      </c>
      <c r="B133" s="9">
        <v>45085</v>
      </c>
      <c r="C133" t="s">
        <v>1248</v>
      </c>
      <c r="D133" t="s">
        <v>1152</v>
      </c>
      <c r="E133" s="2">
        <v>552.96</v>
      </c>
      <c r="F133" s="2">
        <v>0</v>
      </c>
      <c r="G133" s="2">
        <v>104342.86</v>
      </c>
      <c r="I133" s="3">
        <f t="shared" si="1"/>
        <v>0</v>
      </c>
    </row>
    <row r="134" spans="1:9" x14ac:dyDescent="0.3">
      <c r="A134" s="9">
        <v>45085</v>
      </c>
      <c r="B134" s="9">
        <v>45085</v>
      </c>
      <c r="C134" t="s">
        <v>1249</v>
      </c>
      <c r="D134" t="s">
        <v>1181</v>
      </c>
      <c r="E134" s="2">
        <v>0</v>
      </c>
      <c r="F134" s="2">
        <v>184</v>
      </c>
      <c r="G134" s="2">
        <v>104526.86</v>
      </c>
      <c r="I134" s="3">
        <f t="shared" si="1"/>
        <v>0</v>
      </c>
    </row>
    <row r="135" spans="1:9" x14ac:dyDescent="0.3">
      <c r="A135" s="9">
        <v>45085</v>
      </c>
      <c r="B135" s="9">
        <v>45085</v>
      </c>
      <c r="C135" t="s">
        <v>1250</v>
      </c>
      <c r="D135" t="s">
        <v>1184</v>
      </c>
      <c r="E135" s="2">
        <v>0</v>
      </c>
      <c r="F135" s="2">
        <v>185</v>
      </c>
      <c r="G135" s="2">
        <v>104711.86</v>
      </c>
      <c r="I135" s="3">
        <f t="shared" si="1"/>
        <v>0</v>
      </c>
    </row>
    <row r="136" spans="1:9" x14ac:dyDescent="0.3">
      <c r="A136" s="9">
        <v>45086</v>
      </c>
      <c r="B136" s="9">
        <v>45086</v>
      </c>
      <c r="C136" t="s">
        <v>1251</v>
      </c>
      <c r="D136" t="s">
        <v>1172</v>
      </c>
      <c r="E136" s="2">
        <v>50</v>
      </c>
      <c r="F136" s="2">
        <v>0</v>
      </c>
      <c r="G136" s="2">
        <v>104661.86</v>
      </c>
      <c r="I136" s="3">
        <f t="shared" si="1"/>
        <v>0</v>
      </c>
    </row>
    <row r="137" spans="1:9" x14ac:dyDescent="0.3">
      <c r="A137" s="9">
        <v>45086</v>
      </c>
      <c r="B137" s="9">
        <v>45086</v>
      </c>
      <c r="C137" t="s">
        <v>1252</v>
      </c>
      <c r="D137" t="s">
        <v>1184</v>
      </c>
      <c r="E137" s="2">
        <v>0</v>
      </c>
      <c r="F137" s="2">
        <v>40</v>
      </c>
      <c r="G137" s="2">
        <v>104701.86</v>
      </c>
      <c r="I137" s="3">
        <f t="shared" si="1"/>
        <v>0</v>
      </c>
    </row>
    <row r="138" spans="1:9" x14ac:dyDescent="0.3">
      <c r="A138" s="9">
        <v>45086</v>
      </c>
      <c r="B138" s="9">
        <v>45086</v>
      </c>
      <c r="C138" t="s">
        <v>1253</v>
      </c>
      <c r="D138" t="s">
        <v>1172</v>
      </c>
      <c r="E138" s="2">
        <v>80</v>
      </c>
      <c r="F138" s="2">
        <v>0</v>
      </c>
      <c r="G138" s="2">
        <v>104621.86</v>
      </c>
      <c r="I138" s="3">
        <f t="shared" si="1"/>
        <v>0</v>
      </c>
    </row>
    <row r="139" spans="1:9" x14ac:dyDescent="0.3">
      <c r="A139" s="9">
        <v>45087</v>
      </c>
      <c r="B139" s="9">
        <v>45087</v>
      </c>
      <c r="C139" t="s">
        <v>1254</v>
      </c>
      <c r="D139" t="s">
        <v>1154</v>
      </c>
      <c r="E139" s="2">
        <v>90</v>
      </c>
      <c r="F139" s="2">
        <v>0</v>
      </c>
      <c r="G139" s="2">
        <v>104531.86</v>
      </c>
      <c r="I139" s="3">
        <f t="shared" si="1"/>
        <v>0</v>
      </c>
    </row>
    <row r="140" spans="1:9" x14ac:dyDescent="0.3">
      <c r="A140" s="9">
        <v>45088</v>
      </c>
      <c r="B140" s="9">
        <v>45088</v>
      </c>
      <c r="C140" t="s">
        <v>1255</v>
      </c>
      <c r="D140" t="s">
        <v>1143</v>
      </c>
      <c r="E140" s="2">
        <v>80</v>
      </c>
      <c r="F140" s="2">
        <v>0</v>
      </c>
      <c r="G140" s="2">
        <v>104451.86</v>
      </c>
      <c r="I140" s="3">
        <f t="shared" si="1"/>
        <v>0</v>
      </c>
    </row>
    <row r="141" spans="1:9" x14ac:dyDescent="0.3">
      <c r="A141" s="9">
        <v>45088</v>
      </c>
      <c r="B141" s="9">
        <v>45088</v>
      </c>
      <c r="C141" t="s">
        <v>1256</v>
      </c>
      <c r="D141" t="s">
        <v>1208</v>
      </c>
      <c r="E141" s="2">
        <v>0</v>
      </c>
      <c r="F141" s="2">
        <v>80</v>
      </c>
      <c r="G141" s="2">
        <v>104531.86</v>
      </c>
      <c r="I141" s="3">
        <f t="shared" si="1"/>
        <v>0</v>
      </c>
    </row>
    <row r="142" spans="1:9" x14ac:dyDescent="0.3">
      <c r="A142" s="9">
        <v>45088</v>
      </c>
      <c r="B142" s="9">
        <v>45088</v>
      </c>
      <c r="C142" t="s">
        <v>1257</v>
      </c>
      <c r="D142" t="s">
        <v>1143</v>
      </c>
      <c r="E142" s="2">
        <v>110</v>
      </c>
      <c r="F142" s="2">
        <v>0</v>
      </c>
      <c r="G142" s="2">
        <v>104421.86</v>
      </c>
      <c r="I142" s="3">
        <f t="shared" si="1"/>
        <v>0</v>
      </c>
    </row>
    <row r="143" spans="1:9" x14ac:dyDescent="0.3">
      <c r="A143" s="9">
        <v>45089</v>
      </c>
      <c r="B143" s="9">
        <v>45089</v>
      </c>
      <c r="C143" t="s">
        <v>1258</v>
      </c>
      <c r="E143" s="2">
        <v>0</v>
      </c>
      <c r="F143" s="2">
        <v>573.5</v>
      </c>
      <c r="G143" s="2">
        <v>104995.36</v>
      </c>
      <c r="I143" s="3">
        <f t="shared" si="1"/>
        <v>0</v>
      </c>
    </row>
    <row r="144" spans="1:9" x14ac:dyDescent="0.3">
      <c r="A144" s="9">
        <v>45089</v>
      </c>
      <c r="B144" s="9">
        <v>45089</v>
      </c>
      <c r="C144" t="s">
        <v>1259</v>
      </c>
      <c r="D144" t="s">
        <v>1161</v>
      </c>
      <c r="E144" s="2">
        <v>40</v>
      </c>
      <c r="F144" s="2">
        <v>0</v>
      </c>
      <c r="G144" s="2">
        <v>104955.36</v>
      </c>
      <c r="I144" s="3">
        <f t="shared" si="1"/>
        <v>0</v>
      </c>
    </row>
    <row r="145" spans="1:9" x14ac:dyDescent="0.3">
      <c r="A145" s="9">
        <v>45089</v>
      </c>
      <c r="B145" s="9">
        <v>45089</v>
      </c>
      <c r="C145" t="s">
        <v>1260</v>
      </c>
      <c r="D145" t="s">
        <v>1146</v>
      </c>
      <c r="E145" s="2">
        <v>0</v>
      </c>
      <c r="F145" s="2">
        <v>40</v>
      </c>
      <c r="G145" s="2">
        <v>104995.36</v>
      </c>
      <c r="I145" s="3">
        <f t="shared" si="1"/>
        <v>0</v>
      </c>
    </row>
    <row r="146" spans="1:9" x14ac:dyDescent="0.3">
      <c r="A146" s="9">
        <v>45089</v>
      </c>
      <c r="B146" s="9">
        <v>45089</v>
      </c>
      <c r="C146" t="s">
        <v>1261</v>
      </c>
      <c r="D146" t="s">
        <v>1161</v>
      </c>
      <c r="E146" s="2">
        <v>30</v>
      </c>
      <c r="F146" s="2">
        <v>0</v>
      </c>
      <c r="G146" s="2">
        <v>104965.36</v>
      </c>
      <c r="I146" s="3">
        <f t="shared" si="1"/>
        <v>0</v>
      </c>
    </row>
    <row r="147" spans="1:9" x14ac:dyDescent="0.3">
      <c r="A147" s="9">
        <v>45090</v>
      </c>
      <c r="B147" s="9">
        <v>45090</v>
      </c>
      <c r="C147" t="s">
        <v>1262</v>
      </c>
      <c r="D147" t="s">
        <v>1161</v>
      </c>
      <c r="E147" s="2">
        <v>20</v>
      </c>
      <c r="F147" s="2">
        <v>0</v>
      </c>
      <c r="G147" s="2">
        <v>104945.36</v>
      </c>
      <c r="I147" s="3">
        <f t="shared" si="1"/>
        <v>0</v>
      </c>
    </row>
    <row r="148" spans="1:9" x14ac:dyDescent="0.3">
      <c r="A148" s="9">
        <v>45090</v>
      </c>
      <c r="B148" s="9">
        <v>45090</v>
      </c>
      <c r="C148" t="s">
        <v>1263</v>
      </c>
      <c r="D148" t="s">
        <v>1161</v>
      </c>
      <c r="E148" s="2">
        <v>70</v>
      </c>
      <c r="F148" s="2">
        <v>0</v>
      </c>
      <c r="G148" s="2">
        <v>104875.36</v>
      </c>
      <c r="I148" s="3">
        <f t="shared" si="1"/>
        <v>0</v>
      </c>
    </row>
    <row r="149" spans="1:9" x14ac:dyDescent="0.3">
      <c r="A149" s="9">
        <v>45091</v>
      </c>
      <c r="B149" s="9">
        <v>45091</v>
      </c>
      <c r="C149" t="s">
        <v>1264</v>
      </c>
      <c r="D149" t="s">
        <v>1213</v>
      </c>
      <c r="E149" s="2">
        <v>0</v>
      </c>
      <c r="F149" s="2">
        <v>6434</v>
      </c>
      <c r="G149" s="2">
        <v>111309.36</v>
      </c>
      <c r="I149" s="3">
        <f t="shared" si="1"/>
        <v>0</v>
      </c>
    </row>
    <row r="150" spans="1:9" x14ac:dyDescent="0.3">
      <c r="A150" s="9">
        <v>45091</v>
      </c>
      <c r="B150" s="9">
        <v>45091</v>
      </c>
      <c r="C150" t="s">
        <v>1265</v>
      </c>
      <c r="D150" t="s">
        <v>1148</v>
      </c>
      <c r="E150" s="2">
        <v>200</v>
      </c>
      <c r="F150" s="2">
        <v>0</v>
      </c>
      <c r="G150" s="2">
        <v>111109.36</v>
      </c>
      <c r="I150" s="3">
        <f t="shared" si="1"/>
        <v>0</v>
      </c>
    </row>
    <row r="151" spans="1:9" x14ac:dyDescent="0.3">
      <c r="A151" s="9">
        <v>45091</v>
      </c>
      <c r="B151" s="9">
        <v>45091</v>
      </c>
      <c r="C151" t="s">
        <v>1266</v>
      </c>
      <c r="D151" t="s">
        <v>1213</v>
      </c>
      <c r="E151" s="2">
        <v>0</v>
      </c>
      <c r="F151" s="2">
        <v>100</v>
      </c>
      <c r="G151" s="2">
        <v>111209.36</v>
      </c>
      <c r="I151" s="3">
        <f t="shared" ref="I151:I214" si="2">G150-E151+F151-G151</f>
        <v>0</v>
      </c>
    </row>
    <row r="152" spans="1:9" x14ac:dyDescent="0.3">
      <c r="A152" s="9">
        <v>45091</v>
      </c>
      <c r="B152" s="9">
        <v>45091</v>
      </c>
      <c r="C152" t="s">
        <v>1267</v>
      </c>
      <c r="D152" t="s">
        <v>1148</v>
      </c>
      <c r="E152" s="2">
        <v>75</v>
      </c>
      <c r="F152" s="2">
        <v>0</v>
      </c>
      <c r="G152" s="2">
        <v>111134.36</v>
      </c>
      <c r="I152" s="3">
        <f t="shared" si="2"/>
        <v>0</v>
      </c>
    </row>
    <row r="153" spans="1:9" x14ac:dyDescent="0.3">
      <c r="A153" s="9">
        <v>45093</v>
      </c>
      <c r="B153" s="9">
        <v>45093</v>
      </c>
      <c r="C153" t="s">
        <v>1268</v>
      </c>
      <c r="D153" t="s">
        <v>1154</v>
      </c>
      <c r="E153" s="2">
        <v>40</v>
      </c>
      <c r="F153" s="2">
        <v>0</v>
      </c>
      <c r="G153" s="2">
        <v>111094.36</v>
      </c>
      <c r="I153" s="3">
        <f t="shared" si="2"/>
        <v>0</v>
      </c>
    </row>
    <row r="154" spans="1:9" x14ac:dyDescent="0.3">
      <c r="A154" s="9">
        <v>45094</v>
      </c>
      <c r="B154" s="9">
        <v>45094</v>
      </c>
      <c r="C154" t="s">
        <v>1269</v>
      </c>
      <c r="D154" t="s">
        <v>1154</v>
      </c>
      <c r="E154" s="2">
        <v>10</v>
      </c>
      <c r="F154" s="2">
        <v>0</v>
      </c>
      <c r="G154" s="2">
        <v>111084.36</v>
      </c>
      <c r="I154" s="3">
        <f t="shared" si="2"/>
        <v>0</v>
      </c>
    </row>
    <row r="155" spans="1:9" x14ac:dyDescent="0.3">
      <c r="A155" s="9">
        <v>45094</v>
      </c>
      <c r="B155" s="9">
        <v>45094</v>
      </c>
      <c r="C155" t="s">
        <v>1270</v>
      </c>
      <c r="D155" t="s">
        <v>1154</v>
      </c>
      <c r="E155" s="2">
        <v>180</v>
      </c>
      <c r="F155" s="2">
        <v>0</v>
      </c>
      <c r="G155" s="2">
        <v>110904.36</v>
      </c>
      <c r="I155" s="3">
        <f t="shared" si="2"/>
        <v>0</v>
      </c>
    </row>
    <row r="156" spans="1:9" x14ac:dyDescent="0.3">
      <c r="A156" s="9">
        <v>45095</v>
      </c>
      <c r="B156" s="9">
        <v>45095</v>
      </c>
      <c r="C156" t="s">
        <v>1271</v>
      </c>
      <c r="D156" t="s">
        <v>1143</v>
      </c>
      <c r="E156" s="2">
        <v>455</v>
      </c>
      <c r="F156" s="2">
        <v>0</v>
      </c>
      <c r="G156" s="2">
        <v>110449.36</v>
      </c>
      <c r="I156" s="3">
        <f t="shared" si="2"/>
        <v>0</v>
      </c>
    </row>
    <row r="157" spans="1:9" x14ac:dyDescent="0.3">
      <c r="A157" s="9">
        <v>45095</v>
      </c>
      <c r="B157" s="9">
        <v>45095</v>
      </c>
      <c r="C157" t="s">
        <v>1272</v>
      </c>
      <c r="D157" t="s">
        <v>1143</v>
      </c>
      <c r="E157" s="2">
        <v>80</v>
      </c>
      <c r="F157" s="2">
        <v>0</v>
      </c>
      <c r="G157" s="2">
        <v>110369.36</v>
      </c>
      <c r="I157" s="3">
        <f t="shared" si="2"/>
        <v>0</v>
      </c>
    </row>
    <row r="158" spans="1:9" x14ac:dyDescent="0.3">
      <c r="A158" s="9">
        <v>45095</v>
      </c>
      <c r="B158" s="9">
        <v>45095</v>
      </c>
      <c r="C158" t="s">
        <v>1273</v>
      </c>
      <c r="D158" t="s">
        <v>1143</v>
      </c>
      <c r="E158" s="2">
        <v>40</v>
      </c>
      <c r="F158" s="2">
        <v>0</v>
      </c>
      <c r="G158" s="2">
        <v>110329.36</v>
      </c>
      <c r="I158" s="3">
        <f t="shared" si="2"/>
        <v>0</v>
      </c>
    </row>
    <row r="159" spans="1:9" x14ac:dyDescent="0.3">
      <c r="A159" s="9">
        <v>45096</v>
      </c>
      <c r="B159" s="9">
        <v>45096</v>
      </c>
      <c r="C159" t="s">
        <v>1274</v>
      </c>
      <c r="D159" t="s">
        <v>1191</v>
      </c>
      <c r="E159" s="2">
        <v>40</v>
      </c>
      <c r="F159" s="2">
        <v>0</v>
      </c>
      <c r="G159" s="2">
        <v>110289.36</v>
      </c>
      <c r="I159" s="3">
        <f t="shared" si="2"/>
        <v>0</v>
      </c>
    </row>
    <row r="160" spans="1:9" x14ac:dyDescent="0.3">
      <c r="A160" s="9">
        <v>45096</v>
      </c>
      <c r="B160" s="9">
        <v>45096</v>
      </c>
      <c r="C160" t="s">
        <v>1275</v>
      </c>
      <c r="D160" t="s">
        <v>1191</v>
      </c>
      <c r="E160" s="2">
        <v>30</v>
      </c>
      <c r="F160" s="2">
        <v>0</v>
      </c>
      <c r="G160" s="2">
        <v>110259.36</v>
      </c>
      <c r="I160" s="3">
        <f t="shared" si="2"/>
        <v>0</v>
      </c>
    </row>
    <row r="161" spans="1:9" x14ac:dyDescent="0.3">
      <c r="A161" s="9">
        <v>45098</v>
      </c>
      <c r="B161" s="9">
        <v>45098</v>
      </c>
      <c r="C161" t="s">
        <v>1276</v>
      </c>
      <c r="D161" t="s">
        <v>1277</v>
      </c>
      <c r="E161" s="2">
        <v>472.12</v>
      </c>
      <c r="F161" s="2">
        <v>0</v>
      </c>
      <c r="G161" s="2">
        <v>109787.24</v>
      </c>
      <c r="I161" s="3">
        <f t="shared" si="2"/>
        <v>0</v>
      </c>
    </row>
    <row r="162" spans="1:9" x14ac:dyDescent="0.3">
      <c r="A162" s="9">
        <v>45098</v>
      </c>
      <c r="B162" s="9">
        <v>45098</v>
      </c>
      <c r="C162" t="s">
        <v>1278</v>
      </c>
      <c r="D162" t="s">
        <v>1148</v>
      </c>
      <c r="E162" s="2">
        <v>70</v>
      </c>
      <c r="F162" s="2">
        <v>0</v>
      </c>
      <c r="G162" s="2">
        <v>109717.24</v>
      </c>
      <c r="I162" s="3">
        <f t="shared" si="2"/>
        <v>0</v>
      </c>
    </row>
    <row r="163" spans="1:9" x14ac:dyDescent="0.3">
      <c r="A163" s="9">
        <v>45098</v>
      </c>
      <c r="B163" s="9">
        <v>45098</v>
      </c>
      <c r="C163" t="s">
        <v>1279</v>
      </c>
      <c r="D163" t="s">
        <v>1148</v>
      </c>
      <c r="E163" s="2">
        <v>30</v>
      </c>
      <c r="F163" s="2">
        <v>0</v>
      </c>
      <c r="G163" s="2">
        <v>109687.24</v>
      </c>
      <c r="I163" s="3">
        <f t="shared" si="2"/>
        <v>0</v>
      </c>
    </row>
    <row r="164" spans="1:9" x14ac:dyDescent="0.3">
      <c r="A164" s="9">
        <v>45099</v>
      </c>
      <c r="B164" s="9">
        <v>45099</v>
      </c>
      <c r="C164" t="s">
        <v>1280</v>
      </c>
      <c r="D164" t="s">
        <v>1152</v>
      </c>
      <c r="E164" s="2">
        <v>210</v>
      </c>
      <c r="F164" s="2">
        <v>0</v>
      </c>
      <c r="G164" s="2">
        <v>109477.24</v>
      </c>
      <c r="I164" s="3">
        <f t="shared" si="2"/>
        <v>0</v>
      </c>
    </row>
    <row r="165" spans="1:9" x14ac:dyDescent="0.3">
      <c r="A165" s="9">
        <v>45099</v>
      </c>
      <c r="B165" s="9">
        <v>45099</v>
      </c>
      <c r="C165" t="s">
        <v>1281</v>
      </c>
      <c r="D165" t="s">
        <v>1172</v>
      </c>
      <c r="E165" s="2">
        <v>190</v>
      </c>
      <c r="F165" s="2">
        <v>0</v>
      </c>
      <c r="G165" s="2">
        <v>109287.24</v>
      </c>
      <c r="I165" s="3">
        <f t="shared" si="2"/>
        <v>0</v>
      </c>
    </row>
    <row r="166" spans="1:9" x14ac:dyDescent="0.3">
      <c r="A166" s="9">
        <v>45100</v>
      </c>
      <c r="B166" s="9">
        <v>45100</v>
      </c>
      <c r="C166" t="s">
        <v>1282</v>
      </c>
      <c r="D166" t="s">
        <v>1172</v>
      </c>
      <c r="E166" s="2">
        <v>20</v>
      </c>
      <c r="F166" s="2">
        <v>0</v>
      </c>
      <c r="G166" s="2">
        <v>109267.24</v>
      </c>
      <c r="I166" s="3">
        <f t="shared" si="2"/>
        <v>0</v>
      </c>
    </row>
    <row r="167" spans="1:9" x14ac:dyDescent="0.3">
      <c r="A167" s="9">
        <v>45102</v>
      </c>
      <c r="B167" s="9">
        <v>45102</v>
      </c>
      <c r="C167" t="s">
        <v>1283</v>
      </c>
      <c r="D167" t="s">
        <v>1143</v>
      </c>
      <c r="E167" s="2">
        <v>1200</v>
      </c>
      <c r="F167" s="2">
        <v>0</v>
      </c>
      <c r="G167" s="2">
        <v>108067.24</v>
      </c>
      <c r="I167" s="3">
        <f t="shared" si="2"/>
        <v>0</v>
      </c>
    </row>
    <row r="168" spans="1:9" x14ac:dyDescent="0.3">
      <c r="A168" s="9">
        <v>45102</v>
      </c>
      <c r="B168" s="9">
        <v>45102</v>
      </c>
      <c r="C168" t="s">
        <v>1284</v>
      </c>
      <c r="D168" t="s">
        <v>1143</v>
      </c>
      <c r="E168" s="2">
        <v>40</v>
      </c>
      <c r="F168" s="2">
        <v>0</v>
      </c>
      <c r="G168" s="2">
        <v>108027.24</v>
      </c>
      <c r="I168" s="3">
        <f t="shared" si="2"/>
        <v>0</v>
      </c>
    </row>
    <row r="169" spans="1:9" x14ac:dyDescent="0.3">
      <c r="A169" s="9">
        <v>45102</v>
      </c>
      <c r="B169" s="9">
        <v>45102</v>
      </c>
      <c r="C169" t="s">
        <v>1285</v>
      </c>
      <c r="D169" t="s">
        <v>1143</v>
      </c>
      <c r="E169" s="2">
        <v>459</v>
      </c>
      <c r="F169" s="2">
        <v>0</v>
      </c>
      <c r="G169" s="2">
        <v>107568.24</v>
      </c>
      <c r="I169" s="3">
        <f t="shared" si="2"/>
        <v>0</v>
      </c>
    </row>
    <row r="170" spans="1:9" x14ac:dyDescent="0.3">
      <c r="A170" s="9">
        <v>45102</v>
      </c>
      <c r="B170" s="9">
        <v>45102</v>
      </c>
      <c r="C170" t="s">
        <v>1085</v>
      </c>
      <c r="E170" s="2">
        <v>0</v>
      </c>
      <c r="F170" s="2">
        <v>704</v>
      </c>
      <c r="G170" s="2">
        <v>108272.24</v>
      </c>
      <c r="I170" s="3">
        <f t="shared" si="2"/>
        <v>0</v>
      </c>
    </row>
    <row r="171" spans="1:9" x14ac:dyDescent="0.3">
      <c r="A171" s="9">
        <v>45103</v>
      </c>
      <c r="B171" s="9">
        <v>45103</v>
      </c>
      <c r="C171" t="s">
        <v>1286</v>
      </c>
      <c r="D171" t="s">
        <v>1161</v>
      </c>
      <c r="E171" s="2">
        <v>20</v>
      </c>
      <c r="F171" s="2">
        <v>0</v>
      </c>
      <c r="G171" s="2">
        <v>108252.24</v>
      </c>
      <c r="I171" s="3">
        <f t="shared" si="2"/>
        <v>0</v>
      </c>
    </row>
    <row r="172" spans="1:9" x14ac:dyDescent="0.3">
      <c r="A172" s="9">
        <v>45104</v>
      </c>
      <c r="B172" s="9">
        <v>45104</v>
      </c>
      <c r="C172" t="s">
        <v>1287</v>
      </c>
      <c r="D172" t="s">
        <v>1161</v>
      </c>
      <c r="E172" s="2">
        <v>10</v>
      </c>
      <c r="F172" s="2">
        <v>0</v>
      </c>
      <c r="G172" s="2">
        <v>108242.24000000001</v>
      </c>
      <c r="I172" s="3">
        <f t="shared" si="2"/>
        <v>0</v>
      </c>
    </row>
    <row r="173" spans="1:9" x14ac:dyDescent="0.3">
      <c r="A173" s="9">
        <v>45104</v>
      </c>
      <c r="B173" s="9">
        <v>45104</v>
      </c>
      <c r="C173" t="s">
        <v>1288</v>
      </c>
      <c r="D173" t="s">
        <v>1161</v>
      </c>
      <c r="E173" s="2">
        <v>20</v>
      </c>
      <c r="F173" s="2">
        <v>0</v>
      </c>
      <c r="G173" s="2">
        <v>108222.24</v>
      </c>
      <c r="I173" s="3">
        <f t="shared" si="2"/>
        <v>0</v>
      </c>
    </row>
    <row r="174" spans="1:9" x14ac:dyDescent="0.3">
      <c r="A174" s="9">
        <v>45105</v>
      </c>
      <c r="B174" s="9">
        <v>45105</v>
      </c>
      <c r="C174" t="s">
        <v>1289</v>
      </c>
      <c r="D174" t="s">
        <v>1148</v>
      </c>
      <c r="E174" s="2">
        <v>160</v>
      </c>
      <c r="F174" s="2">
        <v>0</v>
      </c>
      <c r="G174" s="2">
        <v>108062.24</v>
      </c>
      <c r="I174" s="3">
        <f t="shared" si="2"/>
        <v>0</v>
      </c>
    </row>
    <row r="175" spans="1:9" x14ac:dyDescent="0.3">
      <c r="A175" s="9">
        <v>45105</v>
      </c>
      <c r="B175" s="9">
        <v>45105</v>
      </c>
      <c r="C175" t="s">
        <v>1290</v>
      </c>
      <c r="D175" t="s">
        <v>1213</v>
      </c>
      <c r="E175" s="2">
        <v>0</v>
      </c>
      <c r="F175" s="2">
        <v>60</v>
      </c>
      <c r="G175" s="2">
        <v>108122.24000000001</v>
      </c>
      <c r="I175" s="3">
        <f t="shared" si="2"/>
        <v>0</v>
      </c>
    </row>
    <row r="176" spans="1:9" x14ac:dyDescent="0.3">
      <c r="A176" s="9">
        <v>45105</v>
      </c>
      <c r="B176" s="9">
        <v>45105</v>
      </c>
      <c r="C176" t="s">
        <v>1291</v>
      </c>
      <c r="D176" t="s">
        <v>1148</v>
      </c>
      <c r="E176" s="2">
        <v>20</v>
      </c>
      <c r="F176" s="2">
        <v>0</v>
      </c>
      <c r="G176" s="2">
        <v>108102.24</v>
      </c>
      <c r="I176" s="3">
        <f t="shared" si="2"/>
        <v>0</v>
      </c>
    </row>
    <row r="177" spans="1:9" x14ac:dyDescent="0.3">
      <c r="A177" s="9">
        <v>45106</v>
      </c>
      <c r="B177" s="9">
        <v>45106</v>
      </c>
      <c r="C177" t="s">
        <v>1292</v>
      </c>
      <c r="D177" t="s">
        <v>1152</v>
      </c>
      <c r="E177" s="2">
        <v>30</v>
      </c>
      <c r="F177" s="2">
        <v>0</v>
      </c>
      <c r="G177" s="2">
        <v>108072.24</v>
      </c>
      <c r="I177" s="3">
        <f t="shared" si="2"/>
        <v>0</v>
      </c>
    </row>
    <row r="178" spans="1:9" x14ac:dyDescent="0.3">
      <c r="A178" s="9">
        <v>45106</v>
      </c>
      <c r="B178" s="9">
        <v>45106</v>
      </c>
      <c r="C178" t="s">
        <v>1293</v>
      </c>
      <c r="D178" t="s">
        <v>1152</v>
      </c>
      <c r="E178" s="2">
        <v>10</v>
      </c>
      <c r="F178" s="2">
        <v>0</v>
      </c>
      <c r="G178" s="2">
        <v>108062.24</v>
      </c>
      <c r="I178" s="3">
        <f t="shared" si="2"/>
        <v>0</v>
      </c>
    </row>
    <row r="179" spans="1:9" x14ac:dyDescent="0.3">
      <c r="A179" s="9">
        <v>45108</v>
      </c>
      <c r="B179" s="9">
        <v>45108</v>
      </c>
      <c r="C179" t="s">
        <v>1294</v>
      </c>
      <c r="D179" t="s">
        <v>1154</v>
      </c>
      <c r="E179" s="2">
        <v>20</v>
      </c>
      <c r="F179" s="2">
        <v>0</v>
      </c>
      <c r="G179" s="2">
        <v>108042.24000000001</v>
      </c>
      <c r="I179" s="3">
        <f t="shared" si="2"/>
        <v>0</v>
      </c>
    </row>
    <row r="180" spans="1:9" x14ac:dyDescent="0.3">
      <c r="A180" s="9">
        <v>45108</v>
      </c>
      <c r="B180" s="9">
        <v>45108</v>
      </c>
      <c r="C180" t="s">
        <v>1295</v>
      </c>
      <c r="D180" t="s">
        <v>1154</v>
      </c>
      <c r="E180" s="2">
        <v>40</v>
      </c>
      <c r="F180" s="2">
        <v>0</v>
      </c>
      <c r="G180" s="2">
        <v>108002.24000000001</v>
      </c>
      <c r="I180" s="3">
        <f t="shared" si="2"/>
        <v>0</v>
      </c>
    </row>
    <row r="181" spans="1:9" x14ac:dyDescent="0.3">
      <c r="A181" s="9">
        <v>45108</v>
      </c>
      <c r="B181" s="9">
        <v>45108</v>
      </c>
      <c r="C181" t="s">
        <v>1296</v>
      </c>
      <c r="D181" t="s">
        <v>1223</v>
      </c>
      <c r="E181" s="2">
        <v>0</v>
      </c>
      <c r="F181" s="2">
        <v>40</v>
      </c>
      <c r="G181" s="2">
        <v>108042.24000000001</v>
      </c>
      <c r="I181" s="3">
        <f t="shared" si="2"/>
        <v>0</v>
      </c>
    </row>
    <row r="182" spans="1:9" x14ac:dyDescent="0.3">
      <c r="A182" s="9">
        <v>45108</v>
      </c>
      <c r="B182" s="9">
        <v>45108</v>
      </c>
      <c r="C182" t="s">
        <v>1297</v>
      </c>
      <c r="D182" t="s">
        <v>1154</v>
      </c>
      <c r="E182" s="2">
        <v>40</v>
      </c>
      <c r="F182" s="2">
        <v>0</v>
      </c>
      <c r="G182" s="2">
        <v>108002.24000000001</v>
      </c>
      <c r="I182" s="3">
        <f t="shared" si="2"/>
        <v>0</v>
      </c>
    </row>
    <row r="183" spans="1:9" x14ac:dyDescent="0.3">
      <c r="A183" s="9">
        <v>45108</v>
      </c>
      <c r="B183" s="9">
        <v>45108</v>
      </c>
      <c r="C183" t="s">
        <v>1298</v>
      </c>
      <c r="D183" t="s">
        <v>1223</v>
      </c>
      <c r="E183" s="2">
        <v>0</v>
      </c>
      <c r="F183" s="2">
        <v>20</v>
      </c>
      <c r="G183" s="2">
        <v>108022.24</v>
      </c>
      <c r="I183" s="3">
        <f t="shared" si="2"/>
        <v>0</v>
      </c>
    </row>
    <row r="184" spans="1:9" x14ac:dyDescent="0.3">
      <c r="A184" s="9">
        <v>45108</v>
      </c>
      <c r="B184" s="9">
        <v>45108</v>
      </c>
      <c r="C184" t="s">
        <v>1299</v>
      </c>
      <c r="D184" t="s">
        <v>1154</v>
      </c>
      <c r="E184" s="2">
        <v>40</v>
      </c>
      <c r="F184" s="2">
        <v>0</v>
      </c>
      <c r="G184" s="2">
        <v>107982.24</v>
      </c>
      <c r="I184" s="3">
        <f t="shared" si="2"/>
        <v>0</v>
      </c>
    </row>
    <row r="185" spans="1:9" x14ac:dyDescent="0.3">
      <c r="A185" s="9">
        <v>45108</v>
      </c>
      <c r="B185" s="9">
        <v>45108</v>
      </c>
      <c r="C185" t="s">
        <v>1300</v>
      </c>
      <c r="D185" t="s">
        <v>1154</v>
      </c>
      <c r="E185" s="2">
        <v>40</v>
      </c>
      <c r="F185" s="2">
        <v>0</v>
      </c>
      <c r="G185" s="2">
        <v>107942.24</v>
      </c>
      <c r="I185" s="3">
        <f t="shared" si="2"/>
        <v>0</v>
      </c>
    </row>
    <row r="186" spans="1:9" x14ac:dyDescent="0.3">
      <c r="A186" s="9">
        <v>45109</v>
      </c>
      <c r="B186" s="9">
        <v>45109</v>
      </c>
      <c r="C186" t="s">
        <v>1301</v>
      </c>
      <c r="D186" t="s">
        <v>1143</v>
      </c>
      <c r="E186" s="2">
        <v>60</v>
      </c>
      <c r="F186" s="2">
        <v>0</v>
      </c>
      <c r="G186" s="2">
        <v>107882.24000000001</v>
      </c>
      <c r="I186" s="3">
        <f t="shared" si="2"/>
        <v>0</v>
      </c>
    </row>
    <row r="187" spans="1:9" x14ac:dyDescent="0.3">
      <c r="A187" s="9">
        <v>45109</v>
      </c>
      <c r="B187" s="9">
        <v>45109</v>
      </c>
      <c r="C187" t="s">
        <v>1302</v>
      </c>
      <c r="D187" t="s">
        <v>1143</v>
      </c>
      <c r="E187" s="2">
        <v>130</v>
      </c>
      <c r="F187" s="2">
        <v>0</v>
      </c>
      <c r="G187" s="2">
        <v>107752.24</v>
      </c>
      <c r="I187" s="3">
        <f t="shared" si="2"/>
        <v>0</v>
      </c>
    </row>
    <row r="188" spans="1:9" x14ac:dyDescent="0.3">
      <c r="A188" s="9">
        <v>45110</v>
      </c>
      <c r="B188" s="9">
        <v>45110</v>
      </c>
      <c r="C188" t="s">
        <v>1303</v>
      </c>
      <c r="D188" t="s">
        <v>1304</v>
      </c>
      <c r="E188" s="2">
        <v>0</v>
      </c>
      <c r="F188" s="2">
        <v>10000</v>
      </c>
      <c r="G188" s="2">
        <v>117752.24</v>
      </c>
      <c r="I188" s="3">
        <f t="shared" si="2"/>
        <v>0</v>
      </c>
    </row>
    <row r="189" spans="1:9" x14ac:dyDescent="0.3">
      <c r="A189" s="9">
        <v>45110</v>
      </c>
      <c r="B189" s="9">
        <v>45110</v>
      </c>
      <c r="C189" t="s">
        <v>1305</v>
      </c>
      <c r="D189" t="s">
        <v>1191</v>
      </c>
      <c r="E189" s="2">
        <v>60</v>
      </c>
      <c r="F189" s="2">
        <v>0</v>
      </c>
      <c r="G189" s="2">
        <v>117692.24</v>
      </c>
      <c r="I189" s="3">
        <f t="shared" si="2"/>
        <v>0</v>
      </c>
    </row>
    <row r="190" spans="1:9" x14ac:dyDescent="0.3">
      <c r="A190" s="9">
        <v>45111</v>
      </c>
      <c r="B190" s="9">
        <v>45111</v>
      </c>
      <c r="C190" t="s">
        <v>1306</v>
      </c>
      <c r="D190" t="s">
        <v>1161</v>
      </c>
      <c r="E190" s="2">
        <v>20</v>
      </c>
      <c r="F190" s="2">
        <v>0</v>
      </c>
      <c r="G190" s="2">
        <v>117672.24</v>
      </c>
      <c r="I190" s="3">
        <f t="shared" si="2"/>
        <v>0</v>
      </c>
    </row>
    <row r="191" spans="1:9" x14ac:dyDescent="0.3">
      <c r="A191" s="9">
        <v>45111</v>
      </c>
      <c r="B191" s="9">
        <v>45111</v>
      </c>
      <c r="C191" t="s">
        <v>1307</v>
      </c>
      <c r="D191" t="s">
        <v>1161</v>
      </c>
      <c r="E191" s="2">
        <v>20</v>
      </c>
      <c r="F191" s="2">
        <v>0</v>
      </c>
      <c r="G191" s="2">
        <v>117652.24</v>
      </c>
      <c r="I191" s="3">
        <f t="shared" si="2"/>
        <v>0</v>
      </c>
    </row>
    <row r="192" spans="1:9" x14ac:dyDescent="0.3">
      <c r="A192" s="9">
        <v>45111</v>
      </c>
      <c r="B192" s="9">
        <v>45111</v>
      </c>
      <c r="C192" t="s">
        <v>1308</v>
      </c>
      <c r="D192" t="s">
        <v>1161</v>
      </c>
      <c r="E192" s="2">
        <v>190</v>
      </c>
      <c r="F192" s="2">
        <v>0</v>
      </c>
      <c r="G192" s="2">
        <v>117462.24</v>
      </c>
      <c r="I192" s="3">
        <f t="shared" si="2"/>
        <v>0</v>
      </c>
    </row>
    <row r="193" spans="1:9" x14ac:dyDescent="0.3">
      <c r="A193" s="9">
        <v>45112</v>
      </c>
      <c r="B193" s="9">
        <v>45112</v>
      </c>
      <c r="C193" t="s">
        <v>1309</v>
      </c>
      <c r="D193" t="s">
        <v>1148</v>
      </c>
      <c r="E193" s="2">
        <v>40</v>
      </c>
      <c r="F193" s="2">
        <v>0</v>
      </c>
      <c r="G193" s="2">
        <v>117422.24</v>
      </c>
      <c r="I193" s="3">
        <f t="shared" si="2"/>
        <v>0</v>
      </c>
    </row>
    <row r="194" spans="1:9" x14ac:dyDescent="0.3">
      <c r="A194" s="9">
        <v>45112</v>
      </c>
      <c r="B194" s="9">
        <v>45112</v>
      </c>
      <c r="C194" t="s">
        <v>1310</v>
      </c>
      <c r="D194" t="s">
        <v>1148</v>
      </c>
      <c r="E194" s="2">
        <v>185</v>
      </c>
      <c r="F194" s="2">
        <v>0</v>
      </c>
      <c r="G194" s="2">
        <v>117237.24</v>
      </c>
      <c r="I194" s="3">
        <f t="shared" si="2"/>
        <v>0</v>
      </c>
    </row>
    <row r="195" spans="1:9" x14ac:dyDescent="0.3">
      <c r="A195" s="9">
        <v>45112</v>
      </c>
      <c r="B195" s="9">
        <v>45112</v>
      </c>
      <c r="C195" t="s">
        <v>1311</v>
      </c>
      <c r="D195" t="s">
        <v>1148</v>
      </c>
      <c r="E195" s="2">
        <v>20</v>
      </c>
      <c r="F195" s="2">
        <v>0</v>
      </c>
      <c r="G195" s="2">
        <v>117217.24</v>
      </c>
      <c r="I195" s="3">
        <f t="shared" si="2"/>
        <v>0</v>
      </c>
    </row>
    <row r="196" spans="1:9" x14ac:dyDescent="0.3">
      <c r="A196" s="9">
        <v>45112</v>
      </c>
      <c r="B196" s="9">
        <v>45112</v>
      </c>
      <c r="C196" t="s">
        <v>1312</v>
      </c>
      <c r="D196" t="s">
        <v>1313</v>
      </c>
      <c r="E196" s="2">
        <v>0</v>
      </c>
      <c r="F196" s="2">
        <v>929.82</v>
      </c>
      <c r="G196" s="2">
        <v>118147.06</v>
      </c>
      <c r="I196" s="3">
        <f t="shared" si="2"/>
        <v>0</v>
      </c>
    </row>
    <row r="197" spans="1:9" x14ac:dyDescent="0.3">
      <c r="A197" s="9">
        <v>45112</v>
      </c>
      <c r="B197" s="9">
        <v>45112</v>
      </c>
      <c r="C197" t="s">
        <v>1314</v>
      </c>
      <c r="D197" t="s">
        <v>1148</v>
      </c>
      <c r="E197" s="2">
        <v>50</v>
      </c>
      <c r="F197" s="2">
        <v>0</v>
      </c>
      <c r="G197" s="2">
        <v>118097.06</v>
      </c>
      <c r="I197" s="3">
        <f t="shared" si="2"/>
        <v>0</v>
      </c>
    </row>
    <row r="198" spans="1:9" x14ac:dyDescent="0.3">
      <c r="A198" s="9">
        <v>45113</v>
      </c>
      <c r="B198" s="9">
        <v>45113</v>
      </c>
      <c r="C198" t="s">
        <v>1315</v>
      </c>
      <c r="D198" t="s">
        <v>1152</v>
      </c>
      <c r="E198" s="2">
        <v>60</v>
      </c>
      <c r="F198" s="2">
        <v>0</v>
      </c>
      <c r="G198" s="2">
        <v>118037.06</v>
      </c>
      <c r="I198" s="3">
        <f t="shared" si="2"/>
        <v>0</v>
      </c>
    </row>
    <row r="199" spans="1:9" x14ac:dyDescent="0.3">
      <c r="A199" s="9">
        <v>45113</v>
      </c>
      <c r="B199" s="9">
        <v>45113</v>
      </c>
      <c r="C199" t="s">
        <v>1316</v>
      </c>
      <c r="D199" t="s">
        <v>1152</v>
      </c>
      <c r="E199" s="2">
        <v>180</v>
      </c>
      <c r="F199" s="2">
        <v>0</v>
      </c>
      <c r="G199" s="2">
        <v>117857.06</v>
      </c>
      <c r="I199" s="3">
        <f t="shared" si="2"/>
        <v>0</v>
      </c>
    </row>
    <row r="200" spans="1:9" x14ac:dyDescent="0.3">
      <c r="A200" s="9">
        <v>45113</v>
      </c>
      <c r="B200" s="9">
        <v>45113</v>
      </c>
      <c r="C200" t="s">
        <v>1317</v>
      </c>
      <c r="D200" t="s">
        <v>1152</v>
      </c>
      <c r="E200" s="2">
        <v>30</v>
      </c>
      <c r="F200" s="2">
        <v>0</v>
      </c>
      <c r="G200" s="2">
        <v>117827.06</v>
      </c>
      <c r="I200" s="3">
        <f t="shared" si="2"/>
        <v>0</v>
      </c>
    </row>
    <row r="201" spans="1:9" x14ac:dyDescent="0.3">
      <c r="A201" s="9">
        <v>45113</v>
      </c>
      <c r="B201" s="9">
        <v>45113</v>
      </c>
      <c r="C201" t="s">
        <v>1318</v>
      </c>
      <c r="D201" t="s">
        <v>1152</v>
      </c>
      <c r="E201" s="2">
        <v>160</v>
      </c>
      <c r="F201" s="2">
        <v>0</v>
      </c>
      <c r="G201" s="2">
        <v>117667.06</v>
      </c>
      <c r="I201" s="3">
        <f t="shared" si="2"/>
        <v>0</v>
      </c>
    </row>
    <row r="202" spans="1:9" x14ac:dyDescent="0.3">
      <c r="A202" s="9">
        <v>45113</v>
      </c>
      <c r="B202" s="9">
        <v>45113</v>
      </c>
      <c r="C202" t="s">
        <v>1319</v>
      </c>
      <c r="D202" t="s">
        <v>1181</v>
      </c>
      <c r="E202" s="2">
        <v>0</v>
      </c>
      <c r="F202" s="2">
        <v>90</v>
      </c>
      <c r="G202" s="2">
        <v>117757.06</v>
      </c>
      <c r="I202" s="3">
        <f t="shared" si="2"/>
        <v>0</v>
      </c>
    </row>
    <row r="203" spans="1:9" x14ac:dyDescent="0.3">
      <c r="A203" s="9">
        <v>45113</v>
      </c>
      <c r="B203" s="9">
        <v>45113</v>
      </c>
      <c r="C203" t="s">
        <v>1320</v>
      </c>
      <c r="D203" t="s">
        <v>1172</v>
      </c>
      <c r="E203" s="2">
        <v>40</v>
      </c>
      <c r="F203" s="2">
        <v>0</v>
      </c>
      <c r="G203" s="2">
        <v>117717.06</v>
      </c>
      <c r="I203" s="3">
        <f t="shared" si="2"/>
        <v>0</v>
      </c>
    </row>
    <row r="204" spans="1:9" x14ac:dyDescent="0.3">
      <c r="A204" s="9">
        <v>45114</v>
      </c>
      <c r="B204" s="9">
        <v>45114</v>
      </c>
      <c r="C204" t="s">
        <v>1321</v>
      </c>
      <c r="E204" s="2">
        <v>0</v>
      </c>
      <c r="F204" s="2">
        <v>10.5</v>
      </c>
      <c r="G204" s="2">
        <v>117727.56</v>
      </c>
      <c r="I204" s="3">
        <f t="shared" si="2"/>
        <v>0</v>
      </c>
    </row>
    <row r="205" spans="1:9" x14ac:dyDescent="0.3">
      <c r="A205" s="9">
        <v>45114</v>
      </c>
      <c r="B205" s="9">
        <v>45114</v>
      </c>
      <c r="C205" t="s">
        <v>1322</v>
      </c>
      <c r="D205" t="s">
        <v>1172</v>
      </c>
      <c r="E205" s="2">
        <v>40</v>
      </c>
      <c r="F205" s="2">
        <v>0</v>
      </c>
      <c r="G205" s="2">
        <v>117687.56</v>
      </c>
      <c r="I205" s="3">
        <f t="shared" si="2"/>
        <v>0</v>
      </c>
    </row>
    <row r="206" spans="1:9" x14ac:dyDescent="0.3">
      <c r="A206" s="9">
        <v>45114</v>
      </c>
      <c r="B206" s="9">
        <v>45114</v>
      </c>
      <c r="C206" t="s">
        <v>1323</v>
      </c>
      <c r="D206" t="s">
        <v>1172</v>
      </c>
      <c r="E206" s="2">
        <v>50</v>
      </c>
      <c r="F206" s="2">
        <v>0</v>
      </c>
      <c r="G206" s="2">
        <v>117637.56</v>
      </c>
      <c r="I206" s="3">
        <f t="shared" si="2"/>
        <v>0</v>
      </c>
    </row>
    <row r="207" spans="1:9" x14ac:dyDescent="0.3">
      <c r="A207" s="9">
        <v>45114</v>
      </c>
      <c r="B207" s="9">
        <v>45114</v>
      </c>
      <c r="C207" t="s">
        <v>1324</v>
      </c>
      <c r="D207" t="s">
        <v>1172</v>
      </c>
      <c r="E207" s="2">
        <v>20</v>
      </c>
      <c r="F207" s="2">
        <v>0</v>
      </c>
      <c r="G207" s="2">
        <v>117617.56</v>
      </c>
      <c r="I207" s="3">
        <f t="shared" si="2"/>
        <v>0</v>
      </c>
    </row>
    <row r="208" spans="1:9" x14ac:dyDescent="0.3">
      <c r="A208" s="9">
        <v>45114</v>
      </c>
      <c r="B208" s="9">
        <v>45114</v>
      </c>
      <c r="C208" t="s">
        <v>1325</v>
      </c>
      <c r="D208" t="s">
        <v>1154</v>
      </c>
      <c r="E208" s="2">
        <v>20</v>
      </c>
      <c r="F208" s="2">
        <v>0</v>
      </c>
      <c r="G208" s="2">
        <v>117597.56</v>
      </c>
      <c r="I208" s="3">
        <f t="shared" si="2"/>
        <v>0</v>
      </c>
    </row>
    <row r="209" spans="1:9" x14ac:dyDescent="0.3">
      <c r="A209" s="9">
        <v>45115</v>
      </c>
      <c r="B209" s="9">
        <v>45115</v>
      </c>
      <c r="C209" t="s">
        <v>1326</v>
      </c>
      <c r="D209" t="s">
        <v>1154</v>
      </c>
      <c r="E209" s="2">
        <v>50</v>
      </c>
      <c r="F209" s="2">
        <v>0</v>
      </c>
      <c r="G209" s="2">
        <v>117547.56</v>
      </c>
      <c r="I209" s="3">
        <f t="shared" si="2"/>
        <v>0</v>
      </c>
    </row>
    <row r="210" spans="1:9" x14ac:dyDescent="0.3">
      <c r="A210" s="9">
        <v>45116</v>
      </c>
      <c r="B210" s="9">
        <v>45116</v>
      </c>
      <c r="C210" t="s">
        <v>1327</v>
      </c>
      <c r="D210" t="s">
        <v>1143</v>
      </c>
      <c r="E210" s="2">
        <v>85</v>
      </c>
      <c r="F210" s="2">
        <v>0</v>
      </c>
      <c r="G210" s="2">
        <v>117462.56</v>
      </c>
      <c r="I210" s="3">
        <f t="shared" si="2"/>
        <v>0</v>
      </c>
    </row>
    <row r="211" spans="1:9" x14ac:dyDescent="0.3">
      <c r="A211" s="9">
        <v>45116</v>
      </c>
      <c r="B211" s="9">
        <v>45116</v>
      </c>
      <c r="C211" t="s">
        <v>1328</v>
      </c>
      <c r="D211" t="s">
        <v>1143</v>
      </c>
      <c r="E211" s="2">
        <v>65</v>
      </c>
      <c r="F211" s="2">
        <v>0</v>
      </c>
      <c r="G211" s="2">
        <v>117397.56</v>
      </c>
      <c r="I211" s="3">
        <f t="shared" si="2"/>
        <v>0</v>
      </c>
    </row>
    <row r="212" spans="1:9" x14ac:dyDescent="0.3">
      <c r="A212" s="9">
        <v>45116</v>
      </c>
      <c r="B212" s="9">
        <v>45116</v>
      </c>
      <c r="C212" t="s">
        <v>1329</v>
      </c>
      <c r="D212" t="s">
        <v>1143</v>
      </c>
      <c r="E212" s="2">
        <v>110</v>
      </c>
      <c r="F212" s="2">
        <v>0</v>
      </c>
      <c r="G212" s="2">
        <v>117287.56</v>
      </c>
      <c r="I212" s="3">
        <f t="shared" si="2"/>
        <v>0</v>
      </c>
    </row>
    <row r="213" spans="1:9" x14ac:dyDescent="0.3">
      <c r="A213" s="9">
        <v>45117</v>
      </c>
      <c r="B213" s="9">
        <v>45117</v>
      </c>
      <c r="C213" t="s">
        <v>1330</v>
      </c>
      <c r="D213" t="s">
        <v>1191</v>
      </c>
      <c r="E213" s="2">
        <v>60</v>
      </c>
      <c r="F213" s="2">
        <v>0</v>
      </c>
      <c r="G213" s="2">
        <v>117227.56</v>
      </c>
      <c r="I213" s="3">
        <f t="shared" si="2"/>
        <v>0</v>
      </c>
    </row>
    <row r="214" spans="1:9" x14ac:dyDescent="0.3">
      <c r="A214" s="9">
        <v>45117</v>
      </c>
      <c r="B214" s="9">
        <v>45117</v>
      </c>
      <c r="C214" t="s">
        <v>1331</v>
      </c>
      <c r="D214" t="s">
        <v>1332</v>
      </c>
      <c r="E214" s="2">
        <v>0</v>
      </c>
      <c r="F214" s="2">
        <v>20</v>
      </c>
      <c r="G214" s="2">
        <v>117247.56</v>
      </c>
      <c r="I214" s="3">
        <f t="shared" si="2"/>
        <v>0</v>
      </c>
    </row>
    <row r="215" spans="1:9" x14ac:dyDescent="0.3">
      <c r="A215" s="9">
        <v>45117</v>
      </c>
      <c r="B215" s="9">
        <v>45117</v>
      </c>
      <c r="C215" t="s">
        <v>1333</v>
      </c>
      <c r="D215" t="s">
        <v>1191</v>
      </c>
      <c r="E215" s="2">
        <v>20</v>
      </c>
      <c r="F215" s="2">
        <v>0</v>
      </c>
      <c r="G215" s="2">
        <v>117227.56</v>
      </c>
      <c r="I215" s="3">
        <f t="shared" ref="I215:I278" si="3">G214-E215+F215-G215</f>
        <v>0</v>
      </c>
    </row>
    <row r="216" spans="1:9" x14ac:dyDescent="0.3">
      <c r="A216" s="9">
        <v>45117</v>
      </c>
      <c r="B216" s="9">
        <v>45117</v>
      </c>
      <c r="C216" t="s">
        <v>1334</v>
      </c>
      <c r="D216" t="s">
        <v>1332</v>
      </c>
      <c r="E216" s="2">
        <v>0</v>
      </c>
      <c r="F216" s="2">
        <v>20</v>
      </c>
      <c r="G216" s="2">
        <v>117247.56</v>
      </c>
      <c r="I216" s="3">
        <f t="shared" si="3"/>
        <v>0</v>
      </c>
    </row>
    <row r="217" spans="1:9" x14ac:dyDescent="0.3">
      <c r="A217" s="9">
        <v>45118</v>
      </c>
      <c r="B217" s="9">
        <v>45118</v>
      </c>
      <c r="C217" t="s">
        <v>1335</v>
      </c>
      <c r="D217" t="s">
        <v>1161</v>
      </c>
      <c r="E217" s="2">
        <v>70</v>
      </c>
      <c r="F217" s="2">
        <v>0</v>
      </c>
      <c r="G217" s="2">
        <v>117177.56</v>
      </c>
      <c r="I217" s="3">
        <f t="shared" si="3"/>
        <v>0</v>
      </c>
    </row>
    <row r="218" spans="1:9" x14ac:dyDescent="0.3">
      <c r="A218" s="9">
        <v>45118</v>
      </c>
      <c r="B218" s="9">
        <v>45118</v>
      </c>
      <c r="C218" t="s">
        <v>1336</v>
      </c>
      <c r="D218" t="s">
        <v>1146</v>
      </c>
      <c r="E218" s="2">
        <v>0</v>
      </c>
      <c r="F218" s="2">
        <v>40</v>
      </c>
      <c r="G218" s="2">
        <v>117217.56</v>
      </c>
      <c r="I218" s="3">
        <f t="shared" si="3"/>
        <v>0</v>
      </c>
    </row>
    <row r="219" spans="1:9" x14ac:dyDescent="0.3">
      <c r="A219" s="9">
        <v>45118</v>
      </c>
      <c r="B219" s="9">
        <v>45118</v>
      </c>
      <c r="C219" t="s">
        <v>1337</v>
      </c>
      <c r="D219" t="s">
        <v>1161</v>
      </c>
      <c r="E219" s="2">
        <v>170</v>
      </c>
      <c r="F219" s="2">
        <v>0</v>
      </c>
      <c r="G219" s="2">
        <v>117047.56</v>
      </c>
      <c r="I219" s="3">
        <f t="shared" si="3"/>
        <v>0</v>
      </c>
    </row>
    <row r="220" spans="1:9" x14ac:dyDescent="0.3">
      <c r="A220" s="9">
        <v>45119</v>
      </c>
      <c r="B220" s="9">
        <v>45119</v>
      </c>
      <c r="C220" t="s">
        <v>1338</v>
      </c>
      <c r="D220" t="s">
        <v>1148</v>
      </c>
      <c r="E220" s="2">
        <v>40</v>
      </c>
      <c r="F220" s="2">
        <v>0</v>
      </c>
      <c r="G220" s="2">
        <v>117007.56</v>
      </c>
      <c r="I220" s="3">
        <f t="shared" si="3"/>
        <v>0</v>
      </c>
    </row>
    <row r="221" spans="1:9" x14ac:dyDescent="0.3">
      <c r="A221" s="9">
        <v>45119</v>
      </c>
      <c r="B221" s="9">
        <v>45119</v>
      </c>
      <c r="C221" t="s">
        <v>1339</v>
      </c>
      <c r="D221" t="s">
        <v>1148</v>
      </c>
      <c r="E221" s="2">
        <v>20</v>
      </c>
      <c r="F221" s="2">
        <v>0</v>
      </c>
      <c r="G221" s="2">
        <v>116987.56</v>
      </c>
      <c r="I221" s="3">
        <f t="shared" si="3"/>
        <v>0</v>
      </c>
    </row>
    <row r="222" spans="1:9" x14ac:dyDescent="0.3">
      <c r="A222" s="9">
        <v>45120</v>
      </c>
      <c r="B222" s="9">
        <v>45120</v>
      </c>
      <c r="C222" t="s">
        <v>1340</v>
      </c>
      <c r="D222" t="s">
        <v>1152</v>
      </c>
      <c r="E222" s="2">
        <v>20</v>
      </c>
      <c r="F222" s="2">
        <v>0</v>
      </c>
      <c r="G222" s="2">
        <v>116967.56</v>
      </c>
      <c r="I222" s="3">
        <f t="shared" si="3"/>
        <v>0</v>
      </c>
    </row>
    <row r="223" spans="1:9" x14ac:dyDescent="0.3">
      <c r="A223" s="9">
        <v>45120</v>
      </c>
      <c r="B223" s="9">
        <v>45120</v>
      </c>
      <c r="C223" t="s">
        <v>1341</v>
      </c>
      <c r="D223" t="s">
        <v>1181</v>
      </c>
      <c r="E223" s="2">
        <v>0</v>
      </c>
      <c r="F223" s="2">
        <v>60</v>
      </c>
      <c r="G223" s="2">
        <v>117027.56</v>
      </c>
      <c r="I223" s="3">
        <f t="shared" si="3"/>
        <v>0</v>
      </c>
    </row>
    <row r="224" spans="1:9" x14ac:dyDescent="0.3">
      <c r="A224" s="9">
        <v>45121</v>
      </c>
      <c r="B224" s="9">
        <v>45121</v>
      </c>
      <c r="C224" t="s">
        <v>1342</v>
      </c>
      <c r="D224" t="s">
        <v>1172</v>
      </c>
      <c r="E224" s="2">
        <v>50</v>
      </c>
      <c r="F224" s="2">
        <v>0</v>
      </c>
      <c r="G224" s="2">
        <v>116977.56</v>
      </c>
      <c r="I224" s="3">
        <f t="shared" si="3"/>
        <v>0</v>
      </c>
    </row>
    <row r="225" spans="1:9" x14ac:dyDescent="0.3">
      <c r="A225" s="9">
        <v>45121</v>
      </c>
      <c r="B225" s="9">
        <v>45121</v>
      </c>
      <c r="C225" t="s">
        <v>1343</v>
      </c>
      <c r="D225" t="s">
        <v>1172</v>
      </c>
      <c r="E225" s="2">
        <v>10</v>
      </c>
      <c r="F225" s="2">
        <v>0</v>
      </c>
      <c r="G225" s="2">
        <v>116967.56</v>
      </c>
      <c r="I225" s="3">
        <f t="shared" si="3"/>
        <v>0</v>
      </c>
    </row>
    <row r="226" spans="1:9" x14ac:dyDescent="0.3">
      <c r="A226" s="9">
        <v>45121</v>
      </c>
      <c r="B226" s="9">
        <v>45121</v>
      </c>
      <c r="C226" t="s">
        <v>1344</v>
      </c>
      <c r="D226" t="s">
        <v>1172</v>
      </c>
      <c r="E226" s="2">
        <v>60</v>
      </c>
      <c r="F226" s="2">
        <v>0</v>
      </c>
      <c r="G226" s="2">
        <v>116907.56</v>
      </c>
      <c r="I226" s="3">
        <f t="shared" si="3"/>
        <v>0</v>
      </c>
    </row>
    <row r="227" spans="1:9" x14ac:dyDescent="0.3">
      <c r="A227" s="9">
        <v>45121</v>
      </c>
      <c r="B227" s="9">
        <v>45121</v>
      </c>
      <c r="C227" t="s">
        <v>1345</v>
      </c>
      <c r="D227" t="s">
        <v>1172</v>
      </c>
      <c r="E227" s="2">
        <v>80</v>
      </c>
      <c r="F227" s="2">
        <v>0</v>
      </c>
      <c r="G227" s="2">
        <v>116827.56</v>
      </c>
      <c r="I227" s="3">
        <f t="shared" si="3"/>
        <v>0</v>
      </c>
    </row>
    <row r="228" spans="1:9" x14ac:dyDescent="0.3">
      <c r="A228" s="9">
        <v>45121</v>
      </c>
      <c r="B228" s="9">
        <v>45121</v>
      </c>
      <c r="C228" t="s">
        <v>1346</v>
      </c>
      <c r="D228" t="s">
        <v>1172</v>
      </c>
      <c r="E228" s="2">
        <v>40</v>
      </c>
      <c r="F228" s="2">
        <v>0</v>
      </c>
      <c r="G228" s="2">
        <v>116787.56</v>
      </c>
      <c r="I228" s="3">
        <f t="shared" si="3"/>
        <v>0</v>
      </c>
    </row>
    <row r="229" spans="1:9" x14ac:dyDescent="0.3">
      <c r="A229" s="9">
        <v>45121</v>
      </c>
      <c r="B229" s="9">
        <v>45121</v>
      </c>
      <c r="C229" t="s">
        <v>1347</v>
      </c>
      <c r="D229" t="s">
        <v>1172</v>
      </c>
      <c r="E229" s="2">
        <v>800</v>
      </c>
      <c r="F229" s="2">
        <v>0</v>
      </c>
      <c r="G229" s="2">
        <v>115987.56</v>
      </c>
      <c r="I229" s="3">
        <f t="shared" si="3"/>
        <v>0</v>
      </c>
    </row>
    <row r="230" spans="1:9" x14ac:dyDescent="0.3">
      <c r="A230" s="9">
        <v>45122</v>
      </c>
      <c r="B230" s="9">
        <v>45122</v>
      </c>
      <c r="C230" t="s">
        <v>1348</v>
      </c>
      <c r="D230" t="s">
        <v>1154</v>
      </c>
      <c r="E230" s="2">
        <v>40</v>
      </c>
      <c r="F230" s="2">
        <v>0</v>
      </c>
      <c r="G230" s="2">
        <v>115947.56</v>
      </c>
      <c r="I230" s="3">
        <f t="shared" si="3"/>
        <v>0</v>
      </c>
    </row>
    <row r="231" spans="1:9" x14ac:dyDescent="0.3">
      <c r="A231" s="9">
        <v>45122</v>
      </c>
      <c r="B231" s="9">
        <v>45122</v>
      </c>
      <c r="C231" t="s">
        <v>1349</v>
      </c>
      <c r="D231" t="s">
        <v>1154</v>
      </c>
      <c r="E231" s="2">
        <v>300</v>
      </c>
      <c r="F231" s="2">
        <v>0</v>
      </c>
      <c r="G231" s="2">
        <v>115647.56</v>
      </c>
      <c r="I231" s="3">
        <f t="shared" si="3"/>
        <v>0</v>
      </c>
    </row>
    <row r="232" spans="1:9" x14ac:dyDescent="0.3">
      <c r="A232" s="9">
        <v>45122</v>
      </c>
      <c r="B232" s="9">
        <v>45122</v>
      </c>
      <c r="C232" t="s">
        <v>1350</v>
      </c>
      <c r="D232" t="s">
        <v>1154</v>
      </c>
      <c r="E232" s="2">
        <v>30</v>
      </c>
      <c r="F232" s="2">
        <v>0</v>
      </c>
      <c r="G232" s="2">
        <v>115617.56</v>
      </c>
      <c r="I232" s="3">
        <f t="shared" si="3"/>
        <v>0</v>
      </c>
    </row>
    <row r="233" spans="1:9" x14ac:dyDescent="0.3">
      <c r="A233" s="9">
        <v>45123</v>
      </c>
      <c r="B233" s="9">
        <v>45123</v>
      </c>
      <c r="C233" t="s">
        <v>1351</v>
      </c>
      <c r="D233" t="s">
        <v>1143</v>
      </c>
      <c r="E233" s="2">
        <v>460</v>
      </c>
      <c r="F233" s="2">
        <v>0</v>
      </c>
      <c r="G233" s="2">
        <v>115157.56</v>
      </c>
      <c r="I233" s="3">
        <f t="shared" si="3"/>
        <v>0</v>
      </c>
    </row>
    <row r="234" spans="1:9" x14ac:dyDescent="0.3">
      <c r="A234" s="9">
        <v>45123</v>
      </c>
      <c r="B234" s="9">
        <v>45123</v>
      </c>
      <c r="C234" t="s">
        <v>1352</v>
      </c>
      <c r="D234" t="s">
        <v>1143</v>
      </c>
      <c r="E234" s="2">
        <v>400</v>
      </c>
      <c r="F234" s="2">
        <v>0</v>
      </c>
      <c r="G234" s="2">
        <v>114757.56</v>
      </c>
      <c r="I234" s="3">
        <f t="shared" si="3"/>
        <v>0</v>
      </c>
    </row>
    <row r="235" spans="1:9" x14ac:dyDescent="0.3">
      <c r="A235" s="9">
        <v>45123</v>
      </c>
      <c r="B235" s="9">
        <v>45123</v>
      </c>
      <c r="C235" t="s">
        <v>1353</v>
      </c>
      <c r="D235" t="s">
        <v>1143</v>
      </c>
      <c r="E235" s="2">
        <v>30</v>
      </c>
      <c r="F235" s="2">
        <v>0</v>
      </c>
      <c r="G235" s="2">
        <v>114727.56</v>
      </c>
      <c r="I235" s="3">
        <f t="shared" si="3"/>
        <v>0</v>
      </c>
    </row>
    <row r="236" spans="1:9" x14ac:dyDescent="0.3">
      <c r="A236" s="9">
        <v>45123</v>
      </c>
      <c r="B236" s="9">
        <v>45123</v>
      </c>
      <c r="C236" t="s">
        <v>1354</v>
      </c>
      <c r="D236" t="s">
        <v>1143</v>
      </c>
      <c r="E236" s="2">
        <v>50</v>
      </c>
      <c r="F236" s="2">
        <v>0</v>
      </c>
      <c r="G236" s="2">
        <v>114677.56</v>
      </c>
      <c r="I236" s="3">
        <f t="shared" si="3"/>
        <v>0</v>
      </c>
    </row>
    <row r="237" spans="1:9" x14ac:dyDescent="0.3">
      <c r="A237" s="9">
        <v>45123</v>
      </c>
      <c r="B237" s="9">
        <v>45123</v>
      </c>
      <c r="C237" t="s">
        <v>1355</v>
      </c>
      <c r="D237" t="s">
        <v>1143</v>
      </c>
      <c r="E237" s="2">
        <v>250</v>
      </c>
      <c r="F237" s="2">
        <v>0</v>
      </c>
      <c r="G237" s="2">
        <v>114427.56</v>
      </c>
      <c r="I237" s="3">
        <f t="shared" si="3"/>
        <v>0</v>
      </c>
    </row>
    <row r="238" spans="1:9" x14ac:dyDescent="0.3">
      <c r="A238" s="9">
        <v>45123</v>
      </c>
      <c r="B238" s="9">
        <v>45123</v>
      </c>
      <c r="C238" t="s">
        <v>1356</v>
      </c>
      <c r="D238" t="s">
        <v>1208</v>
      </c>
      <c r="E238" s="2">
        <v>0</v>
      </c>
      <c r="F238" s="2">
        <v>6</v>
      </c>
      <c r="G238" s="2">
        <v>114433.56</v>
      </c>
      <c r="I238" s="3">
        <f t="shared" si="3"/>
        <v>0</v>
      </c>
    </row>
    <row r="239" spans="1:9" x14ac:dyDescent="0.3">
      <c r="A239" s="9">
        <v>45123</v>
      </c>
      <c r="B239" s="9">
        <v>45123</v>
      </c>
      <c r="C239" t="s">
        <v>1357</v>
      </c>
      <c r="D239" t="s">
        <v>1143</v>
      </c>
      <c r="E239" s="2">
        <v>20</v>
      </c>
      <c r="F239" s="2">
        <v>0</v>
      </c>
      <c r="G239" s="2">
        <v>114413.56</v>
      </c>
      <c r="I239" s="3">
        <f t="shared" si="3"/>
        <v>0</v>
      </c>
    </row>
    <row r="240" spans="1:9" x14ac:dyDescent="0.3">
      <c r="A240" s="9">
        <v>45124</v>
      </c>
      <c r="B240" s="9">
        <v>45124</v>
      </c>
      <c r="C240" t="s">
        <v>1358</v>
      </c>
      <c r="D240" t="s">
        <v>1191</v>
      </c>
      <c r="E240" s="2">
        <v>20</v>
      </c>
      <c r="F240" s="2">
        <v>0</v>
      </c>
      <c r="G240" s="2">
        <v>114393.56</v>
      </c>
      <c r="I240" s="3">
        <f t="shared" si="3"/>
        <v>0</v>
      </c>
    </row>
    <row r="241" spans="1:9" x14ac:dyDescent="0.3">
      <c r="A241" s="9">
        <v>45124</v>
      </c>
      <c r="B241" s="9">
        <v>45124</v>
      </c>
      <c r="C241" t="s">
        <v>1359</v>
      </c>
      <c r="D241" t="s">
        <v>1191</v>
      </c>
      <c r="E241" s="2">
        <v>40</v>
      </c>
      <c r="F241" s="2">
        <v>0</v>
      </c>
      <c r="G241" s="2">
        <v>114353.56</v>
      </c>
      <c r="I241" s="3">
        <f t="shared" si="3"/>
        <v>0</v>
      </c>
    </row>
    <row r="242" spans="1:9" x14ac:dyDescent="0.3">
      <c r="A242" s="9">
        <v>45124</v>
      </c>
      <c r="B242" s="9">
        <v>45124</v>
      </c>
      <c r="C242" t="s">
        <v>1360</v>
      </c>
      <c r="D242" t="s">
        <v>1191</v>
      </c>
      <c r="E242" s="2">
        <v>20</v>
      </c>
      <c r="F242" s="2">
        <v>0</v>
      </c>
      <c r="G242" s="2">
        <v>114333.56</v>
      </c>
      <c r="I242" s="3">
        <f t="shared" si="3"/>
        <v>0</v>
      </c>
    </row>
    <row r="243" spans="1:9" x14ac:dyDescent="0.3">
      <c r="A243" s="9">
        <v>45125</v>
      </c>
      <c r="B243" s="9">
        <v>45125</v>
      </c>
      <c r="C243" t="s">
        <v>1361</v>
      </c>
      <c r="D243" t="s">
        <v>1161</v>
      </c>
      <c r="E243" s="2">
        <v>150</v>
      </c>
      <c r="F243" s="2">
        <v>0</v>
      </c>
      <c r="G243" s="2">
        <v>114183.56</v>
      </c>
      <c r="I243" s="3">
        <f t="shared" si="3"/>
        <v>0</v>
      </c>
    </row>
    <row r="244" spans="1:9" x14ac:dyDescent="0.3">
      <c r="A244" s="9">
        <v>45125</v>
      </c>
      <c r="B244" s="9">
        <v>45125</v>
      </c>
      <c r="C244" t="s">
        <v>1362</v>
      </c>
      <c r="D244" t="s">
        <v>1161</v>
      </c>
      <c r="E244" s="2">
        <v>165</v>
      </c>
      <c r="F244" s="2">
        <v>0</v>
      </c>
      <c r="G244" s="2">
        <v>114018.56</v>
      </c>
      <c r="I244" s="3">
        <f t="shared" si="3"/>
        <v>0</v>
      </c>
    </row>
    <row r="245" spans="1:9" x14ac:dyDescent="0.3">
      <c r="A245" s="9">
        <v>45125</v>
      </c>
      <c r="B245" s="9">
        <v>45125</v>
      </c>
      <c r="C245" t="s">
        <v>1363</v>
      </c>
      <c r="D245" t="s">
        <v>1146</v>
      </c>
      <c r="E245" s="2">
        <v>0</v>
      </c>
      <c r="F245" s="2">
        <v>80</v>
      </c>
      <c r="G245" s="2">
        <v>114098.56</v>
      </c>
      <c r="I245" s="3">
        <f t="shared" si="3"/>
        <v>0</v>
      </c>
    </row>
    <row r="246" spans="1:9" x14ac:dyDescent="0.3">
      <c r="A246" s="9">
        <v>45125</v>
      </c>
      <c r="B246" s="9">
        <v>45125</v>
      </c>
      <c r="C246" t="s">
        <v>1364</v>
      </c>
      <c r="D246" t="s">
        <v>1161</v>
      </c>
      <c r="E246" s="2">
        <v>150</v>
      </c>
      <c r="F246" s="2">
        <v>0</v>
      </c>
      <c r="G246" s="2">
        <v>113948.56</v>
      </c>
      <c r="I246" s="3">
        <f t="shared" si="3"/>
        <v>0</v>
      </c>
    </row>
    <row r="247" spans="1:9" x14ac:dyDescent="0.3">
      <c r="A247" s="9">
        <v>45125</v>
      </c>
      <c r="B247" s="9">
        <v>45125</v>
      </c>
      <c r="C247" t="s">
        <v>1365</v>
      </c>
      <c r="D247" t="s">
        <v>1161</v>
      </c>
      <c r="E247" s="2">
        <v>60</v>
      </c>
      <c r="F247" s="2">
        <v>0</v>
      </c>
      <c r="G247" s="2">
        <v>113888.56</v>
      </c>
      <c r="I247" s="3">
        <f t="shared" si="3"/>
        <v>0</v>
      </c>
    </row>
    <row r="248" spans="1:9" x14ac:dyDescent="0.3">
      <c r="A248" s="9">
        <v>45125</v>
      </c>
      <c r="B248" s="9">
        <v>45125</v>
      </c>
      <c r="C248" t="s">
        <v>1366</v>
      </c>
      <c r="D248" t="s">
        <v>1146</v>
      </c>
      <c r="E248" s="2">
        <v>0</v>
      </c>
      <c r="F248" s="2">
        <v>20</v>
      </c>
      <c r="G248" s="2">
        <v>113908.56</v>
      </c>
      <c r="I248" s="3">
        <f t="shared" si="3"/>
        <v>0</v>
      </c>
    </row>
    <row r="249" spans="1:9" x14ac:dyDescent="0.3">
      <c r="A249" s="9">
        <v>45126</v>
      </c>
      <c r="B249" s="9">
        <v>45126</v>
      </c>
      <c r="C249" t="s">
        <v>1367</v>
      </c>
      <c r="D249" t="s">
        <v>1148</v>
      </c>
      <c r="E249" s="2">
        <v>40</v>
      </c>
      <c r="F249" s="2">
        <v>0</v>
      </c>
      <c r="G249" s="2">
        <v>113868.56</v>
      </c>
      <c r="I249" s="3">
        <f t="shared" si="3"/>
        <v>0</v>
      </c>
    </row>
    <row r="250" spans="1:9" x14ac:dyDescent="0.3">
      <c r="A250" s="9">
        <v>45126</v>
      </c>
      <c r="B250" s="9">
        <v>45126</v>
      </c>
      <c r="C250" t="s">
        <v>1368</v>
      </c>
      <c r="E250" s="2">
        <v>2</v>
      </c>
      <c r="F250" s="2">
        <v>0</v>
      </c>
      <c r="G250" s="2">
        <v>113866.56</v>
      </c>
      <c r="I250" s="3">
        <f t="shared" si="3"/>
        <v>0</v>
      </c>
    </row>
    <row r="251" spans="1:9" x14ac:dyDescent="0.3">
      <c r="A251" s="9">
        <v>45126</v>
      </c>
      <c r="B251" s="9">
        <v>45126</v>
      </c>
      <c r="C251" t="s">
        <v>1369</v>
      </c>
      <c r="D251" t="s">
        <v>1152</v>
      </c>
      <c r="E251" s="2">
        <v>60</v>
      </c>
      <c r="F251" s="2">
        <v>0</v>
      </c>
      <c r="G251" s="2">
        <v>113806.56</v>
      </c>
      <c r="I251" s="3">
        <f t="shared" si="3"/>
        <v>0</v>
      </c>
    </row>
    <row r="252" spans="1:9" x14ac:dyDescent="0.3">
      <c r="A252" s="9">
        <v>45126</v>
      </c>
      <c r="B252" s="9">
        <v>45126</v>
      </c>
      <c r="C252" t="s">
        <v>1370</v>
      </c>
      <c r="D252" t="s">
        <v>1181</v>
      </c>
      <c r="E252" s="2">
        <v>0</v>
      </c>
      <c r="F252" s="2">
        <v>20</v>
      </c>
      <c r="G252" s="2">
        <v>113826.56</v>
      </c>
      <c r="I252" s="3">
        <f t="shared" si="3"/>
        <v>0</v>
      </c>
    </row>
    <row r="253" spans="1:9" x14ac:dyDescent="0.3">
      <c r="A253" s="9">
        <v>45126</v>
      </c>
      <c r="B253" s="9">
        <v>45126</v>
      </c>
      <c r="C253" t="s">
        <v>1371</v>
      </c>
      <c r="D253" t="s">
        <v>1152</v>
      </c>
      <c r="E253" s="2">
        <v>50</v>
      </c>
      <c r="F253" s="2">
        <v>0</v>
      </c>
      <c r="G253" s="2">
        <v>113776.56</v>
      </c>
      <c r="I253" s="3">
        <f t="shared" si="3"/>
        <v>0</v>
      </c>
    </row>
    <row r="254" spans="1:9" x14ac:dyDescent="0.3">
      <c r="A254" s="9">
        <v>45127</v>
      </c>
      <c r="B254" s="9">
        <v>45127</v>
      </c>
      <c r="C254" t="s">
        <v>1372</v>
      </c>
      <c r="D254" t="s">
        <v>1152</v>
      </c>
      <c r="E254" s="2">
        <v>50</v>
      </c>
      <c r="F254" s="2">
        <v>0</v>
      </c>
      <c r="G254" s="2">
        <v>113726.56</v>
      </c>
      <c r="I254" s="3">
        <f t="shared" si="3"/>
        <v>0</v>
      </c>
    </row>
    <row r="255" spans="1:9" x14ac:dyDescent="0.3">
      <c r="A255" s="9">
        <v>45127</v>
      </c>
      <c r="B255" s="9">
        <v>45127</v>
      </c>
      <c r="C255" t="s">
        <v>1373</v>
      </c>
      <c r="D255" t="s">
        <v>1152</v>
      </c>
      <c r="E255" s="2">
        <v>70</v>
      </c>
      <c r="F255" s="2">
        <v>0</v>
      </c>
      <c r="G255" s="2">
        <v>113656.56</v>
      </c>
      <c r="I255" s="3">
        <f t="shared" si="3"/>
        <v>0</v>
      </c>
    </row>
    <row r="256" spans="1:9" x14ac:dyDescent="0.3">
      <c r="A256" s="9">
        <v>45127</v>
      </c>
      <c r="B256" s="9">
        <v>45127</v>
      </c>
      <c r="C256" t="s">
        <v>1374</v>
      </c>
      <c r="D256" t="s">
        <v>1181</v>
      </c>
      <c r="E256" s="2">
        <v>0</v>
      </c>
      <c r="F256" s="2">
        <v>20</v>
      </c>
      <c r="G256" s="2">
        <v>113676.56</v>
      </c>
      <c r="I256" s="3">
        <f t="shared" si="3"/>
        <v>0</v>
      </c>
    </row>
    <row r="257" spans="1:9" x14ac:dyDescent="0.3">
      <c r="A257" s="9">
        <v>45127</v>
      </c>
      <c r="B257" s="9">
        <v>45127</v>
      </c>
      <c r="C257" t="s">
        <v>1375</v>
      </c>
      <c r="D257" t="s">
        <v>1181</v>
      </c>
      <c r="E257" s="2">
        <v>0</v>
      </c>
      <c r="F257" s="2">
        <v>80</v>
      </c>
      <c r="G257" s="2">
        <v>113756.56</v>
      </c>
      <c r="I257" s="3">
        <f t="shared" si="3"/>
        <v>0</v>
      </c>
    </row>
    <row r="258" spans="1:9" x14ac:dyDescent="0.3">
      <c r="A258" s="9">
        <v>45128</v>
      </c>
      <c r="B258" s="9">
        <v>45128</v>
      </c>
      <c r="C258" t="s">
        <v>1376</v>
      </c>
      <c r="D258" t="s">
        <v>1172</v>
      </c>
      <c r="E258" s="2">
        <v>280</v>
      </c>
      <c r="F258" s="2">
        <v>0</v>
      </c>
      <c r="G258" s="2">
        <v>113476.56</v>
      </c>
      <c r="I258" s="3">
        <f t="shared" si="3"/>
        <v>0</v>
      </c>
    </row>
    <row r="259" spans="1:9" x14ac:dyDescent="0.3">
      <c r="A259" s="9">
        <v>45129</v>
      </c>
      <c r="B259" s="9">
        <v>45129</v>
      </c>
      <c r="C259" t="s">
        <v>1377</v>
      </c>
      <c r="D259" t="s">
        <v>1154</v>
      </c>
      <c r="E259" s="2">
        <v>449</v>
      </c>
      <c r="F259" s="2">
        <v>0</v>
      </c>
      <c r="G259" s="2">
        <v>113027.56</v>
      </c>
      <c r="I259" s="3">
        <f t="shared" si="3"/>
        <v>0</v>
      </c>
    </row>
    <row r="260" spans="1:9" x14ac:dyDescent="0.3">
      <c r="A260" s="9">
        <v>45129</v>
      </c>
      <c r="B260" s="9">
        <v>45129</v>
      </c>
      <c r="C260" t="s">
        <v>1378</v>
      </c>
      <c r="D260" t="s">
        <v>1154</v>
      </c>
      <c r="E260" s="2">
        <v>1344</v>
      </c>
      <c r="F260" s="2">
        <v>0</v>
      </c>
      <c r="G260" s="2">
        <v>111683.56</v>
      </c>
      <c r="I260" s="3">
        <f t="shared" si="3"/>
        <v>0</v>
      </c>
    </row>
    <row r="261" spans="1:9" x14ac:dyDescent="0.3">
      <c r="A261" s="9">
        <v>45129</v>
      </c>
      <c r="B261" s="9">
        <v>45129</v>
      </c>
      <c r="C261" t="s">
        <v>1379</v>
      </c>
      <c r="D261" t="s">
        <v>1154</v>
      </c>
      <c r="E261" s="2">
        <v>127</v>
      </c>
      <c r="F261" s="2">
        <v>0</v>
      </c>
      <c r="G261" s="2">
        <v>111556.56</v>
      </c>
      <c r="I261" s="3">
        <f t="shared" si="3"/>
        <v>0</v>
      </c>
    </row>
    <row r="262" spans="1:9" x14ac:dyDescent="0.3">
      <c r="A262" s="9">
        <v>45129</v>
      </c>
      <c r="B262" s="9">
        <v>45129</v>
      </c>
      <c r="C262" t="s">
        <v>1380</v>
      </c>
      <c r="D262" t="s">
        <v>1223</v>
      </c>
      <c r="E262" s="2">
        <v>0</v>
      </c>
      <c r="F262" s="2">
        <v>450</v>
      </c>
      <c r="G262" s="2">
        <v>112006.56</v>
      </c>
      <c r="I262" s="3">
        <f t="shared" si="3"/>
        <v>0</v>
      </c>
    </row>
    <row r="263" spans="1:9" x14ac:dyDescent="0.3">
      <c r="A263" s="9">
        <v>45129</v>
      </c>
      <c r="B263" s="9">
        <v>45129</v>
      </c>
      <c r="C263" t="s">
        <v>1381</v>
      </c>
      <c r="D263" t="s">
        <v>1223</v>
      </c>
      <c r="E263" s="2">
        <v>0</v>
      </c>
      <c r="F263" s="2">
        <v>500</v>
      </c>
      <c r="G263" s="2">
        <v>112506.56</v>
      </c>
      <c r="I263" s="3">
        <f t="shared" si="3"/>
        <v>0</v>
      </c>
    </row>
    <row r="264" spans="1:9" x14ac:dyDescent="0.3">
      <c r="A264" s="9">
        <v>45130</v>
      </c>
      <c r="B264" s="9">
        <v>45130</v>
      </c>
      <c r="C264" t="s">
        <v>1382</v>
      </c>
      <c r="D264" t="s">
        <v>1143</v>
      </c>
      <c r="E264" s="2">
        <v>199</v>
      </c>
      <c r="F264" s="2">
        <v>0</v>
      </c>
      <c r="G264" s="2">
        <v>112307.56</v>
      </c>
      <c r="I264" s="3">
        <f t="shared" si="3"/>
        <v>0</v>
      </c>
    </row>
    <row r="265" spans="1:9" x14ac:dyDescent="0.3">
      <c r="A265" s="9">
        <v>45130</v>
      </c>
      <c r="B265" s="9">
        <v>45130</v>
      </c>
      <c r="C265" t="s">
        <v>1383</v>
      </c>
      <c r="D265" t="s">
        <v>1143</v>
      </c>
      <c r="E265" s="2">
        <v>199</v>
      </c>
      <c r="F265" s="2">
        <v>0</v>
      </c>
      <c r="G265" s="2">
        <v>112108.56</v>
      </c>
      <c r="I265" s="3">
        <f t="shared" si="3"/>
        <v>0</v>
      </c>
    </row>
    <row r="266" spans="1:9" x14ac:dyDescent="0.3">
      <c r="A266" s="9">
        <v>45130</v>
      </c>
      <c r="B266" s="9">
        <v>45130</v>
      </c>
      <c r="C266" t="s">
        <v>1384</v>
      </c>
      <c r="D266" t="s">
        <v>1143</v>
      </c>
      <c r="E266" s="2">
        <v>1347</v>
      </c>
      <c r="F266" s="2">
        <v>0</v>
      </c>
      <c r="G266" s="2">
        <v>110761.56</v>
      </c>
      <c r="I266" s="3">
        <f t="shared" si="3"/>
        <v>0</v>
      </c>
    </row>
    <row r="267" spans="1:9" x14ac:dyDescent="0.3">
      <c r="A267" s="9">
        <v>45130</v>
      </c>
      <c r="B267" s="9">
        <v>45130</v>
      </c>
      <c r="C267" t="s">
        <v>1385</v>
      </c>
      <c r="D267" t="s">
        <v>1143</v>
      </c>
      <c r="E267" s="2">
        <v>40</v>
      </c>
      <c r="F267" s="2">
        <v>0</v>
      </c>
      <c r="G267" s="2">
        <v>110721.56</v>
      </c>
      <c r="I267" s="3">
        <f t="shared" si="3"/>
        <v>0</v>
      </c>
    </row>
    <row r="268" spans="1:9" x14ac:dyDescent="0.3">
      <c r="A268" s="9">
        <v>45130</v>
      </c>
      <c r="B268" s="9">
        <v>45130</v>
      </c>
      <c r="C268" t="s">
        <v>1386</v>
      </c>
      <c r="D268" t="s">
        <v>1143</v>
      </c>
      <c r="E268" s="2">
        <v>265</v>
      </c>
      <c r="F268" s="2">
        <v>0</v>
      </c>
      <c r="G268" s="2">
        <v>110456.56</v>
      </c>
      <c r="I268" s="3">
        <f t="shared" si="3"/>
        <v>0</v>
      </c>
    </row>
    <row r="269" spans="1:9" x14ac:dyDescent="0.3">
      <c r="A269" s="9">
        <v>45130</v>
      </c>
      <c r="B269" s="9">
        <v>45130</v>
      </c>
      <c r="C269" t="s">
        <v>1387</v>
      </c>
      <c r="D269" t="s">
        <v>1143</v>
      </c>
      <c r="E269" s="2">
        <v>2000</v>
      </c>
      <c r="F269" s="2">
        <v>0</v>
      </c>
      <c r="G269" s="2">
        <v>108456.56</v>
      </c>
      <c r="I269" s="3">
        <f t="shared" si="3"/>
        <v>0</v>
      </c>
    </row>
    <row r="270" spans="1:9" x14ac:dyDescent="0.3">
      <c r="A270" s="9">
        <v>45130</v>
      </c>
      <c r="B270" s="9">
        <v>45130</v>
      </c>
      <c r="C270" t="s">
        <v>1388</v>
      </c>
      <c r="D270" t="s">
        <v>1143</v>
      </c>
      <c r="E270" s="2">
        <v>60</v>
      </c>
      <c r="F270" s="2">
        <v>0</v>
      </c>
      <c r="G270" s="2">
        <v>108396.56</v>
      </c>
      <c r="I270" s="3">
        <f t="shared" si="3"/>
        <v>0</v>
      </c>
    </row>
    <row r="271" spans="1:9" x14ac:dyDescent="0.3">
      <c r="A271" s="9">
        <v>45131</v>
      </c>
      <c r="B271" s="9">
        <v>45131</v>
      </c>
      <c r="C271" t="s">
        <v>1389</v>
      </c>
      <c r="D271" t="s">
        <v>1191</v>
      </c>
      <c r="E271" s="2">
        <v>160</v>
      </c>
      <c r="F271" s="2">
        <v>0</v>
      </c>
      <c r="G271" s="2">
        <v>108236.56</v>
      </c>
      <c r="I271" s="3">
        <f t="shared" si="3"/>
        <v>0</v>
      </c>
    </row>
    <row r="272" spans="1:9" x14ac:dyDescent="0.3">
      <c r="A272" s="9">
        <v>45131</v>
      </c>
      <c r="B272" s="9">
        <v>45131</v>
      </c>
      <c r="C272" t="s">
        <v>1390</v>
      </c>
      <c r="D272" t="s">
        <v>1191</v>
      </c>
      <c r="E272" s="2">
        <v>261</v>
      </c>
      <c r="F272" s="2">
        <v>0</v>
      </c>
      <c r="G272" s="2">
        <v>107975.56</v>
      </c>
      <c r="I272" s="3">
        <f t="shared" si="3"/>
        <v>0</v>
      </c>
    </row>
    <row r="273" spans="1:9" x14ac:dyDescent="0.3">
      <c r="A273" s="9">
        <v>45133</v>
      </c>
      <c r="B273" s="9">
        <v>45133</v>
      </c>
      <c r="C273" t="s">
        <v>1391</v>
      </c>
      <c r="D273" t="s">
        <v>1148</v>
      </c>
      <c r="E273" s="2">
        <v>20</v>
      </c>
      <c r="F273" s="2">
        <v>0</v>
      </c>
      <c r="G273" s="2">
        <v>107955.56</v>
      </c>
      <c r="I273" s="3">
        <f t="shared" si="3"/>
        <v>0</v>
      </c>
    </row>
    <row r="274" spans="1:9" x14ac:dyDescent="0.3">
      <c r="A274" s="9">
        <v>45134</v>
      </c>
      <c r="B274" s="9">
        <v>45134</v>
      </c>
      <c r="C274" t="s">
        <v>1392</v>
      </c>
      <c r="D274" t="s">
        <v>1152</v>
      </c>
      <c r="E274" s="2">
        <v>5000.22</v>
      </c>
      <c r="F274" s="2">
        <v>0</v>
      </c>
      <c r="G274" s="2">
        <v>102955.34</v>
      </c>
      <c r="I274" s="3">
        <f t="shared" si="3"/>
        <v>0</v>
      </c>
    </row>
    <row r="275" spans="1:9" x14ac:dyDescent="0.3">
      <c r="A275" s="9">
        <v>45135</v>
      </c>
      <c r="B275" s="9">
        <v>45135</v>
      </c>
      <c r="C275" t="s">
        <v>1393</v>
      </c>
      <c r="E275" s="2">
        <v>0</v>
      </c>
      <c r="F275" s="2">
        <v>2</v>
      </c>
      <c r="G275" s="2">
        <v>102957.34</v>
      </c>
      <c r="I275" s="3">
        <f t="shared" si="3"/>
        <v>0</v>
      </c>
    </row>
    <row r="276" spans="1:9" x14ac:dyDescent="0.3">
      <c r="A276" s="9">
        <v>45135</v>
      </c>
      <c r="B276" s="9">
        <v>45135</v>
      </c>
      <c r="C276" t="s">
        <v>1394</v>
      </c>
      <c r="D276" t="s">
        <v>1184</v>
      </c>
      <c r="E276" s="2">
        <v>0</v>
      </c>
      <c r="F276" s="2">
        <v>2260.2800000000002</v>
      </c>
      <c r="G276" s="2">
        <v>105217.62</v>
      </c>
      <c r="I276" s="3">
        <f t="shared" si="3"/>
        <v>0</v>
      </c>
    </row>
    <row r="277" spans="1:9" x14ac:dyDescent="0.3">
      <c r="A277" s="9">
        <v>45135</v>
      </c>
      <c r="B277" s="9">
        <v>45135</v>
      </c>
      <c r="C277" t="s">
        <v>1395</v>
      </c>
      <c r="D277" t="s">
        <v>1184</v>
      </c>
      <c r="E277" s="2">
        <v>0</v>
      </c>
      <c r="F277" s="2">
        <v>1545.28</v>
      </c>
      <c r="G277" s="2">
        <v>106762.9</v>
      </c>
      <c r="I277" s="3">
        <f t="shared" si="3"/>
        <v>0</v>
      </c>
    </row>
    <row r="278" spans="1:9" x14ac:dyDescent="0.3">
      <c r="A278" s="9">
        <v>45136</v>
      </c>
      <c r="B278" s="9">
        <v>45136</v>
      </c>
      <c r="C278" t="s">
        <v>1396</v>
      </c>
      <c r="D278" t="s">
        <v>1154</v>
      </c>
      <c r="E278" s="2">
        <v>100</v>
      </c>
      <c r="F278" s="2">
        <v>0</v>
      </c>
      <c r="G278" s="2">
        <v>106662.9</v>
      </c>
      <c r="I278" s="3">
        <f t="shared" si="3"/>
        <v>0</v>
      </c>
    </row>
    <row r="279" spans="1:9" x14ac:dyDescent="0.3">
      <c r="A279" s="9">
        <v>45136</v>
      </c>
      <c r="B279" s="9">
        <v>45136</v>
      </c>
      <c r="C279" t="s">
        <v>1397</v>
      </c>
      <c r="D279" t="s">
        <v>1154</v>
      </c>
      <c r="E279" s="2">
        <v>60</v>
      </c>
      <c r="F279" s="2">
        <v>0</v>
      </c>
      <c r="G279" s="2">
        <v>106602.9</v>
      </c>
      <c r="I279" s="3">
        <f t="shared" ref="I279:I319" si="4">G278-E279+F279-G279</f>
        <v>0</v>
      </c>
    </row>
    <row r="280" spans="1:9" x14ac:dyDescent="0.3">
      <c r="A280" s="9">
        <v>45136</v>
      </c>
      <c r="B280" s="9">
        <v>45136</v>
      </c>
      <c r="C280" t="s">
        <v>1398</v>
      </c>
      <c r="D280" t="s">
        <v>1223</v>
      </c>
      <c r="E280" s="2">
        <v>0</v>
      </c>
      <c r="F280" s="2">
        <v>55.28</v>
      </c>
      <c r="G280" s="2">
        <v>106658.18</v>
      </c>
      <c r="I280" s="3">
        <f t="shared" si="4"/>
        <v>0</v>
      </c>
    </row>
    <row r="281" spans="1:9" x14ac:dyDescent="0.3">
      <c r="A281" s="9">
        <v>45137</v>
      </c>
      <c r="B281" s="9">
        <v>45137</v>
      </c>
      <c r="C281" t="s">
        <v>1399</v>
      </c>
      <c r="D281" t="s">
        <v>1208</v>
      </c>
      <c r="E281" s="2">
        <v>0</v>
      </c>
      <c r="F281" s="2">
        <v>130</v>
      </c>
      <c r="G281" s="2">
        <v>106788.18</v>
      </c>
      <c r="I281" s="3">
        <f t="shared" si="4"/>
        <v>0</v>
      </c>
    </row>
    <row r="282" spans="1:9" x14ac:dyDescent="0.3">
      <c r="A282" s="9">
        <v>45137</v>
      </c>
      <c r="B282" s="9">
        <v>45137</v>
      </c>
      <c r="C282" t="s">
        <v>1400</v>
      </c>
      <c r="D282" t="s">
        <v>1143</v>
      </c>
      <c r="E282" s="2">
        <v>50</v>
      </c>
      <c r="F282" s="2">
        <v>0</v>
      </c>
      <c r="G282" s="2">
        <v>106738.18</v>
      </c>
      <c r="I282" s="3">
        <f t="shared" si="4"/>
        <v>0</v>
      </c>
    </row>
    <row r="283" spans="1:9" x14ac:dyDescent="0.3">
      <c r="A283" s="9">
        <v>45137</v>
      </c>
      <c r="B283" s="9">
        <v>45137</v>
      </c>
      <c r="C283" t="s">
        <v>1401</v>
      </c>
      <c r="D283" t="s">
        <v>1143</v>
      </c>
      <c r="E283" s="2">
        <v>100</v>
      </c>
      <c r="F283" s="2">
        <v>0</v>
      </c>
      <c r="G283" s="2">
        <v>106638.18</v>
      </c>
      <c r="I283" s="3">
        <f t="shared" si="4"/>
        <v>0</v>
      </c>
    </row>
    <row r="284" spans="1:9" x14ac:dyDescent="0.3">
      <c r="A284" s="9">
        <v>45138</v>
      </c>
      <c r="B284" s="9">
        <v>45138</v>
      </c>
      <c r="C284" t="s">
        <v>1402</v>
      </c>
      <c r="D284" t="s">
        <v>1191</v>
      </c>
      <c r="E284" s="2">
        <v>50</v>
      </c>
      <c r="F284" s="2">
        <v>0</v>
      </c>
      <c r="G284" s="2">
        <v>106588.18</v>
      </c>
      <c r="I284" s="3">
        <f t="shared" si="4"/>
        <v>0</v>
      </c>
    </row>
    <row r="285" spans="1:9" x14ac:dyDescent="0.3">
      <c r="A285" s="9">
        <v>45138</v>
      </c>
      <c r="B285" s="9">
        <v>45138</v>
      </c>
      <c r="C285" t="s">
        <v>1403</v>
      </c>
      <c r="D285" t="s">
        <v>1191</v>
      </c>
      <c r="E285" s="2">
        <v>270</v>
      </c>
      <c r="F285" s="2">
        <v>0</v>
      </c>
      <c r="G285" s="2">
        <v>106318.18</v>
      </c>
      <c r="I285" s="3">
        <f t="shared" si="4"/>
        <v>0</v>
      </c>
    </row>
    <row r="286" spans="1:9" x14ac:dyDescent="0.3">
      <c r="A286" s="9">
        <v>45138</v>
      </c>
      <c r="B286" s="9">
        <v>45138</v>
      </c>
      <c r="C286" t="s">
        <v>1404</v>
      </c>
      <c r="D286" t="s">
        <v>1191</v>
      </c>
      <c r="E286" s="2">
        <v>1000</v>
      </c>
      <c r="F286" s="2">
        <v>0</v>
      </c>
      <c r="G286" s="2">
        <v>105318.18</v>
      </c>
      <c r="I286" s="3">
        <f t="shared" si="4"/>
        <v>0</v>
      </c>
    </row>
    <row r="287" spans="1:9" x14ac:dyDescent="0.3">
      <c r="A287" s="9">
        <v>45138</v>
      </c>
      <c r="B287" s="9">
        <v>45138</v>
      </c>
      <c r="C287" t="s">
        <v>1405</v>
      </c>
      <c r="D287" t="s">
        <v>1191</v>
      </c>
      <c r="E287" s="2">
        <v>350</v>
      </c>
      <c r="F287" s="2">
        <v>0</v>
      </c>
      <c r="G287" s="2">
        <v>104968.18</v>
      </c>
      <c r="I287" s="3">
        <f t="shared" si="4"/>
        <v>0</v>
      </c>
    </row>
    <row r="288" spans="1:9" x14ac:dyDescent="0.3">
      <c r="A288" s="9">
        <v>45139</v>
      </c>
      <c r="B288" s="9">
        <v>45139</v>
      </c>
      <c r="C288" t="s">
        <v>1406</v>
      </c>
      <c r="D288" t="s">
        <v>1148</v>
      </c>
      <c r="E288" s="2">
        <v>20</v>
      </c>
      <c r="F288" s="2">
        <v>0</v>
      </c>
      <c r="G288" s="2">
        <v>104948.18</v>
      </c>
      <c r="I288" s="3">
        <f t="shared" si="4"/>
        <v>0</v>
      </c>
    </row>
    <row r="289" spans="1:9" x14ac:dyDescent="0.3">
      <c r="A289" s="9">
        <v>45140</v>
      </c>
      <c r="B289" s="9">
        <v>45140</v>
      </c>
      <c r="C289" t="s">
        <v>1407</v>
      </c>
      <c r="D289" t="s">
        <v>1148</v>
      </c>
      <c r="E289" s="2">
        <v>24687</v>
      </c>
      <c r="F289" s="2">
        <v>0</v>
      </c>
      <c r="G289" s="2">
        <v>80261.179999999993</v>
      </c>
      <c r="I289" s="3">
        <f t="shared" si="4"/>
        <v>0</v>
      </c>
    </row>
    <row r="290" spans="1:9" x14ac:dyDescent="0.3">
      <c r="A290" s="9">
        <v>45140</v>
      </c>
      <c r="B290" s="9">
        <v>45140</v>
      </c>
      <c r="C290" t="s">
        <v>1408</v>
      </c>
      <c r="D290" t="s">
        <v>1148</v>
      </c>
      <c r="E290" s="2">
        <v>10</v>
      </c>
      <c r="F290" s="2">
        <v>0</v>
      </c>
      <c r="G290" s="2">
        <v>80251.179999999993</v>
      </c>
      <c r="I290" s="3">
        <f t="shared" si="4"/>
        <v>0</v>
      </c>
    </row>
    <row r="291" spans="1:9" x14ac:dyDescent="0.3">
      <c r="A291" s="9">
        <v>45140</v>
      </c>
      <c r="B291" s="9">
        <v>45140</v>
      </c>
      <c r="C291" t="s">
        <v>1409</v>
      </c>
      <c r="D291" t="s">
        <v>1148</v>
      </c>
      <c r="E291" s="2">
        <v>40</v>
      </c>
      <c r="F291" s="2">
        <v>0</v>
      </c>
      <c r="G291" s="2">
        <v>80211.179999999993</v>
      </c>
      <c r="I291" s="3">
        <f t="shared" si="4"/>
        <v>0</v>
      </c>
    </row>
    <row r="292" spans="1:9" x14ac:dyDescent="0.3">
      <c r="A292" s="9">
        <v>45141</v>
      </c>
      <c r="B292" s="9">
        <v>45141</v>
      </c>
      <c r="C292" t="s">
        <v>1410</v>
      </c>
      <c r="D292" t="s">
        <v>1152</v>
      </c>
      <c r="E292" s="2">
        <v>140</v>
      </c>
      <c r="F292" s="2">
        <v>0</v>
      </c>
      <c r="G292" s="2">
        <v>80071.179999999993</v>
      </c>
      <c r="I292" s="3">
        <f t="shared" si="4"/>
        <v>0</v>
      </c>
    </row>
    <row r="293" spans="1:9" x14ac:dyDescent="0.3">
      <c r="A293" s="9">
        <v>45141</v>
      </c>
      <c r="B293" s="9">
        <v>45141</v>
      </c>
      <c r="C293" t="s">
        <v>1411</v>
      </c>
      <c r="D293" t="s">
        <v>1152</v>
      </c>
      <c r="E293" s="2">
        <v>785</v>
      </c>
      <c r="F293" s="2">
        <v>0</v>
      </c>
      <c r="G293" s="2">
        <v>79286.179999999993</v>
      </c>
      <c r="I293" s="3">
        <f t="shared" si="4"/>
        <v>0</v>
      </c>
    </row>
    <row r="294" spans="1:9" x14ac:dyDescent="0.3">
      <c r="A294" s="9">
        <v>45141</v>
      </c>
      <c r="B294" s="9">
        <v>45141</v>
      </c>
      <c r="C294" t="s">
        <v>1412</v>
      </c>
      <c r="D294" t="s">
        <v>1152</v>
      </c>
      <c r="E294" s="2">
        <v>135</v>
      </c>
      <c r="F294" s="2">
        <v>0</v>
      </c>
      <c r="G294" s="2">
        <v>79151.179999999993</v>
      </c>
      <c r="I294" s="3">
        <f t="shared" si="4"/>
        <v>0</v>
      </c>
    </row>
    <row r="295" spans="1:9" x14ac:dyDescent="0.3">
      <c r="A295" s="9">
        <v>45141</v>
      </c>
      <c r="B295" s="9">
        <v>45141</v>
      </c>
      <c r="C295" t="s">
        <v>1413</v>
      </c>
      <c r="D295" t="s">
        <v>1152</v>
      </c>
      <c r="E295" s="2">
        <v>20</v>
      </c>
      <c r="F295" s="2">
        <v>0</v>
      </c>
      <c r="G295" s="2">
        <v>79131.179999999993</v>
      </c>
      <c r="I295" s="3">
        <f t="shared" si="4"/>
        <v>0</v>
      </c>
    </row>
    <row r="296" spans="1:9" x14ac:dyDescent="0.3">
      <c r="A296" s="9">
        <v>45142</v>
      </c>
      <c r="B296" s="9">
        <v>45142</v>
      </c>
      <c r="C296" t="s">
        <v>1414</v>
      </c>
      <c r="D296" t="s">
        <v>1172</v>
      </c>
      <c r="E296" s="2">
        <v>50</v>
      </c>
      <c r="F296" s="2">
        <v>0</v>
      </c>
      <c r="G296" s="2">
        <v>79081.179999999993</v>
      </c>
      <c r="I296" s="3">
        <f t="shared" si="4"/>
        <v>0</v>
      </c>
    </row>
    <row r="297" spans="1:9" x14ac:dyDescent="0.3">
      <c r="A297" s="9">
        <v>45142</v>
      </c>
      <c r="B297" s="9">
        <v>45142</v>
      </c>
      <c r="C297" t="s">
        <v>1415</v>
      </c>
      <c r="E297" s="2">
        <v>0</v>
      </c>
      <c r="F297" s="2">
        <v>60</v>
      </c>
      <c r="G297" s="2">
        <v>79141.179999999993</v>
      </c>
      <c r="I297" s="3">
        <f t="shared" si="4"/>
        <v>0</v>
      </c>
    </row>
    <row r="298" spans="1:9" x14ac:dyDescent="0.3">
      <c r="A298" s="9">
        <v>45142</v>
      </c>
      <c r="B298" s="9">
        <v>45142</v>
      </c>
      <c r="C298" t="s">
        <v>1416</v>
      </c>
      <c r="E298" s="2">
        <v>0</v>
      </c>
      <c r="F298" s="2">
        <v>30</v>
      </c>
      <c r="G298" s="2">
        <v>79171.179999999993</v>
      </c>
      <c r="I298" s="3">
        <f t="shared" si="4"/>
        <v>0</v>
      </c>
    </row>
    <row r="299" spans="1:9" x14ac:dyDescent="0.3">
      <c r="A299" s="9">
        <v>45142</v>
      </c>
      <c r="B299" s="9">
        <v>45142</v>
      </c>
      <c r="C299" t="s">
        <v>1417</v>
      </c>
      <c r="D299" t="s">
        <v>1172</v>
      </c>
      <c r="E299" s="2">
        <v>20</v>
      </c>
      <c r="F299" s="2">
        <v>0</v>
      </c>
      <c r="G299" s="2">
        <v>79151.179999999993</v>
      </c>
      <c r="I299" s="3">
        <f t="shared" si="4"/>
        <v>0</v>
      </c>
    </row>
    <row r="300" spans="1:9" x14ac:dyDescent="0.3">
      <c r="A300" s="9">
        <v>45142</v>
      </c>
      <c r="B300" s="9">
        <v>45142</v>
      </c>
      <c r="C300" t="s">
        <v>1418</v>
      </c>
      <c r="D300" t="s">
        <v>1184</v>
      </c>
      <c r="E300" s="2">
        <v>0</v>
      </c>
      <c r="F300" s="2">
        <v>20</v>
      </c>
      <c r="G300" s="2">
        <v>79171.179999999993</v>
      </c>
      <c r="I300" s="3">
        <f t="shared" si="4"/>
        <v>0</v>
      </c>
    </row>
    <row r="301" spans="1:9" x14ac:dyDescent="0.3">
      <c r="A301" s="9">
        <v>45142</v>
      </c>
      <c r="B301" s="9">
        <v>45142</v>
      </c>
      <c r="C301" t="s">
        <v>1419</v>
      </c>
      <c r="D301" t="s">
        <v>1172</v>
      </c>
      <c r="E301" s="2">
        <v>2493.9499999999998</v>
      </c>
      <c r="F301" s="2">
        <v>0</v>
      </c>
      <c r="G301" s="2">
        <v>76677.23</v>
      </c>
      <c r="I301" s="3">
        <f t="shared" si="4"/>
        <v>0</v>
      </c>
    </row>
    <row r="302" spans="1:9" x14ac:dyDescent="0.3">
      <c r="A302" s="9">
        <v>45145</v>
      </c>
      <c r="B302" s="9">
        <v>45145</v>
      </c>
      <c r="C302" t="s">
        <v>1420</v>
      </c>
      <c r="D302" t="s">
        <v>1332</v>
      </c>
      <c r="E302" s="2">
        <v>0</v>
      </c>
      <c r="F302" s="2">
        <v>2260.2800000000002</v>
      </c>
      <c r="G302" s="2">
        <v>78937.509999999995</v>
      </c>
      <c r="I302" s="3">
        <f t="shared" si="4"/>
        <v>0</v>
      </c>
    </row>
    <row r="303" spans="1:9" x14ac:dyDescent="0.3">
      <c r="A303" s="9">
        <v>45146</v>
      </c>
      <c r="B303" s="9">
        <v>45146</v>
      </c>
      <c r="C303" t="s">
        <v>1421</v>
      </c>
      <c r="D303" t="s">
        <v>1161</v>
      </c>
      <c r="E303" s="2">
        <v>50</v>
      </c>
      <c r="F303" s="2">
        <v>0</v>
      </c>
      <c r="G303" s="2">
        <v>78887.509999999995</v>
      </c>
      <c r="I303" s="3">
        <f t="shared" si="4"/>
        <v>0</v>
      </c>
    </row>
    <row r="304" spans="1:9" x14ac:dyDescent="0.3">
      <c r="A304" s="9">
        <v>45147</v>
      </c>
      <c r="B304" s="9">
        <v>45147</v>
      </c>
      <c r="C304" t="s">
        <v>1422</v>
      </c>
      <c r="D304" t="s">
        <v>1148</v>
      </c>
      <c r="E304" s="2">
        <v>20</v>
      </c>
      <c r="F304" s="2">
        <v>0</v>
      </c>
      <c r="G304" s="2">
        <v>78867.509999999995</v>
      </c>
      <c r="I304" s="3">
        <f t="shared" si="4"/>
        <v>0</v>
      </c>
    </row>
    <row r="305" spans="1:9" x14ac:dyDescent="0.3">
      <c r="A305" s="9">
        <v>45147</v>
      </c>
      <c r="B305" s="9">
        <v>45147</v>
      </c>
      <c r="C305" t="s">
        <v>1423</v>
      </c>
      <c r="D305" t="s">
        <v>1148</v>
      </c>
      <c r="E305" s="2">
        <v>5000</v>
      </c>
      <c r="F305" s="2">
        <v>0</v>
      </c>
      <c r="G305" s="2">
        <v>73867.509999999995</v>
      </c>
      <c r="I305" s="3">
        <f t="shared" si="4"/>
        <v>0</v>
      </c>
    </row>
    <row r="306" spans="1:9" x14ac:dyDescent="0.3">
      <c r="A306" s="9">
        <v>45148</v>
      </c>
      <c r="B306" s="9">
        <v>45148</v>
      </c>
      <c r="C306" t="s">
        <v>1424</v>
      </c>
      <c r="D306" t="s">
        <v>1152</v>
      </c>
      <c r="E306" s="2">
        <v>475</v>
      </c>
      <c r="F306" s="2">
        <v>0</v>
      </c>
      <c r="G306" s="2">
        <v>73392.509999999995</v>
      </c>
      <c r="I306" s="3">
        <f t="shared" si="4"/>
        <v>0</v>
      </c>
    </row>
    <row r="307" spans="1:9" x14ac:dyDescent="0.3">
      <c r="A307" s="9">
        <v>45148</v>
      </c>
      <c r="B307" s="9">
        <v>45148</v>
      </c>
      <c r="C307" t="s">
        <v>1425</v>
      </c>
      <c r="D307" t="s">
        <v>1181</v>
      </c>
      <c r="E307" s="2">
        <v>0</v>
      </c>
      <c r="F307" s="2">
        <v>475</v>
      </c>
      <c r="G307" s="2">
        <v>73867.509999999995</v>
      </c>
      <c r="I307" s="3">
        <f t="shared" si="4"/>
        <v>0</v>
      </c>
    </row>
    <row r="308" spans="1:9" x14ac:dyDescent="0.3">
      <c r="A308" s="9">
        <v>45149</v>
      </c>
      <c r="B308" s="9">
        <v>45149</v>
      </c>
      <c r="C308" t="s">
        <v>1426</v>
      </c>
      <c r="D308" t="s">
        <v>1172</v>
      </c>
      <c r="E308" s="2">
        <v>1500</v>
      </c>
      <c r="F308" s="2">
        <v>0</v>
      </c>
      <c r="G308" s="2">
        <v>72367.509999999995</v>
      </c>
      <c r="I308" s="3">
        <f t="shared" si="4"/>
        <v>0</v>
      </c>
    </row>
    <row r="309" spans="1:9" x14ac:dyDescent="0.3">
      <c r="A309" s="9">
        <v>45151</v>
      </c>
      <c r="B309" s="9">
        <v>45151</v>
      </c>
      <c r="C309" t="s">
        <v>1427</v>
      </c>
      <c r="D309" t="s">
        <v>1143</v>
      </c>
      <c r="E309" s="2">
        <v>605</v>
      </c>
      <c r="F309" s="2">
        <v>0</v>
      </c>
      <c r="G309" s="2">
        <v>71762.509999999995</v>
      </c>
      <c r="I309" s="3">
        <f t="shared" si="4"/>
        <v>0</v>
      </c>
    </row>
    <row r="310" spans="1:9" x14ac:dyDescent="0.3">
      <c r="A310" s="9">
        <v>45151</v>
      </c>
      <c r="B310" s="9">
        <v>45151</v>
      </c>
      <c r="C310" t="s">
        <v>1428</v>
      </c>
      <c r="D310" t="s">
        <v>1143</v>
      </c>
      <c r="E310" s="2">
        <v>475</v>
      </c>
      <c r="F310" s="2">
        <v>0</v>
      </c>
      <c r="G310" s="2">
        <v>71287.509999999995</v>
      </c>
      <c r="I310" s="3">
        <f t="shared" si="4"/>
        <v>0</v>
      </c>
    </row>
    <row r="311" spans="1:9" x14ac:dyDescent="0.3">
      <c r="A311" s="9">
        <v>45152</v>
      </c>
      <c r="B311" s="9">
        <v>45152</v>
      </c>
      <c r="C311" t="s">
        <v>1429</v>
      </c>
      <c r="D311" t="s">
        <v>1191</v>
      </c>
      <c r="E311" s="2">
        <v>122</v>
      </c>
      <c r="F311" s="2">
        <v>0</v>
      </c>
      <c r="G311" s="2">
        <v>71165.509999999995</v>
      </c>
      <c r="I311" s="3">
        <f t="shared" si="4"/>
        <v>0</v>
      </c>
    </row>
    <row r="312" spans="1:9" x14ac:dyDescent="0.3">
      <c r="A312" s="9">
        <v>45152</v>
      </c>
      <c r="B312" s="9">
        <v>45152</v>
      </c>
      <c r="C312" t="s">
        <v>1430</v>
      </c>
      <c r="E312" s="2">
        <v>0</v>
      </c>
      <c r="F312" s="2">
        <v>95</v>
      </c>
      <c r="G312" s="2">
        <v>71260.509999999995</v>
      </c>
      <c r="I312" s="3">
        <f t="shared" si="4"/>
        <v>0</v>
      </c>
    </row>
    <row r="313" spans="1:9" x14ac:dyDescent="0.3">
      <c r="A313" s="9">
        <v>45152</v>
      </c>
      <c r="B313" s="9">
        <v>45152</v>
      </c>
      <c r="C313" t="s">
        <v>1431</v>
      </c>
      <c r="D313" t="s">
        <v>1191</v>
      </c>
      <c r="E313" s="2">
        <v>80</v>
      </c>
      <c r="F313" s="2">
        <v>0</v>
      </c>
      <c r="G313" s="2">
        <v>71180.509999999995</v>
      </c>
      <c r="I313" s="3">
        <f t="shared" si="4"/>
        <v>0</v>
      </c>
    </row>
    <row r="314" spans="1:9" x14ac:dyDescent="0.3">
      <c r="A314" s="9">
        <v>45154</v>
      </c>
      <c r="B314" s="9">
        <v>45154</v>
      </c>
      <c r="C314" t="s">
        <v>1432</v>
      </c>
      <c r="D314" t="s">
        <v>1148</v>
      </c>
      <c r="E314" s="2">
        <v>200</v>
      </c>
      <c r="F314" s="2">
        <v>0</v>
      </c>
      <c r="G314" s="2">
        <v>70980.509999999995</v>
      </c>
      <c r="I314" s="3">
        <f t="shared" si="4"/>
        <v>0</v>
      </c>
    </row>
    <row r="315" spans="1:9" x14ac:dyDescent="0.3">
      <c r="A315" s="9">
        <v>45154</v>
      </c>
      <c r="B315" s="9">
        <v>45154</v>
      </c>
      <c r="C315" t="s">
        <v>1433</v>
      </c>
      <c r="D315" t="s">
        <v>1148</v>
      </c>
      <c r="E315" s="2">
        <v>50</v>
      </c>
      <c r="F315" s="2">
        <v>0</v>
      </c>
      <c r="G315" s="2">
        <v>70930.509999999995</v>
      </c>
      <c r="I315" s="3">
        <f t="shared" si="4"/>
        <v>0</v>
      </c>
    </row>
    <row r="316" spans="1:9" x14ac:dyDescent="0.3">
      <c r="A316" s="9">
        <v>45155</v>
      </c>
      <c r="B316" s="9">
        <v>45155</v>
      </c>
      <c r="C316" t="s">
        <v>1434</v>
      </c>
      <c r="D316" t="s">
        <v>1152</v>
      </c>
      <c r="E316" s="2">
        <v>250</v>
      </c>
      <c r="F316" s="2">
        <v>0</v>
      </c>
      <c r="G316" s="2">
        <v>70680.509999999995</v>
      </c>
      <c r="I316" s="3">
        <f t="shared" si="4"/>
        <v>0</v>
      </c>
    </row>
    <row r="317" spans="1:9" x14ac:dyDescent="0.3">
      <c r="A317" s="9">
        <v>45155</v>
      </c>
      <c r="B317" s="9">
        <v>45155</v>
      </c>
      <c r="C317" t="s">
        <v>1435</v>
      </c>
      <c r="D317" t="s">
        <v>1152</v>
      </c>
      <c r="E317" s="2">
        <v>2266</v>
      </c>
      <c r="F317" s="2">
        <v>0</v>
      </c>
      <c r="G317" s="2">
        <v>68414.509999999995</v>
      </c>
      <c r="I317" s="3">
        <f t="shared" si="4"/>
        <v>0</v>
      </c>
    </row>
    <row r="318" spans="1:9" x14ac:dyDescent="0.3">
      <c r="A318" s="9">
        <v>45156</v>
      </c>
      <c r="B318" s="9">
        <v>45156</v>
      </c>
      <c r="C318" t="s">
        <v>1436</v>
      </c>
      <c r="D318" t="s">
        <v>1172</v>
      </c>
      <c r="E318" s="2">
        <v>101.8</v>
      </c>
      <c r="F318" s="2">
        <v>0</v>
      </c>
      <c r="G318" s="2">
        <v>68312.710000000006</v>
      </c>
      <c r="I318" s="3">
        <f t="shared" si="4"/>
        <v>0</v>
      </c>
    </row>
    <row r="319" spans="1:9" x14ac:dyDescent="0.3">
      <c r="A319" s="9">
        <v>45156</v>
      </c>
      <c r="B319" s="9">
        <v>45156</v>
      </c>
      <c r="C319" t="s">
        <v>1437</v>
      </c>
      <c r="D319" t="s">
        <v>1172</v>
      </c>
      <c r="E319" s="2">
        <v>197</v>
      </c>
      <c r="F319" s="2">
        <v>0</v>
      </c>
      <c r="G319" s="2">
        <v>68115.710000000006</v>
      </c>
      <c r="I319" s="3">
        <f t="shared" si="4"/>
        <v>0</v>
      </c>
    </row>
    <row r="321" spans="1:1" x14ac:dyDescent="0.3">
      <c r="A321" t="s">
        <v>1086</v>
      </c>
    </row>
  </sheetData>
  <autoFilter ref="A20:G319" xr:uid="{00000000-0009-0000-00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3A9E0-A346-4D28-9C82-57A5FFC98F17}">
  <sheetPr filterMode="1"/>
  <dimension ref="A1:O2181"/>
  <sheetViews>
    <sheetView workbookViewId="0">
      <selection activeCell="D2" sqref="D2"/>
    </sheetView>
  </sheetViews>
  <sheetFormatPr defaultRowHeight="14.4" x14ac:dyDescent="0.3"/>
  <cols>
    <col min="1" max="1" width="10.33203125" bestFit="1" customWidth="1"/>
    <col min="2" max="2" width="47.88671875" bestFit="1" customWidth="1"/>
    <col min="3" max="3" width="47.88671875" customWidth="1"/>
    <col min="4" max="4" width="12.33203125" bestFit="1" customWidth="1"/>
    <col min="5" max="5" width="13.109375" bestFit="1" customWidth="1"/>
    <col min="6" max="6" width="13.77734375" bestFit="1" customWidth="1"/>
    <col min="7" max="7" width="12.5546875" bestFit="1" customWidth="1"/>
    <col min="8" max="8" width="12.5546875" customWidth="1"/>
    <col min="9" max="9" width="9.77734375" bestFit="1" customWidth="1"/>
    <col min="10" max="10" width="9.77734375" customWidth="1"/>
  </cols>
  <sheetData>
    <row r="1" spans="1:15" x14ac:dyDescent="0.3">
      <c r="A1" s="19" t="s">
        <v>2394</v>
      </c>
      <c r="D1">
        <f>SUBTOTAL(9,D4:D1048576)</f>
        <v>24000</v>
      </c>
      <c r="E1">
        <f>SUBTOTAL(9,E4:E1048576)</f>
        <v>0</v>
      </c>
    </row>
    <row r="2" spans="1:15" x14ac:dyDescent="0.3">
      <c r="A2" s="19" t="s">
        <v>2648</v>
      </c>
      <c r="D2" s="2">
        <f>SUM(D4:D1048576)</f>
        <v>4659241.2000000039</v>
      </c>
      <c r="E2" s="2">
        <f>SUM(E4:E1048576)</f>
        <v>4598826.1999999993</v>
      </c>
      <c r="F2" s="2">
        <f>E2-D2</f>
        <v>-60415.000000004657</v>
      </c>
      <c r="J2">
        <f>SUBTOTAL(9,J3:J2146)</f>
        <v>0</v>
      </c>
    </row>
    <row r="3" spans="1:15" x14ac:dyDescent="0.3">
      <c r="A3" s="6" t="s">
        <v>2395</v>
      </c>
      <c r="B3" t="s">
        <v>1529</v>
      </c>
      <c r="C3" s="6" t="s">
        <v>2396</v>
      </c>
      <c r="D3" s="6" t="s">
        <v>19</v>
      </c>
      <c r="E3" t="s">
        <v>20</v>
      </c>
      <c r="F3" s="6" t="s">
        <v>1082</v>
      </c>
      <c r="G3" s="20" t="s">
        <v>2397</v>
      </c>
      <c r="H3" s="20"/>
      <c r="I3" s="6" t="s">
        <v>2398</v>
      </c>
      <c r="J3" s="6"/>
    </row>
    <row r="4" spans="1:15" hidden="1" x14ac:dyDescent="0.3">
      <c r="A4" s="21">
        <v>45017</v>
      </c>
      <c r="B4" t="s">
        <v>129</v>
      </c>
      <c r="C4" s="22"/>
      <c r="D4" s="23">
        <v>50000</v>
      </c>
      <c r="E4" s="23">
        <v>0</v>
      </c>
      <c r="F4" s="23">
        <v>33618.17</v>
      </c>
      <c r="G4" s="22" t="s">
        <v>2402</v>
      </c>
      <c r="H4" s="22">
        <v>1</v>
      </c>
      <c r="I4" t="s">
        <v>2403</v>
      </c>
      <c r="J4" s="24">
        <f>F4-E4+D4</f>
        <v>83618.17</v>
      </c>
      <c r="O4" t="s">
        <v>2401</v>
      </c>
    </row>
    <row r="5" spans="1:15" hidden="1" x14ac:dyDescent="0.3">
      <c r="A5" s="21">
        <v>45017</v>
      </c>
      <c r="B5" t="s">
        <v>1096</v>
      </c>
      <c r="C5" s="22" t="s">
        <v>1097</v>
      </c>
      <c r="D5" s="23">
        <v>0</v>
      </c>
      <c r="E5" s="23">
        <v>95</v>
      </c>
      <c r="F5" s="23">
        <v>124490.27</v>
      </c>
      <c r="G5" s="22" t="s">
        <v>2399</v>
      </c>
      <c r="H5" s="22">
        <v>1</v>
      </c>
      <c r="I5" t="s">
        <v>2400</v>
      </c>
      <c r="J5" s="24">
        <f>F5-E5+D5</f>
        <v>124395.27</v>
      </c>
      <c r="K5" s="24">
        <f t="shared" ref="K5:K28" si="0">F4-D5+E5-F5</f>
        <v>-90777.1</v>
      </c>
      <c r="O5" t="s">
        <v>2400</v>
      </c>
    </row>
    <row r="6" spans="1:15" hidden="1" x14ac:dyDescent="0.3">
      <c r="A6" s="21">
        <v>45017</v>
      </c>
      <c r="B6" t="s">
        <v>1098</v>
      </c>
      <c r="C6" s="22" t="s">
        <v>1099</v>
      </c>
      <c r="D6" s="23">
        <v>70</v>
      </c>
      <c r="E6" s="23">
        <v>0</v>
      </c>
      <c r="F6" s="23">
        <v>124420.27</v>
      </c>
      <c r="G6" s="22" t="s">
        <v>2399</v>
      </c>
      <c r="H6" s="22"/>
      <c r="I6" t="s">
        <v>2400</v>
      </c>
      <c r="K6" s="24">
        <f t="shared" si="0"/>
        <v>0</v>
      </c>
      <c r="O6" t="s">
        <v>2403</v>
      </c>
    </row>
    <row r="7" spans="1:15" hidden="1" x14ac:dyDescent="0.3">
      <c r="A7" s="21">
        <v>45018</v>
      </c>
      <c r="B7" t="s">
        <v>24</v>
      </c>
      <c r="C7" s="22"/>
      <c r="D7" s="23">
        <v>0</v>
      </c>
      <c r="E7" s="23">
        <v>50000</v>
      </c>
      <c r="F7" s="23">
        <v>75508.679999999993</v>
      </c>
      <c r="G7" s="22" t="s">
        <v>2402</v>
      </c>
      <c r="H7" s="22">
        <v>1</v>
      </c>
      <c r="I7" t="s">
        <v>2404</v>
      </c>
      <c r="J7" s="24">
        <f>F7-E7+D7</f>
        <v>25508.679999999993</v>
      </c>
      <c r="K7" s="24">
        <f t="shared" si="0"/>
        <v>98911.590000000026</v>
      </c>
      <c r="O7" t="s">
        <v>2404</v>
      </c>
    </row>
    <row r="8" spans="1:15" hidden="1" x14ac:dyDescent="0.3">
      <c r="A8" s="21">
        <v>45018</v>
      </c>
      <c r="B8" t="s">
        <v>1100</v>
      </c>
      <c r="C8" s="22" t="s">
        <v>1101</v>
      </c>
      <c r="D8" s="23">
        <v>90</v>
      </c>
      <c r="E8" s="23">
        <v>0</v>
      </c>
      <c r="F8" s="23">
        <v>124330.27</v>
      </c>
      <c r="G8" s="22" t="s">
        <v>2399</v>
      </c>
      <c r="H8" s="22"/>
      <c r="I8" t="s">
        <v>2400</v>
      </c>
      <c r="K8" s="24">
        <f t="shared" si="0"/>
        <v>-48911.590000000011</v>
      </c>
    </row>
    <row r="9" spans="1:15" hidden="1" x14ac:dyDescent="0.3">
      <c r="A9" s="21">
        <v>45018</v>
      </c>
      <c r="B9" t="s">
        <v>1102</v>
      </c>
      <c r="C9" s="22" t="s">
        <v>1103</v>
      </c>
      <c r="D9" s="23">
        <v>0</v>
      </c>
      <c r="E9" s="23">
        <v>30</v>
      </c>
      <c r="F9" s="23">
        <v>124360.27</v>
      </c>
      <c r="G9" s="22" t="s">
        <v>2399</v>
      </c>
      <c r="H9" s="22"/>
      <c r="I9" t="s">
        <v>2400</v>
      </c>
      <c r="K9" s="24">
        <f t="shared" si="0"/>
        <v>0</v>
      </c>
    </row>
    <row r="10" spans="1:15" hidden="1" x14ac:dyDescent="0.3">
      <c r="A10" s="21">
        <v>45018</v>
      </c>
      <c r="B10" t="s">
        <v>1104</v>
      </c>
      <c r="C10" s="22" t="s">
        <v>1105</v>
      </c>
      <c r="D10" s="23">
        <v>210</v>
      </c>
      <c r="E10" s="23">
        <v>0</v>
      </c>
      <c r="F10" s="23">
        <v>124150.27</v>
      </c>
      <c r="G10" s="22" t="s">
        <v>2399</v>
      </c>
      <c r="H10" s="22"/>
      <c r="I10" t="s">
        <v>2400</v>
      </c>
      <c r="K10" s="24">
        <f t="shared" si="0"/>
        <v>0</v>
      </c>
    </row>
    <row r="11" spans="1:15" hidden="1" x14ac:dyDescent="0.3">
      <c r="A11" s="21">
        <v>45018</v>
      </c>
      <c r="B11" t="s">
        <v>1106</v>
      </c>
      <c r="C11" s="22" t="s">
        <v>1107</v>
      </c>
      <c r="D11" s="23">
        <v>459</v>
      </c>
      <c r="E11" s="23">
        <v>0</v>
      </c>
      <c r="F11" s="23">
        <v>123691.27</v>
      </c>
      <c r="G11" s="22" t="s">
        <v>2399</v>
      </c>
      <c r="H11" s="22"/>
      <c r="I11" t="s">
        <v>2400</v>
      </c>
      <c r="K11" s="24">
        <f t="shared" si="0"/>
        <v>0</v>
      </c>
    </row>
    <row r="12" spans="1:15" hidden="1" x14ac:dyDescent="0.3">
      <c r="A12" s="21">
        <v>45018</v>
      </c>
      <c r="B12" t="s">
        <v>1108</v>
      </c>
      <c r="C12" s="22" t="s">
        <v>1109</v>
      </c>
      <c r="D12" s="23">
        <v>71</v>
      </c>
      <c r="E12" s="23">
        <v>0</v>
      </c>
      <c r="F12" s="23">
        <v>123620.27</v>
      </c>
      <c r="G12" s="22" t="s">
        <v>2399</v>
      </c>
      <c r="H12" s="22"/>
      <c r="I12" t="s">
        <v>2400</v>
      </c>
      <c r="K12" s="24">
        <f t="shared" si="0"/>
        <v>0</v>
      </c>
    </row>
    <row r="13" spans="1:15" hidden="1" x14ac:dyDescent="0.3">
      <c r="A13" s="21">
        <v>45019</v>
      </c>
      <c r="B13" t="s">
        <v>131</v>
      </c>
      <c r="C13" s="22"/>
      <c r="D13" s="23">
        <v>0</v>
      </c>
      <c r="E13" s="23">
        <v>57999</v>
      </c>
      <c r="F13" s="23">
        <v>91617.17</v>
      </c>
      <c r="G13" s="22" t="s">
        <v>2405</v>
      </c>
      <c r="H13" s="22"/>
      <c r="I13" t="s">
        <v>2403</v>
      </c>
      <c r="K13" s="24">
        <f t="shared" si="0"/>
        <v>90002.10000000002</v>
      </c>
    </row>
    <row r="14" spans="1:15" hidden="1" x14ac:dyDescent="0.3">
      <c r="A14" s="21">
        <v>45019</v>
      </c>
      <c r="B14" t="s">
        <v>133</v>
      </c>
      <c r="C14" s="22"/>
      <c r="D14" s="23">
        <v>387.51</v>
      </c>
      <c r="E14" s="23">
        <v>0</v>
      </c>
      <c r="F14" s="23">
        <v>91229.66</v>
      </c>
      <c r="G14" s="22" t="s">
        <v>2406</v>
      </c>
      <c r="H14" s="22"/>
      <c r="I14" t="s">
        <v>2403</v>
      </c>
      <c r="K14" s="24">
        <f t="shared" si="0"/>
        <v>0</v>
      </c>
    </row>
    <row r="15" spans="1:15" hidden="1" x14ac:dyDescent="0.3">
      <c r="A15" s="21">
        <v>45019</v>
      </c>
      <c r="B15" t="s">
        <v>135</v>
      </c>
      <c r="C15" s="22"/>
      <c r="D15" s="23">
        <v>0</v>
      </c>
      <c r="E15" s="23">
        <v>4287.59</v>
      </c>
      <c r="F15" s="23">
        <v>95517.25</v>
      </c>
      <c r="G15" s="22" t="s">
        <v>2406</v>
      </c>
      <c r="H15" s="22"/>
      <c r="I15" t="s">
        <v>2403</v>
      </c>
      <c r="K15" s="24">
        <f t="shared" si="0"/>
        <v>0</v>
      </c>
    </row>
    <row r="16" spans="1:15" hidden="1" x14ac:dyDescent="0.3">
      <c r="A16" s="21">
        <v>45019</v>
      </c>
      <c r="B16" t="s">
        <v>1110</v>
      </c>
      <c r="C16" s="22" t="s">
        <v>1111</v>
      </c>
      <c r="D16" s="23">
        <v>5000</v>
      </c>
      <c r="E16" s="23">
        <v>0</v>
      </c>
      <c r="F16" s="23">
        <v>118620.27</v>
      </c>
      <c r="G16" s="22" t="s">
        <v>2399</v>
      </c>
      <c r="H16" s="22"/>
      <c r="I16" t="s">
        <v>2400</v>
      </c>
      <c r="K16" s="24">
        <f t="shared" si="0"/>
        <v>-28103.020000000004</v>
      </c>
    </row>
    <row r="17" spans="1:11" hidden="1" x14ac:dyDescent="0.3">
      <c r="A17" s="21">
        <v>45020</v>
      </c>
      <c r="B17" t="s">
        <v>1112</v>
      </c>
      <c r="C17" s="22" t="s">
        <v>1113</v>
      </c>
      <c r="D17" s="23">
        <v>250</v>
      </c>
      <c r="E17" s="23">
        <v>0</v>
      </c>
      <c r="F17" s="23">
        <v>118370.27</v>
      </c>
      <c r="G17" s="22" t="s">
        <v>2399</v>
      </c>
      <c r="H17" s="22"/>
      <c r="I17" t="s">
        <v>2400</v>
      </c>
      <c r="K17" s="24">
        <f t="shared" si="0"/>
        <v>0</v>
      </c>
    </row>
    <row r="18" spans="1:11" hidden="1" x14ac:dyDescent="0.3">
      <c r="A18" s="21">
        <v>45020</v>
      </c>
      <c r="B18" t="s">
        <v>1114</v>
      </c>
      <c r="C18" s="22" t="s">
        <v>1115</v>
      </c>
      <c r="D18" s="23">
        <v>30</v>
      </c>
      <c r="E18" s="23">
        <v>0</v>
      </c>
      <c r="F18" s="23">
        <v>118340.27</v>
      </c>
      <c r="G18" s="22" t="s">
        <v>2399</v>
      </c>
      <c r="H18" s="22"/>
      <c r="I18" t="s">
        <v>2400</v>
      </c>
      <c r="K18" s="24">
        <f t="shared" si="0"/>
        <v>0</v>
      </c>
    </row>
    <row r="19" spans="1:11" hidden="1" x14ac:dyDescent="0.3">
      <c r="A19" s="21">
        <v>45021</v>
      </c>
      <c r="B19" t="s">
        <v>133</v>
      </c>
      <c r="C19" s="22"/>
      <c r="D19" s="23">
        <v>21810.69</v>
      </c>
      <c r="E19" s="23">
        <v>0</v>
      </c>
      <c r="F19" s="23">
        <v>73706.559999999998</v>
      </c>
      <c r="G19" s="22" t="s">
        <v>2406</v>
      </c>
      <c r="H19" s="22"/>
      <c r="I19" t="s">
        <v>2403</v>
      </c>
      <c r="K19" s="24">
        <f t="shared" si="0"/>
        <v>22823.020000000004</v>
      </c>
    </row>
    <row r="20" spans="1:11" hidden="1" x14ac:dyDescent="0.3">
      <c r="A20" s="21">
        <v>45021</v>
      </c>
      <c r="B20" t="s">
        <v>1116</v>
      </c>
      <c r="C20" s="22" t="s">
        <v>1117</v>
      </c>
      <c r="D20" s="23">
        <v>70</v>
      </c>
      <c r="E20" s="23">
        <v>0</v>
      </c>
      <c r="F20" s="23">
        <v>118270.27</v>
      </c>
      <c r="G20" s="22" t="s">
        <v>2399</v>
      </c>
      <c r="H20" s="22"/>
      <c r="I20" t="s">
        <v>2400</v>
      </c>
      <c r="K20" s="24">
        <f t="shared" si="0"/>
        <v>-44633.710000000006</v>
      </c>
    </row>
    <row r="21" spans="1:11" hidden="1" x14ac:dyDescent="0.3">
      <c r="A21" s="21">
        <v>45022</v>
      </c>
      <c r="B21" t="s">
        <v>133</v>
      </c>
      <c r="C21" s="22"/>
      <c r="D21" s="23">
        <v>115.7</v>
      </c>
      <c r="E21" s="23">
        <v>0</v>
      </c>
      <c r="F21" s="23">
        <v>73590.86</v>
      </c>
      <c r="G21" s="22" t="s">
        <v>2406</v>
      </c>
      <c r="H21" s="22"/>
      <c r="I21" t="s">
        <v>2403</v>
      </c>
      <c r="K21" s="24">
        <f t="shared" si="0"/>
        <v>44563.710000000006</v>
      </c>
    </row>
    <row r="22" spans="1:11" hidden="1" x14ac:dyDescent="0.3">
      <c r="A22" s="21">
        <v>45022</v>
      </c>
      <c r="B22" t="s">
        <v>135</v>
      </c>
      <c r="C22" s="22"/>
      <c r="D22" s="23">
        <v>0</v>
      </c>
      <c r="E22" s="23">
        <v>1699.23</v>
      </c>
      <c r="F22" s="23">
        <v>75290.09</v>
      </c>
      <c r="G22" s="22" t="s">
        <v>2406</v>
      </c>
      <c r="H22" s="22"/>
      <c r="I22" t="s">
        <v>2403</v>
      </c>
      <c r="K22" s="24">
        <f t="shared" si="0"/>
        <v>0</v>
      </c>
    </row>
    <row r="23" spans="1:11" hidden="1" x14ac:dyDescent="0.3">
      <c r="A23" s="21">
        <v>45022</v>
      </c>
      <c r="B23" t="s">
        <v>1118</v>
      </c>
      <c r="C23" s="22" t="s">
        <v>1119</v>
      </c>
      <c r="D23" s="23">
        <v>104</v>
      </c>
      <c r="E23" s="23">
        <v>0</v>
      </c>
      <c r="F23" s="23">
        <v>118166.27</v>
      </c>
      <c r="G23" s="22" t="s">
        <v>2399</v>
      </c>
      <c r="H23" s="22"/>
      <c r="I23" t="s">
        <v>2400</v>
      </c>
      <c r="K23" s="24">
        <f t="shared" si="0"/>
        <v>-42980.180000000008</v>
      </c>
    </row>
    <row r="24" spans="1:11" hidden="1" x14ac:dyDescent="0.3">
      <c r="A24" s="21">
        <v>45022</v>
      </c>
      <c r="B24" t="s">
        <v>1120</v>
      </c>
      <c r="C24" s="22" t="s">
        <v>1121</v>
      </c>
      <c r="D24" s="23">
        <v>306</v>
      </c>
      <c r="E24" s="23">
        <v>0</v>
      </c>
      <c r="F24" s="23">
        <v>117860.27</v>
      </c>
      <c r="G24" s="22" t="s">
        <v>2399</v>
      </c>
      <c r="H24" s="22"/>
      <c r="I24" t="s">
        <v>2400</v>
      </c>
      <c r="K24" s="24">
        <f t="shared" si="0"/>
        <v>0</v>
      </c>
    </row>
    <row r="25" spans="1:11" hidden="1" x14ac:dyDescent="0.3">
      <c r="A25" s="21">
        <v>45023</v>
      </c>
      <c r="B25" t="s">
        <v>140</v>
      </c>
      <c r="C25" s="22"/>
      <c r="D25" s="23">
        <v>0</v>
      </c>
      <c r="E25" s="23">
        <v>1880</v>
      </c>
      <c r="F25" s="23">
        <v>77170.09</v>
      </c>
      <c r="G25" s="22" t="s">
        <v>2407</v>
      </c>
      <c r="H25" s="22"/>
      <c r="I25" t="s">
        <v>2403</v>
      </c>
      <c r="K25" s="24">
        <f t="shared" si="0"/>
        <v>42570.180000000008</v>
      </c>
    </row>
    <row r="26" spans="1:11" hidden="1" x14ac:dyDescent="0.3">
      <c r="A26" s="21">
        <v>45023</v>
      </c>
      <c r="B26" t="s">
        <v>1122</v>
      </c>
      <c r="C26" s="22" t="s">
        <v>1123</v>
      </c>
      <c r="D26" s="23">
        <v>1448.95</v>
      </c>
      <c r="E26" s="23">
        <v>0</v>
      </c>
      <c r="F26" s="23">
        <v>116411.32</v>
      </c>
      <c r="G26" s="22" t="s">
        <v>2399</v>
      </c>
      <c r="H26" s="22"/>
      <c r="I26" t="s">
        <v>2400</v>
      </c>
      <c r="K26" s="24">
        <f t="shared" si="0"/>
        <v>-40690.180000000008</v>
      </c>
    </row>
    <row r="27" spans="1:11" hidden="1" x14ac:dyDescent="0.3">
      <c r="A27" s="21">
        <v>45023</v>
      </c>
      <c r="B27" t="s">
        <v>1124</v>
      </c>
      <c r="C27" s="22" t="s">
        <v>1125</v>
      </c>
      <c r="D27" s="23">
        <v>902.15</v>
      </c>
      <c r="E27" s="23">
        <v>0</v>
      </c>
      <c r="F27" s="23">
        <v>115509.17</v>
      </c>
      <c r="G27" s="22" t="s">
        <v>2399</v>
      </c>
      <c r="H27" s="22"/>
      <c r="I27" t="s">
        <v>2400</v>
      </c>
      <c r="K27" s="24">
        <f t="shared" si="0"/>
        <v>0</v>
      </c>
    </row>
    <row r="28" spans="1:11" hidden="1" x14ac:dyDescent="0.3">
      <c r="A28" s="21">
        <v>45023</v>
      </c>
      <c r="B28" t="s">
        <v>1126</v>
      </c>
      <c r="C28" s="22" t="s">
        <v>1127</v>
      </c>
      <c r="D28" s="23">
        <v>20</v>
      </c>
      <c r="E28" s="23">
        <v>0</v>
      </c>
      <c r="F28" s="23">
        <v>115489.17</v>
      </c>
      <c r="G28" s="22" t="s">
        <v>2399</v>
      </c>
      <c r="H28" s="22"/>
      <c r="I28" t="s">
        <v>2400</v>
      </c>
      <c r="K28" s="24">
        <f t="shared" si="0"/>
        <v>0</v>
      </c>
    </row>
    <row r="29" spans="1:11" hidden="1" x14ac:dyDescent="0.3">
      <c r="A29" s="21">
        <v>45023</v>
      </c>
      <c r="B29" t="s">
        <v>1128</v>
      </c>
      <c r="C29" s="22" t="s">
        <v>1129</v>
      </c>
      <c r="D29" s="23">
        <v>602.15</v>
      </c>
      <c r="E29" s="23">
        <v>0</v>
      </c>
      <c r="F29" s="23">
        <v>114887.02</v>
      </c>
      <c r="G29" s="22" t="s">
        <v>2399</v>
      </c>
      <c r="H29" s="22"/>
      <c r="I29" t="s">
        <v>2400</v>
      </c>
      <c r="K29" s="24"/>
    </row>
    <row r="30" spans="1:11" hidden="1" x14ac:dyDescent="0.3">
      <c r="A30" s="21">
        <v>45023</v>
      </c>
      <c r="B30" t="s">
        <v>1130</v>
      </c>
      <c r="C30" s="22" t="s">
        <v>1131</v>
      </c>
      <c r="D30" s="23">
        <v>110</v>
      </c>
      <c r="E30" s="23">
        <v>0</v>
      </c>
      <c r="F30" s="23">
        <v>114777.02</v>
      </c>
      <c r="G30" s="22" t="s">
        <v>2399</v>
      </c>
      <c r="H30" s="22"/>
      <c r="I30" t="s">
        <v>2400</v>
      </c>
      <c r="K30" s="24">
        <f t="shared" ref="K30:K69" si="1">F29-D30+E30-F30</f>
        <v>0</v>
      </c>
    </row>
    <row r="31" spans="1:11" hidden="1" x14ac:dyDescent="0.3">
      <c r="A31" s="21">
        <v>45024</v>
      </c>
      <c r="B31" t="s">
        <v>1535</v>
      </c>
      <c r="C31" s="22" t="s">
        <v>1536</v>
      </c>
      <c r="D31" s="23">
        <v>10</v>
      </c>
      <c r="E31" s="23">
        <v>0</v>
      </c>
      <c r="F31" s="23">
        <v>19.86</v>
      </c>
      <c r="G31" s="22" t="s">
        <v>2408</v>
      </c>
      <c r="H31" s="22">
        <v>1</v>
      </c>
      <c r="I31" t="s">
        <v>2401</v>
      </c>
      <c r="J31" s="24">
        <f>F31-E31+D31</f>
        <v>29.86</v>
      </c>
      <c r="K31" s="24">
        <f t="shared" si="1"/>
        <v>114747.16</v>
      </c>
    </row>
    <row r="32" spans="1:11" hidden="1" x14ac:dyDescent="0.3">
      <c r="A32" s="21">
        <v>45024</v>
      </c>
      <c r="B32" t="s">
        <v>1132</v>
      </c>
      <c r="C32" s="22" t="s">
        <v>1133</v>
      </c>
      <c r="D32" s="23">
        <v>40</v>
      </c>
      <c r="E32" s="23">
        <v>0</v>
      </c>
      <c r="F32" s="23">
        <v>114737.02</v>
      </c>
      <c r="G32" s="22" t="s">
        <v>2399</v>
      </c>
      <c r="H32" s="22"/>
      <c r="I32" t="s">
        <v>2400</v>
      </c>
      <c r="K32" s="24">
        <f t="shared" si="1"/>
        <v>-114757.16</v>
      </c>
    </row>
    <row r="33" spans="1:11" hidden="1" x14ac:dyDescent="0.3">
      <c r="A33" s="21">
        <v>45024</v>
      </c>
      <c r="B33" t="s">
        <v>1134</v>
      </c>
      <c r="C33" s="22" t="s">
        <v>1135</v>
      </c>
      <c r="D33" s="23">
        <v>60</v>
      </c>
      <c r="E33" s="23">
        <v>0</v>
      </c>
      <c r="F33" s="23">
        <v>114677.02</v>
      </c>
      <c r="G33" s="22" t="s">
        <v>2399</v>
      </c>
      <c r="H33" s="22"/>
      <c r="I33" t="s">
        <v>2400</v>
      </c>
      <c r="K33" s="24">
        <f t="shared" si="1"/>
        <v>0</v>
      </c>
    </row>
    <row r="34" spans="1:11" hidden="1" x14ac:dyDescent="0.3">
      <c r="A34" s="21">
        <v>45024</v>
      </c>
      <c r="B34" t="s">
        <v>1136</v>
      </c>
      <c r="C34" s="22" t="s">
        <v>1137</v>
      </c>
      <c r="D34" s="23">
        <v>132</v>
      </c>
      <c r="E34" s="23">
        <v>0</v>
      </c>
      <c r="F34" s="23">
        <v>114545.02</v>
      </c>
      <c r="G34" s="22" t="s">
        <v>2399</v>
      </c>
      <c r="H34" s="22"/>
      <c r="I34" t="s">
        <v>2400</v>
      </c>
      <c r="K34" s="24">
        <f t="shared" si="1"/>
        <v>0</v>
      </c>
    </row>
    <row r="35" spans="1:11" hidden="1" x14ac:dyDescent="0.3">
      <c r="A35" s="21">
        <v>45024</v>
      </c>
      <c r="B35" t="s">
        <v>1138</v>
      </c>
      <c r="C35" s="22" t="s">
        <v>1139</v>
      </c>
      <c r="D35" s="23">
        <v>100</v>
      </c>
      <c r="E35" s="23">
        <v>0</v>
      </c>
      <c r="F35" s="23">
        <v>114445.02</v>
      </c>
      <c r="G35" s="22" t="s">
        <v>2399</v>
      </c>
      <c r="H35" s="22"/>
      <c r="I35" t="s">
        <v>2400</v>
      </c>
      <c r="K35" s="24">
        <f t="shared" si="1"/>
        <v>0</v>
      </c>
    </row>
    <row r="36" spans="1:11" hidden="1" x14ac:dyDescent="0.3">
      <c r="A36" s="21">
        <v>45025</v>
      </c>
      <c r="B36" t="s">
        <v>1140</v>
      </c>
      <c r="C36" s="22" t="s">
        <v>1141</v>
      </c>
      <c r="D36" s="23">
        <v>125</v>
      </c>
      <c r="E36" s="23">
        <v>0</v>
      </c>
      <c r="F36" s="23">
        <v>114320.02</v>
      </c>
      <c r="G36" s="22" t="s">
        <v>2399</v>
      </c>
      <c r="H36" s="22"/>
      <c r="I36" t="s">
        <v>2400</v>
      </c>
      <c r="K36" s="24">
        <f t="shared" si="1"/>
        <v>0</v>
      </c>
    </row>
    <row r="37" spans="1:11" hidden="1" x14ac:dyDescent="0.3">
      <c r="A37" s="21">
        <v>45025</v>
      </c>
      <c r="B37" t="s">
        <v>1142</v>
      </c>
      <c r="C37" s="22" t="s">
        <v>1143</v>
      </c>
      <c r="D37" s="23">
        <v>48.52</v>
      </c>
      <c r="E37" s="23">
        <v>0</v>
      </c>
      <c r="F37" s="23">
        <v>114271.5</v>
      </c>
      <c r="G37" s="22" t="s">
        <v>2399</v>
      </c>
      <c r="H37" s="22"/>
      <c r="I37" t="s">
        <v>2400</v>
      </c>
      <c r="K37" s="24">
        <f t="shared" si="1"/>
        <v>0</v>
      </c>
    </row>
    <row r="38" spans="1:11" hidden="1" x14ac:dyDescent="0.3">
      <c r="A38" s="21">
        <v>45026</v>
      </c>
      <c r="B38" t="s">
        <v>133</v>
      </c>
      <c r="C38" s="22"/>
      <c r="D38" s="23">
        <v>466.16</v>
      </c>
      <c r="E38" s="23">
        <v>0</v>
      </c>
      <c r="F38" s="23">
        <v>76703.929999999993</v>
      </c>
      <c r="G38" s="22" t="s">
        <v>2406</v>
      </c>
      <c r="H38" s="22"/>
      <c r="I38" t="s">
        <v>2403</v>
      </c>
      <c r="K38" s="24">
        <f t="shared" si="1"/>
        <v>37101.410000000003</v>
      </c>
    </row>
    <row r="39" spans="1:11" hidden="1" x14ac:dyDescent="0.3">
      <c r="A39" s="21">
        <v>45026</v>
      </c>
      <c r="B39" t="s">
        <v>135</v>
      </c>
      <c r="C39" s="22"/>
      <c r="D39" s="23">
        <v>0</v>
      </c>
      <c r="E39" s="23">
        <v>662.12</v>
      </c>
      <c r="F39" s="23">
        <v>77366.05</v>
      </c>
      <c r="G39" s="22" t="s">
        <v>2406</v>
      </c>
      <c r="H39" s="22"/>
      <c r="I39" t="s">
        <v>2403</v>
      </c>
      <c r="K39" s="24">
        <f t="shared" si="1"/>
        <v>0</v>
      </c>
    </row>
    <row r="40" spans="1:11" hidden="1" x14ac:dyDescent="0.3">
      <c r="A40" s="21">
        <v>45027</v>
      </c>
      <c r="B40" t="s">
        <v>133</v>
      </c>
      <c r="C40" s="22"/>
      <c r="D40" s="23">
        <v>116.86</v>
      </c>
      <c r="E40" s="23">
        <v>0</v>
      </c>
      <c r="F40" s="23">
        <v>77249.19</v>
      </c>
      <c r="G40" s="22" t="s">
        <v>2406</v>
      </c>
      <c r="H40" s="22"/>
      <c r="I40" t="s">
        <v>2403</v>
      </c>
      <c r="K40" s="24">
        <f t="shared" si="1"/>
        <v>0</v>
      </c>
    </row>
    <row r="41" spans="1:11" hidden="1" x14ac:dyDescent="0.3">
      <c r="A41" s="21">
        <v>45027</v>
      </c>
      <c r="B41" t="s">
        <v>135</v>
      </c>
      <c r="C41" s="22"/>
      <c r="D41" s="23">
        <v>0</v>
      </c>
      <c r="E41" s="23">
        <v>334.27</v>
      </c>
      <c r="F41" s="23">
        <v>77583.460000000006</v>
      </c>
      <c r="G41" s="22" t="s">
        <v>2406</v>
      </c>
      <c r="H41" s="22"/>
      <c r="I41" t="s">
        <v>2403</v>
      </c>
      <c r="K41" s="24">
        <f t="shared" si="1"/>
        <v>0</v>
      </c>
    </row>
    <row r="42" spans="1:11" hidden="1" x14ac:dyDescent="0.3">
      <c r="A42" s="21">
        <v>45027</v>
      </c>
      <c r="B42" t="s">
        <v>1144</v>
      </c>
      <c r="C42" s="22"/>
      <c r="D42" s="23">
        <v>0</v>
      </c>
      <c r="E42" s="23">
        <v>10</v>
      </c>
      <c r="F42" s="23">
        <v>114281.5</v>
      </c>
      <c r="G42" s="22" t="s">
        <v>2409</v>
      </c>
      <c r="H42" s="22"/>
      <c r="I42" t="s">
        <v>2400</v>
      </c>
      <c r="K42" s="24">
        <f t="shared" si="1"/>
        <v>-36688.039999999994</v>
      </c>
    </row>
    <row r="43" spans="1:11" hidden="1" x14ac:dyDescent="0.3">
      <c r="A43" s="21">
        <v>45027</v>
      </c>
      <c r="B43" t="s">
        <v>1145</v>
      </c>
      <c r="C43" s="22" t="s">
        <v>1146</v>
      </c>
      <c r="D43" s="23">
        <v>0</v>
      </c>
      <c r="E43" s="23">
        <v>830</v>
      </c>
      <c r="F43" s="23">
        <v>115111.5</v>
      </c>
      <c r="G43" s="22" t="s">
        <v>2399</v>
      </c>
      <c r="H43" s="22"/>
      <c r="I43" t="s">
        <v>2400</v>
      </c>
      <c r="K43" s="24">
        <f t="shared" si="1"/>
        <v>0</v>
      </c>
    </row>
    <row r="44" spans="1:11" hidden="1" x14ac:dyDescent="0.3">
      <c r="A44" s="21">
        <v>45028</v>
      </c>
      <c r="B44" t="s">
        <v>133</v>
      </c>
      <c r="C44" s="22"/>
      <c r="D44" s="23">
        <v>117.03</v>
      </c>
      <c r="E44" s="23">
        <v>0</v>
      </c>
      <c r="F44" s="23">
        <v>77466.429999999993</v>
      </c>
      <c r="G44" s="22" t="s">
        <v>2406</v>
      </c>
      <c r="H44" s="22"/>
      <c r="I44" t="s">
        <v>2403</v>
      </c>
      <c r="K44" s="24">
        <f t="shared" si="1"/>
        <v>37528.040000000008</v>
      </c>
    </row>
    <row r="45" spans="1:11" hidden="1" x14ac:dyDescent="0.3">
      <c r="A45" s="21">
        <v>45028</v>
      </c>
      <c r="B45" t="s">
        <v>135</v>
      </c>
      <c r="C45" s="22"/>
      <c r="D45" s="23">
        <v>0</v>
      </c>
      <c r="E45" s="23">
        <v>1340.99</v>
      </c>
      <c r="F45" s="23">
        <v>78807.42</v>
      </c>
      <c r="G45" s="22" t="s">
        <v>2406</v>
      </c>
      <c r="H45" s="22"/>
      <c r="I45" t="s">
        <v>2403</v>
      </c>
      <c r="K45" s="24">
        <f t="shared" si="1"/>
        <v>0</v>
      </c>
    </row>
    <row r="46" spans="1:11" hidden="1" x14ac:dyDescent="0.3">
      <c r="A46" s="21">
        <v>45028</v>
      </c>
      <c r="B46" t="s">
        <v>1147</v>
      </c>
      <c r="C46" s="22" t="s">
        <v>1148</v>
      </c>
      <c r="D46" s="23">
        <v>100</v>
      </c>
      <c r="E46" s="23">
        <v>0</v>
      </c>
      <c r="F46" s="23">
        <v>115011.5</v>
      </c>
      <c r="G46" s="22" t="s">
        <v>2399</v>
      </c>
      <c r="H46" s="22"/>
      <c r="I46" t="s">
        <v>2400</v>
      </c>
      <c r="K46" s="24">
        <f t="shared" si="1"/>
        <v>-36304.080000000002</v>
      </c>
    </row>
    <row r="47" spans="1:11" hidden="1" x14ac:dyDescent="0.3">
      <c r="A47" s="21">
        <v>45028</v>
      </c>
      <c r="B47" t="s">
        <v>1149</v>
      </c>
      <c r="C47" s="22" t="s">
        <v>1148</v>
      </c>
      <c r="D47" s="23">
        <v>155</v>
      </c>
      <c r="E47" s="23">
        <v>0</v>
      </c>
      <c r="F47" s="23">
        <v>114856.5</v>
      </c>
      <c r="G47" s="22" t="s">
        <v>2399</v>
      </c>
      <c r="H47" s="22"/>
      <c r="I47" t="s">
        <v>2400</v>
      </c>
      <c r="K47" s="24">
        <f t="shared" si="1"/>
        <v>0</v>
      </c>
    </row>
    <row r="48" spans="1:11" hidden="1" x14ac:dyDescent="0.3">
      <c r="A48" s="21">
        <v>45028</v>
      </c>
      <c r="B48" t="s">
        <v>1150</v>
      </c>
      <c r="C48" s="22" t="s">
        <v>1148</v>
      </c>
      <c r="D48" s="23">
        <v>148</v>
      </c>
      <c r="E48" s="23">
        <v>0</v>
      </c>
      <c r="F48" s="23">
        <v>114708.5</v>
      </c>
      <c r="G48" s="22" t="s">
        <v>2399</v>
      </c>
      <c r="H48" s="22"/>
      <c r="I48" t="s">
        <v>2400</v>
      </c>
      <c r="K48" s="24">
        <f t="shared" si="1"/>
        <v>0</v>
      </c>
    </row>
    <row r="49" spans="1:11" hidden="1" x14ac:dyDescent="0.3">
      <c r="A49" s="21">
        <v>45029</v>
      </c>
      <c r="B49" t="s">
        <v>148</v>
      </c>
      <c r="C49" s="22"/>
      <c r="D49" s="23">
        <v>590</v>
      </c>
      <c r="E49" s="23">
        <v>0</v>
      </c>
      <c r="F49" s="23">
        <v>78217.42</v>
      </c>
      <c r="G49" s="22" t="s">
        <v>2410</v>
      </c>
      <c r="H49" s="22"/>
      <c r="I49" t="s">
        <v>2403</v>
      </c>
      <c r="K49" s="24">
        <f t="shared" si="1"/>
        <v>35901.08</v>
      </c>
    </row>
    <row r="50" spans="1:11" hidden="1" x14ac:dyDescent="0.3">
      <c r="A50" s="21">
        <v>45029</v>
      </c>
      <c r="B50" t="s">
        <v>133</v>
      </c>
      <c r="C50" s="22"/>
      <c r="D50" s="23">
        <v>117.69</v>
      </c>
      <c r="E50" s="23">
        <v>0</v>
      </c>
      <c r="F50" s="23">
        <v>78099.73</v>
      </c>
      <c r="G50" s="22" t="s">
        <v>2406</v>
      </c>
      <c r="H50" s="22"/>
      <c r="I50" t="s">
        <v>2403</v>
      </c>
      <c r="K50" s="24">
        <f t="shared" si="1"/>
        <v>0</v>
      </c>
    </row>
    <row r="51" spans="1:11" hidden="1" x14ac:dyDescent="0.3">
      <c r="A51" s="21">
        <v>45029</v>
      </c>
      <c r="B51" t="s">
        <v>135</v>
      </c>
      <c r="C51" s="22"/>
      <c r="D51" s="23">
        <v>0</v>
      </c>
      <c r="E51" s="23">
        <v>134.43</v>
      </c>
      <c r="F51" s="23">
        <v>78234.16</v>
      </c>
      <c r="G51" s="22" t="s">
        <v>2406</v>
      </c>
      <c r="H51" s="22"/>
      <c r="I51" t="s">
        <v>2403</v>
      </c>
      <c r="K51" s="24">
        <f t="shared" si="1"/>
        <v>0</v>
      </c>
    </row>
    <row r="52" spans="1:11" hidden="1" x14ac:dyDescent="0.3">
      <c r="A52" s="21">
        <v>45029</v>
      </c>
      <c r="B52" t="s">
        <v>1151</v>
      </c>
      <c r="C52" s="22" t="s">
        <v>1152</v>
      </c>
      <c r="D52" s="23">
        <v>80</v>
      </c>
      <c r="E52" s="23">
        <v>0</v>
      </c>
      <c r="F52" s="23">
        <v>114628.5</v>
      </c>
      <c r="G52" s="22" t="s">
        <v>2399</v>
      </c>
      <c r="H52" s="22"/>
      <c r="I52" t="s">
        <v>2400</v>
      </c>
      <c r="K52" s="24">
        <f t="shared" si="1"/>
        <v>-36474.339999999997</v>
      </c>
    </row>
    <row r="53" spans="1:11" hidden="1" x14ac:dyDescent="0.3">
      <c r="A53" s="21">
        <v>45031</v>
      </c>
      <c r="B53" t="s">
        <v>152</v>
      </c>
      <c r="C53" s="22"/>
      <c r="D53" s="23">
        <v>25000</v>
      </c>
      <c r="E53" s="23">
        <v>0</v>
      </c>
      <c r="F53" s="23">
        <v>53234.16</v>
      </c>
      <c r="G53" s="22" t="s">
        <v>2411</v>
      </c>
      <c r="H53" s="22"/>
      <c r="I53" t="s">
        <v>2403</v>
      </c>
      <c r="K53" s="24">
        <f t="shared" si="1"/>
        <v>36394.339999999997</v>
      </c>
    </row>
    <row r="54" spans="1:11" hidden="1" x14ac:dyDescent="0.3">
      <c r="A54" s="21">
        <v>45031</v>
      </c>
      <c r="B54" t="s">
        <v>1153</v>
      </c>
      <c r="C54" s="22" t="s">
        <v>1154</v>
      </c>
      <c r="D54" s="23">
        <v>1398.95</v>
      </c>
      <c r="E54" s="23">
        <v>0</v>
      </c>
      <c r="F54" s="23">
        <v>113229.55</v>
      </c>
      <c r="G54" s="22" t="s">
        <v>2399</v>
      </c>
      <c r="H54" s="22"/>
      <c r="I54" t="s">
        <v>2400</v>
      </c>
      <c r="K54" s="24">
        <f t="shared" si="1"/>
        <v>-61394.34</v>
      </c>
    </row>
    <row r="55" spans="1:11" hidden="1" x14ac:dyDescent="0.3">
      <c r="A55" s="21">
        <v>45031</v>
      </c>
      <c r="B55" t="s">
        <v>1155</v>
      </c>
      <c r="C55" s="22" t="s">
        <v>1154</v>
      </c>
      <c r="D55" s="23">
        <v>110</v>
      </c>
      <c r="E55" s="23">
        <v>0</v>
      </c>
      <c r="F55" s="23">
        <v>113119.55</v>
      </c>
      <c r="G55" s="22" t="s">
        <v>2399</v>
      </c>
      <c r="H55" s="22"/>
      <c r="I55" t="s">
        <v>2400</v>
      </c>
      <c r="K55" s="24">
        <f t="shared" si="1"/>
        <v>0</v>
      </c>
    </row>
    <row r="56" spans="1:11" hidden="1" x14ac:dyDescent="0.3">
      <c r="A56" s="21">
        <v>45031</v>
      </c>
      <c r="B56" t="s">
        <v>1156</v>
      </c>
      <c r="C56" s="22" t="s">
        <v>1154</v>
      </c>
      <c r="D56" s="23">
        <v>50</v>
      </c>
      <c r="E56" s="23">
        <v>0</v>
      </c>
      <c r="F56" s="23">
        <v>113069.55</v>
      </c>
      <c r="G56" s="22" t="s">
        <v>2399</v>
      </c>
      <c r="H56" s="22"/>
      <c r="I56" t="s">
        <v>2400</v>
      </c>
      <c r="K56" s="24">
        <f t="shared" si="1"/>
        <v>0</v>
      </c>
    </row>
    <row r="57" spans="1:11" hidden="1" x14ac:dyDescent="0.3">
      <c r="A57" s="21">
        <v>45031</v>
      </c>
      <c r="B57" t="s">
        <v>1157</v>
      </c>
      <c r="C57" s="22" t="s">
        <v>1154</v>
      </c>
      <c r="D57" s="23">
        <v>220</v>
      </c>
      <c r="E57" s="23">
        <v>0</v>
      </c>
      <c r="F57" s="23">
        <v>112849.55</v>
      </c>
      <c r="G57" s="22" t="s">
        <v>2399</v>
      </c>
      <c r="H57" s="22"/>
      <c r="I57" t="s">
        <v>2400</v>
      </c>
      <c r="K57" s="24">
        <f t="shared" si="1"/>
        <v>0</v>
      </c>
    </row>
    <row r="58" spans="1:11" x14ac:dyDescent="0.3">
      <c r="A58" s="21">
        <v>45032</v>
      </c>
      <c r="B58" t="s">
        <v>1158</v>
      </c>
      <c r="C58" s="22"/>
      <c r="D58" s="23">
        <v>2000</v>
      </c>
      <c r="E58" s="23">
        <v>0</v>
      </c>
      <c r="F58" s="23">
        <v>110849.55</v>
      </c>
      <c r="G58" s="22" t="s">
        <v>2412</v>
      </c>
      <c r="H58" s="22"/>
      <c r="I58" t="s">
        <v>2400</v>
      </c>
      <c r="K58" s="24">
        <f t="shared" si="1"/>
        <v>0</v>
      </c>
    </row>
    <row r="59" spans="1:11" hidden="1" x14ac:dyDescent="0.3">
      <c r="A59" s="21">
        <v>45033</v>
      </c>
      <c r="B59" t="s">
        <v>154</v>
      </c>
      <c r="C59" s="22"/>
      <c r="D59" s="23">
        <v>2500</v>
      </c>
      <c r="E59" s="23">
        <v>0</v>
      </c>
      <c r="F59" s="23">
        <v>50734.16</v>
      </c>
      <c r="G59" s="22" t="s">
        <v>2413</v>
      </c>
      <c r="H59" s="22"/>
      <c r="I59" t="s">
        <v>2403</v>
      </c>
      <c r="K59" s="24">
        <f t="shared" si="1"/>
        <v>57615.39</v>
      </c>
    </row>
    <row r="60" spans="1:11" hidden="1" x14ac:dyDescent="0.3">
      <c r="A60" s="21">
        <v>45033</v>
      </c>
      <c r="B60" t="s">
        <v>133</v>
      </c>
      <c r="C60" s="22"/>
      <c r="D60" s="23">
        <v>471.04</v>
      </c>
      <c r="E60" s="23">
        <v>0</v>
      </c>
      <c r="F60" s="23">
        <v>50263.12</v>
      </c>
      <c r="G60" s="22" t="s">
        <v>2406</v>
      </c>
      <c r="H60" s="22"/>
      <c r="I60" t="s">
        <v>2403</v>
      </c>
      <c r="K60" s="24">
        <f t="shared" si="1"/>
        <v>0</v>
      </c>
    </row>
    <row r="61" spans="1:11" hidden="1" x14ac:dyDescent="0.3">
      <c r="A61" s="21">
        <v>45033</v>
      </c>
      <c r="B61" t="s">
        <v>135</v>
      </c>
      <c r="C61" s="22"/>
      <c r="D61" s="23">
        <v>0</v>
      </c>
      <c r="E61" s="23">
        <v>2222.79</v>
      </c>
      <c r="F61" s="23">
        <v>52485.91</v>
      </c>
      <c r="G61" s="22" t="s">
        <v>2406</v>
      </c>
      <c r="H61" s="22"/>
      <c r="I61" t="s">
        <v>2403</v>
      </c>
      <c r="K61" s="24">
        <f t="shared" si="1"/>
        <v>0</v>
      </c>
    </row>
    <row r="62" spans="1:11" hidden="1" x14ac:dyDescent="0.3">
      <c r="A62" s="21">
        <v>45033</v>
      </c>
      <c r="B62" t="s">
        <v>1159</v>
      </c>
      <c r="C62" s="22"/>
      <c r="D62" s="23">
        <v>0</v>
      </c>
      <c r="E62" s="23">
        <v>348.5</v>
      </c>
      <c r="F62" s="23">
        <v>111198.05</v>
      </c>
      <c r="G62" s="22" t="s">
        <v>2409</v>
      </c>
      <c r="H62" s="22"/>
      <c r="I62" t="s">
        <v>2400</v>
      </c>
      <c r="K62" s="24">
        <f t="shared" si="1"/>
        <v>-58363.64</v>
      </c>
    </row>
    <row r="63" spans="1:11" hidden="1" x14ac:dyDescent="0.3">
      <c r="A63" s="21">
        <v>45034</v>
      </c>
      <c r="B63" t="s">
        <v>158</v>
      </c>
      <c r="C63" s="22"/>
      <c r="D63" s="23">
        <v>25000</v>
      </c>
      <c r="E63" s="23">
        <v>0</v>
      </c>
      <c r="F63" s="23">
        <v>27485.91</v>
      </c>
      <c r="G63" s="22" t="s">
        <v>2414</v>
      </c>
      <c r="H63" s="22"/>
      <c r="I63" t="s">
        <v>2403</v>
      </c>
      <c r="K63" s="24">
        <f t="shared" si="1"/>
        <v>58712.14</v>
      </c>
    </row>
    <row r="64" spans="1:11" hidden="1" x14ac:dyDescent="0.3">
      <c r="A64" s="21">
        <v>45034</v>
      </c>
      <c r="B64" t="s">
        <v>133</v>
      </c>
      <c r="C64" s="22"/>
      <c r="D64" s="23">
        <v>118.85</v>
      </c>
      <c r="E64" s="23">
        <v>0</v>
      </c>
      <c r="F64" s="23">
        <v>27367.06</v>
      </c>
      <c r="G64" s="22" t="s">
        <v>2406</v>
      </c>
      <c r="H64" s="22"/>
      <c r="I64" t="s">
        <v>2403</v>
      </c>
      <c r="K64" s="24">
        <f t="shared" si="1"/>
        <v>0</v>
      </c>
    </row>
    <row r="65" spans="1:11" hidden="1" x14ac:dyDescent="0.3">
      <c r="A65" s="21">
        <v>45034</v>
      </c>
      <c r="B65" t="s">
        <v>133</v>
      </c>
      <c r="C65" s="22"/>
      <c r="D65" s="23">
        <v>2188.9499999999998</v>
      </c>
      <c r="E65" s="23">
        <v>0</v>
      </c>
      <c r="F65" s="23">
        <v>25178.11</v>
      </c>
      <c r="G65" s="22" t="s">
        <v>2406</v>
      </c>
      <c r="H65" s="22"/>
      <c r="I65" t="s">
        <v>2403</v>
      </c>
      <c r="K65" s="24">
        <f t="shared" si="1"/>
        <v>0</v>
      </c>
    </row>
    <row r="66" spans="1:11" hidden="1" x14ac:dyDescent="0.3">
      <c r="A66" s="21">
        <v>45034</v>
      </c>
      <c r="B66" t="s">
        <v>1160</v>
      </c>
      <c r="C66" s="22" t="s">
        <v>1161</v>
      </c>
      <c r="D66" s="23">
        <v>20</v>
      </c>
      <c r="E66" s="23">
        <v>0</v>
      </c>
      <c r="F66" s="23">
        <v>111178.05</v>
      </c>
      <c r="G66" s="22" t="s">
        <v>2399</v>
      </c>
      <c r="H66" s="22"/>
      <c r="I66" t="s">
        <v>2400</v>
      </c>
      <c r="K66" s="24">
        <f t="shared" si="1"/>
        <v>-86019.94</v>
      </c>
    </row>
    <row r="67" spans="1:11" hidden="1" x14ac:dyDescent="0.3">
      <c r="A67" s="21">
        <v>45034</v>
      </c>
      <c r="B67" t="s">
        <v>1162</v>
      </c>
      <c r="C67" s="22" t="s">
        <v>1146</v>
      </c>
      <c r="D67" s="23">
        <v>0</v>
      </c>
      <c r="E67" s="23">
        <v>11</v>
      </c>
      <c r="F67" s="23">
        <v>111189.05</v>
      </c>
      <c r="G67" s="22" t="s">
        <v>2399</v>
      </c>
      <c r="H67" s="22"/>
      <c r="I67" t="s">
        <v>2400</v>
      </c>
      <c r="K67" s="24">
        <f t="shared" si="1"/>
        <v>0</v>
      </c>
    </row>
    <row r="68" spans="1:11" hidden="1" x14ac:dyDescent="0.3">
      <c r="A68" s="21">
        <v>45034</v>
      </c>
      <c r="B68" t="s">
        <v>1163</v>
      </c>
      <c r="C68" s="22" t="s">
        <v>1146</v>
      </c>
      <c r="D68" s="23">
        <v>0</v>
      </c>
      <c r="E68" s="23">
        <v>6</v>
      </c>
      <c r="F68" s="23">
        <v>111195.05</v>
      </c>
      <c r="G68" s="22" t="s">
        <v>2399</v>
      </c>
      <c r="H68" s="22"/>
      <c r="I68" t="s">
        <v>2400</v>
      </c>
      <c r="K68" s="24">
        <f t="shared" si="1"/>
        <v>0</v>
      </c>
    </row>
    <row r="69" spans="1:11" hidden="1" x14ac:dyDescent="0.3">
      <c r="A69" s="21">
        <v>45034</v>
      </c>
      <c r="B69" t="s">
        <v>1164</v>
      </c>
      <c r="C69" s="22" t="s">
        <v>1161</v>
      </c>
      <c r="D69" s="23">
        <v>7500</v>
      </c>
      <c r="E69" s="23">
        <v>0</v>
      </c>
      <c r="F69" s="23">
        <v>103695.05</v>
      </c>
      <c r="G69" s="22" t="s">
        <v>2399</v>
      </c>
      <c r="H69" s="22"/>
      <c r="I69" t="s">
        <v>2400</v>
      </c>
      <c r="K69" s="24">
        <f t="shared" si="1"/>
        <v>0</v>
      </c>
    </row>
    <row r="70" spans="1:11" hidden="1" x14ac:dyDescent="0.3">
      <c r="A70" s="21">
        <v>45034</v>
      </c>
      <c r="B70" t="s">
        <v>1165</v>
      </c>
      <c r="C70" s="22" t="s">
        <v>1161</v>
      </c>
      <c r="D70" s="23">
        <v>105</v>
      </c>
      <c r="E70" s="23">
        <v>0</v>
      </c>
      <c r="F70" s="23">
        <v>103590.05</v>
      </c>
      <c r="G70" s="22" t="s">
        <v>2399</v>
      </c>
      <c r="H70" s="22"/>
      <c r="I70" t="s">
        <v>2400</v>
      </c>
      <c r="K70" s="24">
        <f t="shared" ref="K70:K133" si="2">F69-D70+E70-F70</f>
        <v>0</v>
      </c>
    </row>
    <row r="71" spans="1:11" hidden="1" x14ac:dyDescent="0.3">
      <c r="A71" s="21">
        <v>45035</v>
      </c>
      <c r="B71" t="s">
        <v>133</v>
      </c>
      <c r="C71" s="22"/>
      <c r="D71" s="23">
        <v>117.77</v>
      </c>
      <c r="E71" s="23">
        <v>0</v>
      </c>
      <c r="F71" s="23">
        <v>25060.34</v>
      </c>
      <c r="G71" s="22" t="s">
        <v>2406</v>
      </c>
      <c r="H71" s="22"/>
      <c r="I71" t="s">
        <v>2403</v>
      </c>
      <c r="K71" s="24">
        <f t="shared" si="2"/>
        <v>78411.94</v>
      </c>
    </row>
    <row r="72" spans="1:11" hidden="1" x14ac:dyDescent="0.3">
      <c r="A72" s="21">
        <v>45035</v>
      </c>
      <c r="B72" t="s">
        <v>135</v>
      </c>
      <c r="C72" s="22"/>
      <c r="D72" s="23">
        <v>0</v>
      </c>
      <c r="E72" s="23">
        <v>1395.14</v>
      </c>
      <c r="F72" s="23">
        <v>26455.48</v>
      </c>
      <c r="G72" s="22" t="s">
        <v>2406</v>
      </c>
      <c r="H72" s="22"/>
      <c r="I72" t="s">
        <v>2403</v>
      </c>
      <c r="K72" s="24">
        <f t="shared" si="2"/>
        <v>0</v>
      </c>
    </row>
    <row r="73" spans="1:11" hidden="1" x14ac:dyDescent="0.3">
      <c r="A73" s="21">
        <v>45035</v>
      </c>
      <c r="B73" t="s">
        <v>1166</v>
      </c>
      <c r="C73" s="22" t="s">
        <v>1148</v>
      </c>
      <c r="D73" s="23">
        <v>830</v>
      </c>
      <c r="E73" s="23">
        <v>0</v>
      </c>
      <c r="F73" s="23">
        <v>102760.05</v>
      </c>
      <c r="G73" s="22" t="s">
        <v>2399</v>
      </c>
      <c r="H73" s="22"/>
      <c r="I73" t="s">
        <v>2400</v>
      </c>
      <c r="K73" s="24">
        <f t="shared" si="2"/>
        <v>-77134.570000000007</v>
      </c>
    </row>
    <row r="74" spans="1:11" hidden="1" x14ac:dyDescent="0.3">
      <c r="A74" s="21">
        <v>45035</v>
      </c>
      <c r="B74" t="s">
        <v>1167</v>
      </c>
      <c r="C74" s="22" t="s">
        <v>1148</v>
      </c>
      <c r="D74" s="23">
        <v>30</v>
      </c>
      <c r="E74" s="23">
        <v>0</v>
      </c>
      <c r="F74" s="23">
        <v>102730.05</v>
      </c>
      <c r="G74" s="22" t="s">
        <v>2399</v>
      </c>
      <c r="H74" s="22"/>
      <c r="I74" t="s">
        <v>2400</v>
      </c>
      <c r="K74" s="24">
        <f t="shared" si="2"/>
        <v>0</v>
      </c>
    </row>
    <row r="75" spans="1:11" hidden="1" x14ac:dyDescent="0.3">
      <c r="A75" s="21">
        <v>45035</v>
      </c>
      <c r="B75" t="s">
        <v>1168</v>
      </c>
      <c r="C75" s="22" t="s">
        <v>1148</v>
      </c>
      <c r="D75" s="23">
        <v>70</v>
      </c>
      <c r="E75" s="23">
        <v>0</v>
      </c>
      <c r="F75" s="23">
        <v>102660.05</v>
      </c>
      <c r="G75" s="22" t="s">
        <v>2399</v>
      </c>
      <c r="H75" s="22"/>
      <c r="I75" t="s">
        <v>2400</v>
      </c>
      <c r="K75" s="24">
        <f t="shared" si="2"/>
        <v>0</v>
      </c>
    </row>
    <row r="76" spans="1:11" hidden="1" x14ac:dyDescent="0.3">
      <c r="A76" s="21">
        <v>45036</v>
      </c>
      <c r="B76" t="s">
        <v>135</v>
      </c>
      <c r="C76" s="22"/>
      <c r="D76" s="23">
        <v>0</v>
      </c>
      <c r="E76" s="23">
        <v>6098.61</v>
      </c>
      <c r="F76" s="23">
        <v>32554.09</v>
      </c>
      <c r="G76" s="22" t="s">
        <v>2406</v>
      </c>
      <c r="H76" s="22"/>
      <c r="I76" t="s">
        <v>2403</v>
      </c>
      <c r="K76" s="24">
        <f t="shared" si="2"/>
        <v>76204.570000000007</v>
      </c>
    </row>
    <row r="77" spans="1:11" hidden="1" x14ac:dyDescent="0.3">
      <c r="A77" s="21">
        <v>45036</v>
      </c>
      <c r="B77" t="s">
        <v>1169</v>
      </c>
      <c r="C77" s="22" t="s">
        <v>1170</v>
      </c>
      <c r="D77" s="23">
        <v>177</v>
      </c>
      <c r="E77" s="23">
        <v>0</v>
      </c>
      <c r="F77" s="23">
        <v>102483.05</v>
      </c>
      <c r="G77" s="22" t="s">
        <v>2415</v>
      </c>
      <c r="H77" s="22"/>
      <c r="I77" t="s">
        <v>2400</v>
      </c>
      <c r="K77" s="24">
        <f t="shared" si="2"/>
        <v>-70105.960000000006</v>
      </c>
    </row>
    <row r="78" spans="1:11" x14ac:dyDescent="0.3">
      <c r="A78" s="21">
        <v>45037</v>
      </c>
      <c r="B78" t="s">
        <v>165</v>
      </c>
      <c r="C78" s="22"/>
      <c r="D78" s="23">
        <v>10000</v>
      </c>
      <c r="E78" s="23">
        <v>0</v>
      </c>
      <c r="F78" s="23">
        <v>22554.09</v>
      </c>
      <c r="G78" s="22" t="s">
        <v>2412</v>
      </c>
      <c r="H78" s="22"/>
      <c r="I78" t="s">
        <v>2403</v>
      </c>
      <c r="K78" s="24">
        <f t="shared" si="2"/>
        <v>69928.960000000006</v>
      </c>
    </row>
    <row r="79" spans="1:11" hidden="1" x14ac:dyDescent="0.3">
      <c r="A79" s="21">
        <v>45037</v>
      </c>
      <c r="B79" t="s">
        <v>135</v>
      </c>
      <c r="C79" s="22"/>
      <c r="D79" s="23">
        <v>0</v>
      </c>
      <c r="E79" s="23">
        <v>2364.46</v>
      </c>
      <c r="F79" s="23">
        <v>24918.55</v>
      </c>
      <c r="G79" s="22" t="s">
        <v>2406</v>
      </c>
      <c r="H79" s="22"/>
      <c r="I79" t="s">
        <v>2403</v>
      </c>
      <c r="K79" s="24">
        <f t="shared" si="2"/>
        <v>0</v>
      </c>
    </row>
    <row r="80" spans="1:11" hidden="1" x14ac:dyDescent="0.3">
      <c r="A80" s="21">
        <v>45037</v>
      </c>
      <c r="B80" t="s">
        <v>1171</v>
      </c>
      <c r="C80" s="22" t="s">
        <v>1172</v>
      </c>
      <c r="D80" s="23">
        <v>370.25</v>
      </c>
      <c r="E80" s="23">
        <v>0</v>
      </c>
      <c r="F80" s="23">
        <v>102112.8</v>
      </c>
      <c r="G80" s="22" t="s">
        <v>2399</v>
      </c>
      <c r="H80" s="22"/>
      <c r="I80" t="s">
        <v>2400</v>
      </c>
      <c r="K80" s="24">
        <f t="shared" si="2"/>
        <v>-77564.5</v>
      </c>
    </row>
    <row r="81" spans="1:11" hidden="1" x14ac:dyDescent="0.3">
      <c r="A81" s="21">
        <v>45038</v>
      </c>
      <c r="B81" t="s">
        <v>1538</v>
      </c>
      <c r="C81" s="22" t="s">
        <v>1536</v>
      </c>
      <c r="D81" s="23">
        <v>9</v>
      </c>
      <c r="E81" s="23">
        <v>0</v>
      </c>
      <c r="F81" s="23">
        <v>10.86</v>
      </c>
      <c r="G81" s="22" t="s">
        <v>2408</v>
      </c>
      <c r="H81" s="22"/>
      <c r="I81" t="s">
        <v>2401</v>
      </c>
      <c r="K81" s="24">
        <f t="shared" si="2"/>
        <v>102092.94</v>
      </c>
    </row>
    <row r="82" spans="1:11" hidden="1" x14ac:dyDescent="0.3">
      <c r="A82" s="21">
        <v>45038</v>
      </c>
      <c r="B82" t="s">
        <v>1173</v>
      </c>
      <c r="C82" s="22" t="s">
        <v>1154</v>
      </c>
      <c r="D82" s="23">
        <v>20</v>
      </c>
      <c r="E82" s="23">
        <v>0</v>
      </c>
      <c r="F82" s="23">
        <v>102092.8</v>
      </c>
      <c r="G82" s="22" t="s">
        <v>2399</v>
      </c>
      <c r="H82" s="22"/>
      <c r="I82" t="s">
        <v>2400</v>
      </c>
      <c r="K82" s="24">
        <f t="shared" si="2"/>
        <v>-102101.94</v>
      </c>
    </row>
    <row r="83" spans="1:11" hidden="1" x14ac:dyDescent="0.3">
      <c r="A83" s="21">
        <v>45038</v>
      </c>
      <c r="B83" t="s">
        <v>1174</v>
      </c>
      <c r="C83" s="22" t="s">
        <v>1154</v>
      </c>
      <c r="D83" s="23">
        <v>31</v>
      </c>
      <c r="E83" s="23">
        <v>0</v>
      </c>
      <c r="F83" s="23">
        <v>102061.8</v>
      </c>
      <c r="G83" s="22" t="s">
        <v>2399</v>
      </c>
      <c r="H83" s="22"/>
      <c r="I83" t="s">
        <v>2400</v>
      </c>
      <c r="K83" s="24">
        <f t="shared" si="2"/>
        <v>0</v>
      </c>
    </row>
    <row r="84" spans="1:11" hidden="1" x14ac:dyDescent="0.3">
      <c r="A84" s="21">
        <v>45040</v>
      </c>
      <c r="B84" t="s">
        <v>133</v>
      </c>
      <c r="C84" s="22"/>
      <c r="D84" s="23">
        <v>333.9</v>
      </c>
      <c r="E84" s="23">
        <v>0</v>
      </c>
      <c r="F84" s="23">
        <v>24584.65</v>
      </c>
      <c r="G84" s="22" t="s">
        <v>2406</v>
      </c>
      <c r="H84" s="22"/>
      <c r="I84" t="s">
        <v>2403</v>
      </c>
      <c r="K84" s="24">
        <f t="shared" si="2"/>
        <v>77143.25</v>
      </c>
    </row>
    <row r="85" spans="1:11" hidden="1" x14ac:dyDescent="0.3">
      <c r="A85" s="21">
        <v>45040</v>
      </c>
      <c r="B85" t="s">
        <v>135</v>
      </c>
      <c r="C85" s="22"/>
      <c r="D85" s="23">
        <v>0</v>
      </c>
      <c r="E85" s="23">
        <v>1160.53</v>
      </c>
      <c r="F85" s="23">
        <v>25745.18</v>
      </c>
      <c r="G85" s="22" t="s">
        <v>2406</v>
      </c>
      <c r="H85" s="22"/>
      <c r="I85" t="s">
        <v>2403</v>
      </c>
      <c r="K85" s="24">
        <f t="shared" si="2"/>
        <v>0</v>
      </c>
    </row>
    <row r="86" spans="1:11" hidden="1" x14ac:dyDescent="0.3">
      <c r="A86" s="21">
        <v>45041</v>
      </c>
      <c r="B86" t="s">
        <v>154</v>
      </c>
      <c r="C86" s="22"/>
      <c r="D86" s="23">
        <v>2500</v>
      </c>
      <c r="E86" s="23">
        <v>0</v>
      </c>
      <c r="F86" s="23">
        <v>23245.18</v>
      </c>
      <c r="G86" s="22" t="s">
        <v>2413</v>
      </c>
      <c r="H86" s="22"/>
      <c r="I86" t="s">
        <v>2403</v>
      </c>
      <c r="K86" s="24">
        <f t="shared" si="2"/>
        <v>0</v>
      </c>
    </row>
    <row r="87" spans="1:11" hidden="1" x14ac:dyDescent="0.3">
      <c r="A87" s="21">
        <v>45041</v>
      </c>
      <c r="B87" t="s">
        <v>135</v>
      </c>
      <c r="C87" s="22"/>
      <c r="D87" s="23">
        <v>0</v>
      </c>
      <c r="E87" s="23">
        <v>3975.3</v>
      </c>
      <c r="F87" s="23">
        <v>27220.48</v>
      </c>
      <c r="G87" s="22" t="s">
        <v>2406</v>
      </c>
      <c r="H87" s="22"/>
      <c r="I87" t="s">
        <v>2403</v>
      </c>
      <c r="K87" s="24">
        <f t="shared" si="2"/>
        <v>0</v>
      </c>
    </row>
    <row r="88" spans="1:11" hidden="1" x14ac:dyDescent="0.3">
      <c r="A88" s="21">
        <v>45041</v>
      </c>
      <c r="B88" t="s">
        <v>133</v>
      </c>
      <c r="C88" s="22"/>
      <c r="D88" s="23">
        <v>111.87</v>
      </c>
      <c r="E88" s="23">
        <v>0</v>
      </c>
      <c r="F88" s="23">
        <v>27108.61</v>
      </c>
      <c r="G88" s="22" t="s">
        <v>2406</v>
      </c>
      <c r="H88" s="22"/>
      <c r="I88" t="s">
        <v>2403</v>
      </c>
      <c r="K88" s="24">
        <f t="shared" si="2"/>
        <v>0</v>
      </c>
    </row>
    <row r="89" spans="1:11" hidden="1" x14ac:dyDescent="0.3">
      <c r="A89" s="21">
        <v>45041</v>
      </c>
      <c r="B89" t="s">
        <v>135</v>
      </c>
      <c r="C89" s="22"/>
      <c r="D89" s="23">
        <v>0</v>
      </c>
      <c r="E89" s="23">
        <v>4133.83</v>
      </c>
      <c r="F89" s="23">
        <v>31242.44</v>
      </c>
      <c r="G89" s="22" t="s">
        <v>2406</v>
      </c>
      <c r="H89" s="22"/>
      <c r="I89" t="s">
        <v>2403</v>
      </c>
      <c r="K89" s="24">
        <f t="shared" si="2"/>
        <v>0</v>
      </c>
    </row>
    <row r="90" spans="1:11" hidden="1" x14ac:dyDescent="0.3">
      <c r="A90" s="21">
        <v>45041</v>
      </c>
      <c r="B90" t="s">
        <v>135</v>
      </c>
      <c r="C90" s="22"/>
      <c r="D90" s="23">
        <v>0</v>
      </c>
      <c r="E90" s="23">
        <v>9183.0400000000009</v>
      </c>
      <c r="F90" s="23">
        <v>40425.480000000003</v>
      </c>
      <c r="G90" s="22" t="s">
        <v>2406</v>
      </c>
      <c r="H90" s="22"/>
      <c r="I90" t="s">
        <v>2403</v>
      </c>
      <c r="K90" s="24">
        <f t="shared" si="2"/>
        <v>0</v>
      </c>
    </row>
    <row r="91" spans="1:11" hidden="1" x14ac:dyDescent="0.3">
      <c r="A91" s="21">
        <v>45041</v>
      </c>
      <c r="B91" t="s">
        <v>1175</v>
      </c>
      <c r="C91" s="22" t="s">
        <v>1161</v>
      </c>
      <c r="D91" s="23">
        <v>30</v>
      </c>
      <c r="E91" s="23">
        <v>0</v>
      </c>
      <c r="F91" s="23">
        <v>102031.8</v>
      </c>
      <c r="G91" s="22" t="s">
        <v>2399</v>
      </c>
      <c r="H91" s="22"/>
      <c r="I91" t="s">
        <v>2400</v>
      </c>
      <c r="K91" s="24">
        <f t="shared" si="2"/>
        <v>-61636.32</v>
      </c>
    </row>
    <row r="92" spans="1:11" hidden="1" x14ac:dyDescent="0.3">
      <c r="A92" s="21">
        <v>45042</v>
      </c>
      <c r="B92" t="s">
        <v>133</v>
      </c>
      <c r="C92" s="22"/>
      <c r="D92" s="23">
        <v>5928.58</v>
      </c>
      <c r="E92" s="23">
        <v>0</v>
      </c>
      <c r="F92" s="23">
        <v>34496.9</v>
      </c>
      <c r="G92" s="22" t="s">
        <v>2406</v>
      </c>
      <c r="H92" s="22"/>
      <c r="I92" t="s">
        <v>2403</v>
      </c>
      <c r="K92" s="24">
        <f t="shared" si="2"/>
        <v>61606.32</v>
      </c>
    </row>
    <row r="93" spans="1:11" hidden="1" x14ac:dyDescent="0.3">
      <c r="A93" s="21">
        <v>45042</v>
      </c>
      <c r="B93" t="s">
        <v>1176</v>
      </c>
      <c r="C93" s="22" t="s">
        <v>1148</v>
      </c>
      <c r="D93" s="23">
        <v>69</v>
      </c>
      <c r="E93" s="23">
        <v>0</v>
      </c>
      <c r="F93" s="23">
        <v>101962.8</v>
      </c>
      <c r="G93" s="22" t="s">
        <v>2399</v>
      </c>
      <c r="H93" s="22"/>
      <c r="I93" t="s">
        <v>2400</v>
      </c>
      <c r="K93" s="24">
        <f t="shared" si="2"/>
        <v>-67534.899999999994</v>
      </c>
    </row>
    <row r="94" spans="1:11" hidden="1" x14ac:dyDescent="0.3">
      <c r="A94" s="21">
        <v>45042</v>
      </c>
      <c r="B94" t="s">
        <v>1177</v>
      </c>
      <c r="C94" s="22" t="s">
        <v>1148</v>
      </c>
      <c r="D94" s="23">
        <v>50</v>
      </c>
      <c r="E94" s="23">
        <v>0</v>
      </c>
      <c r="F94" s="23">
        <v>101912.8</v>
      </c>
      <c r="G94" s="22" t="s">
        <v>2399</v>
      </c>
      <c r="H94" s="22"/>
      <c r="I94" t="s">
        <v>2400</v>
      </c>
      <c r="K94" s="24">
        <f t="shared" si="2"/>
        <v>0</v>
      </c>
    </row>
    <row r="95" spans="1:11" hidden="1" x14ac:dyDescent="0.3">
      <c r="A95" s="21">
        <v>45042</v>
      </c>
      <c r="B95" t="s">
        <v>1178</v>
      </c>
      <c r="C95" s="22" t="s">
        <v>1148</v>
      </c>
      <c r="D95" s="23">
        <v>991.82</v>
      </c>
      <c r="E95" s="23">
        <v>0</v>
      </c>
      <c r="F95" s="23">
        <v>100920.98</v>
      </c>
      <c r="G95" s="22" t="s">
        <v>2399</v>
      </c>
      <c r="H95" s="22"/>
      <c r="I95" t="s">
        <v>2400</v>
      </c>
      <c r="K95" s="24">
        <f t="shared" si="2"/>
        <v>0</v>
      </c>
    </row>
    <row r="96" spans="1:11" hidden="1" x14ac:dyDescent="0.3">
      <c r="A96" s="21">
        <v>45043</v>
      </c>
      <c r="B96" t="s">
        <v>133</v>
      </c>
      <c r="C96" s="22"/>
      <c r="D96" s="23">
        <v>100.39</v>
      </c>
      <c r="E96" s="23">
        <v>0</v>
      </c>
      <c r="F96" s="23">
        <v>34396.51</v>
      </c>
      <c r="G96" s="22" t="s">
        <v>2406</v>
      </c>
      <c r="H96" s="22"/>
      <c r="I96" t="s">
        <v>2403</v>
      </c>
      <c r="K96" s="24">
        <f t="shared" si="2"/>
        <v>66424.079999999987</v>
      </c>
    </row>
    <row r="97" spans="1:11" hidden="1" x14ac:dyDescent="0.3">
      <c r="A97" s="21">
        <v>45043</v>
      </c>
      <c r="B97" t="s">
        <v>135</v>
      </c>
      <c r="C97" s="22"/>
      <c r="D97" s="23">
        <v>0</v>
      </c>
      <c r="E97" s="23">
        <v>1200.79</v>
      </c>
      <c r="F97" s="23">
        <v>35597.300000000003</v>
      </c>
      <c r="G97" s="22" t="s">
        <v>2406</v>
      </c>
      <c r="H97" s="22"/>
      <c r="I97" t="s">
        <v>2403</v>
      </c>
      <c r="K97" s="24">
        <f t="shared" si="2"/>
        <v>0</v>
      </c>
    </row>
    <row r="98" spans="1:11" hidden="1" x14ac:dyDescent="0.3">
      <c r="A98" s="21">
        <v>45043</v>
      </c>
      <c r="B98" t="s">
        <v>1179</v>
      </c>
      <c r="C98" s="22" t="s">
        <v>1152</v>
      </c>
      <c r="D98" s="23">
        <v>278</v>
      </c>
      <c r="E98" s="23">
        <v>0</v>
      </c>
      <c r="F98" s="23">
        <v>100642.98</v>
      </c>
      <c r="G98" s="22" t="s">
        <v>2399</v>
      </c>
      <c r="H98" s="22"/>
      <c r="I98" t="s">
        <v>2400</v>
      </c>
      <c r="K98" s="24">
        <f t="shared" si="2"/>
        <v>-65323.679999999993</v>
      </c>
    </row>
    <row r="99" spans="1:11" hidden="1" x14ac:dyDescent="0.3">
      <c r="A99" s="21">
        <v>45043</v>
      </c>
      <c r="B99" t="s">
        <v>1180</v>
      </c>
      <c r="C99" s="22" t="s">
        <v>1181</v>
      </c>
      <c r="D99" s="23">
        <v>0</v>
      </c>
      <c r="E99" s="23">
        <v>100</v>
      </c>
      <c r="F99" s="23">
        <v>100742.98</v>
      </c>
      <c r="G99" s="22" t="s">
        <v>2399</v>
      </c>
      <c r="H99" s="22"/>
      <c r="I99" t="s">
        <v>2400</v>
      </c>
      <c r="K99" s="24">
        <f t="shared" si="2"/>
        <v>0</v>
      </c>
    </row>
    <row r="100" spans="1:11" hidden="1" x14ac:dyDescent="0.3">
      <c r="A100" s="21">
        <v>45043</v>
      </c>
      <c r="B100" t="s">
        <v>1182</v>
      </c>
      <c r="C100" s="22" t="s">
        <v>1152</v>
      </c>
      <c r="D100" s="23">
        <v>100</v>
      </c>
      <c r="E100" s="23">
        <v>0</v>
      </c>
      <c r="F100" s="23">
        <v>100642.98</v>
      </c>
      <c r="G100" s="22" t="s">
        <v>2399</v>
      </c>
      <c r="H100" s="22"/>
      <c r="I100" t="s">
        <v>2400</v>
      </c>
      <c r="K100" s="24">
        <f t="shared" si="2"/>
        <v>0</v>
      </c>
    </row>
    <row r="101" spans="1:11" hidden="1" x14ac:dyDescent="0.3">
      <c r="A101" s="21">
        <v>45044</v>
      </c>
      <c r="B101" t="s">
        <v>133</v>
      </c>
      <c r="C101" s="22"/>
      <c r="D101" s="23">
        <v>114.12</v>
      </c>
      <c r="E101" s="23">
        <v>0</v>
      </c>
      <c r="F101" s="23">
        <v>35483.18</v>
      </c>
      <c r="G101" s="22" t="s">
        <v>2406</v>
      </c>
      <c r="H101" s="22"/>
      <c r="I101" t="s">
        <v>2403</v>
      </c>
      <c r="K101" s="24">
        <f t="shared" si="2"/>
        <v>65045.68</v>
      </c>
    </row>
    <row r="102" spans="1:11" hidden="1" x14ac:dyDescent="0.3">
      <c r="A102" s="21">
        <v>45044</v>
      </c>
      <c r="B102" t="s">
        <v>133</v>
      </c>
      <c r="C102" s="22"/>
      <c r="D102" s="23">
        <v>15786.08</v>
      </c>
      <c r="E102" s="23">
        <v>0</v>
      </c>
      <c r="F102" s="23">
        <v>19697.099999999999</v>
      </c>
      <c r="G102" s="22" t="s">
        <v>2406</v>
      </c>
      <c r="H102" s="22"/>
      <c r="I102" t="s">
        <v>2403</v>
      </c>
      <c r="K102" s="24">
        <f t="shared" si="2"/>
        <v>0</v>
      </c>
    </row>
    <row r="103" spans="1:11" hidden="1" x14ac:dyDescent="0.3">
      <c r="A103" s="21">
        <v>45044</v>
      </c>
      <c r="B103" t="s">
        <v>133</v>
      </c>
      <c r="C103" s="22"/>
      <c r="D103" s="23">
        <v>1940.44</v>
      </c>
      <c r="E103" s="23">
        <v>0</v>
      </c>
      <c r="F103" s="23">
        <v>17756.66</v>
      </c>
      <c r="G103" s="22" t="s">
        <v>2406</v>
      </c>
      <c r="H103" s="22"/>
      <c r="I103" t="s">
        <v>2403</v>
      </c>
      <c r="K103" s="24">
        <f t="shared" si="2"/>
        <v>0</v>
      </c>
    </row>
    <row r="104" spans="1:11" hidden="1" x14ac:dyDescent="0.3">
      <c r="A104" s="21">
        <v>45044</v>
      </c>
      <c r="B104" t="s">
        <v>1183</v>
      </c>
      <c r="C104" s="22" t="s">
        <v>1184</v>
      </c>
      <c r="D104" s="23">
        <v>0</v>
      </c>
      <c r="E104" s="23">
        <v>670</v>
      </c>
      <c r="F104" s="23">
        <v>101312.98</v>
      </c>
      <c r="G104" s="22" t="s">
        <v>2399</v>
      </c>
      <c r="H104" s="22"/>
      <c r="I104" t="s">
        <v>2400</v>
      </c>
      <c r="K104" s="24">
        <f t="shared" si="2"/>
        <v>-82886.319999999992</v>
      </c>
    </row>
    <row r="105" spans="1:11" hidden="1" x14ac:dyDescent="0.3">
      <c r="A105" s="21">
        <v>45044</v>
      </c>
      <c r="B105" t="s">
        <v>1185</v>
      </c>
      <c r="C105" s="22" t="s">
        <v>1172</v>
      </c>
      <c r="D105" s="23">
        <v>108</v>
      </c>
      <c r="E105" s="23">
        <v>0</v>
      </c>
      <c r="F105" s="23">
        <v>101204.98</v>
      </c>
      <c r="G105" s="22" t="s">
        <v>2399</v>
      </c>
      <c r="H105" s="22"/>
      <c r="I105" t="s">
        <v>2400</v>
      </c>
      <c r="K105" s="24">
        <f t="shared" si="2"/>
        <v>0</v>
      </c>
    </row>
    <row r="106" spans="1:11" hidden="1" x14ac:dyDescent="0.3">
      <c r="A106" s="21">
        <v>45044</v>
      </c>
      <c r="B106" t="s">
        <v>1186</v>
      </c>
      <c r="C106" s="22" t="s">
        <v>1172</v>
      </c>
      <c r="D106" s="23">
        <v>256</v>
      </c>
      <c r="E106" s="23">
        <v>0</v>
      </c>
      <c r="F106" s="23">
        <v>100948.98</v>
      </c>
      <c r="G106" s="22" t="s">
        <v>2399</v>
      </c>
      <c r="H106" s="22"/>
      <c r="I106" t="s">
        <v>2400</v>
      </c>
      <c r="K106" s="24">
        <f t="shared" si="2"/>
        <v>0</v>
      </c>
    </row>
    <row r="107" spans="1:11" hidden="1" x14ac:dyDescent="0.3">
      <c r="A107" s="21">
        <v>45044</v>
      </c>
      <c r="B107" t="s">
        <v>1187</v>
      </c>
      <c r="C107" s="22" t="s">
        <v>1172</v>
      </c>
      <c r="D107" s="23">
        <v>45</v>
      </c>
      <c r="E107" s="23">
        <v>0</v>
      </c>
      <c r="F107" s="23">
        <v>100903.98</v>
      </c>
      <c r="G107" s="22" t="s">
        <v>2399</v>
      </c>
      <c r="H107" s="22"/>
      <c r="I107" t="s">
        <v>2400</v>
      </c>
      <c r="K107" s="24">
        <f t="shared" si="2"/>
        <v>0</v>
      </c>
    </row>
    <row r="108" spans="1:11" hidden="1" x14ac:dyDescent="0.3">
      <c r="A108" s="21">
        <v>45045</v>
      </c>
      <c r="B108" t="s">
        <v>1188</v>
      </c>
      <c r="C108" s="22" t="s">
        <v>1154</v>
      </c>
      <c r="D108" s="23">
        <v>840</v>
      </c>
      <c r="E108" s="23">
        <v>0</v>
      </c>
      <c r="F108" s="23">
        <v>100063.98</v>
      </c>
      <c r="G108" s="22" t="s">
        <v>2399</v>
      </c>
      <c r="H108" s="22"/>
      <c r="I108" t="s">
        <v>2400</v>
      </c>
      <c r="K108" s="24">
        <f t="shared" si="2"/>
        <v>0</v>
      </c>
    </row>
    <row r="109" spans="1:11" hidden="1" x14ac:dyDescent="0.3">
      <c r="A109" s="21">
        <v>45046</v>
      </c>
      <c r="B109" t="s">
        <v>1189</v>
      </c>
      <c r="C109" s="22" t="s">
        <v>1143</v>
      </c>
      <c r="D109" s="23">
        <v>90</v>
      </c>
      <c r="E109" s="23">
        <v>0</v>
      </c>
      <c r="F109" s="23">
        <v>99973.98</v>
      </c>
      <c r="G109" s="22" t="s">
        <v>2399</v>
      </c>
      <c r="H109" s="22"/>
      <c r="I109" t="s">
        <v>2400</v>
      </c>
      <c r="K109" s="24">
        <f t="shared" si="2"/>
        <v>0</v>
      </c>
    </row>
    <row r="110" spans="1:11" hidden="1" x14ac:dyDescent="0.3">
      <c r="A110" s="21">
        <v>45047</v>
      </c>
      <c r="B110" t="s">
        <v>1190</v>
      </c>
      <c r="C110" s="22" t="s">
        <v>1191</v>
      </c>
      <c r="D110" s="23">
        <v>90</v>
      </c>
      <c r="E110" s="23">
        <v>0</v>
      </c>
      <c r="F110" s="23">
        <v>99883.98</v>
      </c>
      <c r="G110" s="22" t="s">
        <v>2399</v>
      </c>
      <c r="H110" s="22"/>
      <c r="I110" t="s">
        <v>2400</v>
      </c>
      <c r="K110" s="24">
        <f t="shared" si="2"/>
        <v>0</v>
      </c>
    </row>
    <row r="111" spans="1:11" hidden="1" x14ac:dyDescent="0.3">
      <c r="A111" s="21">
        <v>45048</v>
      </c>
      <c r="B111" t="s">
        <v>133</v>
      </c>
      <c r="C111" s="22"/>
      <c r="D111" s="23">
        <v>452.64</v>
      </c>
      <c r="E111" s="23">
        <v>0</v>
      </c>
      <c r="F111" s="23">
        <v>17304.02</v>
      </c>
      <c r="G111" s="22" t="s">
        <v>2406</v>
      </c>
      <c r="H111" s="22"/>
      <c r="I111" t="s">
        <v>2403</v>
      </c>
      <c r="K111" s="24">
        <f t="shared" si="2"/>
        <v>82127.319999999992</v>
      </c>
    </row>
    <row r="112" spans="1:11" hidden="1" x14ac:dyDescent="0.3">
      <c r="A112" s="21">
        <v>45048</v>
      </c>
      <c r="B112" t="s">
        <v>135</v>
      </c>
      <c r="C112" s="22"/>
      <c r="D112" s="23">
        <v>0</v>
      </c>
      <c r="E112" s="23">
        <v>447.14</v>
      </c>
      <c r="F112" s="23">
        <v>17751.16</v>
      </c>
      <c r="G112" s="22" t="s">
        <v>2406</v>
      </c>
      <c r="H112" s="22"/>
      <c r="I112" t="s">
        <v>2403</v>
      </c>
      <c r="K112" s="24">
        <f t="shared" si="2"/>
        <v>0</v>
      </c>
    </row>
    <row r="113" spans="1:11" hidden="1" x14ac:dyDescent="0.3">
      <c r="A113" s="21">
        <v>45048</v>
      </c>
      <c r="B113" t="s">
        <v>135</v>
      </c>
      <c r="C113" s="22"/>
      <c r="D113" s="23">
        <v>0</v>
      </c>
      <c r="E113" s="23">
        <v>447.14</v>
      </c>
      <c r="F113" s="23">
        <v>17751.16</v>
      </c>
      <c r="G113" s="22" t="s">
        <v>2406</v>
      </c>
      <c r="H113" s="22"/>
      <c r="I113" t="s">
        <v>2403</v>
      </c>
      <c r="K113" s="24">
        <f t="shared" si="2"/>
        <v>447.13999999999942</v>
      </c>
    </row>
    <row r="114" spans="1:11" hidden="1" x14ac:dyDescent="0.3">
      <c r="A114" s="21">
        <v>45049</v>
      </c>
      <c r="B114" t="s">
        <v>133</v>
      </c>
      <c r="C114" s="22"/>
      <c r="D114" s="23">
        <v>447.14</v>
      </c>
      <c r="E114" s="23">
        <v>0</v>
      </c>
      <c r="F114" s="23">
        <v>17304.02</v>
      </c>
      <c r="G114" s="22" t="s">
        <v>2406</v>
      </c>
      <c r="H114" s="22"/>
      <c r="I114" t="s">
        <v>2403</v>
      </c>
      <c r="K114" s="24">
        <f t="shared" si="2"/>
        <v>0</v>
      </c>
    </row>
    <row r="115" spans="1:11" hidden="1" x14ac:dyDescent="0.3">
      <c r="A115" s="21">
        <v>45049</v>
      </c>
      <c r="B115" t="s">
        <v>133</v>
      </c>
      <c r="C115" s="22"/>
      <c r="D115" s="23">
        <v>118.19</v>
      </c>
      <c r="E115" s="23">
        <v>0</v>
      </c>
      <c r="F115" s="23">
        <v>17632.97</v>
      </c>
      <c r="G115" s="22" t="s">
        <v>2406</v>
      </c>
      <c r="H115" s="22"/>
      <c r="I115" t="s">
        <v>2403</v>
      </c>
      <c r="K115" s="24">
        <f t="shared" si="2"/>
        <v>-447.13999999999942</v>
      </c>
    </row>
    <row r="116" spans="1:11" hidden="1" x14ac:dyDescent="0.3">
      <c r="A116" s="21">
        <v>45049</v>
      </c>
      <c r="B116" t="s">
        <v>135</v>
      </c>
      <c r="C116" s="22"/>
      <c r="D116" s="23">
        <v>0</v>
      </c>
      <c r="E116" s="23">
        <v>7290.23</v>
      </c>
      <c r="F116" s="23">
        <v>24923.200000000001</v>
      </c>
      <c r="G116" s="22" t="s">
        <v>2406</v>
      </c>
      <c r="H116" s="22"/>
      <c r="I116" t="s">
        <v>2403</v>
      </c>
      <c r="K116" s="24">
        <f t="shared" si="2"/>
        <v>0</v>
      </c>
    </row>
    <row r="117" spans="1:11" hidden="1" x14ac:dyDescent="0.3">
      <c r="A117" s="21">
        <v>45049</v>
      </c>
      <c r="B117" t="s">
        <v>133</v>
      </c>
      <c r="C117" s="22"/>
      <c r="D117" s="23">
        <v>7290.23</v>
      </c>
      <c r="E117" s="23">
        <v>0</v>
      </c>
      <c r="F117" s="23">
        <v>17632.97</v>
      </c>
      <c r="G117" s="22" t="s">
        <v>2406</v>
      </c>
      <c r="H117" s="22"/>
      <c r="I117" t="s">
        <v>2403</v>
      </c>
      <c r="K117" s="24">
        <f t="shared" si="2"/>
        <v>0</v>
      </c>
    </row>
    <row r="118" spans="1:11" hidden="1" x14ac:dyDescent="0.3">
      <c r="A118" s="21">
        <v>45049</v>
      </c>
      <c r="B118" t="s">
        <v>135</v>
      </c>
      <c r="C118" s="22"/>
      <c r="D118" s="23">
        <v>0</v>
      </c>
      <c r="E118" s="23">
        <v>7290.23</v>
      </c>
      <c r="F118" s="23">
        <v>24923.200000000001</v>
      </c>
      <c r="G118" s="22" t="s">
        <v>2406</v>
      </c>
      <c r="H118" s="22"/>
      <c r="I118" t="s">
        <v>2403</v>
      </c>
      <c r="K118" s="24">
        <f t="shared" si="2"/>
        <v>0</v>
      </c>
    </row>
    <row r="119" spans="1:11" hidden="1" x14ac:dyDescent="0.3">
      <c r="A119" s="21">
        <v>45050</v>
      </c>
      <c r="B119" t="s">
        <v>135</v>
      </c>
      <c r="C119" s="22"/>
      <c r="D119" s="23">
        <v>0</v>
      </c>
      <c r="E119" s="23">
        <v>1909.02</v>
      </c>
      <c r="F119" s="23">
        <v>26832.22</v>
      </c>
      <c r="G119" s="22" t="s">
        <v>2406</v>
      </c>
      <c r="H119" s="22"/>
      <c r="I119" t="s">
        <v>2403</v>
      </c>
      <c r="K119" s="24">
        <f t="shared" si="2"/>
        <v>0</v>
      </c>
    </row>
    <row r="120" spans="1:11" hidden="1" x14ac:dyDescent="0.3">
      <c r="A120" s="21">
        <v>45050</v>
      </c>
      <c r="B120" t="s">
        <v>1192</v>
      </c>
      <c r="C120" s="22" t="s">
        <v>1152</v>
      </c>
      <c r="D120" s="23">
        <v>574</v>
      </c>
      <c r="E120" s="23">
        <v>0</v>
      </c>
      <c r="F120" s="23">
        <v>99309.98</v>
      </c>
      <c r="G120" s="22" t="s">
        <v>2399</v>
      </c>
      <c r="H120" s="22"/>
      <c r="I120" t="s">
        <v>2400</v>
      </c>
      <c r="K120" s="24">
        <f t="shared" si="2"/>
        <v>-73051.759999999995</v>
      </c>
    </row>
    <row r="121" spans="1:11" hidden="1" x14ac:dyDescent="0.3">
      <c r="A121" s="21">
        <v>45051</v>
      </c>
      <c r="B121" t="s">
        <v>133</v>
      </c>
      <c r="C121" s="22"/>
      <c r="D121" s="23">
        <v>110.91</v>
      </c>
      <c r="E121" s="23">
        <v>0</v>
      </c>
      <c r="F121" s="23">
        <v>26721.31</v>
      </c>
      <c r="G121" s="22" t="s">
        <v>2406</v>
      </c>
      <c r="H121" s="22"/>
      <c r="I121" t="s">
        <v>2403</v>
      </c>
      <c r="K121" s="24">
        <f t="shared" si="2"/>
        <v>72477.759999999995</v>
      </c>
    </row>
    <row r="122" spans="1:11" hidden="1" x14ac:dyDescent="0.3">
      <c r="A122" s="21">
        <v>45051</v>
      </c>
      <c r="B122" t="s">
        <v>133</v>
      </c>
      <c r="C122" s="22"/>
      <c r="D122" s="23">
        <v>1185.33</v>
      </c>
      <c r="E122" s="23">
        <v>0</v>
      </c>
      <c r="F122" s="23">
        <v>25535.98</v>
      </c>
      <c r="G122" s="22" t="s">
        <v>2406</v>
      </c>
      <c r="H122" s="22"/>
      <c r="I122" t="s">
        <v>2403</v>
      </c>
      <c r="K122" s="24">
        <f t="shared" si="2"/>
        <v>0</v>
      </c>
    </row>
    <row r="123" spans="1:11" hidden="1" x14ac:dyDescent="0.3">
      <c r="A123" s="21">
        <v>45051</v>
      </c>
      <c r="B123" t="s">
        <v>192</v>
      </c>
      <c r="C123" s="22"/>
      <c r="D123" s="23">
        <v>0</v>
      </c>
      <c r="E123" s="23">
        <v>25000</v>
      </c>
      <c r="F123" s="23">
        <v>50535.98</v>
      </c>
      <c r="G123" s="22" t="s">
        <v>2416</v>
      </c>
      <c r="H123" s="22"/>
      <c r="I123" t="s">
        <v>2403</v>
      </c>
      <c r="K123" s="24">
        <f t="shared" si="2"/>
        <v>0</v>
      </c>
    </row>
    <row r="124" spans="1:11" hidden="1" x14ac:dyDescent="0.3">
      <c r="A124" s="21">
        <v>45051</v>
      </c>
      <c r="B124" t="s">
        <v>1193</v>
      </c>
      <c r="C124" s="22" t="s">
        <v>1172</v>
      </c>
      <c r="D124" s="23">
        <v>260</v>
      </c>
      <c r="E124" s="23">
        <v>0</v>
      </c>
      <c r="F124" s="23">
        <v>99049.98</v>
      </c>
      <c r="G124" s="22" t="s">
        <v>2399</v>
      </c>
      <c r="H124" s="22"/>
      <c r="I124" t="s">
        <v>2400</v>
      </c>
      <c r="K124" s="24">
        <f t="shared" si="2"/>
        <v>-48773.999999999993</v>
      </c>
    </row>
    <row r="125" spans="1:11" hidden="1" x14ac:dyDescent="0.3">
      <c r="A125" s="21">
        <v>45052</v>
      </c>
      <c r="B125" t="s">
        <v>1194</v>
      </c>
      <c r="C125" s="22" t="s">
        <v>1154</v>
      </c>
      <c r="D125" s="23">
        <v>152</v>
      </c>
      <c r="E125" s="23">
        <v>0</v>
      </c>
      <c r="F125" s="23">
        <v>98897.98</v>
      </c>
      <c r="G125" s="22" t="s">
        <v>2399</v>
      </c>
      <c r="H125" s="22"/>
      <c r="I125" t="s">
        <v>2400</v>
      </c>
      <c r="K125" s="24">
        <f t="shared" si="2"/>
        <v>0</v>
      </c>
    </row>
    <row r="126" spans="1:11" hidden="1" x14ac:dyDescent="0.3">
      <c r="A126" s="21">
        <v>45053</v>
      </c>
      <c r="B126" t="s">
        <v>1195</v>
      </c>
      <c r="C126" s="22" t="s">
        <v>1143</v>
      </c>
      <c r="D126" s="23">
        <v>160</v>
      </c>
      <c r="E126" s="23">
        <v>0</v>
      </c>
      <c r="F126" s="23">
        <v>98737.98</v>
      </c>
      <c r="G126" s="22" t="s">
        <v>2399</v>
      </c>
      <c r="H126" s="22"/>
      <c r="I126" t="s">
        <v>2400</v>
      </c>
      <c r="K126" s="24">
        <f t="shared" si="2"/>
        <v>0</v>
      </c>
    </row>
    <row r="127" spans="1:11" hidden="1" x14ac:dyDescent="0.3">
      <c r="A127" s="21">
        <v>45053</v>
      </c>
      <c r="B127" t="s">
        <v>1196</v>
      </c>
      <c r="C127" s="22" t="s">
        <v>1143</v>
      </c>
      <c r="D127" s="23">
        <v>20</v>
      </c>
      <c r="E127" s="23">
        <v>0</v>
      </c>
      <c r="F127" s="23">
        <v>98717.98</v>
      </c>
      <c r="G127" s="22" t="s">
        <v>2399</v>
      </c>
      <c r="H127" s="22"/>
      <c r="I127" t="s">
        <v>2400</v>
      </c>
      <c r="K127" s="24">
        <f t="shared" si="2"/>
        <v>0</v>
      </c>
    </row>
    <row r="128" spans="1:11" hidden="1" x14ac:dyDescent="0.3">
      <c r="A128" s="21">
        <v>45053</v>
      </c>
      <c r="B128" t="s">
        <v>1197</v>
      </c>
      <c r="C128" s="22" t="s">
        <v>1143</v>
      </c>
      <c r="D128" s="23">
        <v>160</v>
      </c>
      <c r="E128" s="23">
        <v>0</v>
      </c>
      <c r="F128" s="23">
        <v>98557.98</v>
      </c>
      <c r="G128" s="22" t="s">
        <v>2399</v>
      </c>
      <c r="H128" s="22"/>
      <c r="I128" t="s">
        <v>2400</v>
      </c>
      <c r="K128" s="24">
        <f t="shared" si="2"/>
        <v>0</v>
      </c>
    </row>
    <row r="129" spans="1:11" hidden="1" x14ac:dyDescent="0.3">
      <c r="A129" s="21">
        <v>45053</v>
      </c>
      <c r="B129" t="s">
        <v>1198</v>
      </c>
      <c r="C129" s="22" t="s">
        <v>1143</v>
      </c>
      <c r="D129" s="23">
        <v>8603.99</v>
      </c>
      <c r="E129" s="23">
        <v>0</v>
      </c>
      <c r="F129" s="23">
        <v>89953.99</v>
      </c>
      <c r="G129" s="22" t="s">
        <v>2399</v>
      </c>
      <c r="H129" s="22"/>
      <c r="I129" t="s">
        <v>2400</v>
      </c>
      <c r="K129" s="24">
        <f t="shared" si="2"/>
        <v>0</v>
      </c>
    </row>
    <row r="130" spans="1:11" hidden="1" x14ac:dyDescent="0.3">
      <c r="A130" s="21">
        <v>45054</v>
      </c>
      <c r="B130" t="s">
        <v>133</v>
      </c>
      <c r="C130" s="22"/>
      <c r="D130" s="23">
        <v>330.99</v>
      </c>
      <c r="E130" s="23">
        <v>0</v>
      </c>
      <c r="F130" s="23">
        <v>50204.99</v>
      </c>
      <c r="G130" s="22" t="s">
        <v>2406</v>
      </c>
      <c r="H130" s="22"/>
      <c r="I130" t="s">
        <v>2403</v>
      </c>
      <c r="K130" s="24">
        <f t="shared" si="2"/>
        <v>39418.01</v>
      </c>
    </row>
    <row r="131" spans="1:11" hidden="1" x14ac:dyDescent="0.3">
      <c r="A131" s="21">
        <v>45054</v>
      </c>
      <c r="B131" t="s">
        <v>195</v>
      </c>
      <c r="C131" s="22"/>
      <c r="D131" s="23">
        <v>0</v>
      </c>
      <c r="E131" s="23">
        <v>1880</v>
      </c>
      <c r="F131" s="23">
        <v>52084.99</v>
      </c>
      <c r="G131" s="22" t="s">
        <v>2407</v>
      </c>
      <c r="H131" s="22"/>
      <c r="I131" t="s">
        <v>2403</v>
      </c>
      <c r="K131" s="24">
        <f t="shared" si="2"/>
        <v>0</v>
      </c>
    </row>
    <row r="132" spans="1:11" hidden="1" x14ac:dyDescent="0.3">
      <c r="A132" s="21">
        <v>45054</v>
      </c>
      <c r="B132" t="s">
        <v>133</v>
      </c>
      <c r="C132" s="22"/>
      <c r="D132" s="23">
        <v>949.4</v>
      </c>
      <c r="E132" s="23">
        <v>0</v>
      </c>
      <c r="F132" s="23">
        <v>51135.59</v>
      </c>
      <c r="G132" s="22" t="s">
        <v>2406</v>
      </c>
      <c r="H132" s="22"/>
      <c r="I132" t="s">
        <v>2403</v>
      </c>
      <c r="K132" s="24">
        <f t="shared" si="2"/>
        <v>0</v>
      </c>
    </row>
    <row r="133" spans="1:11" hidden="1" x14ac:dyDescent="0.3">
      <c r="A133" s="21">
        <v>45054</v>
      </c>
      <c r="B133" t="s">
        <v>135</v>
      </c>
      <c r="C133" s="22"/>
      <c r="D133" s="23">
        <v>0</v>
      </c>
      <c r="E133" s="23">
        <v>26132.84</v>
      </c>
      <c r="F133" s="23">
        <v>77268.429999999993</v>
      </c>
      <c r="G133" s="22" t="s">
        <v>2406</v>
      </c>
      <c r="H133" s="22"/>
      <c r="I133" t="s">
        <v>2403</v>
      </c>
      <c r="K133" s="24">
        <f t="shared" si="2"/>
        <v>0</v>
      </c>
    </row>
    <row r="134" spans="1:11" hidden="1" x14ac:dyDescent="0.3">
      <c r="A134" s="21">
        <v>45054</v>
      </c>
      <c r="B134" t="s">
        <v>1199</v>
      </c>
      <c r="C134" s="22" t="s">
        <v>1191</v>
      </c>
      <c r="D134" s="23">
        <v>8603.99</v>
      </c>
      <c r="E134" s="23">
        <v>0</v>
      </c>
      <c r="F134" s="23">
        <v>81350</v>
      </c>
      <c r="G134" s="22" t="s">
        <v>2399</v>
      </c>
      <c r="H134" s="22"/>
      <c r="I134" t="s">
        <v>2400</v>
      </c>
      <c r="K134" s="24">
        <f t="shared" ref="K134:K197" si="3">F133-D134+E134-F134</f>
        <v>-12685.560000000012</v>
      </c>
    </row>
    <row r="135" spans="1:11" hidden="1" x14ac:dyDescent="0.3">
      <c r="A135" s="21">
        <v>45055</v>
      </c>
      <c r="B135" t="s">
        <v>133</v>
      </c>
      <c r="C135" s="22"/>
      <c r="D135" s="23">
        <v>109.86</v>
      </c>
      <c r="E135" s="23">
        <v>0</v>
      </c>
      <c r="F135" s="23">
        <v>77158.570000000007</v>
      </c>
      <c r="G135" s="22" t="s">
        <v>2406</v>
      </c>
      <c r="H135" s="22"/>
      <c r="I135" t="s">
        <v>2403</v>
      </c>
      <c r="K135" s="24">
        <f t="shared" si="3"/>
        <v>4081.5699999999924</v>
      </c>
    </row>
    <row r="136" spans="1:11" hidden="1" x14ac:dyDescent="0.3">
      <c r="A136" s="21">
        <v>45055</v>
      </c>
      <c r="B136" t="s">
        <v>200</v>
      </c>
      <c r="C136" s="22"/>
      <c r="D136" s="23">
        <v>0</v>
      </c>
      <c r="E136" s="23">
        <v>50000</v>
      </c>
      <c r="F136" s="23">
        <v>127158.57</v>
      </c>
      <c r="G136" s="22" t="s">
        <v>2417</v>
      </c>
      <c r="H136" s="22"/>
      <c r="I136" t="s">
        <v>2403</v>
      </c>
      <c r="K136" s="24">
        <f t="shared" si="3"/>
        <v>0</v>
      </c>
    </row>
    <row r="137" spans="1:11" hidden="1" x14ac:dyDescent="0.3">
      <c r="A137" s="21">
        <v>45055</v>
      </c>
      <c r="B137" t="s">
        <v>133</v>
      </c>
      <c r="C137" s="22"/>
      <c r="D137" s="23">
        <v>726.06</v>
      </c>
      <c r="E137" s="23">
        <v>0</v>
      </c>
      <c r="F137" s="23">
        <v>126432.51</v>
      </c>
      <c r="G137" s="22" t="s">
        <v>2406</v>
      </c>
      <c r="H137" s="22"/>
      <c r="I137" t="s">
        <v>2403</v>
      </c>
      <c r="K137" s="24">
        <f t="shared" si="3"/>
        <v>0</v>
      </c>
    </row>
    <row r="138" spans="1:11" hidden="1" x14ac:dyDescent="0.3">
      <c r="A138" s="21">
        <v>45055</v>
      </c>
      <c r="B138" t="s">
        <v>135</v>
      </c>
      <c r="C138" s="22"/>
      <c r="D138" s="23">
        <v>0</v>
      </c>
      <c r="E138" s="23">
        <v>9334.18</v>
      </c>
      <c r="F138" s="23">
        <v>135766.69</v>
      </c>
      <c r="G138" s="22" t="s">
        <v>2406</v>
      </c>
      <c r="H138" s="22"/>
      <c r="I138" t="s">
        <v>2403</v>
      </c>
      <c r="K138" s="24">
        <f t="shared" si="3"/>
        <v>0</v>
      </c>
    </row>
    <row r="139" spans="1:11" hidden="1" x14ac:dyDescent="0.3">
      <c r="A139" s="21">
        <v>45055</v>
      </c>
      <c r="B139" t="s">
        <v>1200</v>
      </c>
      <c r="C139" s="22" t="s">
        <v>1161</v>
      </c>
      <c r="D139" s="23">
        <v>20</v>
      </c>
      <c r="E139" s="23">
        <v>0</v>
      </c>
      <c r="F139" s="23">
        <v>81330</v>
      </c>
      <c r="G139" s="22" t="s">
        <v>2399</v>
      </c>
      <c r="H139" s="22"/>
      <c r="I139" t="s">
        <v>2400</v>
      </c>
      <c r="K139" s="24">
        <f t="shared" si="3"/>
        <v>54416.69</v>
      </c>
    </row>
    <row r="140" spans="1:11" hidden="1" x14ac:dyDescent="0.3">
      <c r="A140" s="21">
        <v>45055</v>
      </c>
      <c r="B140" t="s">
        <v>1201</v>
      </c>
      <c r="C140" s="22" t="s">
        <v>1202</v>
      </c>
      <c r="D140" s="23">
        <v>0</v>
      </c>
      <c r="E140" s="23">
        <v>1</v>
      </c>
      <c r="F140" s="23">
        <v>81331</v>
      </c>
      <c r="G140" s="22" t="s">
        <v>2646</v>
      </c>
      <c r="H140" s="22"/>
      <c r="I140" t="s">
        <v>2400</v>
      </c>
      <c r="K140" s="24">
        <f t="shared" si="3"/>
        <v>0</v>
      </c>
    </row>
    <row r="141" spans="1:11" hidden="1" x14ac:dyDescent="0.3">
      <c r="A141" s="21">
        <v>45055</v>
      </c>
      <c r="B141" t="s">
        <v>1203</v>
      </c>
      <c r="C141" s="22" t="s">
        <v>1161</v>
      </c>
      <c r="D141" s="23">
        <v>673.81</v>
      </c>
      <c r="E141" s="23">
        <v>0</v>
      </c>
      <c r="F141" s="23">
        <v>80657.19</v>
      </c>
      <c r="G141" s="22" t="s">
        <v>2399</v>
      </c>
      <c r="H141" s="22"/>
      <c r="I141" t="s">
        <v>2400</v>
      </c>
      <c r="K141" s="24">
        <f t="shared" si="3"/>
        <v>0</v>
      </c>
    </row>
    <row r="142" spans="1:11" hidden="1" x14ac:dyDescent="0.3">
      <c r="A142" s="21">
        <v>45056</v>
      </c>
      <c r="B142" t="s">
        <v>204</v>
      </c>
      <c r="C142" s="22"/>
      <c r="D142" s="23">
        <v>3000</v>
      </c>
      <c r="E142" s="23">
        <v>0</v>
      </c>
      <c r="F142" s="23">
        <v>132766.69</v>
      </c>
      <c r="G142" s="22" t="s">
        <v>2418</v>
      </c>
      <c r="H142" s="22"/>
      <c r="I142" t="s">
        <v>2403</v>
      </c>
      <c r="K142" s="24">
        <f t="shared" si="3"/>
        <v>-55109.5</v>
      </c>
    </row>
    <row r="143" spans="1:11" hidden="1" x14ac:dyDescent="0.3">
      <c r="A143" s="21">
        <v>45056</v>
      </c>
      <c r="B143" t="s">
        <v>133</v>
      </c>
      <c r="C143" s="22"/>
      <c r="D143" s="23">
        <v>115.13</v>
      </c>
      <c r="E143" s="23">
        <v>0</v>
      </c>
      <c r="F143" s="23">
        <v>132651.56</v>
      </c>
      <c r="G143" s="22" t="s">
        <v>2406</v>
      </c>
      <c r="H143" s="22"/>
      <c r="I143" t="s">
        <v>2403</v>
      </c>
      <c r="K143" s="24">
        <f t="shared" si="3"/>
        <v>0</v>
      </c>
    </row>
    <row r="144" spans="1:11" hidden="1" x14ac:dyDescent="0.3">
      <c r="A144" s="21">
        <v>45056</v>
      </c>
      <c r="B144" t="s">
        <v>133</v>
      </c>
      <c r="C144" s="22"/>
      <c r="D144" s="23">
        <v>14400.91</v>
      </c>
      <c r="E144" s="23">
        <v>0</v>
      </c>
      <c r="F144" s="23">
        <v>118250.65</v>
      </c>
      <c r="G144" s="22" t="s">
        <v>2406</v>
      </c>
      <c r="H144" s="22"/>
      <c r="I144" t="s">
        <v>2403</v>
      </c>
      <c r="K144" s="24">
        <f t="shared" si="3"/>
        <v>0</v>
      </c>
    </row>
    <row r="145" spans="1:11" hidden="1" x14ac:dyDescent="0.3">
      <c r="A145" s="21">
        <v>45056</v>
      </c>
      <c r="B145" t="s">
        <v>135</v>
      </c>
      <c r="C145" s="22"/>
      <c r="D145" s="23">
        <v>0</v>
      </c>
      <c r="E145" s="23">
        <v>3506.31</v>
      </c>
      <c r="F145" s="23">
        <v>121756.96</v>
      </c>
      <c r="G145" s="22" t="s">
        <v>2406</v>
      </c>
      <c r="H145" s="22"/>
      <c r="I145" t="s">
        <v>2403</v>
      </c>
      <c r="K145" s="24">
        <f t="shared" si="3"/>
        <v>0</v>
      </c>
    </row>
    <row r="146" spans="1:11" hidden="1" x14ac:dyDescent="0.3">
      <c r="A146" s="21">
        <v>45057</v>
      </c>
      <c r="B146" t="s">
        <v>154</v>
      </c>
      <c r="C146" s="22"/>
      <c r="D146" s="23">
        <v>3000</v>
      </c>
      <c r="E146" s="23">
        <v>0</v>
      </c>
      <c r="F146" s="23">
        <v>118756.96</v>
      </c>
      <c r="G146" s="22" t="s">
        <v>2418</v>
      </c>
      <c r="H146" s="22"/>
      <c r="I146" t="s">
        <v>2403</v>
      </c>
      <c r="K146" s="24">
        <f t="shared" si="3"/>
        <v>0</v>
      </c>
    </row>
    <row r="147" spans="1:11" hidden="1" x14ac:dyDescent="0.3">
      <c r="A147" s="21">
        <v>45057</v>
      </c>
      <c r="B147" t="s">
        <v>133</v>
      </c>
      <c r="C147" s="22"/>
      <c r="D147" s="23">
        <v>116.86</v>
      </c>
      <c r="E147" s="23">
        <v>0</v>
      </c>
      <c r="F147" s="23">
        <v>118640.1</v>
      </c>
      <c r="G147" s="22" t="s">
        <v>2406</v>
      </c>
      <c r="H147" s="22"/>
      <c r="I147" t="s">
        <v>2403</v>
      </c>
      <c r="K147" s="24">
        <f t="shared" si="3"/>
        <v>0</v>
      </c>
    </row>
    <row r="148" spans="1:11" hidden="1" x14ac:dyDescent="0.3">
      <c r="A148" s="21">
        <v>45057</v>
      </c>
      <c r="B148" t="s">
        <v>211</v>
      </c>
      <c r="C148" s="22"/>
      <c r="D148" s="23">
        <v>7.08</v>
      </c>
      <c r="E148" s="23">
        <v>0</v>
      </c>
      <c r="F148" s="23">
        <v>118633.02</v>
      </c>
      <c r="G148" s="22" t="s">
        <v>2415</v>
      </c>
      <c r="H148" s="22"/>
      <c r="I148" t="s">
        <v>2403</v>
      </c>
      <c r="K148" s="24">
        <f t="shared" si="3"/>
        <v>0</v>
      </c>
    </row>
    <row r="149" spans="1:11" hidden="1" x14ac:dyDescent="0.3">
      <c r="A149" s="21">
        <v>45057</v>
      </c>
      <c r="B149" t="s">
        <v>135</v>
      </c>
      <c r="C149" s="22"/>
      <c r="D149" s="23">
        <v>0</v>
      </c>
      <c r="E149" s="23">
        <v>1247.8</v>
      </c>
      <c r="F149" s="23">
        <v>119880.82</v>
      </c>
      <c r="G149" s="22" t="s">
        <v>2406</v>
      </c>
      <c r="H149" s="22"/>
      <c r="I149" t="s">
        <v>2403</v>
      </c>
      <c r="K149" s="24">
        <f t="shared" si="3"/>
        <v>0</v>
      </c>
    </row>
    <row r="150" spans="1:11" hidden="1" x14ac:dyDescent="0.3">
      <c r="A150" s="21">
        <v>45057</v>
      </c>
      <c r="B150" t="s">
        <v>1204</v>
      </c>
      <c r="C150" s="22" t="s">
        <v>1152</v>
      </c>
      <c r="D150" s="23">
        <v>101.63</v>
      </c>
      <c r="E150" s="23">
        <v>0</v>
      </c>
      <c r="F150" s="23">
        <v>80555.56</v>
      </c>
      <c r="G150" s="22" t="s">
        <v>2399</v>
      </c>
      <c r="H150" s="22"/>
      <c r="I150" t="s">
        <v>2400</v>
      </c>
      <c r="K150" s="24">
        <f t="shared" si="3"/>
        <v>39223.630000000005</v>
      </c>
    </row>
    <row r="151" spans="1:11" hidden="1" x14ac:dyDescent="0.3">
      <c r="A151" s="21">
        <v>45058</v>
      </c>
      <c r="B151" t="s">
        <v>133</v>
      </c>
      <c r="C151" s="22"/>
      <c r="D151" s="23">
        <v>113.5</v>
      </c>
      <c r="E151" s="23">
        <v>0</v>
      </c>
      <c r="F151" s="23">
        <v>119767.32</v>
      </c>
      <c r="G151" s="22" t="s">
        <v>2406</v>
      </c>
      <c r="H151" s="22"/>
      <c r="I151" t="s">
        <v>2403</v>
      </c>
      <c r="K151" s="24">
        <f t="shared" si="3"/>
        <v>-39325.260000000009</v>
      </c>
    </row>
    <row r="152" spans="1:11" hidden="1" x14ac:dyDescent="0.3">
      <c r="A152" s="21">
        <v>45058</v>
      </c>
      <c r="B152" t="s">
        <v>133</v>
      </c>
      <c r="C152" s="22"/>
      <c r="D152" s="23">
        <v>2696.61</v>
      </c>
      <c r="E152" s="23">
        <v>0</v>
      </c>
      <c r="F152" s="23">
        <v>117070.71</v>
      </c>
      <c r="G152" s="22" t="s">
        <v>2406</v>
      </c>
      <c r="H152" s="22"/>
      <c r="I152" t="s">
        <v>2403</v>
      </c>
      <c r="K152" s="24">
        <f t="shared" si="3"/>
        <v>0</v>
      </c>
    </row>
    <row r="153" spans="1:11" hidden="1" x14ac:dyDescent="0.3">
      <c r="A153" s="21">
        <v>45059</v>
      </c>
      <c r="B153" t="s">
        <v>1205</v>
      </c>
      <c r="C153" s="22" t="s">
        <v>1154</v>
      </c>
      <c r="D153" s="23">
        <v>240</v>
      </c>
      <c r="E153" s="23">
        <v>0</v>
      </c>
      <c r="F153" s="23">
        <v>80315.56</v>
      </c>
      <c r="G153" s="22" t="s">
        <v>2399</v>
      </c>
      <c r="H153" s="22"/>
      <c r="I153" t="s">
        <v>2400</v>
      </c>
      <c r="K153" s="24">
        <f t="shared" si="3"/>
        <v>36515.150000000009</v>
      </c>
    </row>
    <row r="154" spans="1:11" hidden="1" x14ac:dyDescent="0.3">
      <c r="A154" s="21">
        <v>45059</v>
      </c>
      <c r="B154" t="s">
        <v>1206</v>
      </c>
      <c r="C154" s="22" t="s">
        <v>1154</v>
      </c>
      <c r="D154" s="23">
        <v>60</v>
      </c>
      <c r="E154" s="23">
        <v>0</v>
      </c>
      <c r="F154" s="23">
        <v>80255.56</v>
      </c>
      <c r="G154" s="22" t="s">
        <v>2399</v>
      </c>
      <c r="H154" s="22"/>
      <c r="I154" t="s">
        <v>2400</v>
      </c>
      <c r="K154" s="24">
        <f t="shared" si="3"/>
        <v>0</v>
      </c>
    </row>
    <row r="155" spans="1:11" hidden="1" x14ac:dyDescent="0.3">
      <c r="A155" s="21">
        <v>45060</v>
      </c>
      <c r="B155" t="s">
        <v>1207</v>
      </c>
      <c r="C155" s="22" t="s">
        <v>1208</v>
      </c>
      <c r="D155" s="23">
        <v>0</v>
      </c>
      <c r="E155" s="23">
        <v>8603.99</v>
      </c>
      <c r="F155" s="23">
        <v>88859.55</v>
      </c>
      <c r="G155" s="22" t="s">
        <v>2399</v>
      </c>
      <c r="H155" s="22"/>
      <c r="I155" t="s">
        <v>2400</v>
      </c>
      <c r="K155" s="24">
        <f t="shared" si="3"/>
        <v>0</v>
      </c>
    </row>
    <row r="156" spans="1:11" hidden="1" x14ac:dyDescent="0.3">
      <c r="A156" s="21">
        <v>45061</v>
      </c>
      <c r="B156" t="s">
        <v>25</v>
      </c>
      <c r="C156" s="22"/>
      <c r="D156" s="23">
        <v>590</v>
      </c>
      <c r="E156" s="23">
        <v>0</v>
      </c>
      <c r="F156" s="23">
        <v>74918.679999999993</v>
      </c>
      <c r="G156" s="22" t="s">
        <v>2415</v>
      </c>
      <c r="H156" s="22"/>
      <c r="I156" t="s">
        <v>2404</v>
      </c>
      <c r="K156" s="24">
        <f t="shared" si="3"/>
        <v>13350.87000000001</v>
      </c>
    </row>
    <row r="157" spans="1:11" hidden="1" x14ac:dyDescent="0.3">
      <c r="A157" s="21">
        <v>45061</v>
      </c>
      <c r="B157" t="s">
        <v>26</v>
      </c>
      <c r="C157" s="22"/>
      <c r="D157" s="23">
        <v>134.85</v>
      </c>
      <c r="E157" s="23">
        <v>0</v>
      </c>
      <c r="F157" s="23">
        <v>74783.83</v>
      </c>
      <c r="G157" s="22" t="s">
        <v>2419</v>
      </c>
      <c r="H157" s="22"/>
      <c r="I157" t="s">
        <v>2404</v>
      </c>
      <c r="K157" s="24">
        <f t="shared" si="3"/>
        <v>0</v>
      </c>
    </row>
    <row r="158" spans="1:11" hidden="1" x14ac:dyDescent="0.3">
      <c r="A158" s="21">
        <v>45061</v>
      </c>
      <c r="B158" t="s">
        <v>154</v>
      </c>
      <c r="C158" s="22"/>
      <c r="D158" s="23">
        <v>2500</v>
      </c>
      <c r="E158" s="23">
        <v>0</v>
      </c>
      <c r="F158" s="23">
        <v>114570.71</v>
      </c>
      <c r="G158" s="22" t="s">
        <v>2413</v>
      </c>
      <c r="H158" s="22"/>
      <c r="I158" t="s">
        <v>2403</v>
      </c>
      <c r="K158" s="24">
        <f t="shared" si="3"/>
        <v>-42286.880000000005</v>
      </c>
    </row>
    <row r="159" spans="1:11" hidden="1" x14ac:dyDescent="0.3">
      <c r="A159" s="21">
        <v>45061</v>
      </c>
      <c r="B159" t="s">
        <v>133</v>
      </c>
      <c r="C159" s="22"/>
      <c r="D159" s="23">
        <v>336.51</v>
      </c>
      <c r="E159" s="23">
        <v>0</v>
      </c>
      <c r="F159" s="23">
        <v>114234.2</v>
      </c>
      <c r="G159" s="22" t="s">
        <v>2406</v>
      </c>
      <c r="H159" s="22"/>
      <c r="I159" t="s">
        <v>2403</v>
      </c>
      <c r="K159" s="24">
        <f t="shared" si="3"/>
        <v>0</v>
      </c>
    </row>
    <row r="160" spans="1:11" hidden="1" x14ac:dyDescent="0.3">
      <c r="A160" s="21">
        <v>45061</v>
      </c>
      <c r="B160" t="s">
        <v>135</v>
      </c>
      <c r="C160" s="22"/>
      <c r="D160" s="23">
        <v>0</v>
      </c>
      <c r="E160" s="23">
        <v>47.14</v>
      </c>
      <c r="F160" s="23">
        <v>114281.34</v>
      </c>
      <c r="G160" s="22" t="s">
        <v>2406</v>
      </c>
      <c r="H160" s="22"/>
      <c r="I160" t="s">
        <v>2403</v>
      </c>
      <c r="K160" s="24">
        <f t="shared" si="3"/>
        <v>0</v>
      </c>
    </row>
    <row r="161" spans="1:11" hidden="1" x14ac:dyDescent="0.3">
      <c r="A161" s="21">
        <v>45061</v>
      </c>
      <c r="B161" t="s">
        <v>1209</v>
      </c>
      <c r="C161" s="22" t="s">
        <v>1191</v>
      </c>
      <c r="D161" s="23">
        <v>70</v>
      </c>
      <c r="E161" s="23">
        <v>0</v>
      </c>
      <c r="F161" s="23">
        <v>88789.55</v>
      </c>
      <c r="G161" s="22" t="s">
        <v>2399</v>
      </c>
      <c r="H161" s="22"/>
      <c r="I161" t="s">
        <v>2400</v>
      </c>
      <c r="K161" s="24">
        <f t="shared" si="3"/>
        <v>25421.789999999994</v>
      </c>
    </row>
    <row r="162" spans="1:11" hidden="1" x14ac:dyDescent="0.3">
      <c r="A162" s="21">
        <v>45062</v>
      </c>
      <c r="B162" t="s">
        <v>133</v>
      </c>
      <c r="C162" s="22"/>
      <c r="D162" s="23">
        <v>118.41</v>
      </c>
      <c r="E162" s="23">
        <v>0</v>
      </c>
      <c r="F162" s="23">
        <v>114162.93</v>
      </c>
      <c r="G162" s="22" t="s">
        <v>2406</v>
      </c>
      <c r="H162" s="22"/>
      <c r="I162" t="s">
        <v>2403</v>
      </c>
      <c r="K162" s="24">
        <f t="shared" si="3"/>
        <v>-25491.789999999994</v>
      </c>
    </row>
    <row r="163" spans="1:11" hidden="1" x14ac:dyDescent="0.3">
      <c r="A163" s="21">
        <v>45062</v>
      </c>
      <c r="B163" t="s">
        <v>133</v>
      </c>
      <c r="C163" s="22"/>
      <c r="D163" s="23">
        <v>14137.55</v>
      </c>
      <c r="E163" s="23">
        <v>0</v>
      </c>
      <c r="F163" s="23">
        <v>100025.38</v>
      </c>
      <c r="G163" s="22" t="s">
        <v>2406</v>
      </c>
      <c r="H163" s="22"/>
      <c r="I163" t="s">
        <v>2403</v>
      </c>
      <c r="K163" s="24">
        <f t="shared" si="3"/>
        <v>0</v>
      </c>
    </row>
    <row r="164" spans="1:11" hidden="1" x14ac:dyDescent="0.3">
      <c r="A164" s="21">
        <v>45062</v>
      </c>
      <c r="B164" t="s">
        <v>133</v>
      </c>
      <c r="C164" s="22"/>
      <c r="D164" s="23">
        <v>220.13</v>
      </c>
      <c r="E164" s="23">
        <v>0</v>
      </c>
      <c r="F164" s="23">
        <v>99805.25</v>
      </c>
      <c r="G164" s="22" t="s">
        <v>2406</v>
      </c>
      <c r="H164" s="22"/>
      <c r="I164" t="s">
        <v>2403</v>
      </c>
      <c r="K164" s="24">
        <f t="shared" si="3"/>
        <v>0</v>
      </c>
    </row>
    <row r="165" spans="1:11" hidden="1" x14ac:dyDescent="0.3">
      <c r="A165" s="21">
        <v>45062</v>
      </c>
      <c r="B165" t="s">
        <v>133</v>
      </c>
      <c r="C165" s="22"/>
      <c r="D165" s="23">
        <v>1049.1099999999999</v>
      </c>
      <c r="E165" s="23">
        <v>0</v>
      </c>
      <c r="F165" s="23">
        <v>98756.14</v>
      </c>
      <c r="G165" s="22" t="s">
        <v>2406</v>
      </c>
      <c r="H165" s="22"/>
      <c r="I165" t="s">
        <v>2403</v>
      </c>
      <c r="K165" s="24">
        <f t="shared" si="3"/>
        <v>0</v>
      </c>
    </row>
    <row r="166" spans="1:11" hidden="1" x14ac:dyDescent="0.3">
      <c r="A166" s="21">
        <v>45062</v>
      </c>
      <c r="B166" t="s">
        <v>135</v>
      </c>
      <c r="C166" s="22"/>
      <c r="D166" s="23">
        <v>0</v>
      </c>
      <c r="E166" s="23">
        <v>1049.1099999999999</v>
      </c>
      <c r="F166" s="23">
        <v>99805.25</v>
      </c>
      <c r="G166" s="22" t="s">
        <v>2406</v>
      </c>
      <c r="H166" s="22"/>
      <c r="I166" t="s">
        <v>2403</v>
      </c>
      <c r="K166" s="24">
        <f t="shared" si="3"/>
        <v>0</v>
      </c>
    </row>
    <row r="167" spans="1:11" hidden="1" x14ac:dyDescent="0.3">
      <c r="A167" s="21">
        <v>45062</v>
      </c>
      <c r="B167" t="s">
        <v>1210</v>
      </c>
      <c r="C167" s="22" t="s">
        <v>1146</v>
      </c>
      <c r="D167" s="23">
        <v>0</v>
      </c>
      <c r="E167" s="23">
        <v>100</v>
      </c>
      <c r="F167" s="23">
        <v>88889.55</v>
      </c>
      <c r="G167" s="22" t="s">
        <v>2399</v>
      </c>
      <c r="H167" s="22"/>
      <c r="I167" t="s">
        <v>2400</v>
      </c>
      <c r="K167" s="24">
        <f t="shared" si="3"/>
        <v>11015.699999999997</v>
      </c>
    </row>
    <row r="168" spans="1:11" hidden="1" x14ac:dyDescent="0.3">
      <c r="A168" s="21">
        <v>45062</v>
      </c>
      <c r="B168" t="s">
        <v>1211</v>
      </c>
      <c r="C168" s="22" t="s">
        <v>1161</v>
      </c>
      <c r="D168" s="23">
        <v>537</v>
      </c>
      <c r="E168" s="23">
        <v>0</v>
      </c>
      <c r="F168" s="23">
        <v>88352.55</v>
      </c>
      <c r="G168" s="22" t="s">
        <v>2399</v>
      </c>
      <c r="H168" s="22"/>
      <c r="I168" t="s">
        <v>2400</v>
      </c>
      <c r="K168" s="24">
        <f t="shared" si="3"/>
        <v>0</v>
      </c>
    </row>
    <row r="169" spans="1:11" hidden="1" x14ac:dyDescent="0.3">
      <c r="A169" s="21">
        <v>45063</v>
      </c>
      <c r="B169" t="s">
        <v>224</v>
      </c>
      <c r="C169" s="22"/>
      <c r="D169" s="23">
        <v>389.4</v>
      </c>
      <c r="E169" s="23">
        <v>0</v>
      </c>
      <c r="F169" s="23">
        <v>99415.85</v>
      </c>
      <c r="G169" s="22" t="s">
        <v>2410</v>
      </c>
      <c r="H169" s="22"/>
      <c r="I169" t="s">
        <v>2403</v>
      </c>
      <c r="K169" s="24">
        <f t="shared" si="3"/>
        <v>-11452.699999999997</v>
      </c>
    </row>
    <row r="170" spans="1:11" hidden="1" x14ac:dyDescent="0.3">
      <c r="A170" s="21">
        <v>45063</v>
      </c>
      <c r="B170" t="s">
        <v>133</v>
      </c>
      <c r="C170" s="22"/>
      <c r="D170" s="23">
        <v>118.3</v>
      </c>
      <c r="E170" s="23">
        <v>0</v>
      </c>
      <c r="F170" s="23">
        <v>99297.55</v>
      </c>
      <c r="G170" s="22" t="s">
        <v>2406</v>
      </c>
      <c r="H170" s="22"/>
      <c r="I170" t="s">
        <v>2403</v>
      </c>
      <c r="K170" s="24">
        <f t="shared" si="3"/>
        <v>0</v>
      </c>
    </row>
    <row r="171" spans="1:11" hidden="1" x14ac:dyDescent="0.3">
      <c r="A171" s="21">
        <v>45063</v>
      </c>
      <c r="B171" t="s">
        <v>133</v>
      </c>
      <c r="C171" s="22"/>
      <c r="D171" s="23">
        <v>22211.919999999998</v>
      </c>
      <c r="E171" s="23">
        <v>0</v>
      </c>
      <c r="F171" s="23">
        <v>77085.63</v>
      </c>
      <c r="G171" s="22" t="s">
        <v>2406</v>
      </c>
      <c r="H171" s="22"/>
      <c r="I171" t="s">
        <v>2403</v>
      </c>
      <c r="K171" s="24">
        <f t="shared" si="3"/>
        <v>0</v>
      </c>
    </row>
    <row r="172" spans="1:11" hidden="1" x14ac:dyDescent="0.3">
      <c r="A172" s="21">
        <v>45063</v>
      </c>
      <c r="B172" t="s">
        <v>133</v>
      </c>
      <c r="C172" s="22"/>
      <c r="D172" s="23">
        <v>338.46</v>
      </c>
      <c r="E172" s="23">
        <v>0</v>
      </c>
      <c r="F172" s="23">
        <v>76747.17</v>
      </c>
      <c r="G172" s="22" t="s">
        <v>2406</v>
      </c>
      <c r="H172" s="22"/>
      <c r="I172" t="s">
        <v>2403</v>
      </c>
      <c r="K172" s="24">
        <f t="shared" si="3"/>
        <v>0</v>
      </c>
    </row>
    <row r="173" spans="1:11" hidden="1" x14ac:dyDescent="0.3">
      <c r="A173" s="21">
        <v>45063</v>
      </c>
      <c r="B173" t="s">
        <v>135</v>
      </c>
      <c r="C173" s="22"/>
      <c r="D173" s="23">
        <v>0</v>
      </c>
      <c r="E173" s="23">
        <v>338.46</v>
      </c>
      <c r="F173" s="23">
        <v>77085.63</v>
      </c>
      <c r="G173" s="22" t="s">
        <v>2406</v>
      </c>
      <c r="H173" s="22"/>
      <c r="I173" t="s">
        <v>2403</v>
      </c>
      <c r="K173" s="24">
        <f t="shared" si="3"/>
        <v>0</v>
      </c>
    </row>
    <row r="174" spans="1:11" hidden="1" x14ac:dyDescent="0.3">
      <c r="A174" s="21">
        <v>45063</v>
      </c>
      <c r="B174" t="s">
        <v>1212</v>
      </c>
      <c r="C174" s="22" t="s">
        <v>1213</v>
      </c>
      <c r="D174" s="23">
        <v>0</v>
      </c>
      <c r="E174" s="23">
        <v>250</v>
      </c>
      <c r="F174" s="23">
        <v>88602.55</v>
      </c>
      <c r="G174" s="22" t="s">
        <v>2399</v>
      </c>
      <c r="H174" s="22"/>
      <c r="I174" t="s">
        <v>2400</v>
      </c>
      <c r="K174" s="24">
        <f t="shared" si="3"/>
        <v>-11266.919999999998</v>
      </c>
    </row>
    <row r="175" spans="1:11" hidden="1" x14ac:dyDescent="0.3">
      <c r="A175" s="21">
        <v>45063</v>
      </c>
      <c r="B175" t="s">
        <v>1214</v>
      </c>
      <c r="C175" s="22" t="s">
        <v>1148</v>
      </c>
      <c r="D175" s="23">
        <v>140</v>
      </c>
      <c r="E175" s="23">
        <v>0</v>
      </c>
      <c r="F175" s="23">
        <v>88462.55</v>
      </c>
      <c r="G175" s="22" t="s">
        <v>2399</v>
      </c>
      <c r="H175" s="22"/>
      <c r="I175" t="s">
        <v>2400</v>
      </c>
      <c r="K175" s="24">
        <f t="shared" si="3"/>
        <v>0</v>
      </c>
    </row>
    <row r="176" spans="1:11" hidden="1" x14ac:dyDescent="0.3">
      <c r="A176" s="21">
        <v>45064</v>
      </c>
      <c r="B176" t="s">
        <v>229</v>
      </c>
      <c r="C176" s="22"/>
      <c r="D176" s="23">
        <v>0</v>
      </c>
      <c r="E176" s="23">
        <v>2250</v>
      </c>
      <c r="F176" s="23">
        <v>79335.63</v>
      </c>
      <c r="G176" s="22" t="s">
        <v>2409</v>
      </c>
      <c r="H176" s="22"/>
      <c r="I176" t="s">
        <v>2403</v>
      </c>
      <c r="K176" s="24">
        <f t="shared" si="3"/>
        <v>11376.919999999998</v>
      </c>
    </row>
    <row r="177" spans="1:11" hidden="1" x14ac:dyDescent="0.3">
      <c r="A177" s="21">
        <v>45064</v>
      </c>
      <c r="B177" t="s">
        <v>133</v>
      </c>
      <c r="C177" s="22"/>
      <c r="D177" s="23">
        <v>107.34</v>
      </c>
      <c r="E177" s="23">
        <v>0</v>
      </c>
      <c r="F177" s="23">
        <v>79228.289999999994</v>
      </c>
      <c r="G177" s="22" t="s">
        <v>2406</v>
      </c>
      <c r="H177" s="22"/>
      <c r="I177" t="s">
        <v>2403</v>
      </c>
      <c r="K177" s="24">
        <f t="shared" si="3"/>
        <v>0</v>
      </c>
    </row>
    <row r="178" spans="1:11" hidden="1" x14ac:dyDescent="0.3">
      <c r="A178" s="21">
        <v>45064</v>
      </c>
      <c r="B178" t="s">
        <v>133</v>
      </c>
      <c r="C178" s="22"/>
      <c r="D178" s="23">
        <v>5674.48</v>
      </c>
      <c r="E178" s="23">
        <v>0</v>
      </c>
      <c r="F178" s="23">
        <v>73553.81</v>
      </c>
      <c r="G178" s="22" t="s">
        <v>2406</v>
      </c>
      <c r="H178" s="22"/>
      <c r="I178" t="s">
        <v>2403</v>
      </c>
      <c r="K178" s="24">
        <f t="shared" si="3"/>
        <v>0</v>
      </c>
    </row>
    <row r="179" spans="1:11" hidden="1" x14ac:dyDescent="0.3">
      <c r="A179" s="21">
        <v>45064</v>
      </c>
      <c r="B179" t="s">
        <v>133</v>
      </c>
      <c r="C179" s="22"/>
      <c r="D179" s="23">
        <v>10768.54</v>
      </c>
      <c r="E179" s="23">
        <v>0</v>
      </c>
      <c r="F179" s="23">
        <v>62785.27</v>
      </c>
      <c r="G179" s="22" t="s">
        <v>2406</v>
      </c>
      <c r="H179" s="22"/>
      <c r="I179" t="s">
        <v>2403</v>
      </c>
      <c r="K179" s="24">
        <f t="shared" si="3"/>
        <v>0</v>
      </c>
    </row>
    <row r="180" spans="1:11" hidden="1" x14ac:dyDescent="0.3">
      <c r="A180" s="21">
        <v>45064</v>
      </c>
      <c r="B180" t="s">
        <v>135</v>
      </c>
      <c r="C180" s="22"/>
      <c r="D180" s="23">
        <v>0</v>
      </c>
      <c r="E180" s="23">
        <v>1350.54</v>
      </c>
      <c r="F180" s="23">
        <v>62785.27</v>
      </c>
      <c r="G180" s="22" t="s">
        <v>2406</v>
      </c>
      <c r="H180" s="22"/>
      <c r="I180" t="s">
        <v>2403</v>
      </c>
      <c r="K180" s="24">
        <f t="shared" si="3"/>
        <v>1350.5400000000009</v>
      </c>
    </row>
    <row r="181" spans="1:11" hidden="1" x14ac:dyDescent="0.3">
      <c r="A181" s="21">
        <v>45064</v>
      </c>
      <c r="B181" t="s">
        <v>1215</v>
      </c>
      <c r="C181" s="22" t="s">
        <v>1152</v>
      </c>
      <c r="D181" s="23">
        <v>35</v>
      </c>
      <c r="E181" s="23">
        <v>0</v>
      </c>
      <c r="F181" s="23">
        <v>88427.55</v>
      </c>
      <c r="G181" s="22" t="s">
        <v>2399</v>
      </c>
      <c r="H181" s="22"/>
      <c r="I181" t="s">
        <v>2400</v>
      </c>
      <c r="K181" s="24">
        <f t="shared" si="3"/>
        <v>-25677.280000000006</v>
      </c>
    </row>
    <row r="182" spans="1:11" hidden="1" x14ac:dyDescent="0.3">
      <c r="A182" s="21">
        <v>45064</v>
      </c>
      <c r="B182" t="s">
        <v>1216</v>
      </c>
      <c r="C182" s="22"/>
      <c r="D182" s="23">
        <v>0</v>
      </c>
      <c r="E182" s="23">
        <v>30</v>
      </c>
      <c r="F182" s="23">
        <v>88457.55</v>
      </c>
      <c r="G182" s="22" t="s">
        <v>2409</v>
      </c>
      <c r="H182" s="22"/>
      <c r="I182" t="s">
        <v>2400</v>
      </c>
      <c r="K182" s="24">
        <f t="shared" si="3"/>
        <v>0</v>
      </c>
    </row>
    <row r="183" spans="1:11" hidden="1" x14ac:dyDescent="0.3">
      <c r="A183" s="21">
        <v>45064</v>
      </c>
      <c r="B183" t="s">
        <v>1217</v>
      </c>
      <c r="C183" s="22" t="s">
        <v>1152</v>
      </c>
      <c r="D183" s="23">
        <v>325</v>
      </c>
      <c r="E183" s="23">
        <v>0</v>
      </c>
      <c r="F183" s="23">
        <v>88132.55</v>
      </c>
      <c r="G183" s="22" t="s">
        <v>2399</v>
      </c>
      <c r="H183" s="22"/>
      <c r="I183" t="s">
        <v>2400</v>
      </c>
      <c r="K183" s="24">
        <f t="shared" si="3"/>
        <v>0</v>
      </c>
    </row>
    <row r="184" spans="1:11" hidden="1" x14ac:dyDescent="0.3">
      <c r="A184" s="21">
        <v>45065</v>
      </c>
      <c r="B184" t="s">
        <v>133</v>
      </c>
      <c r="C184" s="22"/>
      <c r="D184" s="23">
        <v>1350.54</v>
      </c>
      <c r="E184" s="23">
        <v>0</v>
      </c>
      <c r="F184" s="23">
        <v>61434.73</v>
      </c>
      <c r="G184" s="22" t="s">
        <v>2406</v>
      </c>
      <c r="H184" s="22"/>
      <c r="I184" t="s">
        <v>2403</v>
      </c>
      <c r="K184" s="24">
        <f t="shared" si="3"/>
        <v>25347.280000000006</v>
      </c>
    </row>
    <row r="185" spans="1:11" hidden="1" x14ac:dyDescent="0.3">
      <c r="A185" s="21">
        <v>45065</v>
      </c>
      <c r="B185" t="s">
        <v>133</v>
      </c>
      <c r="C185" s="22"/>
      <c r="D185" s="23">
        <v>130.04</v>
      </c>
      <c r="E185" s="23">
        <v>0</v>
      </c>
      <c r="F185" s="23">
        <v>62655.23</v>
      </c>
      <c r="G185" s="22" t="s">
        <v>2406</v>
      </c>
      <c r="H185" s="22"/>
      <c r="I185" t="s">
        <v>2403</v>
      </c>
      <c r="K185" s="24">
        <f t="shared" si="3"/>
        <v>-1350.5400000000009</v>
      </c>
    </row>
    <row r="186" spans="1:11" hidden="1" x14ac:dyDescent="0.3">
      <c r="A186" s="21">
        <v>45065</v>
      </c>
      <c r="B186" t="s">
        <v>135</v>
      </c>
      <c r="C186" s="22"/>
      <c r="D186" s="23">
        <v>0</v>
      </c>
      <c r="E186" s="23">
        <v>486.55</v>
      </c>
      <c r="F186" s="23">
        <v>63141.78</v>
      </c>
      <c r="G186" s="22" t="s">
        <v>2406</v>
      </c>
      <c r="H186" s="22"/>
      <c r="I186" t="s">
        <v>2403</v>
      </c>
      <c r="K186" s="24">
        <f t="shared" si="3"/>
        <v>0</v>
      </c>
    </row>
    <row r="187" spans="1:11" hidden="1" x14ac:dyDescent="0.3">
      <c r="A187" s="21">
        <v>45065</v>
      </c>
      <c r="B187" t="s">
        <v>1218</v>
      </c>
      <c r="C187" s="22" t="s">
        <v>1172</v>
      </c>
      <c r="D187" s="23">
        <v>549</v>
      </c>
      <c r="E187" s="23">
        <v>0</v>
      </c>
      <c r="F187" s="23">
        <v>87583.55</v>
      </c>
      <c r="G187" s="22" t="s">
        <v>2399</v>
      </c>
      <c r="H187" s="22"/>
      <c r="I187" t="s">
        <v>2400</v>
      </c>
      <c r="K187" s="24">
        <f t="shared" si="3"/>
        <v>-24990.770000000004</v>
      </c>
    </row>
    <row r="188" spans="1:11" hidden="1" x14ac:dyDescent="0.3">
      <c r="A188" s="21">
        <v>45066</v>
      </c>
      <c r="B188" t="s">
        <v>1219</v>
      </c>
      <c r="C188" s="22" t="s">
        <v>1154</v>
      </c>
      <c r="D188" s="23">
        <v>129</v>
      </c>
      <c r="E188" s="23">
        <v>0</v>
      </c>
      <c r="F188" s="23">
        <v>87454.55</v>
      </c>
      <c r="G188" s="22" t="s">
        <v>2399</v>
      </c>
      <c r="H188" s="22"/>
      <c r="I188" t="s">
        <v>2400</v>
      </c>
      <c r="K188" s="24">
        <f t="shared" si="3"/>
        <v>0</v>
      </c>
    </row>
    <row r="189" spans="1:11" hidden="1" x14ac:dyDescent="0.3">
      <c r="A189" s="21">
        <v>45066</v>
      </c>
      <c r="B189" t="s">
        <v>1220</v>
      </c>
      <c r="C189" s="22" t="s">
        <v>1154</v>
      </c>
      <c r="D189" s="23">
        <v>142.15</v>
      </c>
      <c r="E189" s="23">
        <v>0</v>
      </c>
      <c r="F189" s="23">
        <v>87312.4</v>
      </c>
      <c r="G189" s="22" t="s">
        <v>2399</v>
      </c>
      <c r="H189" s="22"/>
      <c r="I189" t="s">
        <v>2400</v>
      </c>
      <c r="K189" s="24">
        <f t="shared" si="3"/>
        <v>0</v>
      </c>
    </row>
    <row r="190" spans="1:11" hidden="1" x14ac:dyDescent="0.3">
      <c r="A190" s="21">
        <v>45066</v>
      </c>
      <c r="B190" t="s">
        <v>1221</v>
      </c>
      <c r="C190" s="22" t="s">
        <v>1154</v>
      </c>
      <c r="D190" s="23">
        <v>832.67</v>
      </c>
      <c r="E190" s="23">
        <v>0</v>
      </c>
      <c r="F190" s="23">
        <v>86479.73</v>
      </c>
      <c r="G190" s="22" t="s">
        <v>2399</v>
      </c>
      <c r="H190" s="22"/>
      <c r="I190" t="s">
        <v>2400</v>
      </c>
      <c r="K190" s="24">
        <f t="shared" si="3"/>
        <v>0</v>
      </c>
    </row>
    <row r="191" spans="1:11" hidden="1" x14ac:dyDescent="0.3">
      <c r="A191" s="21">
        <v>45066</v>
      </c>
      <c r="B191" t="s">
        <v>1222</v>
      </c>
      <c r="C191" s="22" t="s">
        <v>1223</v>
      </c>
      <c r="D191" s="23">
        <v>0</v>
      </c>
      <c r="E191" s="23">
        <v>287</v>
      </c>
      <c r="F191" s="23">
        <v>86766.73</v>
      </c>
      <c r="G191" s="22" t="s">
        <v>2399</v>
      </c>
      <c r="H191" s="22"/>
      <c r="I191" t="s">
        <v>2400</v>
      </c>
      <c r="K191" s="24">
        <f t="shared" si="3"/>
        <v>0</v>
      </c>
    </row>
    <row r="192" spans="1:11" hidden="1" x14ac:dyDescent="0.3">
      <c r="A192" s="21">
        <v>45067</v>
      </c>
      <c r="B192" t="s">
        <v>1224</v>
      </c>
      <c r="C192" s="22" t="s">
        <v>1143</v>
      </c>
      <c r="D192" s="23">
        <v>209.47</v>
      </c>
      <c r="E192" s="23">
        <v>0</v>
      </c>
      <c r="F192" s="23">
        <v>86557.26</v>
      </c>
      <c r="G192" s="22" t="s">
        <v>2399</v>
      </c>
      <c r="H192" s="22"/>
      <c r="I192" t="s">
        <v>2400</v>
      </c>
      <c r="K192" s="24">
        <f t="shared" si="3"/>
        <v>0</v>
      </c>
    </row>
    <row r="193" spans="1:11" hidden="1" x14ac:dyDescent="0.3">
      <c r="A193" s="21">
        <v>45068</v>
      </c>
      <c r="B193" t="s">
        <v>238</v>
      </c>
      <c r="C193" s="22"/>
      <c r="D193" s="23">
        <v>0</v>
      </c>
      <c r="E193" s="23">
        <v>1885</v>
      </c>
      <c r="F193" s="23">
        <v>65026.78</v>
      </c>
      <c r="G193" s="22" t="s">
        <v>2409</v>
      </c>
      <c r="H193" s="22"/>
      <c r="I193" t="s">
        <v>2403</v>
      </c>
      <c r="K193" s="24">
        <f t="shared" si="3"/>
        <v>23415.479999999996</v>
      </c>
    </row>
    <row r="194" spans="1:11" hidden="1" x14ac:dyDescent="0.3">
      <c r="A194" s="21">
        <v>45068</v>
      </c>
      <c r="B194" t="s">
        <v>133</v>
      </c>
      <c r="C194" s="22"/>
      <c r="D194" s="23">
        <v>435.03</v>
      </c>
      <c r="E194" s="23">
        <v>0</v>
      </c>
      <c r="F194" s="23">
        <v>64591.75</v>
      </c>
      <c r="G194" s="22" t="s">
        <v>2406</v>
      </c>
      <c r="H194" s="22"/>
      <c r="I194" t="s">
        <v>2403</v>
      </c>
      <c r="K194" s="24">
        <f t="shared" si="3"/>
        <v>0</v>
      </c>
    </row>
    <row r="195" spans="1:11" hidden="1" x14ac:dyDescent="0.3">
      <c r="A195" s="21">
        <v>45068</v>
      </c>
      <c r="B195" t="s">
        <v>241</v>
      </c>
      <c r="C195" s="22"/>
      <c r="D195" s="23">
        <v>20000</v>
      </c>
      <c r="E195" s="23">
        <v>0</v>
      </c>
      <c r="F195" s="23">
        <v>44591.75</v>
      </c>
      <c r="G195" s="22" t="s">
        <v>2414</v>
      </c>
      <c r="H195" s="22"/>
      <c r="I195" t="s">
        <v>2403</v>
      </c>
      <c r="K195" s="24">
        <f t="shared" si="3"/>
        <v>0</v>
      </c>
    </row>
    <row r="196" spans="1:11" hidden="1" x14ac:dyDescent="0.3">
      <c r="A196" s="21">
        <v>45068</v>
      </c>
      <c r="B196" t="s">
        <v>135</v>
      </c>
      <c r="C196" s="22"/>
      <c r="D196" s="23">
        <v>0</v>
      </c>
      <c r="E196" s="23">
        <v>359.26</v>
      </c>
      <c r="F196" s="23">
        <v>44951.01</v>
      </c>
      <c r="G196" s="22" t="s">
        <v>2406</v>
      </c>
      <c r="H196" s="22"/>
      <c r="I196" t="s">
        <v>2403</v>
      </c>
      <c r="K196" s="24">
        <f t="shared" si="3"/>
        <v>0</v>
      </c>
    </row>
    <row r="197" spans="1:11" hidden="1" x14ac:dyDescent="0.3">
      <c r="A197" s="21">
        <v>45068</v>
      </c>
      <c r="B197" t="s">
        <v>135</v>
      </c>
      <c r="C197" s="22"/>
      <c r="D197" s="23">
        <v>0</v>
      </c>
      <c r="E197" s="23">
        <v>359.26</v>
      </c>
      <c r="F197" s="23">
        <v>45310.27</v>
      </c>
      <c r="G197" s="22" t="s">
        <v>2406</v>
      </c>
      <c r="H197" s="22"/>
      <c r="I197" t="s">
        <v>2403</v>
      </c>
      <c r="K197" s="24">
        <f t="shared" si="3"/>
        <v>0</v>
      </c>
    </row>
    <row r="198" spans="1:11" hidden="1" x14ac:dyDescent="0.3">
      <c r="A198" s="21">
        <v>45068</v>
      </c>
      <c r="B198" t="s">
        <v>1225</v>
      </c>
      <c r="C198" s="22" t="s">
        <v>1191</v>
      </c>
      <c r="D198" s="23">
        <v>91</v>
      </c>
      <c r="E198" s="23">
        <v>0</v>
      </c>
      <c r="F198" s="23">
        <v>86466.26</v>
      </c>
      <c r="G198" s="22" t="s">
        <v>2399</v>
      </c>
      <c r="H198" s="22"/>
      <c r="I198" t="s">
        <v>2400</v>
      </c>
      <c r="K198" s="24">
        <f t="shared" ref="K198:K261" si="4">F197-D198+E198-F198</f>
        <v>-41246.99</v>
      </c>
    </row>
    <row r="199" spans="1:11" hidden="1" x14ac:dyDescent="0.3">
      <c r="A199" s="21">
        <v>45069</v>
      </c>
      <c r="B199" t="s">
        <v>133</v>
      </c>
      <c r="C199" s="22"/>
      <c r="D199" s="23">
        <v>359.26</v>
      </c>
      <c r="E199" s="23">
        <v>0</v>
      </c>
      <c r="F199" s="23">
        <v>44951.01</v>
      </c>
      <c r="G199" s="22" t="s">
        <v>2406</v>
      </c>
      <c r="H199" s="22"/>
      <c r="I199" t="s">
        <v>2403</v>
      </c>
      <c r="K199" s="24">
        <f t="shared" si="4"/>
        <v>41155.99</v>
      </c>
    </row>
    <row r="200" spans="1:11" hidden="1" x14ac:dyDescent="0.3">
      <c r="A200" s="21">
        <v>45069</v>
      </c>
      <c r="B200" t="s">
        <v>133</v>
      </c>
      <c r="C200" s="22"/>
      <c r="D200" s="23">
        <v>145.19</v>
      </c>
      <c r="E200" s="23">
        <v>0</v>
      </c>
      <c r="F200" s="23">
        <v>44805.82</v>
      </c>
      <c r="G200" s="22" t="s">
        <v>2406</v>
      </c>
      <c r="H200" s="22"/>
      <c r="I200" t="s">
        <v>2403</v>
      </c>
      <c r="K200" s="24">
        <f t="shared" si="4"/>
        <v>0</v>
      </c>
    </row>
    <row r="201" spans="1:11" hidden="1" x14ac:dyDescent="0.3">
      <c r="A201" s="21">
        <v>45069</v>
      </c>
      <c r="B201" t="s">
        <v>133</v>
      </c>
      <c r="C201" s="22"/>
      <c r="D201" s="23">
        <v>23871.7</v>
      </c>
      <c r="E201" s="23">
        <v>0</v>
      </c>
      <c r="F201" s="23">
        <v>20934.12</v>
      </c>
      <c r="G201" s="22" t="s">
        <v>2406</v>
      </c>
      <c r="H201" s="22"/>
      <c r="I201" t="s">
        <v>2403</v>
      </c>
      <c r="K201" s="24">
        <f t="shared" si="4"/>
        <v>0</v>
      </c>
    </row>
    <row r="202" spans="1:11" hidden="1" x14ac:dyDescent="0.3">
      <c r="A202" s="21">
        <v>45070</v>
      </c>
      <c r="B202" t="s">
        <v>133</v>
      </c>
      <c r="C202" s="22"/>
      <c r="D202" s="23">
        <v>133.41999999999999</v>
      </c>
      <c r="E202" s="23">
        <v>0</v>
      </c>
      <c r="F202" s="23">
        <v>20800.7</v>
      </c>
      <c r="G202" s="22" t="s">
        <v>2406</v>
      </c>
      <c r="H202" s="22"/>
      <c r="I202" t="s">
        <v>2403</v>
      </c>
      <c r="K202" s="24">
        <f t="shared" si="4"/>
        <v>0</v>
      </c>
    </row>
    <row r="203" spans="1:11" hidden="1" x14ac:dyDescent="0.3">
      <c r="A203" s="21">
        <v>45070</v>
      </c>
      <c r="B203" t="s">
        <v>133</v>
      </c>
      <c r="C203" s="22"/>
      <c r="D203" s="23">
        <v>133.41999999999999</v>
      </c>
      <c r="E203" s="23">
        <v>0</v>
      </c>
      <c r="F203" s="23">
        <v>20667.28</v>
      </c>
      <c r="G203" s="22" t="s">
        <v>2406</v>
      </c>
      <c r="H203" s="22"/>
      <c r="I203" t="s">
        <v>2403</v>
      </c>
      <c r="K203" s="24">
        <f t="shared" si="4"/>
        <v>0</v>
      </c>
    </row>
    <row r="204" spans="1:11" hidden="1" x14ac:dyDescent="0.3">
      <c r="A204" s="21">
        <v>45070</v>
      </c>
      <c r="B204" t="s">
        <v>135</v>
      </c>
      <c r="C204" s="22"/>
      <c r="D204" s="23">
        <v>0</v>
      </c>
      <c r="E204" s="23">
        <v>131.24</v>
      </c>
      <c r="F204" s="23">
        <v>20798.52</v>
      </c>
      <c r="G204" s="22" t="s">
        <v>2406</v>
      </c>
      <c r="H204" s="22"/>
      <c r="I204" t="s">
        <v>2403</v>
      </c>
      <c r="K204" s="24">
        <f t="shared" si="4"/>
        <v>0</v>
      </c>
    </row>
    <row r="205" spans="1:11" hidden="1" x14ac:dyDescent="0.3">
      <c r="A205" s="21">
        <v>45070</v>
      </c>
      <c r="B205" t="s">
        <v>135</v>
      </c>
      <c r="C205" s="22"/>
      <c r="D205" s="23">
        <v>0</v>
      </c>
      <c r="E205" s="23">
        <v>133.41999999999999</v>
      </c>
      <c r="F205" s="23">
        <v>20931.939999999999</v>
      </c>
      <c r="G205" s="22" t="s">
        <v>2406</v>
      </c>
      <c r="H205" s="22"/>
      <c r="I205" t="s">
        <v>2403</v>
      </c>
      <c r="K205" s="24">
        <f t="shared" si="4"/>
        <v>0</v>
      </c>
    </row>
    <row r="206" spans="1:11" hidden="1" x14ac:dyDescent="0.3">
      <c r="A206" s="21">
        <v>45071</v>
      </c>
      <c r="B206" t="s">
        <v>27</v>
      </c>
      <c r="C206" s="22"/>
      <c r="D206" s="23">
        <v>0</v>
      </c>
      <c r="E206" s="23">
        <v>45.28</v>
      </c>
      <c r="F206" s="23">
        <v>74829.11</v>
      </c>
      <c r="G206" s="22" t="s">
        <v>2555</v>
      </c>
      <c r="H206" s="22"/>
      <c r="I206" t="s">
        <v>2404</v>
      </c>
      <c r="K206" s="24">
        <f t="shared" si="4"/>
        <v>-53851.89</v>
      </c>
    </row>
    <row r="207" spans="1:11" hidden="1" x14ac:dyDescent="0.3">
      <c r="A207" s="21">
        <v>45071</v>
      </c>
      <c r="B207" t="s">
        <v>154</v>
      </c>
      <c r="C207" s="22"/>
      <c r="D207" s="23">
        <v>2500</v>
      </c>
      <c r="E207" s="23">
        <v>0</v>
      </c>
      <c r="F207" s="23">
        <v>18431.939999999999</v>
      </c>
      <c r="G207" s="22" t="s">
        <v>2413</v>
      </c>
      <c r="H207" s="22"/>
      <c r="I207" t="s">
        <v>2403</v>
      </c>
      <c r="K207" s="24">
        <f t="shared" si="4"/>
        <v>53897.17</v>
      </c>
    </row>
    <row r="208" spans="1:11" hidden="1" x14ac:dyDescent="0.3">
      <c r="A208" s="21">
        <v>45071</v>
      </c>
      <c r="B208" t="s">
        <v>133</v>
      </c>
      <c r="C208" s="22"/>
      <c r="D208" s="23">
        <v>140.9</v>
      </c>
      <c r="E208" s="23">
        <v>0</v>
      </c>
      <c r="F208" s="23">
        <v>18291.04</v>
      </c>
      <c r="G208" s="22" t="s">
        <v>2406</v>
      </c>
      <c r="H208" s="22"/>
      <c r="I208" t="s">
        <v>2403</v>
      </c>
      <c r="K208" s="24">
        <f t="shared" si="4"/>
        <v>0</v>
      </c>
    </row>
    <row r="209" spans="1:11" hidden="1" x14ac:dyDescent="0.3">
      <c r="A209" s="21">
        <v>45071</v>
      </c>
      <c r="B209" t="s">
        <v>133</v>
      </c>
      <c r="C209" s="22"/>
      <c r="D209" s="23">
        <v>5484.32</v>
      </c>
      <c r="E209" s="23">
        <v>0</v>
      </c>
      <c r="F209" s="23">
        <v>12806.72</v>
      </c>
      <c r="G209" s="22" t="s">
        <v>2406</v>
      </c>
      <c r="H209" s="22"/>
      <c r="I209" t="s">
        <v>2403</v>
      </c>
      <c r="K209" s="24">
        <f t="shared" si="4"/>
        <v>0</v>
      </c>
    </row>
    <row r="210" spans="1:11" hidden="1" x14ac:dyDescent="0.3">
      <c r="A210" s="21">
        <v>45071</v>
      </c>
      <c r="B210" t="s">
        <v>135</v>
      </c>
      <c r="C210" s="22"/>
      <c r="D210" s="23">
        <v>0</v>
      </c>
      <c r="E210" s="23">
        <v>1244.1600000000001</v>
      </c>
      <c r="F210" s="23">
        <v>14050.88</v>
      </c>
      <c r="G210" s="22" t="s">
        <v>2406</v>
      </c>
      <c r="H210" s="22"/>
      <c r="I210" t="s">
        <v>2403</v>
      </c>
      <c r="K210" s="24">
        <f t="shared" si="4"/>
        <v>0</v>
      </c>
    </row>
    <row r="211" spans="1:11" hidden="1" x14ac:dyDescent="0.3">
      <c r="A211" s="21">
        <v>45071</v>
      </c>
      <c r="B211" t="s">
        <v>135</v>
      </c>
      <c r="C211" s="22"/>
      <c r="D211" s="23">
        <v>0</v>
      </c>
      <c r="E211" s="23">
        <v>12094.93</v>
      </c>
      <c r="F211" s="23">
        <v>14050.88</v>
      </c>
      <c r="G211" s="22" t="s">
        <v>2406</v>
      </c>
      <c r="H211" s="22"/>
      <c r="I211" t="s">
        <v>2403</v>
      </c>
      <c r="K211" s="24">
        <f t="shared" si="4"/>
        <v>12094.929999999998</v>
      </c>
    </row>
    <row r="212" spans="1:11" hidden="1" x14ac:dyDescent="0.3">
      <c r="A212" s="21">
        <v>45071</v>
      </c>
      <c r="B212" t="s">
        <v>1226</v>
      </c>
      <c r="C212" s="22" t="s">
        <v>1152</v>
      </c>
      <c r="D212" s="23">
        <v>105</v>
      </c>
      <c r="E212" s="23">
        <v>0</v>
      </c>
      <c r="F212" s="23">
        <v>86361.26</v>
      </c>
      <c r="G212" s="22" t="s">
        <v>2399</v>
      </c>
      <c r="H212" s="22"/>
      <c r="I212" t="s">
        <v>2400</v>
      </c>
      <c r="K212" s="24">
        <f t="shared" si="4"/>
        <v>-72415.37999999999</v>
      </c>
    </row>
    <row r="213" spans="1:11" hidden="1" x14ac:dyDescent="0.3">
      <c r="A213" s="21">
        <v>45072</v>
      </c>
      <c r="B213" t="s">
        <v>133</v>
      </c>
      <c r="C213" s="22"/>
      <c r="D213" s="23">
        <v>12094.93</v>
      </c>
      <c r="E213" s="23">
        <v>0</v>
      </c>
      <c r="F213" s="23">
        <v>1955.95</v>
      </c>
      <c r="G213" s="22" t="s">
        <v>2406</v>
      </c>
      <c r="H213" s="22"/>
      <c r="I213" t="s">
        <v>2403</v>
      </c>
      <c r="K213" s="24">
        <f t="shared" si="4"/>
        <v>72310.37999999999</v>
      </c>
    </row>
    <row r="214" spans="1:11" hidden="1" x14ac:dyDescent="0.3">
      <c r="A214" s="21">
        <v>45072</v>
      </c>
      <c r="B214" t="s">
        <v>133</v>
      </c>
      <c r="C214" s="22"/>
      <c r="D214" s="23">
        <v>141.51</v>
      </c>
      <c r="E214" s="23">
        <v>0</v>
      </c>
      <c r="F214" s="23">
        <v>13909.37</v>
      </c>
      <c r="G214" s="22" t="s">
        <v>2406</v>
      </c>
      <c r="H214" s="22"/>
      <c r="I214" t="s">
        <v>2403</v>
      </c>
      <c r="K214" s="24">
        <f t="shared" si="4"/>
        <v>-12094.93</v>
      </c>
    </row>
    <row r="215" spans="1:11" hidden="1" x14ac:dyDescent="0.3">
      <c r="A215" s="21">
        <v>45072</v>
      </c>
      <c r="B215" t="s">
        <v>135</v>
      </c>
      <c r="C215" s="22"/>
      <c r="D215" s="23">
        <v>0</v>
      </c>
      <c r="E215" s="23">
        <v>321.22000000000003</v>
      </c>
      <c r="F215" s="23">
        <v>14230.59</v>
      </c>
      <c r="G215" s="22" t="s">
        <v>2406</v>
      </c>
      <c r="H215" s="22"/>
      <c r="I215" t="s">
        <v>2403</v>
      </c>
      <c r="K215" s="24">
        <f t="shared" si="4"/>
        <v>0</v>
      </c>
    </row>
    <row r="216" spans="1:11" hidden="1" x14ac:dyDescent="0.3">
      <c r="A216" s="21">
        <v>45074</v>
      </c>
      <c r="B216" t="s">
        <v>1227</v>
      </c>
      <c r="C216" s="22" t="s">
        <v>1143</v>
      </c>
      <c r="D216" s="23">
        <v>70</v>
      </c>
      <c r="E216" s="23">
        <v>0</v>
      </c>
      <c r="F216" s="23">
        <v>86291.26</v>
      </c>
      <c r="G216" s="22" t="s">
        <v>2399</v>
      </c>
      <c r="H216" s="22"/>
      <c r="I216" t="s">
        <v>2400</v>
      </c>
      <c r="K216" s="24">
        <f t="shared" si="4"/>
        <v>-72130.67</v>
      </c>
    </row>
    <row r="217" spans="1:11" hidden="1" x14ac:dyDescent="0.3">
      <c r="A217" s="21">
        <v>45075</v>
      </c>
      <c r="B217" t="s">
        <v>133</v>
      </c>
      <c r="C217" s="22"/>
      <c r="D217" s="23">
        <v>425.01</v>
      </c>
      <c r="E217" s="23">
        <v>0</v>
      </c>
      <c r="F217" s="23">
        <v>13805.58</v>
      </c>
      <c r="G217" s="22" t="s">
        <v>2406</v>
      </c>
      <c r="H217" s="22"/>
      <c r="I217" t="s">
        <v>2403</v>
      </c>
      <c r="K217" s="24">
        <f t="shared" si="4"/>
        <v>72060.67</v>
      </c>
    </row>
    <row r="218" spans="1:11" hidden="1" x14ac:dyDescent="0.3">
      <c r="A218" s="21">
        <v>45075</v>
      </c>
      <c r="B218" t="s">
        <v>135</v>
      </c>
      <c r="C218" s="22"/>
      <c r="D218" s="23">
        <v>0</v>
      </c>
      <c r="E218" s="23">
        <v>1274.26</v>
      </c>
      <c r="F218" s="23">
        <v>15079.84</v>
      </c>
      <c r="G218" s="22" t="s">
        <v>2406</v>
      </c>
      <c r="H218" s="22"/>
      <c r="I218" t="s">
        <v>2403</v>
      </c>
      <c r="K218" s="24">
        <f t="shared" si="4"/>
        <v>0</v>
      </c>
    </row>
    <row r="219" spans="1:11" hidden="1" x14ac:dyDescent="0.3">
      <c r="A219" s="21">
        <v>45075</v>
      </c>
      <c r="B219" t="s">
        <v>1228</v>
      </c>
      <c r="C219" s="22" t="s">
        <v>1229</v>
      </c>
      <c r="D219" s="23">
        <v>0</v>
      </c>
      <c r="E219" s="23">
        <v>36042.33</v>
      </c>
      <c r="F219" s="23">
        <v>122333.59</v>
      </c>
      <c r="G219" s="22" t="s">
        <v>2420</v>
      </c>
      <c r="H219" s="22"/>
      <c r="I219" t="s">
        <v>2400</v>
      </c>
      <c r="K219" s="24">
        <f t="shared" si="4"/>
        <v>-71211.42</v>
      </c>
    </row>
    <row r="220" spans="1:11" hidden="1" x14ac:dyDescent="0.3">
      <c r="A220" s="21">
        <v>45075</v>
      </c>
      <c r="B220" t="s">
        <v>1230</v>
      </c>
      <c r="C220" s="22" t="s">
        <v>1191</v>
      </c>
      <c r="D220" s="23">
        <v>40</v>
      </c>
      <c r="E220" s="23">
        <v>0</v>
      </c>
      <c r="F220" s="23">
        <v>122293.59</v>
      </c>
      <c r="G220" s="22" t="s">
        <v>2399</v>
      </c>
      <c r="H220" s="22"/>
      <c r="I220" t="s">
        <v>2400</v>
      </c>
      <c r="K220" s="24">
        <f t="shared" si="4"/>
        <v>0</v>
      </c>
    </row>
    <row r="221" spans="1:11" hidden="1" x14ac:dyDescent="0.3">
      <c r="A221" s="21">
        <v>45075</v>
      </c>
      <c r="B221" t="s">
        <v>1231</v>
      </c>
      <c r="C221" s="22" t="s">
        <v>1191</v>
      </c>
      <c r="D221" s="23">
        <v>60</v>
      </c>
      <c r="E221" s="23">
        <v>0</v>
      </c>
      <c r="F221" s="23">
        <v>122233.59</v>
      </c>
      <c r="G221" s="22" t="s">
        <v>2399</v>
      </c>
      <c r="H221" s="22"/>
      <c r="I221" t="s">
        <v>2400</v>
      </c>
      <c r="K221" s="24">
        <f t="shared" si="4"/>
        <v>0</v>
      </c>
    </row>
    <row r="222" spans="1:11" hidden="1" x14ac:dyDescent="0.3">
      <c r="A222" s="21">
        <v>45076</v>
      </c>
      <c r="B222" t="s">
        <v>133</v>
      </c>
      <c r="C222" s="22"/>
      <c r="D222" s="23">
        <v>142.30000000000001</v>
      </c>
      <c r="E222" s="23">
        <v>0</v>
      </c>
      <c r="F222" s="23">
        <v>14937.54</v>
      </c>
      <c r="G222" s="22" t="s">
        <v>2406</v>
      </c>
      <c r="H222" s="22"/>
      <c r="I222" t="s">
        <v>2403</v>
      </c>
      <c r="K222" s="24">
        <f t="shared" si="4"/>
        <v>107153.75</v>
      </c>
    </row>
    <row r="223" spans="1:11" hidden="1" x14ac:dyDescent="0.3">
      <c r="A223" s="21">
        <v>45076</v>
      </c>
      <c r="B223" t="s">
        <v>135</v>
      </c>
      <c r="C223" s="22"/>
      <c r="D223" s="23">
        <v>0</v>
      </c>
      <c r="E223" s="23">
        <v>857.71</v>
      </c>
      <c r="F223" s="23">
        <v>15795.25</v>
      </c>
      <c r="G223" s="22" t="s">
        <v>2406</v>
      </c>
      <c r="H223" s="22"/>
      <c r="I223" t="s">
        <v>2403</v>
      </c>
      <c r="K223" s="24">
        <f t="shared" si="4"/>
        <v>0</v>
      </c>
    </row>
    <row r="224" spans="1:11" hidden="1" x14ac:dyDescent="0.3">
      <c r="A224" s="21">
        <v>45076</v>
      </c>
      <c r="B224" t="s">
        <v>1232</v>
      </c>
      <c r="C224" s="22" t="s">
        <v>1161</v>
      </c>
      <c r="D224" s="23">
        <v>10000</v>
      </c>
      <c r="E224" s="23">
        <v>0</v>
      </c>
      <c r="F224" s="23">
        <v>112233.59</v>
      </c>
      <c r="G224" s="22" t="s">
        <v>2399</v>
      </c>
      <c r="H224" s="22"/>
      <c r="I224" t="s">
        <v>2400</v>
      </c>
      <c r="K224" s="24">
        <f t="shared" si="4"/>
        <v>-106438.34</v>
      </c>
    </row>
    <row r="225" spans="1:11" hidden="1" x14ac:dyDescent="0.3">
      <c r="A225" s="21">
        <v>45076</v>
      </c>
      <c r="B225" t="s">
        <v>1233</v>
      </c>
      <c r="C225" s="22" t="s">
        <v>1161</v>
      </c>
      <c r="D225" s="23">
        <v>2513.6</v>
      </c>
      <c r="E225" s="23">
        <v>0</v>
      </c>
      <c r="F225" s="23">
        <v>109719.99</v>
      </c>
      <c r="G225" s="22" t="s">
        <v>2399</v>
      </c>
      <c r="H225" s="22"/>
      <c r="I225" t="s">
        <v>2400</v>
      </c>
      <c r="K225" s="24">
        <f t="shared" si="4"/>
        <v>0</v>
      </c>
    </row>
    <row r="226" spans="1:11" hidden="1" x14ac:dyDescent="0.3">
      <c r="A226" s="21">
        <v>45076</v>
      </c>
      <c r="B226" t="s">
        <v>1234</v>
      </c>
      <c r="C226" s="22" t="s">
        <v>1161</v>
      </c>
      <c r="D226" s="23">
        <v>4964.3</v>
      </c>
      <c r="E226" s="23">
        <v>0</v>
      </c>
      <c r="F226" s="23">
        <v>104755.69</v>
      </c>
      <c r="G226" s="22" t="s">
        <v>2399</v>
      </c>
      <c r="H226" s="22"/>
      <c r="I226" t="s">
        <v>2400</v>
      </c>
      <c r="K226" s="24">
        <f t="shared" si="4"/>
        <v>0</v>
      </c>
    </row>
    <row r="227" spans="1:11" hidden="1" x14ac:dyDescent="0.3">
      <c r="A227" s="21">
        <v>45076</v>
      </c>
      <c r="B227" t="s">
        <v>1235</v>
      </c>
      <c r="C227" s="22" t="s">
        <v>1161</v>
      </c>
      <c r="D227" s="23">
        <v>1758.95</v>
      </c>
      <c r="E227" s="23">
        <v>0</v>
      </c>
      <c r="F227" s="23">
        <v>102996.74</v>
      </c>
      <c r="G227" s="22" t="s">
        <v>2399</v>
      </c>
      <c r="H227" s="22"/>
      <c r="I227" t="s">
        <v>2400</v>
      </c>
      <c r="K227" s="24">
        <f t="shared" si="4"/>
        <v>0</v>
      </c>
    </row>
    <row r="228" spans="1:11" hidden="1" x14ac:dyDescent="0.3">
      <c r="A228" s="21">
        <v>45076</v>
      </c>
      <c r="B228" t="s">
        <v>1236</v>
      </c>
      <c r="C228" s="22" t="s">
        <v>1161</v>
      </c>
      <c r="D228" s="23">
        <v>187.15</v>
      </c>
      <c r="E228" s="23">
        <v>0</v>
      </c>
      <c r="F228" s="23">
        <v>102809.59</v>
      </c>
      <c r="G228" s="22" t="s">
        <v>2399</v>
      </c>
      <c r="H228" s="22"/>
      <c r="I228" t="s">
        <v>2400</v>
      </c>
      <c r="K228" s="24">
        <f t="shared" si="4"/>
        <v>0</v>
      </c>
    </row>
    <row r="229" spans="1:11" hidden="1" x14ac:dyDescent="0.3">
      <c r="A229" s="21">
        <v>45077</v>
      </c>
      <c r="B229" t="s">
        <v>133</v>
      </c>
      <c r="C229" s="22"/>
      <c r="D229" s="23">
        <v>142.72</v>
      </c>
      <c r="E229" s="23">
        <v>0</v>
      </c>
      <c r="F229" s="23">
        <v>15652.53</v>
      </c>
      <c r="G229" s="22" t="s">
        <v>2406</v>
      </c>
      <c r="H229" s="22"/>
      <c r="I229" t="s">
        <v>2403</v>
      </c>
      <c r="K229" s="24">
        <f t="shared" si="4"/>
        <v>87014.34</v>
      </c>
    </row>
    <row r="230" spans="1:11" hidden="1" x14ac:dyDescent="0.3">
      <c r="A230" s="21">
        <v>45077</v>
      </c>
      <c r="B230" t="s">
        <v>133</v>
      </c>
      <c r="C230" s="22"/>
      <c r="D230" s="23">
        <v>632.73</v>
      </c>
      <c r="E230" s="23">
        <v>0</v>
      </c>
      <c r="F230" s="23">
        <v>15019.8</v>
      </c>
      <c r="G230" s="22" t="s">
        <v>2406</v>
      </c>
      <c r="H230" s="22"/>
      <c r="I230" t="s">
        <v>2403</v>
      </c>
      <c r="K230" s="24">
        <f t="shared" si="4"/>
        <v>0</v>
      </c>
    </row>
    <row r="231" spans="1:11" hidden="1" x14ac:dyDescent="0.3">
      <c r="A231" s="21">
        <v>45077</v>
      </c>
      <c r="B231" t="s">
        <v>1237</v>
      </c>
      <c r="C231" s="22" t="s">
        <v>1148</v>
      </c>
      <c r="D231" s="23">
        <v>65</v>
      </c>
      <c r="E231" s="23">
        <v>0</v>
      </c>
      <c r="F231" s="23">
        <v>102744.59</v>
      </c>
      <c r="G231" s="22" t="s">
        <v>2399</v>
      </c>
      <c r="H231" s="22"/>
      <c r="I231" t="s">
        <v>2400</v>
      </c>
      <c r="K231" s="24">
        <f t="shared" si="4"/>
        <v>-87789.79</v>
      </c>
    </row>
    <row r="232" spans="1:11" hidden="1" x14ac:dyDescent="0.3">
      <c r="A232" s="21">
        <v>45078</v>
      </c>
      <c r="B232" t="s">
        <v>133</v>
      </c>
      <c r="C232" s="22"/>
      <c r="D232" s="23">
        <v>142.41</v>
      </c>
      <c r="E232" s="23">
        <v>0</v>
      </c>
      <c r="F232" s="23">
        <v>14877.39</v>
      </c>
      <c r="G232" s="22" t="s">
        <v>2406</v>
      </c>
      <c r="H232" s="22"/>
      <c r="I232" t="s">
        <v>2403</v>
      </c>
      <c r="K232" s="24">
        <f t="shared" si="4"/>
        <v>87724.79</v>
      </c>
    </row>
    <row r="233" spans="1:11" hidden="1" x14ac:dyDescent="0.3">
      <c r="A233" s="21">
        <v>45078</v>
      </c>
      <c r="B233" t="s">
        <v>135</v>
      </c>
      <c r="C233" s="22"/>
      <c r="D233" s="23">
        <v>0</v>
      </c>
      <c r="E233" s="23">
        <v>5257.45</v>
      </c>
      <c r="F233" s="23">
        <v>20134.84</v>
      </c>
      <c r="G233" s="22" t="s">
        <v>2406</v>
      </c>
      <c r="H233" s="22"/>
      <c r="I233" t="s">
        <v>2403</v>
      </c>
      <c r="K233" s="24">
        <f t="shared" si="4"/>
        <v>0</v>
      </c>
    </row>
    <row r="234" spans="1:11" hidden="1" x14ac:dyDescent="0.3">
      <c r="A234" s="21">
        <v>45078</v>
      </c>
      <c r="B234" t="s">
        <v>135</v>
      </c>
      <c r="C234" s="22"/>
      <c r="D234" s="23">
        <v>0</v>
      </c>
      <c r="E234" s="23">
        <v>257.66000000000003</v>
      </c>
      <c r="F234" s="23">
        <v>20392.5</v>
      </c>
      <c r="G234" s="22" t="s">
        <v>2406</v>
      </c>
      <c r="H234" s="22"/>
      <c r="I234" t="s">
        <v>2403</v>
      </c>
      <c r="K234" s="24">
        <f t="shared" si="4"/>
        <v>0</v>
      </c>
    </row>
    <row r="235" spans="1:11" hidden="1" x14ac:dyDescent="0.3">
      <c r="A235" s="21">
        <v>45078</v>
      </c>
      <c r="B235" t="s">
        <v>1238</v>
      </c>
      <c r="C235" s="22" t="s">
        <v>1152</v>
      </c>
      <c r="D235" s="23">
        <v>70</v>
      </c>
      <c r="E235" s="23">
        <v>0</v>
      </c>
      <c r="F235" s="23">
        <v>102674.59</v>
      </c>
      <c r="G235" s="22" t="s">
        <v>2399</v>
      </c>
      <c r="H235" s="22"/>
      <c r="I235" t="s">
        <v>2400</v>
      </c>
      <c r="K235" s="24">
        <f t="shared" si="4"/>
        <v>-82352.09</v>
      </c>
    </row>
    <row r="236" spans="1:11" hidden="1" x14ac:dyDescent="0.3">
      <c r="A236" s="21">
        <v>45078</v>
      </c>
      <c r="B236" t="s">
        <v>1239</v>
      </c>
      <c r="C236" s="22" t="s">
        <v>1172</v>
      </c>
      <c r="D236" s="23">
        <v>126</v>
      </c>
      <c r="E236" s="23">
        <v>0</v>
      </c>
      <c r="F236" s="23">
        <v>102548.59</v>
      </c>
      <c r="G236" s="22" t="s">
        <v>2399</v>
      </c>
      <c r="H236" s="22"/>
      <c r="I236" t="s">
        <v>2400</v>
      </c>
      <c r="K236" s="24">
        <f t="shared" si="4"/>
        <v>0</v>
      </c>
    </row>
    <row r="237" spans="1:11" hidden="1" x14ac:dyDescent="0.3">
      <c r="A237" s="21">
        <v>45079</v>
      </c>
      <c r="B237" t="s">
        <v>133</v>
      </c>
      <c r="C237" s="22"/>
      <c r="D237" s="23">
        <v>142.53</v>
      </c>
      <c r="E237" s="23">
        <v>0</v>
      </c>
      <c r="F237" s="23">
        <v>20249.97</v>
      </c>
      <c r="G237" s="22" t="s">
        <v>2406</v>
      </c>
      <c r="H237" s="22"/>
      <c r="I237" t="s">
        <v>2403</v>
      </c>
      <c r="K237" s="24">
        <f t="shared" si="4"/>
        <v>82156.09</v>
      </c>
    </row>
    <row r="238" spans="1:11" hidden="1" x14ac:dyDescent="0.3">
      <c r="A238" s="21">
        <v>45079</v>
      </c>
      <c r="B238" t="s">
        <v>135</v>
      </c>
      <c r="C238" s="22"/>
      <c r="D238" s="23">
        <v>0</v>
      </c>
      <c r="E238" s="23">
        <v>452.8</v>
      </c>
      <c r="F238" s="23">
        <v>20702.77</v>
      </c>
      <c r="G238" s="22" t="s">
        <v>2406</v>
      </c>
      <c r="H238" s="22"/>
      <c r="I238" t="s">
        <v>2403</v>
      </c>
      <c r="K238" s="24">
        <f t="shared" si="4"/>
        <v>0</v>
      </c>
    </row>
    <row r="239" spans="1:11" hidden="1" x14ac:dyDescent="0.3">
      <c r="A239" s="21">
        <v>45080</v>
      </c>
      <c r="B239" t="s">
        <v>1240</v>
      </c>
      <c r="C239" s="22" t="s">
        <v>1223</v>
      </c>
      <c r="D239" s="23">
        <v>0</v>
      </c>
      <c r="E239" s="23">
        <v>2425</v>
      </c>
      <c r="F239" s="23">
        <v>104973.59</v>
      </c>
      <c r="G239" s="22" t="s">
        <v>2399</v>
      </c>
      <c r="H239" s="22"/>
      <c r="I239" t="s">
        <v>2400</v>
      </c>
      <c r="K239" s="24">
        <f t="shared" si="4"/>
        <v>-81845.819999999992</v>
      </c>
    </row>
    <row r="240" spans="1:11" hidden="1" x14ac:dyDescent="0.3">
      <c r="A240" s="21">
        <v>45081</v>
      </c>
      <c r="B240" t="s">
        <v>1241</v>
      </c>
      <c r="C240" s="22" t="s">
        <v>1143</v>
      </c>
      <c r="D240" s="23">
        <v>60</v>
      </c>
      <c r="E240" s="23">
        <v>0</v>
      </c>
      <c r="F240" s="23">
        <v>104913.59</v>
      </c>
      <c r="G240" s="22" t="s">
        <v>2399</v>
      </c>
      <c r="H240" s="22"/>
      <c r="I240" t="s">
        <v>2400</v>
      </c>
      <c r="K240" s="24">
        <f t="shared" si="4"/>
        <v>0</v>
      </c>
    </row>
    <row r="241" spans="1:11" hidden="1" x14ac:dyDescent="0.3">
      <c r="A241" s="21">
        <v>45082</v>
      </c>
      <c r="B241" t="s">
        <v>29</v>
      </c>
      <c r="C241" s="22"/>
      <c r="D241" s="23">
        <v>20000</v>
      </c>
      <c r="E241" s="23">
        <v>0</v>
      </c>
      <c r="F241" s="23">
        <v>34829.11</v>
      </c>
      <c r="G241" s="22" t="s">
        <v>2421</v>
      </c>
      <c r="H241" s="22"/>
      <c r="I241" t="s">
        <v>2404</v>
      </c>
      <c r="K241" s="24">
        <f t="shared" si="4"/>
        <v>50084.479999999996</v>
      </c>
    </row>
    <row r="242" spans="1:11" hidden="1" x14ac:dyDescent="0.3">
      <c r="A242" s="21">
        <v>45082</v>
      </c>
      <c r="B242" t="s">
        <v>28</v>
      </c>
      <c r="C242" s="22"/>
      <c r="D242" s="23">
        <v>20000</v>
      </c>
      <c r="E242" s="23">
        <v>0</v>
      </c>
      <c r="F242" s="23">
        <v>54829.11</v>
      </c>
      <c r="G242" s="22" t="s">
        <v>2402</v>
      </c>
      <c r="H242" s="22"/>
      <c r="I242" t="s">
        <v>2404</v>
      </c>
      <c r="K242" s="24">
        <f t="shared" si="4"/>
        <v>-40000</v>
      </c>
    </row>
    <row r="243" spans="1:11" hidden="1" x14ac:dyDescent="0.3">
      <c r="A243" s="21">
        <v>45082</v>
      </c>
      <c r="B243" t="s">
        <v>273</v>
      </c>
      <c r="C243" s="22"/>
      <c r="D243" s="23">
        <v>0</v>
      </c>
      <c r="E243" s="23">
        <v>20000</v>
      </c>
      <c r="F243" s="23">
        <v>40527.47</v>
      </c>
      <c r="G243" s="22" t="s">
        <v>2402</v>
      </c>
      <c r="H243" s="22"/>
      <c r="I243" t="s">
        <v>2403</v>
      </c>
      <c r="K243" s="24">
        <f t="shared" si="4"/>
        <v>34301.64</v>
      </c>
    </row>
    <row r="244" spans="1:11" hidden="1" x14ac:dyDescent="0.3">
      <c r="A244" s="21">
        <v>45082</v>
      </c>
      <c r="B244" t="s">
        <v>133</v>
      </c>
      <c r="C244" s="22"/>
      <c r="D244" s="23">
        <v>428.28</v>
      </c>
      <c r="E244" s="23">
        <v>0</v>
      </c>
      <c r="F244" s="23">
        <v>20274.490000000002</v>
      </c>
      <c r="G244" s="22" t="s">
        <v>2406</v>
      </c>
      <c r="H244" s="22"/>
      <c r="I244" t="s">
        <v>2403</v>
      </c>
      <c r="K244" s="24">
        <f t="shared" si="4"/>
        <v>19824.7</v>
      </c>
    </row>
    <row r="245" spans="1:11" hidden="1" x14ac:dyDescent="0.3">
      <c r="A245" s="21">
        <v>45082</v>
      </c>
      <c r="B245" t="s">
        <v>135</v>
      </c>
      <c r="C245" s="22"/>
      <c r="D245" s="23">
        <v>0</v>
      </c>
      <c r="E245" s="23">
        <v>252.98</v>
      </c>
      <c r="F245" s="23">
        <v>20527.47</v>
      </c>
      <c r="G245" s="22" t="s">
        <v>2406</v>
      </c>
      <c r="H245" s="22"/>
      <c r="I245" t="s">
        <v>2403</v>
      </c>
      <c r="K245" s="24">
        <f t="shared" si="4"/>
        <v>0</v>
      </c>
    </row>
    <row r="246" spans="1:11" hidden="1" x14ac:dyDescent="0.3">
      <c r="A246" s="21">
        <v>45082</v>
      </c>
      <c r="B246" t="s">
        <v>1242</v>
      </c>
      <c r="C246" s="22" t="s">
        <v>1191</v>
      </c>
      <c r="D246" s="23">
        <v>20</v>
      </c>
      <c r="E246" s="23">
        <v>0</v>
      </c>
      <c r="F246" s="23">
        <v>104893.59</v>
      </c>
      <c r="G246" s="22" t="s">
        <v>2399</v>
      </c>
      <c r="H246" s="22"/>
      <c r="I246" t="s">
        <v>2400</v>
      </c>
      <c r="K246" s="24">
        <f t="shared" si="4"/>
        <v>-84386.12</v>
      </c>
    </row>
    <row r="247" spans="1:11" hidden="1" x14ac:dyDescent="0.3">
      <c r="A247" s="21">
        <v>45082</v>
      </c>
      <c r="B247" t="s">
        <v>1243</v>
      </c>
      <c r="C247" s="22" t="s">
        <v>1161</v>
      </c>
      <c r="D247" s="23">
        <v>20</v>
      </c>
      <c r="E247" s="23">
        <v>0</v>
      </c>
      <c r="F247" s="23">
        <v>104873.59</v>
      </c>
      <c r="G247" s="22" t="s">
        <v>2399</v>
      </c>
      <c r="H247" s="22"/>
      <c r="I247" t="s">
        <v>2400</v>
      </c>
      <c r="K247" s="24">
        <f t="shared" si="4"/>
        <v>0</v>
      </c>
    </row>
    <row r="248" spans="1:11" hidden="1" x14ac:dyDescent="0.3">
      <c r="A248" s="21">
        <v>45083</v>
      </c>
      <c r="B248" t="s">
        <v>133</v>
      </c>
      <c r="C248" s="22"/>
      <c r="D248" s="23">
        <v>142.88</v>
      </c>
      <c r="E248" s="23">
        <v>0</v>
      </c>
      <c r="F248" s="23">
        <v>40384.589999999997</v>
      </c>
      <c r="G248" s="22" t="s">
        <v>2406</v>
      </c>
      <c r="H248" s="22"/>
      <c r="I248" t="s">
        <v>2403</v>
      </c>
      <c r="K248" s="24">
        <f t="shared" si="4"/>
        <v>64346.119999999995</v>
      </c>
    </row>
    <row r="249" spans="1:11" hidden="1" x14ac:dyDescent="0.3">
      <c r="A249" s="21">
        <v>45083</v>
      </c>
      <c r="B249" t="s">
        <v>133</v>
      </c>
      <c r="C249" s="22"/>
      <c r="D249" s="23">
        <v>529.98</v>
      </c>
      <c r="E249" s="23">
        <v>0</v>
      </c>
      <c r="F249" s="23">
        <v>39854.61</v>
      </c>
      <c r="G249" s="22" t="s">
        <v>2406</v>
      </c>
      <c r="H249" s="22"/>
      <c r="I249" t="s">
        <v>2403</v>
      </c>
      <c r="K249" s="24">
        <f t="shared" si="4"/>
        <v>0</v>
      </c>
    </row>
    <row r="250" spans="1:11" hidden="1" x14ac:dyDescent="0.3">
      <c r="A250" s="21">
        <v>45083</v>
      </c>
      <c r="B250" t="s">
        <v>135</v>
      </c>
      <c r="C250" s="22"/>
      <c r="D250" s="23">
        <v>0</v>
      </c>
      <c r="E250" s="23">
        <v>9424.64</v>
      </c>
      <c r="F250" s="23">
        <v>49279.25</v>
      </c>
      <c r="G250" s="22" t="s">
        <v>2406</v>
      </c>
      <c r="H250" s="22"/>
      <c r="I250" t="s">
        <v>2403</v>
      </c>
      <c r="K250" s="24">
        <f t="shared" si="4"/>
        <v>0</v>
      </c>
    </row>
    <row r="251" spans="1:11" hidden="1" x14ac:dyDescent="0.3">
      <c r="A251" s="21">
        <v>45083</v>
      </c>
      <c r="B251" t="s">
        <v>1244</v>
      </c>
      <c r="C251" s="22" t="s">
        <v>1161</v>
      </c>
      <c r="D251" s="23">
        <v>50</v>
      </c>
      <c r="E251" s="23">
        <v>0</v>
      </c>
      <c r="F251" s="23">
        <v>104823.59</v>
      </c>
      <c r="G251" s="22" t="s">
        <v>2399</v>
      </c>
      <c r="H251" s="22"/>
      <c r="I251" t="s">
        <v>2400</v>
      </c>
      <c r="K251" s="24">
        <f t="shared" si="4"/>
        <v>-55594.34</v>
      </c>
    </row>
    <row r="252" spans="1:11" hidden="1" x14ac:dyDescent="0.3">
      <c r="A252" s="21">
        <v>45084</v>
      </c>
      <c r="B252" t="s">
        <v>133</v>
      </c>
      <c r="C252" s="22"/>
      <c r="D252" s="23">
        <v>142.62</v>
      </c>
      <c r="E252" s="23">
        <v>0</v>
      </c>
      <c r="F252" s="23">
        <v>49136.63</v>
      </c>
      <c r="G252" s="22" t="s">
        <v>2406</v>
      </c>
      <c r="H252" s="22"/>
      <c r="I252" t="s">
        <v>2403</v>
      </c>
      <c r="K252" s="24">
        <f t="shared" si="4"/>
        <v>55544.340000000004</v>
      </c>
    </row>
    <row r="253" spans="1:11" hidden="1" x14ac:dyDescent="0.3">
      <c r="A253" s="21">
        <v>45084</v>
      </c>
      <c r="B253" t="s">
        <v>279</v>
      </c>
      <c r="C253" s="22"/>
      <c r="D253" s="23">
        <v>0</v>
      </c>
      <c r="E253" s="23">
        <v>1880</v>
      </c>
      <c r="F253" s="23">
        <v>51016.63</v>
      </c>
      <c r="G253" s="22" t="s">
        <v>2407</v>
      </c>
      <c r="H253" s="22"/>
      <c r="I253" t="s">
        <v>2403</v>
      </c>
      <c r="K253" s="24">
        <f t="shared" si="4"/>
        <v>0</v>
      </c>
    </row>
    <row r="254" spans="1:11" hidden="1" x14ac:dyDescent="0.3">
      <c r="A254" s="21">
        <v>45084</v>
      </c>
      <c r="B254" t="s">
        <v>133</v>
      </c>
      <c r="C254" s="22"/>
      <c r="D254" s="23">
        <v>17825.669999999998</v>
      </c>
      <c r="E254" s="23">
        <v>0</v>
      </c>
      <c r="F254" s="23">
        <v>33190.959999999999</v>
      </c>
      <c r="G254" s="22" t="s">
        <v>2406</v>
      </c>
      <c r="H254" s="22"/>
      <c r="I254" t="s">
        <v>2403</v>
      </c>
      <c r="K254" s="24">
        <f t="shared" si="4"/>
        <v>0</v>
      </c>
    </row>
    <row r="255" spans="1:11" hidden="1" x14ac:dyDescent="0.3">
      <c r="A255" s="21">
        <v>45084</v>
      </c>
      <c r="B255" t="s">
        <v>135</v>
      </c>
      <c r="C255" s="22"/>
      <c r="D255" s="23">
        <v>0</v>
      </c>
      <c r="E255" s="23">
        <v>14433.7</v>
      </c>
      <c r="F255" s="23">
        <v>47624.66</v>
      </c>
      <c r="G255" s="22" t="s">
        <v>2406</v>
      </c>
      <c r="H255" s="22"/>
      <c r="I255" t="s">
        <v>2403</v>
      </c>
      <c r="K255" s="24">
        <f t="shared" si="4"/>
        <v>0</v>
      </c>
    </row>
    <row r="256" spans="1:11" hidden="1" x14ac:dyDescent="0.3">
      <c r="A256" s="21">
        <v>45084</v>
      </c>
      <c r="B256" t="s">
        <v>1245</v>
      </c>
      <c r="C256" s="22" t="s">
        <v>1148</v>
      </c>
      <c r="D256" s="23">
        <v>50</v>
      </c>
      <c r="E256" s="23">
        <v>0</v>
      </c>
      <c r="F256" s="23">
        <v>104773.59</v>
      </c>
      <c r="G256" s="22" t="s">
        <v>2399</v>
      </c>
      <c r="H256" s="22"/>
      <c r="I256" t="s">
        <v>2400</v>
      </c>
      <c r="K256" s="24">
        <f t="shared" si="4"/>
        <v>-57198.929999999993</v>
      </c>
    </row>
    <row r="257" spans="1:11" hidden="1" x14ac:dyDescent="0.3">
      <c r="A257" s="21">
        <v>45085</v>
      </c>
      <c r="B257" t="s">
        <v>133</v>
      </c>
      <c r="C257" s="22"/>
      <c r="D257" s="23">
        <v>133.83000000000001</v>
      </c>
      <c r="E257" s="23">
        <v>0</v>
      </c>
      <c r="F257" s="23">
        <v>47490.83</v>
      </c>
      <c r="G257" s="22" t="s">
        <v>2406</v>
      </c>
      <c r="H257" s="22"/>
      <c r="I257" t="s">
        <v>2403</v>
      </c>
      <c r="K257" s="24">
        <f t="shared" si="4"/>
        <v>57148.929999999993</v>
      </c>
    </row>
    <row r="258" spans="1:11" hidden="1" x14ac:dyDescent="0.3">
      <c r="A258" s="21">
        <v>45085</v>
      </c>
      <c r="B258" t="s">
        <v>135</v>
      </c>
      <c r="C258" s="22"/>
      <c r="D258" s="23">
        <v>0</v>
      </c>
      <c r="E258" s="23">
        <v>1130.33</v>
      </c>
      <c r="F258" s="23">
        <v>48621.16</v>
      </c>
      <c r="G258" s="22" t="s">
        <v>2406</v>
      </c>
      <c r="H258" s="22"/>
      <c r="I258" t="s">
        <v>2403</v>
      </c>
      <c r="K258" s="24">
        <f t="shared" si="4"/>
        <v>0</v>
      </c>
    </row>
    <row r="259" spans="1:11" hidden="1" x14ac:dyDescent="0.3">
      <c r="A259" s="21">
        <v>45085</v>
      </c>
      <c r="B259" t="s">
        <v>1246</v>
      </c>
      <c r="C259" s="22" t="s">
        <v>1247</v>
      </c>
      <c r="D259" s="23">
        <v>0</v>
      </c>
      <c r="E259" s="23">
        <v>122.23</v>
      </c>
      <c r="F259" s="23">
        <v>104895.82</v>
      </c>
      <c r="G259" s="22" t="s">
        <v>2409</v>
      </c>
      <c r="H259" s="22"/>
      <c r="I259" t="s">
        <v>2400</v>
      </c>
      <c r="K259" s="24">
        <f t="shared" si="4"/>
        <v>-56152.43</v>
      </c>
    </row>
    <row r="260" spans="1:11" hidden="1" x14ac:dyDescent="0.3">
      <c r="A260" s="21">
        <v>45085</v>
      </c>
      <c r="B260" t="s">
        <v>1248</v>
      </c>
      <c r="C260" s="22" t="s">
        <v>1152</v>
      </c>
      <c r="D260" s="23">
        <v>552.96</v>
      </c>
      <c r="E260" s="23">
        <v>0</v>
      </c>
      <c r="F260" s="23">
        <v>104342.86</v>
      </c>
      <c r="G260" s="22" t="s">
        <v>2399</v>
      </c>
      <c r="H260" s="22"/>
      <c r="I260" t="s">
        <v>2400</v>
      </c>
      <c r="K260" s="24">
        <f t="shared" si="4"/>
        <v>0</v>
      </c>
    </row>
    <row r="261" spans="1:11" hidden="1" x14ac:dyDescent="0.3">
      <c r="A261" s="21">
        <v>45085</v>
      </c>
      <c r="B261" t="s">
        <v>1249</v>
      </c>
      <c r="C261" s="22" t="s">
        <v>1181</v>
      </c>
      <c r="D261" s="23">
        <v>0</v>
      </c>
      <c r="E261" s="23">
        <v>184</v>
      </c>
      <c r="F261" s="23">
        <v>104526.86</v>
      </c>
      <c r="G261" s="22" t="s">
        <v>2399</v>
      </c>
      <c r="H261" s="22"/>
      <c r="I261" t="s">
        <v>2400</v>
      </c>
      <c r="K261" s="24">
        <f t="shared" si="4"/>
        <v>0</v>
      </c>
    </row>
    <row r="262" spans="1:11" hidden="1" x14ac:dyDescent="0.3">
      <c r="A262" s="21">
        <v>45085</v>
      </c>
      <c r="B262" t="s">
        <v>1250</v>
      </c>
      <c r="C262" s="22" t="s">
        <v>1184</v>
      </c>
      <c r="D262" s="23">
        <v>0</v>
      </c>
      <c r="E262" s="23">
        <v>185</v>
      </c>
      <c r="F262" s="23">
        <v>104711.86</v>
      </c>
      <c r="G262" s="22" t="s">
        <v>2399</v>
      </c>
      <c r="H262" s="22"/>
      <c r="I262" t="s">
        <v>2400</v>
      </c>
      <c r="K262" s="24">
        <f t="shared" ref="K262:K325" si="5">F261-D262+E262-F262</f>
        <v>0</v>
      </c>
    </row>
    <row r="263" spans="1:11" hidden="1" x14ac:dyDescent="0.3">
      <c r="A263" s="21">
        <v>45086</v>
      </c>
      <c r="B263" t="s">
        <v>30</v>
      </c>
      <c r="C263" s="22"/>
      <c r="D263" s="23">
        <v>0</v>
      </c>
      <c r="E263" s="23">
        <v>20000</v>
      </c>
      <c r="F263" s="23">
        <v>54829.11</v>
      </c>
      <c r="G263" s="22" t="s">
        <v>2421</v>
      </c>
      <c r="H263" s="22"/>
      <c r="I263" t="s">
        <v>2404</v>
      </c>
      <c r="K263" s="24">
        <f t="shared" si="5"/>
        <v>69882.75</v>
      </c>
    </row>
    <row r="264" spans="1:11" hidden="1" x14ac:dyDescent="0.3">
      <c r="A264" s="21">
        <v>45086</v>
      </c>
      <c r="B264" t="s">
        <v>133</v>
      </c>
      <c r="C264" s="22"/>
      <c r="D264" s="23">
        <v>134.38999999999999</v>
      </c>
      <c r="E264" s="23">
        <v>0</v>
      </c>
      <c r="F264" s="23">
        <v>48486.77</v>
      </c>
      <c r="G264" s="22" t="s">
        <v>2406</v>
      </c>
      <c r="H264" s="22"/>
      <c r="I264" t="s">
        <v>2403</v>
      </c>
      <c r="K264" s="24">
        <f t="shared" si="5"/>
        <v>6207.9500000000044</v>
      </c>
    </row>
    <row r="265" spans="1:11" hidden="1" x14ac:dyDescent="0.3">
      <c r="A265" s="21">
        <v>45086</v>
      </c>
      <c r="B265" t="s">
        <v>286</v>
      </c>
      <c r="C265" s="22"/>
      <c r="D265" s="23">
        <v>0</v>
      </c>
      <c r="E265" s="23">
        <v>20000</v>
      </c>
      <c r="F265" s="23">
        <v>68486.77</v>
      </c>
      <c r="G265" s="22" t="s">
        <v>2422</v>
      </c>
      <c r="H265" s="22"/>
      <c r="I265" t="s">
        <v>2403</v>
      </c>
      <c r="K265" s="24">
        <f t="shared" si="5"/>
        <v>0</v>
      </c>
    </row>
    <row r="266" spans="1:11" hidden="1" x14ac:dyDescent="0.3">
      <c r="A266" s="21">
        <v>45086</v>
      </c>
      <c r="B266" t="s">
        <v>133</v>
      </c>
      <c r="C266" s="22"/>
      <c r="D266" s="23">
        <v>1526.13</v>
      </c>
      <c r="E266" s="23">
        <v>0</v>
      </c>
      <c r="F266" s="23">
        <v>66960.639999999999</v>
      </c>
      <c r="G266" s="22" t="s">
        <v>2406</v>
      </c>
      <c r="H266" s="22"/>
      <c r="I266" t="s">
        <v>2403</v>
      </c>
      <c r="K266" s="24">
        <f t="shared" si="5"/>
        <v>0</v>
      </c>
    </row>
    <row r="267" spans="1:11" hidden="1" x14ac:dyDescent="0.3">
      <c r="A267" s="21">
        <v>45086</v>
      </c>
      <c r="B267" t="s">
        <v>1251</v>
      </c>
      <c r="C267" s="22" t="s">
        <v>1172</v>
      </c>
      <c r="D267" s="23">
        <v>50</v>
      </c>
      <c r="E267" s="23">
        <v>0</v>
      </c>
      <c r="F267" s="23">
        <v>104661.86</v>
      </c>
      <c r="G267" s="22" t="s">
        <v>2399</v>
      </c>
      <c r="H267" s="22"/>
      <c r="I267" t="s">
        <v>2400</v>
      </c>
      <c r="K267" s="24">
        <f t="shared" si="5"/>
        <v>-37751.22</v>
      </c>
    </row>
    <row r="268" spans="1:11" hidden="1" x14ac:dyDescent="0.3">
      <c r="A268" s="21">
        <v>45086</v>
      </c>
      <c r="B268" t="s">
        <v>1252</v>
      </c>
      <c r="C268" s="22" t="s">
        <v>1184</v>
      </c>
      <c r="D268" s="23">
        <v>0</v>
      </c>
      <c r="E268" s="23">
        <v>40</v>
      </c>
      <c r="F268" s="23">
        <v>104701.86</v>
      </c>
      <c r="G268" s="22" t="s">
        <v>2399</v>
      </c>
      <c r="H268" s="22"/>
      <c r="I268" t="s">
        <v>2400</v>
      </c>
      <c r="K268" s="24">
        <f t="shared" si="5"/>
        <v>0</v>
      </c>
    </row>
    <row r="269" spans="1:11" hidden="1" x14ac:dyDescent="0.3">
      <c r="A269" s="21">
        <v>45086</v>
      </c>
      <c r="B269" t="s">
        <v>1253</v>
      </c>
      <c r="C269" s="22" t="s">
        <v>1172</v>
      </c>
      <c r="D269" s="23">
        <v>80</v>
      </c>
      <c r="E269" s="23">
        <v>0</v>
      </c>
      <c r="F269" s="23">
        <v>104621.86</v>
      </c>
      <c r="G269" s="22" t="s">
        <v>2399</v>
      </c>
      <c r="H269" s="22"/>
      <c r="I269" t="s">
        <v>2400</v>
      </c>
      <c r="K269" s="24">
        <f t="shared" si="5"/>
        <v>0</v>
      </c>
    </row>
    <row r="270" spans="1:11" hidden="1" x14ac:dyDescent="0.3">
      <c r="A270" s="21">
        <v>45087</v>
      </c>
      <c r="B270" t="s">
        <v>1254</v>
      </c>
      <c r="C270" s="22" t="s">
        <v>1154</v>
      </c>
      <c r="D270" s="23">
        <v>90</v>
      </c>
      <c r="E270" s="23">
        <v>0</v>
      </c>
      <c r="F270" s="23">
        <v>104531.86</v>
      </c>
      <c r="G270" s="22" t="s">
        <v>2399</v>
      </c>
      <c r="H270" s="22"/>
      <c r="I270" t="s">
        <v>2400</v>
      </c>
      <c r="K270" s="24">
        <f t="shared" si="5"/>
        <v>0</v>
      </c>
    </row>
    <row r="271" spans="1:11" hidden="1" x14ac:dyDescent="0.3">
      <c r="A271" s="21">
        <v>45088</v>
      </c>
      <c r="B271" t="s">
        <v>1255</v>
      </c>
      <c r="C271" s="22" t="s">
        <v>1143</v>
      </c>
      <c r="D271" s="23">
        <v>80</v>
      </c>
      <c r="E271" s="23">
        <v>0</v>
      </c>
      <c r="F271" s="23">
        <v>104451.86</v>
      </c>
      <c r="G271" s="22" t="s">
        <v>2399</v>
      </c>
      <c r="H271" s="22"/>
      <c r="I271" t="s">
        <v>2400</v>
      </c>
      <c r="K271" s="24">
        <f t="shared" si="5"/>
        <v>0</v>
      </c>
    </row>
    <row r="272" spans="1:11" hidden="1" x14ac:dyDescent="0.3">
      <c r="A272" s="21">
        <v>45088</v>
      </c>
      <c r="B272" t="s">
        <v>1256</v>
      </c>
      <c r="C272" s="22" t="s">
        <v>1208</v>
      </c>
      <c r="D272" s="23">
        <v>0</v>
      </c>
      <c r="E272" s="23">
        <v>80</v>
      </c>
      <c r="F272" s="23">
        <v>104531.86</v>
      </c>
      <c r="G272" s="22" t="s">
        <v>2399</v>
      </c>
      <c r="H272" s="22"/>
      <c r="I272" t="s">
        <v>2400</v>
      </c>
      <c r="K272" s="24">
        <f t="shared" si="5"/>
        <v>0</v>
      </c>
    </row>
    <row r="273" spans="1:11" hidden="1" x14ac:dyDescent="0.3">
      <c r="A273" s="21">
        <v>45088</v>
      </c>
      <c r="B273" t="s">
        <v>1257</v>
      </c>
      <c r="C273" s="22" t="s">
        <v>1143</v>
      </c>
      <c r="D273" s="23">
        <v>110</v>
      </c>
      <c r="E273" s="23">
        <v>0</v>
      </c>
      <c r="F273" s="23">
        <v>104421.86</v>
      </c>
      <c r="G273" s="22" t="s">
        <v>2399</v>
      </c>
      <c r="H273" s="22"/>
      <c r="I273" t="s">
        <v>2400</v>
      </c>
      <c r="K273" s="24">
        <f t="shared" si="5"/>
        <v>0</v>
      </c>
    </row>
    <row r="274" spans="1:11" hidden="1" x14ac:dyDescent="0.3">
      <c r="A274" s="21">
        <v>45089</v>
      </c>
      <c r="B274" t="s">
        <v>154</v>
      </c>
      <c r="C274" s="22"/>
      <c r="D274" s="23">
        <v>3000</v>
      </c>
      <c r="E274" s="23">
        <v>0</v>
      </c>
      <c r="F274" s="23">
        <v>63960.639999999999</v>
      </c>
      <c r="G274" s="22" t="s">
        <v>2418</v>
      </c>
      <c r="H274" s="22"/>
      <c r="I274" t="s">
        <v>2403</v>
      </c>
      <c r="K274" s="24">
        <f t="shared" si="5"/>
        <v>37461.22</v>
      </c>
    </row>
    <row r="275" spans="1:11" hidden="1" x14ac:dyDescent="0.3">
      <c r="A275" s="21">
        <v>45089</v>
      </c>
      <c r="B275" t="s">
        <v>133</v>
      </c>
      <c r="C275" s="22"/>
      <c r="D275" s="23">
        <v>400.92</v>
      </c>
      <c r="E275" s="23">
        <v>0</v>
      </c>
      <c r="F275" s="23">
        <v>63559.72</v>
      </c>
      <c r="G275" s="22" t="s">
        <v>2406</v>
      </c>
      <c r="H275" s="22"/>
      <c r="I275" t="s">
        <v>2403</v>
      </c>
      <c r="K275" s="24">
        <f t="shared" si="5"/>
        <v>0</v>
      </c>
    </row>
    <row r="276" spans="1:11" hidden="1" x14ac:dyDescent="0.3">
      <c r="A276" s="21">
        <v>45089</v>
      </c>
      <c r="B276" t="s">
        <v>133</v>
      </c>
      <c r="C276" s="22"/>
      <c r="D276" s="23">
        <v>8675.14</v>
      </c>
      <c r="E276" s="23">
        <v>0</v>
      </c>
      <c r="F276" s="23">
        <v>54884.58</v>
      </c>
      <c r="G276" s="22" t="s">
        <v>2406</v>
      </c>
      <c r="H276" s="22"/>
      <c r="I276" t="s">
        <v>2403</v>
      </c>
      <c r="K276" s="24">
        <f t="shared" si="5"/>
        <v>0</v>
      </c>
    </row>
    <row r="277" spans="1:11" hidden="1" x14ac:dyDescent="0.3">
      <c r="A277" s="21">
        <v>45089</v>
      </c>
      <c r="B277" t="s">
        <v>133</v>
      </c>
      <c r="C277" s="22"/>
      <c r="D277" s="23">
        <v>2305.65</v>
      </c>
      <c r="E277" s="23">
        <v>0</v>
      </c>
      <c r="F277" s="23">
        <v>52578.93</v>
      </c>
      <c r="G277" s="22" t="s">
        <v>2406</v>
      </c>
      <c r="H277" s="22"/>
      <c r="I277" t="s">
        <v>2403</v>
      </c>
      <c r="K277" s="24">
        <f t="shared" si="5"/>
        <v>0</v>
      </c>
    </row>
    <row r="278" spans="1:11" hidden="1" x14ac:dyDescent="0.3">
      <c r="A278" s="21">
        <v>45089</v>
      </c>
      <c r="B278" t="s">
        <v>133</v>
      </c>
      <c r="C278" s="22"/>
      <c r="D278" s="23">
        <v>135.62</v>
      </c>
      <c r="E278" s="23">
        <v>0</v>
      </c>
      <c r="F278" s="23">
        <v>52443.31</v>
      </c>
      <c r="G278" s="22" t="s">
        <v>2406</v>
      </c>
      <c r="H278" s="22"/>
      <c r="I278" t="s">
        <v>2403</v>
      </c>
      <c r="K278" s="24">
        <f t="shared" si="5"/>
        <v>0</v>
      </c>
    </row>
    <row r="279" spans="1:11" hidden="1" x14ac:dyDescent="0.3">
      <c r="A279" s="21">
        <v>45089</v>
      </c>
      <c r="B279" t="s">
        <v>135</v>
      </c>
      <c r="C279" s="22"/>
      <c r="D279" s="23">
        <v>0</v>
      </c>
      <c r="E279" s="23">
        <v>135.62</v>
      </c>
      <c r="F279" s="23">
        <v>52578.93</v>
      </c>
      <c r="G279" s="22" t="s">
        <v>2406</v>
      </c>
      <c r="H279" s="22"/>
      <c r="I279" t="s">
        <v>2403</v>
      </c>
      <c r="K279" s="24">
        <f t="shared" si="5"/>
        <v>0</v>
      </c>
    </row>
    <row r="280" spans="1:11" hidden="1" x14ac:dyDescent="0.3">
      <c r="A280" s="21">
        <v>45089</v>
      </c>
      <c r="B280" t="s">
        <v>1258</v>
      </c>
      <c r="C280" s="22"/>
      <c r="D280" s="23">
        <v>0</v>
      </c>
      <c r="E280" s="23">
        <v>573.5</v>
      </c>
      <c r="F280" s="23">
        <v>104995.36</v>
      </c>
      <c r="G280" s="22" t="s">
        <v>2409</v>
      </c>
      <c r="H280" s="22"/>
      <c r="I280" t="s">
        <v>2400</v>
      </c>
      <c r="K280" s="24">
        <f t="shared" si="5"/>
        <v>-51842.93</v>
      </c>
    </row>
    <row r="281" spans="1:11" hidden="1" x14ac:dyDescent="0.3">
      <c r="A281" s="21">
        <v>45089</v>
      </c>
      <c r="B281" t="s">
        <v>1259</v>
      </c>
      <c r="C281" s="22" t="s">
        <v>1161</v>
      </c>
      <c r="D281" s="23">
        <v>40</v>
      </c>
      <c r="E281" s="23">
        <v>0</v>
      </c>
      <c r="F281" s="23">
        <v>104955.36</v>
      </c>
      <c r="G281" s="22" t="s">
        <v>2399</v>
      </c>
      <c r="H281" s="22"/>
      <c r="I281" t="s">
        <v>2400</v>
      </c>
      <c r="K281" s="24">
        <f t="shared" si="5"/>
        <v>0</v>
      </c>
    </row>
    <row r="282" spans="1:11" hidden="1" x14ac:dyDescent="0.3">
      <c r="A282" s="21">
        <v>45089</v>
      </c>
      <c r="B282" t="s">
        <v>1260</v>
      </c>
      <c r="C282" s="22" t="s">
        <v>1146</v>
      </c>
      <c r="D282" s="23">
        <v>0</v>
      </c>
      <c r="E282" s="23">
        <v>40</v>
      </c>
      <c r="F282" s="23">
        <v>104995.36</v>
      </c>
      <c r="G282" s="22" t="s">
        <v>2399</v>
      </c>
      <c r="H282" s="22"/>
      <c r="I282" t="s">
        <v>2400</v>
      </c>
      <c r="K282" s="24">
        <f t="shared" si="5"/>
        <v>0</v>
      </c>
    </row>
    <row r="283" spans="1:11" hidden="1" x14ac:dyDescent="0.3">
      <c r="A283" s="21">
        <v>45089</v>
      </c>
      <c r="B283" t="s">
        <v>1261</v>
      </c>
      <c r="C283" s="22" t="s">
        <v>1161</v>
      </c>
      <c r="D283" s="23">
        <v>30</v>
      </c>
      <c r="E283" s="23">
        <v>0</v>
      </c>
      <c r="F283" s="23">
        <v>104965.36</v>
      </c>
      <c r="G283" s="22" t="s">
        <v>2399</v>
      </c>
      <c r="H283" s="22"/>
      <c r="I283" t="s">
        <v>2400</v>
      </c>
      <c r="K283" s="24">
        <f t="shared" si="5"/>
        <v>0</v>
      </c>
    </row>
    <row r="284" spans="1:11" hidden="1" x14ac:dyDescent="0.3">
      <c r="A284" s="21">
        <v>45090</v>
      </c>
      <c r="B284" t="s">
        <v>133</v>
      </c>
      <c r="C284" s="22"/>
      <c r="D284" s="23">
        <v>132.5</v>
      </c>
      <c r="E284" s="23">
        <v>0</v>
      </c>
      <c r="F284" s="23">
        <v>52446.43</v>
      </c>
      <c r="G284" s="22" t="s">
        <v>2406</v>
      </c>
      <c r="H284" s="22"/>
      <c r="I284" t="s">
        <v>2403</v>
      </c>
      <c r="K284" s="24">
        <f t="shared" si="5"/>
        <v>52386.43</v>
      </c>
    </row>
    <row r="285" spans="1:11" hidden="1" x14ac:dyDescent="0.3">
      <c r="A285" s="21">
        <v>45090</v>
      </c>
      <c r="B285" t="s">
        <v>135</v>
      </c>
      <c r="C285" s="22"/>
      <c r="D285" s="23">
        <v>0</v>
      </c>
      <c r="E285" s="23">
        <v>538.99</v>
      </c>
      <c r="F285" s="23">
        <v>52985.42</v>
      </c>
      <c r="G285" s="22" t="s">
        <v>2406</v>
      </c>
      <c r="H285" s="22"/>
      <c r="I285" t="s">
        <v>2403</v>
      </c>
      <c r="K285" s="24">
        <f t="shared" si="5"/>
        <v>0</v>
      </c>
    </row>
    <row r="286" spans="1:11" hidden="1" x14ac:dyDescent="0.3">
      <c r="A286" s="21">
        <v>45090</v>
      </c>
      <c r="B286" t="s">
        <v>1262</v>
      </c>
      <c r="C286" s="22" t="s">
        <v>1161</v>
      </c>
      <c r="D286" s="23">
        <v>20</v>
      </c>
      <c r="E286" s="23">
        <v>0</v>
      </c>
      <c r="F286" s="23">
        <v>104945.36</v>
      </c>
      <c r="G286" s="22" t="s">
        <v>2399</v>
      </c>
      <c r="H286" s="22"/>
      <c r="I286" t="s">
        <v>2400</v>
      </c>
      <c r="K286" s="24">
        <f t="shared" si="5"/>
        <v>-51979.94</v>
      </c>
    </row>
    <row r="287" spans="1:11" hidden="1" x14ac:dyDescent="0.3">
      <c r="A287" s="21">
        <v>45090</v>
      </c>
      <c r="B287" t="s">
        <v>1263</v>
      </c>
      <c r="C287" s="22" t="s">
        <v>1161</v>
      </c>
      <c r="D287" s="23">
        <v>70</v>
      </c>
      <c r="E287" s="23">
        <v>0</v>
      </c>
      <c r="F287" s="23">
        <v>104875.36</v>
      </c>
      <c r="G287" s="22" t="s">
        <v>2399</v>
      </c>
      <c r="H287" s="22"/>
      <c r="I287" t="s">
        <v>2400</v>
      </c>
      <c r="K287" s="24">
        <f t="shared" si="5"/>
        <v>0</v>
      </c>
    </row>
    <row r="288" spans="1:11" hidden="1" x14ac:dyDescent="0.3">
      <c r="A288" s="21">
        <v>45091</v>
      </c>
      <c r="B288" t="s">
        <v>31</v>
      </c>
      <c r="C288" s="22"/>
      <c r="D288" s="23">
        <v>6434</v>
      </c>
      <c r="E288" s="23">
        <v>0</v>
      </c>
      <c r="F288" s="23">
        <v>48395.11</v>
      </c>
      <c r="G288" s="22" t="s">
        <v>2419</v>
      </c>
      <c r="H288" s="22"/>
      <c r="I288" t="s">
        <v>2404</v>
      </c>
      <c r="K288" s="24">
        <f t="shared" si="5"/>
        <v>50046.25</v>
      </c>
    </row>
    <row r="289" spans="1:11" hidden="1" x14ac:dyDescent="0.3">
      <c r="A289" s="21">
        <v>45091</v>
      </c>
      <c r="B289" t="s">
        <v>133</v>
      </c>
      <c r="C289" s="22"/>
      <c r="D289" s="23">
        <v>137.69999999999999</v>
      </c>
      <c r="E289" s="23">
        <v>0</v>
      </c>
      <c r="F289" s="23">
        <v>52847.72</v>
      </c>
      <c r="G289" s="22" t="s">
        <v>2406</v>
      </c>
      <c r="H289" s="22"/>
      <c r="I289" t="s">
        <v>2403</v>
      </c>
      <c r="K289" s="24">
        <f t="shared" si="5"/>
        <v>-4590.3099999999977</v>
      </c>
    </row>
    <row r="290" spans="1:11" hidden="1" x14ac:dyDescent="0.3">
      <c r="A290" s="21">
        <v>45091</v>
      </c>
      <c r="B290" t="s">
        <v>204</v>
      </c>
      <c r="C290" s="22"/>
      <c r="D290" s="23">
        <v>3000</v>
      </c>
      <c r="E290" s="23">
        <v>0</v>
      </c>
      <c r="F290" s="23">
        <v>49847.72</v>
      </c>
      <c r="G290" s="22" t="s">
        <v>2418</v>
      </c>
      <c r="H290" s="22"/>
      <c r="I290" t="s">
        <v>2403</v>
      </c>
      <c r="K290" s="24">
        <f t="shared" si="5"/>
        <v>0</v>
      </c>
    </row>
    <row r="291" spans="1:11" hidden="1" x14ac:dyDescent="0.3">
      <c r="A291" s="21">
        <v>45091</v>
      </c>
      <c r="B291" t="s">
        <v>299</v>
      </c>
      <c r="C291" s="22"/>
      <c r="D291" s="23">
        <v>0</v>
      </c>
      <c r="E291" s="23">
        <v>282.5</v>
      </c>
      <c r="F291" s="23">
        <v>50130.22</v>
      </c>
      <c r="G291" s="22" t="s">
        <v>2409</v>
      </c>
      <c r="H291" s="22"/>
      <c r="I291" t="s">
        <v>2403</v>
      </c>
      <c r="K291" s="24">
        <f t="shared" si="5"/>
        <v>0</v>
      </c>
    </row>
    <row r="292" spans="1:11" hidden="1" x14ac:dyDescent="0.3">
      <c r="A292" s="21">
        <v>45091</v>
      </c>
      <c r="B292" t="s">
        <v>133</v>
      </c>
      <c r="C292" s="22"/>
      <c r="D292" s="23">
        <v>521.11</v>
      </c>
      <c r="E292" s="23">
        <v>0</v>
      </c>
      <c r="F292" s="23">
        <v>49609.11</v>
      </c>
      <c r="G292" s="22" t="s">
        <v>2406</v>
      </c>
      <c r="H292" s="22"/>
      <c r="I292" t="s">
        <v>2403</v>
      </c>
      <c r="K292" s="24">
        <f t="shared" si="5"/>
        <v>0</v>
      </c>
    </row>
    <row r="293" spans="1:11" hidden="1" x14ac:dyDescent="0.3">
      <c r="A293" s="21">
        <v>45091</v>
      </c>
      <c r="B293" t="s">
        <v>133</v>
      </c>
      <c r="C293" s="22"/>
      <c r="D293" s="23">
        <v>265.45</v>
      </c>
      <c r="E293" s="23">
        <v>0</v>
      </c>
      <c r="F293" s="23">
        <v>49343.66</v>
      </c>
      <c r="G293" s="22" t="s">
        <v>2406</v>
      </c>
      <c r="H293" s="22"/>
      <c r="I293" t="s">
        <v>2403</v>
      </c>
      <c r="K293" s="24">
        <f t="shared" si="5"/>
        <v>0</v>
      </c>
    </row>
    <row r="294" spans="1:11" hidden="1" x14ac:dyDescent="0.3">
      <c r="A294" s="21">
        <v>45091</v>
      </c>
      <c r="B294" t="s">
        <v>135</v>
      </c>
      <c r="C294" s="22"/>
      <c r="D294" s="23">
        <v>0</v>
      </c>
      <c r="E294" s="23">
        <v>265.45</v>
      </c>
      <c r="F294" s="23">
        <v>49609.11</v>
      </c>
      <c r="G294" s="22" t="s">
        <v>2406</v>
      </c>
      <c r="H294" s="22"/>
      <c r="I294" t="s">
        <v>2403</v>
      </c>
      <c r="K294" s="24">
        <f t="shared" si="5"/>
        <v>0</v>
      </c>
    </row>
    <row r="295" spans="1:11" hidden="1" x14ac:dyDescent="0.3">
      <c r="A295" s="21">
        <v>45091</v>
      </c>
      <c r="B295" t="s">
        <v>1264</v>
      </c>
      <c r="C295" s="22" t="s">
        <v>1213</v>
      </c>
      <c r="D295" s="23">
        <v>0</v>
      </c>
      <c r="E295" s="23">
        <v>6434</v>
      </c>
      <c r="F295" s="23">
        <v>111309.36</v>
      </c>
      <c r="G295" s="22" t="s">
        <v>2399</v>
      </c>
      <c r="H295" s="22"/>
      <c r="I295" t="s">
        <v>2400</v>
      </c>
      <c r="K295" s="24">
        <f t="shared" si="5"/>
        <v>-55266.25</v>
      </c>
    </row>
    <row r="296" spans="1:11" hidden="1" x14ac:dyDescent="0.3">
      <c r="A296" s="21">
        <v>45091</v>
      </c>
      <c r="B296" t="s">
        <v>1265</v>
      </c>
      <c r="C296" s="22" t="s">
        <v>1148</v>
      </c>
      <c r="D296" s="23">
        <v>200</v>
      </c>
      <c r="E296" s="23">
        <v>0</v>
      </c>
      <c r="F296" s="23">
        <v>111109.36</v>
      </c>
      <c r="G296" s="22" t="s">
        <v>2399</v>
      </c>
      <c r="H296" s="22"/>
      <c r="I296" t="s">
        <v>2400</v>
      </c>
      <c r="K296" s="24">
        <f t="shared" si="5"/>
        <v>0</v>
      </c>
    </row>
    <row r="297" spans="1:11" hidden="1" x14ac:dyDescent="0.3">
      <c r="A297" s="21">
        <v>45091</v>
      </c>
      <c r="B297" t="s">
        <v>1266</v>
      </c>
      <c r="C297" s="22" t="s">
        <v>1213</v>
      </c>
      <c r="D297" s="23">
        <v>0</v>
      </c>
      <c r="E297" s="23">
        <v>100</v>
      </c>
      <c r="F297" s="23">
        <v>111209.36</v>
      </c>
      <c r="G297" s="22" t="s">
        <v>2399</v>
      </c>
      <c r="H297" s="22"/>
      <c r="I297" t="s">
        <v>2400</v>
      </c>
      <c r="K297" s="24">
        <f t="shared" si="5"/>
        <v>0</v>
      </c>
    </row>
    <row r="298" spans="1:11" hidden="1" x14ac:dyDescent="0.3">
      <c r="A298" s="21">
        <v>45091</v>
      </c>
      <c r="B298" t="s">
        <v>1267</v>
      </c>
      <c r="C298" s="22" t="s">
        <v>1148</v>
      </c>
      <c r="D298" s="23">
        <v>75</v>
      </c>
      <c r="E298" s="23">
        <v>0</v>
      </c>
      <c r="F298" s="23">
        <v>111134.36</v>
      </c>
      <c r="G298" s="22" t="s">
        <v>2399</v>
      </c>
      <c r="H298" s="22"/>
      <c r="I298" t="s">
        <v>2400</v>
      </c>
      <c r="K298" s="24">
        <f t="shared" si="5"/>
        <v>0</v>
      </c>
    </row>
    <row r="299" spans="1:11" hidden="1" x14ac:dyDescent="0.3">
      <c r="A299" s="21">
        <v>45092</v>
      </c>
      <c r="B299" t="s">
        <v>154</v>
      </c>
      <c r="C299" s="22"/>
      <c r="D299" s="23">
        <v>2500</v>
      </c>
      <c r="E299" s="23">
        <v>0</v>
      </c>
      <c r="F299" s="23">
        <v>47109.11</v>
      </c>
      <c r="G299" s="22" t="s">
        <v>2413</v>
      </c>
      <c r="H299" s="22"/>
      <c r="I299" t="s">
        <v>2403</v>
      </c>
      <c r="K299" s="24">
        <f t="shared" si="5"/>
        <v>61525.25</v>
      </c>
    </row>
    <row r="300" spans="1:11" hidden="1" x14ac:dyDescent="0.3">
      <c r="A300" s="21">
        <v>45092</v>
      </c>
      <c r="B300" t="s">
        <v>133</v>
      </c>
      <c r="C300" s="22"/>
      <c r="D300" s="23">
        <v>137.44</v>
      </c>
      <c r="E300" s="23">
        <v>0</v>
      </c>
      <c r="F300" s="23">
        <v>46971.67</v>
      </c>
      <c r="G300" s="22" t="s">
        <v>2406</v>
      </c>
      <c r="H300" s="22"/>
      <c r="I300" t="s">
        <v>2403</v>
      </c>
      <c r="K300" s="24">
        <f t="shared" si="5"/>
        <v>0</v>
      </c>
    </row>
    <row r="301" spans="1:11" hidden="1" x14ac:dyDescent="0.3">
      <c r="A301" s="21">
        <v>45092</v>
      </c>
      <c r="B301" t="s">
        <v>133</v>
      </c>
      <c r="C301" s="22"/>
      <c r="D301" s="23">
        <v>1804.9</v>
      </c>
      <c r="E301" s="23">
        <v>0</v>
      </c>
      <c r="F301" s="23">
        <v>45166.77</v>
      </c>
      <c r="G301" s="22" t="s">
        <v>2406</v>
      </c>
      <c r="H301" s="22"/>
      <c r="I301" t="s">
        <v>2403</v>
      </c>
      <c r="K301" s="24">
        <f t="shared" si="5"/>
        <v>0</v>
      </c>
    </row>
    <row r="302" spans="1:11" hidden="1" x14ac:dyDescent="0.3">
      <c r="A302" s="21">
        <v>45093</v>
      </c>
      <c r="B302" t="s">
        <v>307</v>
      </c>
      <c r="C302" s="22"/>
      <c r="D302" s="23">
        <v>495.6</v>
      </c>
      <c r="E302" s="23">
        <v>0</v>
      </c>
      <c r="F302" s="23">
        <v>44671.17</v>
      </c>
      <c r="G302" s="22" t="s">
        <v>2410</v>
      </c>
      <c r="H302" s="22"/>
      <c r="I302" t="s">
        <v>2403</v>
      </c>
      <c r="K302" s="24">
        <f t="shared" si="5"/>
        <v>0</v>
      </c>
    </row>
    <row r="303" spans="1:11" hidden="1" x14ac:dyDescent="0.3">
      <c r="A303" s="21">
        <v>45093</v>
      </c>
      <c r="B303" t="s">
        <v>133</v>
      </c>
      <c r="C303" s="22"/>
      <c r="D303" s="23">
        <v>136.55000000000001</v>
      </c>
      <c r="E303" s="23">
        <v>0</v>
      </c>
      <c r="F303" s="23">
        <v>44534.62</v>
      </c>
      <c r="G303" s="22" t="s">
        <v>2406</v>
      </c>
      <c r="H303" s="22"/>
      <c r="I303" t="s">
        <v>2403</v>
      </c>
      <c r="K303" s="24">
        <f t="shared" si="5"/>
        <v>0</v>
      </c>
    </row>
    <row r="304" spans="1:11" hidden="1" x14ac:dyDescent="0.3">
      <c r="A304" s="21">
        <v>45093</v>
      </c>
      <c r="B304" t="s">
        <v>309</v>
      </c>
      <c r="C304" s="22"/>
      <c r="D304" s="23">
        <v>0</v>
      </c>
      <c r="E304" s="23">
        <v>100</v>
      </c>
      <c r="F304" s="23">
        <v>44634.62</v>
      </c>
      <c r="G304" s="22" t="s">
        <v>2409</v>
      </c>
      <c r="H304" s="22"/>
      <c r="I304" t="s">
        <v>2403</v>
      </c>
      <c r="K304" s="24">
        <f t="shared" si="5"/>
        <v>0</v>
      </c>
    </row>
    <row r="305" spans="1:11" hidden="1" x14ac:dyDescent="0.3">
      <c r="A305" s="21">
        <v>45093</v>
      </c>
      <c r="B305" t="s">
        <v>135</v>
      </c>
      <c r="C305" s="22"/>
      <c r="D305" s="23">
        <v>0</v>
      </c>
      <c r="E305" s="23">
        <v>2168.38</v>
      </c>
      <c r="F305" s="23">
        <v>36939.550000000003</v>
      </c>
      <c r="G305" s="22" t="s">
        <v>2406</v>
      </c>
      <c r="H305" s="22"/>
      <c r="I305" t="s">
        <v>2403</v>
      </c>
      <c r="K305" s="24">
        <f t="shared" si="5"/>
        <v>9863.4499999999971</v>
      </c>
    </row>
    <row r="306" spans="1:11" hidden="1" x14ac:dyDescent="0.3">
      <c r="A306" s="21">
        <v>45093</v>
      </c>
      <c r="B306" t="s">
        <v>1268</v>
      </c>
      <c r="C306" s="22" t="s">
        <v>1154</v>
      </c>
      <c r="D306" s="23">
        <v>40</v>
      </c>
      <c r="E306" s="23">
        <v>0</v>
      </c>
      <c r="F306" s="23">
        <v>111094.36</v>
      </c>
      <c r="G306" s="22" t="s">
        <v>2399</v>
      </c>
      <c r="H306" s="22"/>
      <c r="I306" t="s">
        <v>2400</v>
      </c>
      <c r="K306" s="24">
        <f t="shared" si="5"/>
        <v>-74194.81</v>
      </c>
    </row>
    <row r="307" spans="1:11" hidden="1" x14ac:dyDescent="0.3">
      <c r="A307" s="21">
        <v>45094</v>
      </c>
      <c r="B307" t="s">
        <v>133</v>
      </c>
      <c r="C307" s="22"/>
      <c r="D307" s="23">
        <v>7695.07</v>
      </c>
      <c r="E307" s="23">
        <v>0</v>
      </c>
      <c r="F307" s="23">
        <v>36939.550000000003</v>
      </c>
      <c r="G307" s="22" t="s">
        <v>2406</v>
      </c>
      <c r="H307" s="22"/>
      <c r="I307" t="s">
        <v>2403</v>
      </c>
      <c r="K307" s="24">
        <f t="shared" si="5"/>
        <v>66459.740000000005</v>
      </c>
    </row>
    <row r="308" spans="1:11" hidden="1" x14ac:dyDescent="0.3">
      <c r="A308" s="21">
        <v>45094</v>
      </c>
      <c r="B308" t="s">
        <v>133</v>
      </c>
      <c r="C308" s="22"/>
      <c r="D308" s="23">
        <v>2168.38</v>
      </c>
      <c r="E308" s="23">
        <v>0</v>
      </c>
      <c r="F308" s="23">
        <v>34771.17</v>
      </c>
      <c r="G308" s="22" t="s">
        <v>2406</v>
      </c>
      <c r="H308" s="22"/>
      <c r="I308" t="s">
        <v>2403</v>
      </c>
      <c r="K308" s="24">
        <f t="shared" si="5"/>
        <v>0</v>
      </c>
    </row>
    <row r="309" spans="1:11" hidden="1" x14ac:dyDescent="0.3">
      <c r="A309" s="21">
        <v>45094</v>
      </c>
      <c r="B309" t="s">
        <v>1269</v>
      </c>
      <c r="C309" s="22" t="s">
        <v>1154</v>
      </c>
      <c r="D309" s="23">
        <v>10</v>
      </c>
      <c r="E309" s="23">
        <v>0</v>
      </c>
      <c r="F309" s="23">
        <v>111084.36</v>
      </c>
      <c r="G309" s="22" t="s">
        <v>2399</v>
      </c>
      <c r="H309" s="22"/>
      <c r="I309" t="s">
        <v>2400</v>
      </c>
      <c r="K309" s="24">
        <f t="shared" si="5"/>
        <v>-76323.19</v>
      </c>
    </row>
    <row r="310" spans="1:11" hidden="1" x14ac:dyDescent="0.3">
      <c r="A310" s="21">
        <v>45094</v>
      </c>
      <c r="B310" t="s">
        <v>1270</v>
      </c>
      <c r="C310" s="22" t="s">
        <v>1154</v>
      </c>
      <c r="D310" s="23">
        <v>180</v>
      </c>
      <c r="E310" s="23">
        <v>0</v>
      </c>
      <c r="F310" s="23">
        <v>110904.36</v>
      </c>
      <c r="G310" s="22" t="s">
        <v>2399</v>
      </c>
      <c r="H310" s="22"/>
      <c r="I310" t="s">
        <v>2400</v>
      </c>
      <c r="K310" s="24">
        <f t="shared" si="5"/>
        <v>0</v>
      </c>
    </row>
    <row r="311" spans="1:11" hidden="1" x14ac:dyDescent="0.3">
      <c r="A311" s="21">
        <v>45095</v>
      </c>
      <c r="B311" t="s">
        <v>1271</v>
      </c>
      <c r="C311" s="22" t="s">
        <v>1143</v>
      </c>
      <c r="D311" s="23">
        <v>455</v>
      </c>
      <c r="E311" s="23">
        <v>0</v>
      </c>
      <c r="F311" s="23">
        <v>110449.36</v>
      </c>
      <c r="G311" s="22" t="s">
        <v>2399</v>
      </c>
      <c r="H311" s="22"/>
      <c r="I311" t="s">
        <v>2400</v>
      </c>
      <c r="K311" s="24">
        <f t="shared" si="5"/>
        <v>0</v>
      </c>
    </row>
    <row r="312" spans="1:11" hidden="1" x14ac:dyDescent="0.3">
      <c r="A312" s="21">
        <v>45095</v>
      </c>
      <c r="B312" t="s">
        <v>1272</v>
      </c>
      <c r="C312" s="22" t="s">
        <v>1143</v>
      </c>
      <c r="D312" s="23">
        <v>80</v>
      </c>
      <c r="E312" s="23">
        <v>0</v>
      </c>
      <c r="F312" s="23">
        <v>110369.36</v>
      </c>
      <c r="G312" s="22" t="s">
        <v>2399</v>
      </c>
      <c r="H312" s="22"/>
      <c r="I312" t="s">
        <v>2400</v>
      </c>
      <c r="K312" s="24">
        <f t="shared" si="5"/>
        <v>0</v>
      </c>
    </row>
    <row r="313" spans="1:11" hidden="1" x14ac:dyDescent="0.3">
      <c r="A313" s="21">
        <v>45095</v>
      </c>
      <c r="B313" t="s">
        <v>1273</v>
      </c>
      <c r="C313" s="22" t="s">
        <v>1143</v>
      </c>
      <c r="D313" s="23">
        <v>40</v>
      </c>
      <c r="E313" s="23">
        <v>0</v>
      </c>
      <c r="F313" s="23">
        <v>110329.36</v>
      </c>
      <c r="G313" s="22" t="s">
        <v>2399</v>
      </c>
      <c r="H313" s="22"/>
      <c r="I313" t="s">
        <v>2400</v>
      </c>
      <c r="K313" s="24">
        <f t="shared" si="5"/>
        <v>0</v>
      </c>
    </row>
    <row r="314" spans="1:11" hidden="1" x14ac:dyDescent="0.3">
      <c r="A314" s="21">
        <v>45096</v>
      </c>
      <c r="B314" t="s">
        <v>133</v>
      </c>
      <c r="C314" s="22"/>
      <c r="D314" s="23">
        <v>398.25</v>
      </c>
      <c r="E314" s="23">
        <v>0</v>
      </c>
      <c r="F314" s="23">
        <v>36541.300000000003</v>
      </c>
      <c r="G314" s="22" t="s">
        <v>2406</v>
      </c>
      <c r="H314" s="22"/>
      <c r="I314" t="s">
        <v>2403</v>
      </c>
      <c r="K314" s="24">
        <f t="shared" si="5"/>
        <v>73389.81</v>
      </c>
    </row>
    <row r="315" spans="1:11" hidden="1" x14ac:dyDescent="0.3">
      <c r="A315" s="21">
        <v>45096</v>
      </c>
      <c r="B315" t="s">
        <v>133</v>
      </c>
      <c r="C315" s="22"/>
      <c r="D315" s="23">
        <v>2160.91</v>
      </c>
      <c r="E315" s="23">
        <v>0</v>
      </c>
      <c r="F315" s="23">
        <v>34380.39</v>
      </c>
      <c r="G315" s="22" t="s">
        <v>2406</v>
      </c>
      <c r="H315" s="22"/>
      <c r="I315" t="s">
        <v>2403</v>
      </c>
      <c r="K315" s="24">
        <f t="shared" si="5"/>
        <v>0</v>
      </c>
    </row>
    <row r="316" spans="1:11" hidden="1" x14ac:dyDescent="0.3">
      <c r="A316" s="21">
        <v>45096</v>
      </c>
      <c r="B316" t="s">
        <v>133</v>
      </c>
      <c r="C316" s="22"/>
      <c r="D316" s="23">
        <v>635.09</v>
      </c>
      <c r="E316" s="23">
        <v>0</v>
      </c>
      <c r="F316" s="23">
        <v>33745.300000000003</v>
      </c>
      <c r="G316" s="22" t="s">
        <v>2406</v>
      </c>
      <c r="H316" s="22"/>
      <c r="I316" t="s">
        <v>2403</v>
      </c>
      <c r="K316" s="24">
        <f t="shared" si="5"/>
        <v>0</v>
      </c>
    </row>
    <row r="317" spans="1:11" hidden="1" x14ac:dyDescent="0.3">
      <c r="A317" s="21">
        <v>45096</v>
      </c>
      <c r="B317" t="s">
        <v>135</v>
      </c>
      <c r="C317" s="22"/>
      <c r="D317" s="23">
        <v>0</v>
      </c>
      <c r="E317" s="23">
        <v>635.09</v>
      </c>
      <c r="F317" s="23">
        <v>34380.39</v>
      </c>
      <c r="G317" s="22" t="s">
        <v>2406</v>
      </c>
      <c r="H317" s="22"/>
      <c r="I317" t="s">
        <v>2403</v>
      </c>
      <c r="K317" s="24">
        <f t="shared" si="5"/>
        <v>0</v>
      </c>
    </row>
    <row r="318" spans="1:11" hidden="1" x14ac:dyDescent="0.3">
      <c r="A318" s="21">
        <v>45096</v>
      </c>
      <c r="B318" t="s">
        <v>1274</v>
      </c>
      <c r="C318" s="22" t="s">
        <v>1191</v>
      </c>
      <c r="D318" s="23">
        <v>40</v>
      </c>
      <c r="E318" s="23">
        <v>0</v>
      </c>
      <c r="F318" s="23">
        <v>110289.36</v>
      </c>
      <c r="G318" s="22" t="s">
        <v>2399</v>
      </c>
      <c r="H318" s="22"/>
      <c r="I318" t="s">
        <v>2400</v>
      </c>
      <c r="K318" s="24">
        <f t="shared" si="5"/>
        <v>-75948.97</v>
      </c>
    </row>
    <row r="319" spans="1:11" hidden="1" x14ac:dyDescent="0.3">
      <c r="A319" s="21">
        <v>45096</v>
      </c>
      <c r="B319" t="s">
        <v>1275</v>
      </c>
      <c r="C319" s="22" t="s">
        <v>1191</v>
      </c>
      <c r="D319" s="23">
        <v>30</v>
      </c>
      <c r="E319" s="23">
        <v>0</v>
      </c>
      <c r="F319" s="23">
        <v>110259.36</v>
      </c>
      <c r="G319" s="22" t="s">
        <v>2399</v>
      </c>
      <c r="H319" s="22"/>
      <c r="I319" t="s">
        <v>2400</v>
      </c>
      <c r="K319" s="24">
        <f t="shared" si="5"/>
        <v>0</v>
      </c>
    </row>
    <row r="320" spans="1:11" hidden="1" x14ac:dyDescent="0.3">
      <c r="A320" s="21">
        <v>45097</v>
      </c>
      <c r="B320" t="s">
        <v>133</v>
      </c>
      <c r="C320" s="22"/>
      <c r="D320" s="23">
        <v>136.41</v>
      </c>
      <c r="E320" s="23">
        <v>0</v>
      </c>
      <c r="F320" s="23">
        <v>34243.980000000003</v>
      </c>
      <c r="G320" s="22" t="s">
        <v>2406</v>
      </c>
      <c r="H320" s="22"/>
      <c r="I320" t="s">
        <v>2403</v>
      </c>
      <c r="K320" s="24">
        <f t="shared" si="5"/>
        <v>75878.97</v>
      </c>
    </row>
    <row r="321" spans="1:11" hidden="1" x14ac:dyDescent="0.3">
      <c r="A321" s="21">
        <v>45097</v>
      </c>
      <c r="B321" t="s">
        <v>133</v>
      </c>
      <c r="C321" s="22"/>
      <c r="D321" s="23">
        <v>12062.8</v>
      </c>
      <c r="E321" s="23">
        <v>0</v>
      </c>
      <c r="F321" s="23">
        <v>22181.18</v>
      </c>
      <c r="G321" s="22" t="s">
        <v>2406</v>
      </c>
      <c r="H321" s="22"/>
      <c r="I321" t="s">
        <v>2403</v>
      </c>
      <c r="K321" s="24">
        <f t="shared" si="5"/>
        <v>0</v>
      </c>
    </row>
    <row r="322" spans="1:11" hidden="1" x14ac:dyDescent="0.3">
      <c r="A322" s="21">
        <v>45097</v>
      </c>
      <c r="B322" t="s">
        <v>133</v>
      </c>
      <c r="C322" s="22"/>
      <c r="D322" s="23">
        <v>2800.79</v>
      </c>
      <c r="E322" s="23">
        <v>0</v>
      </c>
      <c r="F322" s="23">
        <v>19380.39</v>
      </c>
      <c r="G322" s="22" t="s">
        <v>2406</v>
      </c>
      <c r="H322" s="22"/>
      <c r="I322" t="s">
        <v>2403</v>
      </c>
      <c r="K322" s="24">
        <f t="shared" si="5"/>
        <v>0</v>
      </c>
    </row>
    <row r="323" spans="1:11" hidden="1" x14ac:dyDescent="0.3">
      <c r="A323" s="21">
        <v>45097</v>
      </c>
      <c r="B323" t="s">
        <v>135</v>
      </c>
      <c r="C323" s="22"/>
      <c r="D323" s="23">
        <v>0</v>
      </c>
      <c r="E323" s="23">
        <v>2800.79</v>
      </c>
      <c r="F323" s="23">
        <v>22181.18</v>
      </c>
      <c r="G323" s="22" t="s">
        <v>2406</v>
      </c>
      <c r="H323" s="22"/>
      <c r="I323" t="s">
        <v>2403</v>
      </c>
      <c r="K323" s="24">
        <f t="shared" si="5"/>
        <v>0</v>
      </c>
    </row>
    <row r="324" spans="1:11" hidden="1" x14ac:dyDescent="0.3">
      <c r="A324" s="21">
        <v>45098</v>
      </c>
      <c r="B324" t="s">
        <v>133</v>
      </c>
      <c r="C324" s="22"/>
      <c r="D324" s="23">
        <v>135.03</v>
      </c>
      <c r="E324" s="23">
        <v>0</v>
      </c>
      <c r="F324" s="23">
        <v>22046.15</v>
      </c>
      <c r="G324" s="22" t="s">
        <v>2406</v>
      </c>
      <c r="H324" s="22"/>
      <c r="I324" t="s">
        <v>2403</v>
      </c>
      <c r="K324" s="24">
        <f t="shared" si="5"/>
        <v>0</v>
      </c>
    </row>
    <row r="325" spans="1:11" hidden="1" x14ac:dyDescent="0.3">
      <c r="A325" s="21">
        <v>45098</v>
      </c>
      <c r="B325" t="s">
        <v>133</v>
      </c>
      <c r="C325" s="22"/>
      <c r="D325" s="23">
        <v>6559.57</v>
      </c>
      <c r="E325" s="23">
        <v>0</v>
      </c>
      <c r="F325" s="23">
        <v>15486.58</v>
      </c>
      <c r="G325" s="22" t="s">
        <v>2406</v>
      </c>
      <c r="H325" s="22"/>
      <c r="I325" t="s">
        <v>2403</v>
      </c>
      <c r="K325" s="24">
        <f t="shared" si="5"/>
        <v>0</v>
      </c>
    </row>
    <row r="326" spans="1:11" hidden="1" x14ac:dyDescent="0.3">
      <c r="A326" s="21">
        <v>45098</v>
      </c>
      <c r="B326" t="s">
        <v>133</v>
      </c>
      <c r="C326" s="22"/>
      <c r="D326" s="23">
        <v>7428.55</v>
      </c>
      <c r="E326" s="23">
        <v>0</v>
      </c>
      <c r="F326" s="23">
        <v>8058.03</v>
      </c>
      <c r="G326" s="22" t="s">
        <v>2406</v>
      </c>
      <c r="H326" s="22"/>
      <c r="I326" t="s">
        <v>2403</v>
      </c>
      <c r="K326" s="24">
        <f t="shared" ref="K326:K389" si="6">F325-D326+E326-F326</f>
        <v>0</v>
      </c>
    </row>
    <row r="327" spans="1:11" hidden="1" x14ac:dyDescent="0.3">
      <c r="A327" s="21">
        <v>45098</v>
      </c>
      <c r="B327" t="s">
        <v>133</v>
      </c>
      <c r="C327" s="22"/>
      <c r="D327" s="23">
        <v>273.58999999999997</v>
      </c>
      <c r="E327" s="23">
        <v>0</v>
      </c>
      <c r="F327" s="23">
        <v>7784.44</v>
      </c>
      <c r="G327" s="22" t="s">
        <v>2406</v>
      </c>
      <c r="H327" s="22"/>
      <c r="I327" t="s">
        <v>2403</v>
      </c>
      <c r="K327" s="24">
        <f t="shared" si="6"/>
        <v>0</v>
      </c>
    </row>
    <row r="328" spans="1:11" hidden="1" x14ac:dyDescent="0.3">
      <c r="A328" s="21">
        <v>45098</v>
      </c>
      <c r="B328" t="s">
        <v>135</v>
      </c>
      <c r="C328" s="22"/>
      <c r="D328" s="23">
        <v>0</v>
      </c>
      <c r="E328" s="23">
        <v>273.58999999999997</v>
      </c>
      <c r="F328" s="23">
        <v>8058.03</v>
      </c>
      <c r="G328" s="22" t="s">
        <v>2406</v>
      </c>
      <c r="H328" s="22"/>
      <c r="I328" t="s">
        <v>2403</v>
      </c>
      <c r="K328" s="24">
        <f t="shared" si="6"/>
        <v>0</v>
      </c>
    </row>
    <row r="329" spans="1:11" hidden="1" x14ac:dyDescent="0.3">
      <c r="A329" s="21">
        <v>45098</v>
      </c>
      <c r="B329" t="s">
        <v>1276</v>
      </c>
      <c r="C329" s="22" t="s">
        <v>1277</v>
      </c>
      <c r="D329" s="23">
        <v>472.12</v>
      </c>
      <c r="E329" s="23">
        <v>0</v>
      </c>
      <c r="F329" s="23">
        <v>109787.24</v>
      </c>
      <c r="G329" s="22" t="s">
        <v>2419</v>
      </c>
      <c r="H329" s="22"/>
      <c r="I329" t="s">
        <v>2400</v>
      </c>
      <c r="K329" s="24">
        <f t="shared" si="6"/>
        <v>-102201.33</v>
      </c>
    </row>
    <row r="330" spans="1:11" hidden="1" x14ac:dyDescent="0.3">
      <c r="A330" s="21">
        <v>45098</v>
      </c>
      <c r="B330" t="s">
        <v>1278</v>
      </c>
      <c r="C330" s="22" t="s">
        <v>1148</v>
      </c>
      <c r="D330" s="23">
        <v>70</v>
      </c>
      <c r="E330" s="23">
        <v>0</v>
      </c>
      <c r="F330" s="23">
        <v>109717.24</v>
      </c>
      <c r="G330" s="22" t="s">
        <v>2399</v>
      </c>
      <c r="H330" s="22"/>
      <c r="I330" t="s">
        <v>2400</v>
      </c>
      <c r="K330" s="24">
        <f t="shared" si="6"/>
        <v>0</v>
      </c>
    </row>
    <row r="331" spans="1:11" hidden="1" x14ac:dyDescent="0.3">
      <c r="A331" s="21">
        <v>45098</v>
      </c>
      <c r="B331" t="s">
        <v>1279</v>
      </c>
      <c r="C331" s="22" t="s">
        <v>1148</v>
      </c>
      <c r="D331" s="23">
        <v>30</v>
      </c>
      <c r="E331" s="23">
        <v>0</v>
      </c>
      <c r="F331" s="23">
        <v>109687.24</v>
      </c>
      <c r="G331" s="22" t="s">
        <v>2399</v>
      </c>
      <c r="H331" s="22"/>
      <c r="I331" t="s">
        <v>2400</v>
      </c>
      <c r="K331" s="24">
        <f t="shared" si="6"/>
        <v>0</v>
      </c>
    </row>
    <row r="332" spans="1:11" hidden="1" x14ac:dyDescent="0.3">
      <c r="A332" s="21">
        <v>45099</v>
      </c>
      <c r="B332" t="s">
        <v>133</v>
      </c>
      <c r="C332" s="22"/>
      <c r="D332" s="23">
        <v>131.37</v>
      </c>
      <c r="E332" s="23">
        <v>0</v>
      </c>
      <c r="F332" s="23">
        <v>7926.66</v>
      </c>
      <c r="G332" s="22" t="s">
        <v>2406</v>
      </c>
      <c r="H332" s="22"/>
      <c r="I332" t="s">
        <v>2403</v>
      </c>
      <c r="K332" s="24">
        <f t="shared" si="6"/>
        <v>101629.21</v>
      </c>
    </row>
    <row r="333" spans="1:11" hidden="1" x14ac:dyDescent="0.3">
      <c r="A333" s="21">
        <v>45099</v>
      </c>
      <c r="B333" t="s">
        <v>133</v>
      </c>
      <c r="C333" s="22"/>
      <c r="D333" s="23">
        <v>508.31</v>
      </c>
      <c r="E333" s="23">
        <v>0</v>
      </c>
      <c r="F333" s="23">
        <v>7418.35</v>
      </c>
      <c r="G333" s="22" t="s">
        <v>2406</v>
      </c>
      <c r="H333" s="22"/>
      <c r="I333" t="s">
        <v>2403</v>
      </c>
      <c r="K333" s="24">
        <f t="shared" si="6"/>
        <v>0</v>
      </c>
    </row>
    <row r="334" spans="1:11" hidden="1" x14ac:dyDescent="0.3">
      <c r="A334" s="21">
        <v>45099</v>
      </c>
      <c r="B334" t="s">
        <v>1539</v>
      </c>
      <c r="C334" s="22" t="s">
        <v>1536</v>
      </c>
      <c r="D334" s="23">
        <v>0</v>
      </c>
      <c r="E334" s="23">
        <v>190</v>
      </c>
      <c r="F334" s="23">
        <v>200.86</v>
      </c>
      <c r="G334" s="22" t="s">
        <v>2399</v>
      </c>
      <c r="H334" s="22"/>
      <c r="I334" t="s">
        <v>2401</v>
      </c>
      <c r="K334" s="24">
        <f t="shared" si="6"/>
        <v>7407.4900000000007</v>
      </c>
    </row>
    <row r="335" spans="1:11" hidden="1" x14ac:dyDescent="0.3">
      <c r="A335" s="21">
        <v>45099</v>
      </c>
      <c r="B335" t="s">
        <v>1541</v>
      </c>
      <c r="C335" s="22" t="s">
        <v>1536</v>
      </c>
      <c r="D335" s="23">
        <v>199</v>
      </c>
      <c r="E335" s="23">
        <v>0</v>
      </c>
      <c r="F335" s="23">
        <v>1.86</v>
      </c>
      <c r="G335" s="22" t="s">
        <v>2399</v>
      </c>
      <c r="H335" s="22"/>
      <c r="I335" t="s">
        <v>2401</v>
      </c>
      <c r="K335" s="24">
        <f t="shared" si="6"/>
        <v>1.354472090042691E-14</v>
      </c>
    </row>
    <row r="336" spans="1:11" hidden="1" x14ac:dyDescent="0.3">
      <c r="A336" s="21">
        <v>45099</v>
      </c>
      <c r="B336" t="s">
        <v>1280</v>
      </c>
      <c r="C336" s="22" t="s">
        <v>1152</v>
      </c>
      <c r="D336" s="23">
        <v>210</v>
      </c>
      <c r="E336" s="23">
        <v>0</v>
      </c>
      <c r="F336" s="23">
        <v>109477.24</v>
      </c>
      <c r="G336" s="22" t="s">
        <v>2399</v>
      </c>
      <c r="H336" s="22"/>
      <c r="I336" t="s">
        <v>2400</v>
      </c>
      <c r="K336" s="24">
        <f t="shared" si="6"/>
        <v>-109685.38</v>
      </c>
    </row>
    <row r="337" spans="1:11" hidden="1" x14ac:dyDescent="0.3">
      <c r="A337" s="21">
        <v>45099</v>
      </c>
      <c r="B337" t="s">
        <v>1281</v>
      </c>
      <c r="C337" s="22" t="s">
        <v>1172</v>
      </c>
      <c r="D337" s="23">
        <v>190</v>
      </c>
      <c r="E337" s="23">
        <v>0</v>
      </c>
      <c r="F337" s="23">
        <v>109287.24</v>
      </c>
      <c r="G337" s="22" t="s">
        <v>2399</v>
      </c>
      <c r="H337" s="22"/>
      <c r="I337" t="s">
        <v>2400</v>
      </c>
      <c r="K337" s="24">
        <f t="shared" si="6"/>
        <v>0</v>
      </c>
    </row>
    <row r="338" spans="1:11" hidden="1" x14ac:dyDescent="0.3">
      <c r="A338" s="21">
        <v>45100</v>
      </c>
      <c r="B338" t="s">
        <v>133</v>
      </c>
      <c r="C338" s="22"/>
      <c r="D338" s="23">
        <v>131.12</v>
      </c>
      <c r="E338" s="23">
        <v>0</v>
      </c>
      <c r="F338" s="23">
        <v>7287.23</v>
      </c>
      <c r="G338" s="22" t="s">
        <v>2406</v>
      </c>
      <c r="H338" s="22"/>
      <c r="I338" t="s">
        <v>2403</v>
      </c>
      <c r="K338" s="24">
        <f t="shared" si="6"/>
        <v>101868.89000000001</v>
      </c>
    </row>
    <row r="339" spans="1:11" hidden="1" x14ac:dyDescent="0.3">
      <c r="A339" s="21">
        <v>45100</v>
      </c>
      <c r="B339" t="s">
        <v>133</v>
      </c>
      <c r="C339" s="22"/>
      <c r="D339" s="23">
        <v>479.8</v>
      </c>
      <c r="E339" s="23">
        <v>0</v>
      </c>
      <c r="F339" s="23">
        <v>6807.43</v>
      </c>
      <c r="G339" s="22" t="s">
        <v>2406</v>
      </c>
      <c r="H339" s="22"/>
      <c r="I339" t="s">
        <v>2403</v>
      </c>
      <c r="K339" s="24">
        <f t="shared" si="6"/>
        <v>0</v>
      </c>
    </row>
    <row r="340" spans="1:11" hidden="1" x14ac:dyDescent="0.3">
      <c r="A340" s="21">
        <v>45100</v>
      </c>
      <c r="B340" t="s">
        <v>1282</v>
      </c>
      <c r="C340" s="22" t="s">
        <v>1172</v>
      </c>
      <c r="D340" s="23">
        <v>20</v>
      </c>
      <c r="E340" s="23">
        <v>0</v>
      </c>
      <c r="F340" s="23">
        <v>109267.24</v>
      </c>
      <c r="G340" s="22" t="s">
        <v>2399</v>
      </c>
      <c r="H340" s="22"/>
      <c r="I340" t="s">
        <v>2400</v>
      </c>
      <c r="K340" s="24">
        <f t="shared" si="6"/>
        <v>-102479.81</v>
      </c>
    </row>
    <row r="341" spans="1:11" hidden="1" x14ac:dyDescent="0.3">
      <c r="A341" s="21">
        <v>45102</v>
      </c>
      <c r="B341" t="s">
        <v>1283</v>
      </c>
      <c r="C341" s="22" t="s">
        <v>1143</v>
      </c>
      <c r="D341" s="23">
        <v>1200</v>
      </c>
      <c r="E341" s="23">
        <v>0</v>
      </c>
      <c r="F341" s="23">
        <v>108067.24</v>
      </c>
      <c r="G341" s="22" t="s">
        <v>2399</v>
      </c>
      <c r="H341" s="22"/>
      <c r="I341" t="s">
        <v>2400</v>
      </c>
      <c r="K341" s="24">
        <f t="shared" si="6"/>
        <v>0</v>
      </c>
    </row>
    <row r="342" spans="1:11" hidden="1" x14ac:dyDescent="0.3">
      <c r="A342" s="21">
        <v>45102</v>
      </c>
      <c r="B342" t="s">
        <v>1284</v>
      </c>
      <c r="C342" s="22" t="s">
        <v>1143</v>
      </c>
      <c r="D342" s="23">
        <v>40</v>
      </c>
      <c r="E342" s="23">
        <v>0</v>
      </c>
      <c r="F342" s="23">
        <v>108027.24</v>
      </c>
      <c r="G342" s="22" t="s">
        <v>2399</v>
      </c>
      <c r="H342" s="22"/>
      <c r="I342" t="s">
        <v>2400</v>
      </c>
      <c r="K342" s="24">
        <f t="shared" si="6"/>
        <v>0</v>
      </c>
    </row>
    <row r="343" spans="1:11" hidden="1" x14ac:dyDescent="0.3">
      <c r="A343" s="21">
        <v>45102</v>
      </c>
      <c r="B343" t="s">
        <v>1285</v>
      </c>
      <c r="C343" s="22" t="s">
        <v>1143</v>
      </c>
      <c r="D343" s="23">
        <v>459</v>
      </c>
      <c r="E343" s="23">
        <v>0</v>
      </c>
      <c r="F343" s="23">
        <v>107568.24</v>
      </c>
      <c r="G343" s="22" t="s">
        <v>2399</v>
      </c>
      <c r="H343" s="22"/>
      <c r="I343" t="s">
        <v>2400</v>
      </c>
      <c r="K343" s="24">
        <f t="shared" si="6"/>
        <v>0</v>
      </c>
    </row>
    <row r="344" spans="1:11" hidden="1" x14ac:dyDescent="0.3">
      <c r="A344" s="21">
        <v>45102</v>
      </c>
      <c r="B344" t="s">
        <v>1085</v>
      </c>
      <c r="C344" s="22"/>
      <c r="D344" s="23">
        <v>0</v>
      </c>
      <c r="E344" s="23">
        <v>704</v>
      </c>
      <c r="F344" s="23">
        <v>108272.24</v>
      </c>
      <c r="G344" s="22" t="s">
        <v>2423</v>
      </c>
      <c r="H344" s="22"/>
      <c r="I344" t="s">
        <v>2400</v>
      </c>
      <c r="K344" s="24">
        <f t="shared" si="6"/>
        <v>0</v>
      </c>
    </row>
    <row r="345" spans="1:11" hidden="1" x14ac:dyDescent="0.3">
      <c r="A345" s="21">
        <v>45103</v>
      </c>
      <c r="B345" t="s">
        <v>154</v>
      </c>
      <c r="C345" s="22"/>
      <c r="D345" s="23">
        <v>2500</v>
      </c>
      <c r="E345" s="23">
        <v>0</v>
      </c>
      <c r="F345" s="23">
        <v>4307.43</v>
      </c>
      <c r="G345" s="22" t="s">
        <v>2413</v>
      </c>
      <c r="H345" s="22"/>
      <c r="I345" t="s">
        <v>2403</v>
      </c>
      <c r="K345" s="24">
        <f t="shared" si="6"/>
        <v>101464.81</v>
      </c>
    </row>
    <row r="346" spans="1:11" hidden="1" x14ac:dyDescent="0.3">
      <c r="A346" s="21">
        <v>45103</v>
      </c>
      <c r="B346" t="s">
        <v>133</v>
      </c>
      <c r="C346" s="22"/>
      <c r="D346" s="23">
        <v>392.64</v>
      </c>
      <c r="E346" s="23">
        <v>0</v>
      </c>
      <c r="F346" s="23">
        <v>3914.79</v>
      </c>
      <c r="G346" s="22" t="s">
        <v>2406</v>
      </c>
      <c r="H346" s="22"/>
      <c r="I346" t="s">
        <v>2403</v>
      </c>
      <c r="K346" s="24">
        <f t="shared" si="6"/>
        <v>0</v>
      </c>
    </row>
    <row r="347" spans="1:11" hidden="1" x14ac:dyDescent="0.3">
      <c r="A347" s="21">
        <v>45103</v>
      </c>
      <c r="B347" t="s">
        <v>133</v>
      </c>
      <c r="C347" s="22"/>
      <c r="D347" s="23">
        <v>457.83</v>
      </c>
      <c r="E347" s="23">
        <v>0</v>
      </c>
      <c r="F347" s="23">
        <v>3456.96</v>
      </c>
      <c r="G347" s="22" t="s">
        <v>2406</v>
      </c>
      <c r="H347" s="22"/>
      <c r="I347" t="s">
        <v>2403</v>
      </c>
      <c r="K347" s="24">
        <f t="shared" si="6"/>
        <v>0</v>
      </c>
    </row>
    <row r="348" spans="1:11" hidden="1" x14ac:dyDescent="0.3">
      <c r="A348" s="21">
        <v>45103</v>
      </c>
      <c r="B348" t="s">
        <v>334</v>
      </c>
      <c r="C348" s="22"/>
      <c r="D348" s="23">
        <v>0</v>
      </c>
      <c r="E348" s="23">
        <v>10000</v>
      </c>
      <c r="F348" s="23">
        <v>13456.96</v>
      </c>
      <c r="G348" s="22" t="s">
        <v>2422</v>
      </c>
      <c r="H348" s="22"/>
      <c r="I348" t="s">
        <v>2403</v>
      </c>
      <c r="K348" s="24">
        <f t="shared" si="6"/>
        <v>0</v>
      </c>
    </row>
    <row r="349" spans="1:11" hidden="1" x14ac:dyDescent="0.3">
      <c r="A349" s="21">
        <v>45103</v>
      </c>
      <c r="B349" t="s">
        <v>1286</v>
      </c>
      <c r="C349" s="22" t="s">
        <v>1161</v>
      </c>
      <c r="D349" s="23">
        <v>20</v>
      </c>
      <c r="E349" s="23">
        <v>0</v>
      </c>
      <c r="F349" s="23">
        <v>108252.24</v>
      </c>
      <c r="G349" s="22" t="s">
        <v>2399</v>
      </c>
      <c r="H349" s="22"/>
      <c r="I349" t="s">
        <v>2400</v>
      </c>
      <c r="K349" s="24">
        <f t="shared" si="6"/>
        <v>-94815.28</v>
      </c>
    </row>
    <row r="350" spans="1:11" hidden="1" x14ac:dyDescent="0.3">
      <c r="A350" s="21">
        <v>45104</v>
      </c>
      <c r="B350" t="s">
        <v>133</v>
      </c>
      <c r="C350" s="22"/>
      <c r="D350" s="23">
        <v>130.66</v>
      </c>
      <c r="E350" s="23">
        <v>0</v>
      </c>
      <c r="F350" s="23">
        <v>13326.3</v>
      </c>
      <c r="G350" s="22" t="s">
        <v>2406</v>
      </c>
      <c r="H350" s="22"/>
      <c r="I350" t="s">
        <v>2403</v>
      </c>
      <c r="K350" s="24">
        <f t="shared" si="6"/>
        <v>94795.28</v>
      </c>
    </row>
    <row r="351" spans="1:11" hidden="1" x14ac:dyDescent="0.3">
      <c r="A351" s="21">
        <v>45104</v>
      </c>
      <c r="B351" t="s">
        <v>337</v>
      </c>
      <c r="C351" s="22"/>
      <c r="D351" s="23">
        <v>0</v>
      </c>
      <c r="E351" s="23">
        <v>720</v>
      </c>
      <c r="F351" s="23">
        <v>14046.3</v>
      </c>
      <c r="G351" s="22" t="s">
        <v>2409</v>
      </c>
      <c r="H351" s="22"/>
      <c r="I351" t="s">
        <v>2403</v>
      </c>
      <c r="K351" s="24">
        <f t="shared" si="6"/>
        <v>0</v>
      </c>
    </row>
    <row r="352" spans="1:11" hidden="1" x14ac:dyDescent="0.3">
      <c r="A352" s="21">
        <v>45104</v>
      </c>
      <c r="B352" t="s">
        <v>135</v>
      </c>
      <c r="C352" s="22"/>
      <c r="D352" s="23">
        <v>0</v>
      </c>
      <c r="E352" s="23">
        <v>928.3</v>
      </c>
      <c r="F352" s="23">
        <v>14974.6</v>
      </c>
      <c r="G352" s="22" t="s">
        <v>2406</v>
      </c>
      <c r="H352" s="22"/>
      <c r="I352" t="s">
        <v>2403</v>
      </c>
      <c r="K352" s="24">
        <f t="shared" si="6"/>
        <v>0</v>
      </c>
    </row>
    <row r="353" spans="1:11" hidden="1" x14ac:dyDescent="0.3">
      <c r="A353" s="21">
        <v>45104</v>
      </c>
      <c r="B353" t="s">
        <v>1287</v>
      </c>
      <c r="C353" s="22" t="s">
        <v>1161</v>
      </c>
      <c r="D353" s="23">
        <v>10</v>
      </c>
      <c r="E353" s="23">
        <v>0</v>
      </c>
      <c r="F353" s="23">
        <v>108242.24000000001</v>
      </c>
      <c r="G353" s="22" t="s">
        <v>2399</v>
      </c>
      <c r="H353" s="22"/>
      <c r="I353" t="s">
        <v>2400</v>
      </c>
      <c r="K353" s="24">
        <f t="shared" si="6"/>
        <v>-93277.64</v>
      </c>
    </row>
    <row r="354" spans="1:11" hidden="1" x14ac:dyDescent="0.3">
      <c r="A354" s="21">
        <v>45104</v>
      </c>
      <c r="B354" t="s">
        <v>1288</v>
      </c>
      <c r="C354" s="22" t="s">
        <v>1161</v>
      </c>
      <c r="D354" s="23">
        <v>20</v>
      </c>
      <c r="E354" s="23">
        <v>0</v>
      </c>
      <c r="F354" s="23">
        <v>108222.24</v>
      </c>
      <c r="G354" s="22" t="s">
        <v>2399</v>
      </c>
      <c r="H354" s="22"/>
      <c r="I354" t="s">
        <v>2400</v>
      </c>
      <c r="K354" s="24">
        <f t="shared" si="6"/>
        <v>0</v>
      </c>
    </row>
    <row r="355" spans="1:11" hidden="1" x14ac:dyDescent="0.3">
      <c r="A355" s="21">
        <v>45105</v>
      </c>
      <c r="B355" t="s">
        <v>133</v>
      </c>
      <c r="C355" s="22"/>
      <c r="D355" s="23">
        <v>131.11000000000001</v>
      </c>
      <c r="E355" s="23">
        <v>0</v>
      </c>
      <c r="F355" s="23">
        <v>14843.49</v>
      </c>
      <c r="G355" s="22" t="s">
        <v>2406</v>
      </c>
      <c r="H355" s="22"/>
      <c r="I355" t="s">
        <v>2403</v>
      </c>
      <c r="K355" s="24">
        <f t="shared" si="6"/>
        <v>93247.64</v>
      </c>
    </row>
    <row r="356" spans="1:11" hidden="1" x14ac:dyDescent="0.3">
      <c r="A356" s="21">
        <v>45105</v>
      </c>
      <c r="B356" t="s">
        <v>135</v>
      </c>
      <c r="C356" s="22"/>
      <c r="D356" s="23">
        <v>0</v>
      </c>
      <c r="E356" s="23">
        <v>259.42</v>
      </c>
      <c r="F356" s="23">
        <v>15102.91</v>
      </c>
      <c r="G356" s="22" t="s">
        <v>2406</v>
      </c>
      <c r="H356" s="22"/>
      <c r="I356" t="s">
        <v>2403</v>
      </c>
      <c r="K356" s="24">
        <f t="shared" si="6"/>
        <v>0</v>
      </c>
    </row>
    <row r="357" spans="1:11" hidden="1" x14ac:dyDescent="0.3">
      <c r="A357" s="21">
        <v>45105</v>
      </c>
      <c r="B357" t="s">
        <v>1289</v>
      </c>
      <c r="C357" s="22" t="s">
        <v>1148</v>
      </c>
      <c r="D357" s="23">
        <v>160</v>
      </c>
      <c r="E357" s="23">
        <v>0</v>
      </c>
      <c r="F357" s="23">
        <v>108062.24</v>
      </c>
      <c r="G357" s="22" t="s">
        <v>2399</v>
      </c>
      <c r="H357" s="22"/>
      <c r="I357" t="s">
        <v>2400</v>
      </c>
      <c r="K357" s="24">
        <f t="shared" si="6"/>
        <v>-93119.33</v>
      </c>
    </row>
    <row r="358" spans="1:11" hidden="1" x14ac:dyDescent="0.3">
      <c r="A358" s="21">
        <v>45105</v>
      </c>
      <c r="B358" t="s">
        <v>1290</v>
      </c>
      <c r="C358" s="22" t="s">
        <v>1213</v>
      </c>
      <c r="D358" s="23">
        <v>0</v>
      </c>
      <c r="E358" s="23">
        <v>60</v>
      </c>
      <c r="F358" s="23">
        <v>108122.24000000001</v>
      </c>
      <c r="G358" s="22" t="s">
        <v>2399</v>
      </c>
      <c r="H358" s="22"/>
      <c r="I358" t="s">
        <v>2400</v>
      </c>
      <c r="K358" s="24">
        <f t="shared" si="6"/>
        <v>0</v>
      </c>
    </row>
    <row r="359" spans="1:11" hidden="1" x14ac:dyDescent="0.3">
      <c r="A359" s="21">
        <v>45105</v>
      </c>
      <c r="B359" t="s">
        <v>1291</v>
      </c>
      <c r="C359" s="22" t="s">
        <v>1148</v>
      </c>
      <c r="D359" s="23">
        <v>20</v>
      </c>
      <c r="E359" s="23">
        <v>0</v>
      </c>
      <c r="F359" s="23">
        <v>108102.24</v>
      </c>
      <c r="G359" s="22" t="s">
        <v>2399</v>
      </c>
      <c r="H359" s="22"/>
      <c r="I359" t="s">
        <v>2400</v>
      </c>
      <c r="K359" s="24">
        <f t="shared" si="6"/>
        <v>0</v>
      </c>
    </row>
    <row r="360" spans="1:11" hidden="1" x14ac:dyDescent="0.3">
      <c r="A360" s="21">
        <v>45106</v>
      </c>
      <c r="B360" t="s">
        <v>1292</v>
      </c>
      <c r="C360" s="22" t="s">
        <v>1152</v>
      </c>
      <c r="D360" s="23">
        <v>30</v>
      </c>
      <c r="E360" s="23">
        <v>0</v>
      </c>
      <c r="F360" s="23">
        <v>108072.24</v>
      </c>
      <c r="G360" s="22" t="s">
        <v>2399</v>
      </c>
      <c r="H360" s="22"/>
      <c r="I360" t="s">
        <v>2400</v>
      </c>
      <c r="K360" s="24">
        <f t="shared" si="6"/>
        <v>0</v>
      </c>
    </row>
    <row r="361" spans="1:11" hidden="1" x14ac:dyDescent="0.3">
      <c r="A361" s="21">
        <v>45106</v>
      </c>
      <c r="B361" t="s">
        <v>1293</v>
      </c>
      <c r="C361" s="22" t="s">
        <v>1152</v>
      </c>
      <c r="D361" s="23">
        <v>10</v>
      </c>
      <c r="E361" s="23">
        <v>0</v>
      </c>
      <c r="F361" s="23">
        <v>108062.24</v>
      </c>
      <c r="G361" s="22" t="s">
        <v>2399</v>
      </c>
      <c r="H361" s="22"/>
      <c r="I361" t="s">
        <v>2400</v>
      </c>
      <c r="K361" s="24">
        <f t="shared" si="6"/>
        <v>0</v>
      </c>
    </row>
    <row r="362" spans="1:11" hidden="1" x14ac:dyDescent="0.3">
      <c r="A362" s="21">
        <v>45107</v>
      </c>
      <c r="B362" t="s">
        <v>133</v>
      </c>
      <c r="C362" s="22"/>
      <c r="D362" s="23">
        <v>262.48</v>
      </c>
      <c r="E362" s="23">
        <v>0</v>
      </c>
      <c r="F362" s="23">
        <v>14840.43</v>
      </c>
      <c r="G362" s="22" t="s">
        <v>2406</v>
      </c>
      <c r="H362" s="22"/>
      <c r="I362" t="s">
        <v>2403</v>
      </c>
      <c r="K362" s="24">
        <f t="shared" si="6"/>
        <v>92959.330000000016</v>
      </c>
    </row>
    <row r="363" spans="1:11" hidden="1" x14ac:dyDescent="0.3">
      <c r="A363" s="21">
        <v>45107</v>
      </c>
      <c r="B363" t="s">
        <v>343</v>
      </c>
      <c r="C363" s="22"/>
      <c r="D363" s="23">
        <v>0</v>
      </c>
      <c r="E363" s="23">
        <v>352</v>
      </c>
      <c r="F363" s="23">
        <v>15192.43</v>
      </c>
      <c r="G363" s="22" t="s">
        <v>2423</v>
      </c>
      <c r="H363" s="22"/>
      <c r="I363" t="s">
        <v>2403</v>
      </c>
      <c r="K363" s="24">
        <f t="shared" si="6"/>
        <v>0</v>
      </c>
    </row>
    <row r="364" spans="1:11" hidden="1" x14ac:dyDescent="0.3">
      <c r="A364" s="21">
        <v>45108</v>
      </c>
      <c r="B364" t="s">
        <v>32</v>
      </c>
      <c r="C364" s="22"/>
      <c r="D364" s="23">
        <v>0</v>
      </c>
      <c r="E364" s="23">
        <v>504</v>
      </c>
      <c r="F364" s="23">
        <v>48899.11</v>
      </c>
      <c r="G364" s="22" t="s">
        <v>2423</v>
      </c>
      <c r="H364" s="22"/>
      <c r="I364" t="s">
        <v>2404</v>
      </c>
      <c r="K364" s="24">
        <f t="shared" si="6"/>
        <v>-33202.68</v>
      </c>
    </row>
    <row r="365" spans="1:11" hidden="1" x14ac:dyDescent="0.3">
      <c r="A365" s="21">
        <v>45108</v>
      </c>
      <c r="B365" t="s">
        <v>135</v>
      </c>
      <c r="C365" s="22"/>
      <c r="D365" s="23">
        <v>0</v>
      </c>
      <c r="E365" s="23">
        <v>8375.93</v>
      </c>
      <c r="F365" s="23">
        <v>23568.36</v>
      </c>
      <c r="G365" s="22" t="s">
        <v>2406</v>
      </c>
      <c r="H365" s="22"/>
      <c r="I365" t="s">
        <v>2403</v>
      </c>
      <c r="K365" s="24">
        <f t="shared" si="6"/>
        <v>33706.68</v>
      </c>
    </row>
    <row r="366" spans="1:11" hidden="1" x14ac:dyDescent="0.3">
      <c r="A366" s="21">
        <v>45108</v>
      </c>
      <c r="B366" t="s">
        <v>1294</v>
      </c>
      <c r="C366" s="22" t="s">
        <v>1154</v>
      </c>
      <c r="D366" s="23">
        <v>20</v>
      </c>
      <c r="E366" s="23">
        <v>0</v>
      </c>
      <c r="F366" s="23">
        <v>108042.24000000001</v>
      </c>
      <c r="G366" s="22" t="s">
        <v>2399</v>
      </c>
      <c r="H366" s="22"/>
      <c r="I366" t="s">
        <v>2400</v>
      </c>
      <c r="K366" s="24">
        <f t="shared" si="6"/>
        <v>-84493.88</v>
      </c>
    </row>
    <row r="367" spans="1:11" hidden="1" x14ac:dyDescent="0.3">
      <c r="A367" s="21">
        <v>45108</v>
      </c>
      <c r="B367" t="s">
        <v>1295</v>
      </c>
      <c r="C367" s="22" t="s">
        <v>1154</v>
      </c>
      <c r="D367" s="23">
        <v>40</v>
      </c>
      <c r="E367" s="23">
        <v>0</v>
      </c>
      <c r="F367" s="23">
        <v>108002.24000000001</v>
      </c>
      <c r="G367" s="22" t="s">
        <v>2399</v>
      </c>
      <c r="H367" s="22"/>
      <c r="I367" t="s">
        <v>2400</v>
      </c>
      <c r="K367" s="24">
        <f t="shared" si="6"/>
        <v>0</v>
      </c>
    </row>
    <row r="368" spans="1:11" hidden="1" x14ac:dyDescent="0.3">
      <c r="A368" s="21">
        <v>45108</v>
      </c>
      <c r="B368" t="s">
        <v>1296</v>
      </c>
      <c r="C368" s="22" t="s">
        <v>1223</v>
      </c>
      <c r="D368" s="23">
        <v>0</v>
      </c>
      <c r="E368" s="23">
        <v>40</v>
      </c>
      <c r="F368" s="23">
        <v>108042.24000000001</v>
      </c>
      <c r="G368" s="22" t="s">
        <v>2399</v>
      </c>
      <c r="H368" s="22"/>
      <c r="I368" t="s">
        <v>2400</v>
      </c>
      <c r="K368" s="24">
        <f t="shared" si="6"/>
        <v>0</v>
      </c>
    </row>
    <row r="369" spans="1:11" hidden="1" x14ac:dyDescent="0.3">
      <c r="A369" s="21">
        <v>45108</v>
      </c>
      <c r="B369" t="s">
        <v>1297</v>
      </c>
      <c r="C369" s="22" t="s">
        <v>1154</v>
      </c>
      <c r="D369" s="23">
        <v>40</v>
      </c>
      <c r="E369" s="23">
        <v>0</v>
      </c>
      <c r="F369" s="23">
        <v>108002.24000000001</v>
      </c>
      <c r="G369" s="22" t="s">
        <v>2399</v>
      </c>
      <c r="H369" s="22"/>
      <c r="I369" t="s">
        <v>2400</v>
      </c>
      <c r="K369" s="24">
        <f t="shared" si="6"/>
        <v>0</v>
      </c>
    </row>
    <row r="370" spans="1:11" hidden="1" x14ac:dyDescent="0.3">
      <c r="A370" s="21">
        <v>45108</v>
      </c>
      <c r="B370" t="s">
        <v>1298</v>
      </c>
      <c r="C370" s="22" t="s">
        <v>1223</v>
      </c>
      <c r="D370" s="23">
        <v>0</v>
      </c>
      <c r="E370" s="23">
        <v>20</v>
      </c>
      <c r="F370" s="23">
        <v>108022.24</v>
      </c>
      <c r="G370" s="22" t="s">
        <v>2399</v>
      </c>
      <c r="H370" s="22"/>
      <c r="I370" t="s">
        <v>2400</v>
      </c>
      <c r="K370" s="24">
        <f t="shared" si="6"/>
        <v>0</v>
      </c>
    </row>
    <row r="371" spans="1:11" hidden="1" x14ac:dyDescent="0.3">
      <c r="A371" s="21">
        <v>45108</v>
      </c>
      <c r="B371" t="s">
        <v>1299</v>
      </c>
      <c r="C371" s="22" t="s">
        <v>1154</v>
      </c>
      <c r="D371" s="23">
        <v>40</v>
      </c>
      <c r="E371" s="23">
        <v>0</v>
      </c>
      <c r="F371" s="23">
        <v>107982.24</v>
      </c>
      <c r="G371" s="22" t="s">
        <v>2399</v>
      </c>
      <c r="H371" s="22"/>
      <c r="I371" t="s">
        <v>2400</v>
      </c>
      <c r="K371" s="24">
        <f t="shared" si="6"/>
        <v>0</v>
      </c>
    </row>
    <row r="372" spans="1:11" hidden="1" x14ac:dyDescent="0.3">
      <c r="A372" s="21">
        <v>45108</v>
      </c>
      <c r="B372" t="s">
        <v>1300</v>
      </c>
      <c r="C372" s="22" t="s">
        <v>1154</v>
      </c>
      <c r="D372" s="23">
        <v>40</v>
      </c>
      <c r="E372" s="23">
        <v>0</v>
      </c>
      <c r="F372" s="23">
        <v>107942.24</v>
      </c>
      <c r="G372" s="22" t="s">
        <v>2399</v>
      </c>
      <c r="H372" s="22"/>
      <c r="I372" t="s">
        <v>2400</v>
      </c>
      <c r="K372" s="24">
        <f t="shared" si="6"/>
        <v>0</v>
      </c>
    </row>
    <row r="373" spans="1:11" hidden="1" x14ac:dyDescent="0.3">
      <c r="A373" s="21">
        <v>45109</v>
      </c>
      <c r="B373" t="s">
        <v>1301</v>
      </c>
      <c r="C373" s="22" t="s">
        <v>1143</v>
      </c>
      <c r="D373" s="23">
        <v>60</v>
      </c>
      <c r="E373" s="23">
        <v>0</v>
      </c>
      <c r="F373" s="23">
        <v>107882.24000000001</v>
      </c>
      <c r="G373" s="22" t="s">
        <v>2399</v>
      </c>
      <c r="H373" s="22"/>
      <c r="I373" t="s">
        <v>2400</v>
      </c>
      <c r="K373" s="24">
        <f t="shared" si="6"/>
        <v>0</v>
      </c>
    </row>
    <row r="374" spans="1:11" hidden="1" x14ac:dyDescent="0.3">
      <c r="A374" s="21">
        <v>45109</v>
      </c>
      <c r="B374" t="s">
        <v>1302</v>
      </c>
      <c r="C374" s="22" t="s">
        <v>1143</v>
      </c>
      <c r="D374" s="23">
        <v>130</v>
      </c>
      <c r="E374" s="23">
        <v>0</v>
      </c>
      <c r="F374" s="23">
        <v>107752.24</v>
      </c>
      <c r="G374" s="22" t="s">
        <v>2399</v>
      </c>
      <c r="H374" s="22"/>
      <c r="I374" t="s">
        <v>2400</v>
      </c>
      <c r="K374" s="24">
        <f t="shared" si="6"/>
        <v>0</v>
      </c>
    </row>
    <row r="375" spans="1:11" hidden="1" x14ac:dyDescent="0.3">
      <c r="A375" s="21">
        <v>45110</v>
      </c>
      <c r="B375" t="s">
        <v>135</v>
      </c>
      <c r="C375" s="22"/>
      <c r="D375" s="23">
        <v>0</v>
      </c>
      <c r="E375" s="23">
        <v>482.44</v>
      </c>
      <c r="F375" s="23">
        <v>24050.799999999999</v>
      </c>
      <c r="G375" s="22" t="s">
        <v>2406</v>
      </c>
      <c r="H375" s="22"/>
      <c r="I375" t="s">
        <v>2403</v>
      </c>
      <c r="K375" s="24">
        <f t="shared" si="6"/>
        <v>84183.88</v>
      </c>
    </row>
    <row r="376" spans="1:11" hidden="1" x14ac:dyDescent="0.3">
      <c r="A376" s="21">
        <v>45110</v>
      </c>
      <c r="B376" t="s">
        <v>346</v>
      </c>
      <c r="C376" s="22"/>
      <c r="D376" s="23">
        <v>0</v>
      </c>
      <c r="E376" s="23">
        <v>576</v>
      </c>
      <c r="F376" s="23">
        <v>24626.799999999999</v>
      </c>
      <c r="G376" s="22" t="s">
        <v>2409</v>
      </c>
      <c r="H376" s="22"/>
      <c r="I376" t="s">
        <v>2403</v>
      </c>
      <c r="K376" s="24">
        <f t="shared" si="6"/>
        <v>0</v>
      </c>
    </row>
    <row r="377" spans="1:11" hidden="1" x14ac:dyDescent="0.3">
      <c r="A377" s="21">
        <v>45110</v>
      </c>
      <c r="B377" t="s">
        <v>348</v>
      </c>
      <c r="C377" s="22"/>
      <c r="D377" s="23">
        <v>0</v>
      </c>
      <c r="E377" s="23">
        <v>350</v>
      </c>
      <c r="F377" s="23">
        <v>24976.799999999999</v>
      </c>
      <c r="G377" s="22" t="s">
        <v>2409</v>
      </c>
      <c r="H377" s="22"/>
      <c r="I377" t="s">
        <v>2403</v>
      </c>
      <c r="K377" s="24">
        <f t="shared" si="6"/>
        <v>0</v>
      </c>
    </row>
    <row r="378" spans="1:11" hidden="1" x14ac:dyDescent="0.3">
      <c r="A378" s="21">
        <v>45110</v>
      </c>
      <c r="B378" t="s">
        <v>133</v>
      </c>
      <c r="C378" s="22"/>
      <c r="D378" s="23">
        <v>482.44</v>
      </c>
      <c r="E378" s="23">
        <v>0</v>
      </c>
      <c r="F378" s="23">
        <v>24494.36</v>
      </c>
      <c r="G378" s="22" t="s">
        <v>2406</v>
      </c>
      <c r="H378" s="22"/>
      <c r="I378" t="s">
        <v>2403</v>
      </c>
      <c r="K378" s="24">
        <f t="shared" si="6"/>
        <v>0</v>
      </c>
    </row>
    <row r="379" spans="1:11" hidden="1" x14ac:dyDescent="0.3">
      <c r="A379" s="21">
        <v>45110</v>
      </c>
      <c r="B379" t="s">
        <v>135</v>
      </c>
      <c r="C379" s="22"/>
      <c r="D379" s="23">
        <v>0</v>
      </c>
      <c r="E379" s="23">
        <v>6664.97</v>
      </c>
      <c r="F379" s="23">
        <v>31159.33</v>
      </c>
      <c r="G379" s="22" t="s">
        <v>2406</v>
      </c>
      <c r="H379" s="22"/>
      <c r="I379" t="s">
        <v>2403</v>
      </c>
      <c r="K379" s="24">
        <f t="shared" si="6"/>
        <v>0</v>
      </c>
    </row>
    <row r="380" spans="1:11" hidden="1" x14ac:dyDescent="0.3">
      <c r="A380" s="21">
        <v>45110</v>
      </c>
      <c r="B380" t="s">
        <v>133</v>
      </c>
      <c r="C380" s="22"/>
      <c r="D380" s="23">
        <v>66.23</v>
      </c>
      <c r="E380" s="23">
        <v>0</v>
      </c>
      <c r="F380" s="23">
        <v>31093.1</v>
      </c>
      <c r="G380" s="22" t="s">
        <v>2406</v>
      </c>
      <c r="H380" s="22"/>
      <c r="I380" t="s">
        <v>2403</v>
      </c>
      <c r="K380" s="24">
        <f t="shared" si="6"/>
        <v>0</v>
      </c>
    </row>
    <row r="381" spans="1:11" hidden="1" x14ac:dyDescent="0.3">
      <c r="A381" s="21">
        <v>45110</v>
      </c>
      <c r="B381" t="s">
        <v>1303</v>
      </c>
      <c r="C381" s="22" t="s">
        <v>1304</v>
      </c>
      <c r="D381" s="23">
        <v>0</v>
      </c>
      <c r="E381" s="23">
        <v>10000</v>
      </c>
      <c r="F381" s="23">
        <v>117752.24</v>
      </c>
      <c r="G381" s="22" t="s">
        <v>2424</v>
      </c>
      <c r="H381" s="22"/>
      <c r="I381" t="s">
        <v>2400</v>
      </c>
      <c r="K381" s="24">
        <f t="shared" si="6"/>
        <v>-76659.140000000014</v>
      </c>
    </row>
    <row r="382" spans="1:11" hidden="1" x14ac:dyDescent="0.3">
      <c r="A382" s="21">
        <v>45110</v>
      </c>
      <c r="B382" t="s">
        <v>1305</v>
      </c>
      <c r="C382" s="22" t="s">
        <v>1191</v>
      </c>
      <c r="D382" s="23">
        <v>60</v>
      </c>
      <c r="E382" s="23">
        <v>0</v>
      </c>
      <c r="F382" s="23">
        <v>117692.24</v>
      </c>
      <c r="G382" s="22" t="s">
        <v>2399</v>
      </c>
      <c r="H382" s="22"/>
      <c r="I382" t="s">
        <v>2400</v>
      </c>
      <c r="K382" s="24">
        <f t="shared" si="6"/>
        <v>0</v>
      </c>
    </row>
    <row r="383" spans="1:11" hidden="1" x14ac:dyDescent="0.3">
      <c r="A383" s="21">
        <v>45111</v>
      </c>
      <c r="B383" t="s">
        <v>133</v>
      </c>
      <c r="C383" s="22"/>
      <c r="D383" s="23">
        <v>14965.4</v>
      </c>
      <c r="E383" s="23">
        <v>0</v>
      </c>
      <c r="F383" s="23">
        <v>16127.7</v>
      </c>
      <c r="G383" s="22" t="s">
        <v>2406</v>
      </c>
      <c r="H383" s="22"/>
      <c r="I383" t="s">
        <v>2403</v>
      </c>
      <c r="K383" s="24">
        <f t="shared" si="6"/>
        <v>86599.140000000014</v>
      </c>
    </row>
    <row r="384" spans="1:11" hidden="1" x14ac:dyDescent="0.3">
      <c r="A384" s="21">
        <v>45111</v>
      </c>
      <c r="B384" t="s">
        <v>135</v>
      </c>
      <c r="C384" s="22"/>
      <c r="D384" s="23">
        <v>0</v>
      </c>
      <c r="E384" s="23">
        <v>34.6</v>
      </c>
      <c r="F384" s="23">
        <v>16127.7</v>
      </c>
      <c r="G384" s="22" t="s">
        <v>2406</v>
      </c>
      <c r="H384" s="22"/>
      <c r="I384" t="s">
        <v>2403</v>
      </c>
      <c r="K384" s="24">
        <f t="shared" si="6"/>
        <v>34.600000000000364</v>
      </c>
    </row>
    <row r="385" spans="1:11" hidden="1" x14ac:dyDescent="0.3">
      <c r="A385" s="21">
        <v>45111</v>
      </c>
      <c r="B385" t="s">
        <v>135</v>
      </c>
      <c r="C385" s="22"/>
      <c r="D385" s="23">
        <v>0</v>
      </c>
      <c r="E385" s="23">
        <v>77430</v>
      </c>
      <c r="F385" s="23">
        <v>93557.7</v>
      </c>
      <c r="G385" s="22" t="s">
        <v>2406</v>
      </c>
      <c r="H385" s="22"/>
      <c r="I385" t="s">
        <v>2403</v>
      </c>
      <c r="K385" s="24">
        <f t="shared" si="6"/>
        <v>0</v>
      </c>
    </row>
    <row r="386" spans="1:11" hidden="1" x14ac:dyDescent="0.3">
      <c r="A386" s="21">
        <v>45111</v>
      </c>
      <c r="B386" t="s">
        <v>1306</v>
      </c>
      <c r="C386" s="22" t="s">
        <v>1161</v>
      </c>
      <c r="D386" s="23">
        <v>20</v>
      </c>
      <c r="E386" s="23">
        <v>0</v>
      </c>
      <c r="F386" s="23">
        <v>117672.24</v>
      </c>
      <c r="G386" s="22" t="s">
        <v>2399</v>
      </c>
      <c r="H386" s="22"/>
      <c r="I386" t="s">
        <v>2400</v>
      </c>
      <c r="K386" s="24">
        <f t="shared" si="6"/>
        <v>-24134.540000000008</v>
      </c>
    </row>
    <row r="387" spans="1:11" hidden="1" x14ac:dyDescent="0.3">
      <c r="A387" s="21">
        <v>45111</v>
      </c>
      <c r="B387" t="s">
        <v>1307</v>
      </c>
      <c r="C387" s="22" t="s">
        <v>1161</v>
      </c>
      <c r="D387" s="23">
        <v>20</v>
      </c>
      <c r="E387" s="23">
        <v>0</v>
      </c>
      <c r="F387" s="23">
        <v>117652.24</v>
      </c>
      <c r="G387" s="22" t="s">
        <v>2399</v>
      </c>
      <c r="H387" s="22"/>
      <c r="I387" t="s">
        <v>2400</v>
      </c>
      <c r="K387" s="24">
        <f t="shared" si="6"/>
        <v>0</v>
      </c>
    </row>
    <row r="388" spans="1:11" hidden="1" x14ac:dyDescent="0.3">
      <c r="A388" s="21">
        <v>45111</v>
      </c>
      <c r="B388" t="s">
        <v>1308</v>
      </c>
      <c r="C388" s="22" t="s">
        <v>1161</v>
      </c>
      <c r="D388" s="23">
        <v>190</v>
      </c>
      <c r="E388" s="23">
        <v>0</v>
      </c>
      <c r="F388" s="23">
        <v>117462.24</v>
      </c>
      <c r="G388" s="22" t="s">
        <v>2399</v>
      </c>
      <c r="H388" s="22"/>
      <c r="I388" t="s">
        <v>2400</v>
      </c>
      <c r="K388" s="24">
        <f t="shared" si="6"/>
        <v>0</v>
      </c>
    </row>
    <row r="389" spans="1:11" hidden="1" x14ac:dyDescent="0.3">
      <c r="A389" s="21">
        <v>45112</v>
      </c>
      <c r="B389" t="s">
        <v>133</v>
      </c>
      <c r="C389" s="22"/>
      <c r="D389" s="23">
        <v>34.6</v>
      </c>
      <c r="E389" s="23">
        <v>0</v>
      </c>
      <c r="F389" s="23">
        <v>16093.1</v>
      </c>
      <c r="G389" s="22" t="s">
        <v>2406</v>
      </c>
      <c r="H389" s="22"/>
      <c r="I389" t="s">
        <v>2403</v>
      </c>
      <c r="K389" s="24">
        <f t="shared" si="6"/>
        <v>101334.54</v>
      </c>
    </row>
    <row r="390" spans="1:11" hidden="1" x14ac:dyDescent="0.3">
      <c r="A390" s="21">
        <v>45112</v>
      </c>
      <c r="B390" t="s">
        <v>357</v>
      </c>
      <c r="C390" s="22"/>
      <c r="D390" s="23">
        <v>20000</v>
      </c>
      <c r="E390" s="23">
        <v>0</v>
      </c>
      <c r="F390" s="23">
        <v>73557.7</v>
      </c>
      <c r="G390" s="22" t="s">
        <v>2414</v>
      </c>
      <c r="H390" s="22"/>
      <c r="I390" t="s">
        <v>2403</v>
      </c>
      <c r="K390" s="24">
        <f t="shared" ref="K390:K453" si="7">F389-D390+E390-F390</f>
        <v>-77464.599999999991</v>
      </c>
    </row>
    <row r="391" spans="1:11" hidden="1" x14ac:dyDescent="0.3">
      <c r="A391" s="21">
        <v>45112</v>
      </c>
      <c r="B391" t="s">
        <v>133</v>
      </c>
      <c r="C391" s="22"/>
      <c r="D391" s="23">
        <v>113.29</v>
      </c>
      <c r="E391" s="23">
        <v>0</v>
      </c>
      <c r="F391" s="23">
        <v>73444.41</v>
      </c>
      <c r="G391" s="22" t="s">
        <v>2406</v>
      </c>
      <c r="H391" s="22"/>
      <c r="I391" t="s">
        <v>2403</v>
      </c>
      <c r="K391" s="24">
        <f t="shared" si="7"/>
        <v>0</v>
      </c>
    </row>
    <row r="392" spans="1:11" hidden="1" x14ac:dyDescent="0.3">
      <c r="A392" s="21">
        <v>45112</v>
      </c>
      <c r="B392" t="s">
        <v>133</v>
      </c>
      <c r="C392" s="22"/>
      <c r="D392" s="23">
        <v>11186.15</v>
      </c>
      <c r="E392" s="23">
        <v>0</v>
      </c>
      <c r="F392" s="23">
        <v>62258.26</v>
      </c>
      <c r="G392" s="22" t="s">
        <v>2406</v>
      </c>
      <c r="H392" s="22"/>
      <c r="I392" t="s">
        <v>2403</v>
      </c>
      <c r="K392" s="24">
        <f t="shared" si="7"/>
        <v>0</v>
      </c>
    </row>
    <row r="393" spans="1:11" hidden="1" x14ac:dyDescent="0.3">
      <c r="A393" s="21">
        <v>45112</v>
      </c>
      <c r="B393" t="s">
        <v>133</v>
      </c>
      <c r="C393" s="22"/>
      <c r="D393" s="23">
        <v>2415.13</v>
      </c>
      <c r="E393" s="23">
        <v>0</v>
      </c>
      <c r="F393" s="23">
        <v>59843.13</v>
      </c>
      <c r="G393" s="22" t="s">
        <v>2406</v>
      </c>
      <c r="H393" s="22"/>
      <c r="I393" t="s">
        <v>2403</v>
      </c>
      <c r="K393" s="24">
        <f t="shared" si="7"/>
        <v>0</v>
      </c>
    </row>
    <row r="394" spans="1:11" hidden="1" x14ac:dyDescent="0.3">
      <c r="A394" s="21">
        <v>45112</v>
      </c>
      <c r="B394" t="s">
        <v>133</v>
      </c>
      <c r="C394" s="22"/>
      <c r="D394" s="23">
        <v>9630.59</v>
      </c>
      <c r="E394" s="23">
        <v>0</v>
      </c>
      <c r="F394" s="23">
        <v>50212.54</v>
      </c>
      <c r="G394" s="22" t="s">
        <v>2406</v>
      </c>
      <c r="H394" s="22"/>
      <c r="I394" t="s">
        <v>2403</v>
      </c>
      <c r="K394" s="24">
        <f t="shared" si="7"/>
        <v>0</v>
      </c>
    </row>
    <row r="395" spans="1:11" hidden="1" x14ac:dyDescent="0.3">
      <c r="A395" s="21">
        <v>45112</v>
      </c>
      <c r="B395" t="s">
        <v>135</v>
      </c>
      <c r="C395" s="22"/>
      <c r="D395" s="23">
        <v>0</v>
      </c>
      <c r="E395" s="23">
        <v>9630.59</v>
      </c>
      <c r="F395" s="23">
        <v>59843.13</v>
      </c>
      <c r="G395" s="22" t="s">
        <v>2406</v>
      </c>
      <c r="H395" s="22"/>
      <c r="I395" t="s">
        <v>2403</v>
      </c>
      <c r="K395" s="24">
        <f t="shared" si="7"/>
        <v>0</v>
      </c>
    </row>
    <row r="396" spans="1:11" hidden="1" x14ac:dyDescent="0.3">
      <c r="A396" s="21">
        <v>45112</v>
      </c>
      <c r="B396" t="s">
        <v>1309</v>
      </c>
      <c r="C396" s="22" t="s">
        <v>1148</v>
      </c>
      <c r="D396" s="23">
        <v>40</v>
      </c>
      <c r="E396" s="23">
        <v>0</v>
      </c>
      <c r="F396" s="23">
        <v>117422.24</v>
      </c>
      <c r="G396" s="22" t="s">
        <v>2399</v>
      </c>
      <c r="H396" s="22"/>
      <c r="I396" t="s">
        <v>2400</v>
      </c>
      <c r="K396" s="24">
        <f t="shared" si="7"/>
        <v>-57619.110000000008</v>
      </c>
    </row>
    <row r="397" spans="1:11" hidden="1" x14ac:dyDescent="0.3">
      <c r="A397" s="21">
        <v>45112</v>
      </c>
      <c r="B397" t="s">
        <v>1310</v>
      </c>
      <c r="C397" s="22" t="s">
        <v>1148</v>
      </c>
      <c r="D397" s="23">
        <v>185</v>
      </c>
      <c r="E397" s="23">
        <v>0</v>
      </c>
      <c r="F397" s="23">
        <v>117237.24</v>
      </c>
      <c r="G397" s="22" t="s">
        <v>2399</v>
      </c>
      <c r="H397" s="22"/>
      <c r="I397" t="s">
        <v>2400</v>
      </c>
      <c r="K397" s="24">
        <f t="shared" si="7"/>
        <v>0</v>
      </c>
    </row>
    <row r="398" spans="1:11" hidden="1" x14ac:dyDescent="0.3">
      <c r="A398" s="21">
        <v>45112</v>
      </c>
      <c r="B398" t="s">
        <v>1311</v>
      </c>
      <c r="C398" s="22" t="s">
        <v>1148</v>
      </c>
      <c r="D398" s="23">
        <v>20</v>
      </c>
      <c r="E398" s="23">
        <v>0</v>
      </c>
      <c r="F398" s="23">
        <v>117217.24</v>
      </c>
      <c r="G398" s="22" t="s">
        <v>2399</v>
      </c>
      <c r="H398" s="22"/>
      <c r="I398" t="s">
        <v>2400</v>
      </c>
      <c r="K398" s="24">
        <f t="shared" si="7"/>
        <v>0</v>
      </c>
    </row>
    <row r="399" spans="1:11" hidden="1" x14ac:dyDescent="0.3">
      <c r="A399" s="21">
        <v>45112</v>
      </c>
      <c r="B399" t="s">
        <v>1312</v>
      </c>
      <c r="C399" s="22" t="s">
        <v>1313</v>
      </c>
      <c r="D399" s="23">
        <v>0</v>
      </c>
      <c r="E399" s="23">
        <v>929.82</v>
      </c>
      <c r="F399" s="23">
        <v>118147.06</v>
      </c>
      <c r="G399" s="22" t="s">
        <v>2425</v>
      </c>
      <c r="H399" s="22"/>
      <c r="I399" t="s">
        <v>2400</v>
      </c>
      <c r="K399" s="24">
        <f t="shared" si="7"/>
        <v>0</v>
      </c>
    </row>
    <row r="400" spans="1:11" hidden="1" x14ac:dyDescent="0.3">
      <c r="A400" s="21">
        <v>45112</v>
      </c>
      <c r="B400" t="s">
        <v>1314</v>
      </c>
      <c r="C400" s="22" t="s">
        <v>1148</v>
      </c>
      <c r="D400" s="23">
        <v>50</v>
      </c>
      <c r="E400" s="23">
        <v>0</v>
      </c>
      <c r="F400" s="23">
        <v>118097.06</v>
      </c>
      <c r="G400" s="22" t="s">
        <v>2399</v>
      </c>
      <c r="H400" s="22"/>
      <c r="I400" t="s">
        <v>2400</v>
      </c>
      <c r="K400" s="24">
        <f t="shared" si="7"/>
        <v>0</v>
      </c>
    </row>
    <row r="401" spans="1:11" hidden="1" x14ac:dyDescent="0.3">
      <c r="A401" s="21">
        <v>45113</v>
      </c>
      <c r="B401" t="s">
        <v>135</v>
      </c>
      <c r="C401" s="22"/>
      <c r="D401" s="23">
        <v>0</v>
      </c>
      <c r="E401" s="23">
        <v>322.25</v>
      </c>
      <c r="F401" s="23">
        <v>60165.38</v>
      </c>
      <c r="G401" s="22" t="s">
        <v>2406</v>
      </c>
      <c r="H401" s="22"/>
      <c r="I401" t="s">
        <v>2403</v>
      </c>
      <c r="K401" s="24">
        <f t="shared" si="7"/>
        <v>58253.93</v>
      </c>
    </row>
    <row r="402" spans="1:11" hidden="1" x14ac:dyDescent="0.3">
      <c r="A402" s="21">
        <v>45113</v>
      </c>
      <c r="B402" t="s">
        <v>1315</v>
      </c>
      <c r="C402" s="22" t="s">
        <v>1152</v>
      </c>
      <c r="D402" s="23">
        <v>60</v>
      </c>
      <c r="E402" s="23">
        <v>0</v>
      </c>
      <c r="F402" s="23">
        <v>118037.06</v>
      </c>
      <c r="G402" s="22" t="s">
        <v>2399</v>
      </c>
      <c r="H402" s="22"/>
      <c r="I402" t="s">
        <v>2400</v>
      </c>
      <c r="K402" s="24">
        <f t="shared" si="7"/>
        <v>-57931.68</v>
      </c>
    </row>
    <row r="403" spans="1:11" hidden="1" x14ac:dyDescent="0.3">
      <c r="A403" s="21">
        <v>45113</v>
      </c>
      <c r="B403" t="s">
        <v>1316</v>
      </c>
      <c r="C403" s="22" t="s">
        <v>1152</v>
      </c>
      <c r="D403" s="23">
        <v>180</v>
      </c>
      <c r="E403" s="23">
        <v>0</v>
      </c>
      <c r="F403" s="23">
        <v>117857.06</v>
      </c>
      <c r="G403" s="22" t="s">
        <v>2399</v>
      </c>
      <c r="H403" s="22"/>
      <c r="I403" t="s">
        <v>2400</v>
      </c>
      <c r="K403" s="24">
        <f t="shared" si="7"/>
        <v>0</v>
      </c>
    </row>
    <row r="404" spans="1:11" hidden="1" x14ac:dyDescent="0.3">
      <c r="A404" s="21">
        <v>45113</v>
      </c>
      <c r="B404" t="s">
        <v>1317</v>
      </c>
      <c r="C404" s="22" t="s">
        <v>1152</v>
      </c>
      <c r="D404" s="23">
        <v>30</v>
      </c>
      <c r="E404" s="23">
        <v>0</v>
      </c>
      <c r="F404" s="23">
        <v>117827.06</v>
      </c>
      <c r="G404" s="22" t="s">
        <v>2399</v>
      </c>
      <c r="H404" s="22"/>
      <c r="I404" t="s">
        <v>2400</v>
      </c>
      <c r="K404" s="24">
        <f t="shared" si="7"/>
        <v>0</v>
      </c>
    </row>
    <row r="405" spans="1:11" hidden="1" x14ac:dyDescent="0.3">
      <c r="A405" s="21">
        <v>45113</v>
      </c>
      <c r="B405" t="s">
        <v>1318</v>
      </c>
      <c r="C405" s="22" t="s">
        <v>1152</v>
      </c>
      <c r="D405" s="23">
        <v>160</v>
      </c>
      <c r="E405" s="23">
        <v>0</v>
      </c>
      <c r="F405" s="23">
        <v>117667.06</v>
      </c>
      <c r="G405" s="22" t="s">
        <v>2399</v>
      </c>
      <c r="H405" s="22"/>
      <c r="I405" t="s">
        <v>2400</v>
      </c>
      <c r="K405" s="24">
        <f t="shared" si="7"/>
        <v>0</v>
      </c>
    </row>
    <row r="406" spans="1:11" hidden="1" x14ac:dyDescent="0.3">
      <c r="A406" s="21">
        <v>45113</v>
      </c>
      <c r="B406" t="s">
        <v>1319</v>
      </c>
      <c r="C406" s="22" t="s">
        <v>1181</v>
      </c>
      <c r="D406" s="23">
        <v>0</v>
      </c>
      <c r="E406" s="23">
        <v>90</v>
      </c>
      <c r="F406" s="23">
        <v>117757.06</v>
      </c>
      <c r="G406" s="22" t="s">
        <v>2399</v>
      </c>
      <c r="H406" s="22"/>
      <c r="I406" t="s">
        <v>2400</v>
      </c>
      <c r="K406" s="24">
        <f t="shared" si="7"/>
        <v>0</v>
      </c>
    </row>
    <row r="407" spans="1:11" hidden="1" x14ac:dyDescent="0.3">
      <c r="A407" s="21">
        <v>45113</v>
      </c>
      <c r="B407" t="s">
        <v>1320</v>
      </c>
      <c r="C407" s="22" t="s">
        <v>1172</v>
      </c>
      <c r="D407" s="23">
        <v>40</v>
      </c>
      <c r="E407" s="23">
        <v>0</v>
      </c>
      <c r="F407" s="23">
        <v>117717.06</v>
      </c>
      <c r="G407" s="22" t="s">
        <v>2399</v>
      </c>
      <c r="H407" s="22"/>
      <c r="I407" t="s">
        <v>2400</v>
      </c>
      <c r="K407" s="24">
        <f t="shared" si="7"/>
        <v>0</v>
      </c>
    </row>
    <row r="408" spans="1:11" hidden="1" x14ac:dyDescent="0.3">
      <c r="A408" s="21">
        <v>45114</v>
      </c>
      <c r="B408" t="s">
        <v>133</v>
      </c>
      <c r="C408" s="22"/>
      <c r="D408" s="23">
        <v>116.93</v>
      </c>
      <c r="E408" s="23">
        <v>0</v>
      </c>
      <c r="F408" s="23">
        <v>60048.45</v>
      </c>
      <c r="G408" s="22" t="s">
        <v>2406</v>
      </c>
      <c r="H408" s="22"/>
      <c r="I408" t="s">
        <v>2403</v>
      </c>
      <c r="K408" s="24">
        <f t="shared" si="7"/>
        <v>57551.680000000008</v>
      </c>
    </row>
    <row r="409" spans="1:11" hidden="1" x14ac:dyDescent="0.3">
      <c r="A409" s="21">
        <v>45114</v>
      </c>
      <c r="B409" t="s">
        <v>366</v>
      </c>
      <c r="C409" s="22"/>
      <c r="D409" s="23">
        <v>0</v>
      </c>
      <c r="E409" s="23">
        <v>1880</v>
      </c>
      <c r="F409" s="23">
        <v>61928.45</v>
      </c>
      <c r="G409" s="22" t="s">
        <v>2407</v>
      </c>
      <c r="H409" s="22"/>
      <c r="I409" t="s">
        <v>2403</v>
      </c>
      <c r="K409" s="24">
        <f t="shared" si="7"/>
        <v>0</v>
      </c>
    </row>
    <row r="410" spans="1:11" hidden="1" x14ac:dyDescent="0.3">
      <c r="A410" s="21">
        <v>45114</v>
      </c>
      <c r="B410" t="s">
        <v>133</v>
      </c>
      <c r="C410" s="22"/>
      <c r="D410" s="23">
        <v>93.34</v>
      </c>
      <c r="E410" s="23">
        <v>0</v>
      </c>
      <c r="F410" s="23">
        <v>61835.11</v>
      </c>
      <c r="G410" s="22" t="s">
        <v>2406</v>
      </c>
      <c r="H410" s="22"/>
      <c r="I410" t="s">
        <v>2403</v>
      </c>
      <c r="K410" s="24">
        <f t="shared" si="7"/>
        <v>0</v>
      </c>
    </row>
    <row r="411" spans="1:11" hidden="1" x14ac:dyDescent="0.3">
      <c r="A411" s="21">
        <v>45114</v>
      </c>
      <c r="B411" t="s">
        <v>1321</v>
      </c>
      <c r="C411" s="22"/>
      <c r="D411" s="23">
        <v>0</v>
      </c>
      <c r="E411" s="23">
        <v>10.5</v>
      </c>
      <c r="F411" s="23">
        <v>117727.56</v>
      </c>
      <c r="G411" s="22" t="s">
        <v>2409</v>
      </c>
      <c r="H411" s="22"/>
      <c r="I411" t="s">
        <v>2400</v>
      </c>
      <c r="K411" s="24">
        <f t="shared" si="7"/>
        <v>-55881.95</v>
      </c>
    </row>
    <row r="412" spans="1:11" hidden="1" x14ac:dyDescent="0.3">
      <c r="A412" s="21">
        <v>45114</v>
      </c>
      <c r="B412" t="s">
        <v>1322</v>
      </c>
      <c r="C412" s="22" t="s">
        <v>1172</v>
      </c>
      <c r="D412" s="23">
        <v>40</v>
      </c>
      <c r="E412" s="23">
        <v>0</v>
      </c>
      <c r="F412" s="23">
        <v>117687.56</v>
      </c>
      <c r="G412" s="22" t="s">
        <v>2399</v>
      </c>
      <c r="H412" s="22"/>
      <c r="I412" t="s">
        <v>2400</v>
      </c>
      <c r="K412" s="24">
        <f t="shared" si="7"/>
        <v>0</v>
      </c>
    </row>
    <row r="413" spans="1:11" hidden="1" x14ac:dyDescent="0.3">
      <c r="A413" s="21">
        <v>45114</v>
      </c>
      <c r="B413" t="s">
        <v>1323</v>
      </c>
      <c r="C413" s="22" t="s">
        <v>1172</v>
      </c>
      <c r="D413" s="23">
        <v>50</v>
      </c>
      <c r="E413" s="23">
        <v>0</v>
      </c>
      <c r="F413" s="23">
        <v>117637.56</v>
      </c>
      <c r="G413" s="22" t="s">
        <v>2399</v>
      </c>
      <c r="H413" s="22"/>
      <c r="I413" t="s">
        <v>2400</v>
      </c>
      <c r="K413" s="24">
        <f t="shared" si="7"/>
        <v>0</v>
      </c>
    </row>
    <row r="414" spans="1:11" hidden="1" x14ac:dyDescent="0.3">
      <c r="A414" s="21">
        <v>45114</v>
      </c>
      <c r="B414" t="s">
        <v>1324</v>
      </c>
      <c r="C414" s="22" t="s">
        <v>1172</v>
      </c>
      <c r="D414" s="23">
        <v>20</v>
      </c>
      <c r="E414" s="23">
        <v>0</v>
      </c>
      <c r="F414" s="23">
        <v>117617.56</v>
      </c>
      <c r="G414" s="22" t="s">
        <v>2399</v>
      </c>
      <c r="H414" s="22"/>
      <c r="I414" t="s">
        <v>2400</v>
      </c>
      <c r="K414" s="24">
        <f t="shared" si="7"/>
        <v>0</v>
      </c>
    </row>
    <row r="415" spans="1:11" hidden="1" x14ac:dyDescent="0.3">
      <c r="A415" s="21">
        <v>45114</v>
      </c>
      <c r="B415" t="s">
        <v>1325</v>
      </c>
      <c r="C415" s="22" t="s">
        <v>1154</v>
      </c>
      <c r="D415" s="23">
        <v>20</v>
      </c>
      <c r="E415" s="23">
        <v>0</v>
      </c>
      <c r="F415" s="23">
        <v>117597.56</v>
      </c>
      <c r="G415" s="22" t="s">
        <v>2399</v>
      </c>
      <c r="H415" s="22"/>
      <c r="I415" t="s">
        <v>2400</v>
      </c>
      <c r="K415" s="24">
        <f t="shared" si="7"/>
        <v>0</v>
      </c>
    </row>
    <row r="416" spans="1:11" hidden="1" x14ac:dyDescent="0.3">
      <c r="A416" s="21">
        <v>45115</v>
      </c>
      <c r="B416" t="s">
        <v>1326</v>
      </c>
      <c r="C416" s="22" t="s">
        <v>1154</v>
      </c>
      <c r="D416" s="23">
        <v>50</v>
      </c>
      <c r="E416" s="23">
        <v>0</v>
      </c>
      <c r="F416" s="23">
        <v>117547.56</v>
      </c>
      <c r="G416" s="22" t="s">
        <v>2399</v>
      </c>
      <c r="H416" s="22"/>
      <c r="I416" t="s">
        <v>2400</v>
      </c>
      <c r="K416" s="24">
        <f t="shared" si="7"/>
        <v>0</v>
      </c>
    </row>
    <row r="417" spans="1:11" hidden="1" x14ac:dyDescent="0.3">
      <c r="A417" s="21">
        <v>45116</v>
      </c>
      <c r="B417" t="s">
        <v>1327</v>
      </c>
      <c r="C417" s="22" t="s">
        <v>1143</v>
      </c>
      <c r="D417" s="23">
        <v>85</v>
      </c>
      <c r="E417" s="23">
        <v>0</v>
      </c>
      <c r="F417" s="23">
        <v>117462.56</v>
      </c>
      <c r="G417" s="22" t="s">
        <v>2399</v>
      </c>
      <c r="H417" s="22"/>
      <c r="I417" t="s">
        <v>2400</v>
      </c>
      <c r="K417" s="24">
        <f t="shared" si="7"/>
        <v>0</v>
      </c>
    </row>
    <row r="418" spans="1:11" hidden="1" x14ac:dyDescent="0.3">
      <c r="A418" s="21">
        <v>45116</v>
      </c>
      <c r="B418" t="s">
        <v>1328</v>
      </c>
      <c r="C418" s="22" t="s">
        <v>1143</v>
      </c>
      <c r="D418" s="23">
        <v>65</v>
      </c>
      <c r="E418" s="23">
        <v>0</v>
      </c>
      <c r="F418" s="23">
        <v>117397.56</v>
      </c>
      <c r="G418" s="22" t="s">
        <v>2399</v>
      </c>
      <c r="H418" s="22"/>
      <c r="I418" t="s">
        <v>2400</v>
      </c>
      <c r="K418" s="24">
        <f t="shared" si="7"/>
        <v>0</v>
      </c>
    </row>
    <row r="419" spans="1:11" hidden="1" x14ac:dyDescent="0.3">
      <c r="A419" s="21">
        <v>45116</v>
      </c>
      <c r="B419" t="s">
        <v>1329</v>
      </c>
      <c r="C419" s="22" t="s">
        <v>1143</v>
      </c>
      <c r="D419" s="23">
        <v>110</v>
      </c>
      <c r="E419" s="23">
        <v>0</v>
      </c>
      <c r="F419" s="23">
        <v>117287.56</v>
      </c>
      <c r="G419" s="22" t="s">
        <v>2399</v>
      </c>
      <c r="H419" s="22"/>
      <c r="I419" t="s">
        <v>2400</v>
      </c>
      <c r="K419" s="24">
        <f t="shared" si="7"/>
        <v>0</v>
      </c>
    </row>
    <row r="420" spans="1:11" hidden="1" x14ac:dyDescent="0.3">
      <c r="A420" s="21">
        <v>45117</v>
      </c>
      <c r="B420" t="s">
        <v>133</v>
      </c>
      <c r="C420" s="22"/>
      <c r="D420" s="23">
        <v>350.67</v>
      </c>
      <c r="E420" s="23">
        <v>0</v>
      </c>
      <c r="F420" s="23">
        <v>61484.44</v>
      </c>
      <c r="G420" s="22" t="s">
        <v>2406</v>
      </c>
      <c r="H420" s="22"/>
      <c r="I420" t="s">
        <v>2403</v>
      </c>
      <c r="K420" s="24">
        <f t="shared" si="7"/>
        <v>55452.45</v>
      </c>
    </row>
    <row r="421" spans="1:11" hidden="1" x14ac:dyDescent="0.3">
      <c r="A421" s="21">
        <v>45117</v>
      </c>
      <c r="B421" t="s">
        <v>135</v>
      </c>
      <c r="C421" s="22"/>
      <c r="D421" s="23">
        <v>0</v>
      </c>
      <c r="E421" s="23">
        <v>46.46</v>
      </c>
      <c r="F421" s="23">
        <v>61530.9</v>
      </c>
      <c r="G421" s="22" t="s">
        <v>2406</v>
      </c>
      <c r="H421" s="22"/>
      <c r="I421" t="s">
        <v>2403</v>
      </c>
      <c r="K421" s="24">
        <f t="shared" si="7"/>
        <v>0</v>
      </c>
    </row>
    <row r="422" spans="1:11" hidden="1" x14ac:dyDescent="0.3">
      <c r="A422" s="21">
        <v>45117</v>
      </c>
      <c r="B422" t="s">
        <v>1330</v>
      </c>
      <c r="C422" s="22" t="s">
        <v>1191</v>
      </c>
      <c r="D422" s="23">
        <v>60</v>
      </c>
      <c r="E422" s="23">
        <v>0</v>
      </c>
      <c r="F422" s="23">
        <v>117227.56</v>
      </c>
      <c r="G422" s="22" t="s">
        <v>2399</v>
      </c>
      <c r="H422" s="22"/>
      <c r="I422" t="s">
        <v>2400</v>
      </c>
      <c r="K422" s="24">
        <f t="shared" si="7"/>
        <v>-55756.659999999996</v>
      </c>
    </row>
    <row r="423" spans="1:11" hidden="1" x14ac:dyDescent="0.3">
      <c r="A423" s="21">
        <v>45117</v>
      </c>
      <c r="B423" t="s">
        <v>1331</v>
      </c>
      <c r="C423" s="22" t="s">
        <v>1332</v>
      </c>
      <c r="D423" s="23">
        <v>0</v>
      </c>
      <c r="E423" s="23">
        <v>20</v>
      </c>
      <c r="F423" s="23">
        <v>117247.56</v>
      </c>
      <c r="G423" s="22" t="s">
        <v>2399</v>
      </c>
      <c r="H423" s="22"/>
      <c r="I423" t="s">
        <v>2400</v>
      </c>
      <c r="K423" s="24">
        <f t="shared" si="7"/>
        <v>0</v>
      </c>
    </row>
    <row r="424" spans="1:11" hidden="1" x14ac:dyDescent="0.3">
      <c r="A424" s="21">
        <v>45117</v>
      </c>
      <c r="B424" t="s">
        <v>1333</v>
      </c>
      <c r="C424" s="22" t="s">
        <v>1191</v>
      </c>
      <c r="D424" s="23">
        <v>20</v>
      </c>
      <c r="E424" s="23">
        <v>0</v>
      </c>
      <c r="F424" s="23">
        <v>117227.56</v>
      </c>
      <c r="G424" s="22" t="s">
        <v>2399</v>
      </c>
      <c r="H424" s="22"/>
      <c r="I424" t="s">
        <v>2400</v>
      </c>
      <c r="K424" s="24">
        <f t="shared" si="7"/>
        <v>0</v>
      </c>
    </row>
    <row r="425" spans="1:11" hidden="1" x14ac:dyDescent="0.3">
      <c r="A425" s="21">
        <v>45117</v>
      </c>
      <c r="B425" t="s">
        <v>1334</v>
      </c>
      <c r="C425" s="22" t="s">
        <v>1332</v>
      </c>
      <c r="D425" s="23">
        <v>0</v>
      </c>
      <c r="E425" s="23">
        <v>20</v>
      </c>
      <c r="F425" s="23">
        <v>117247.56</v>
      </c>
      <c r="G425" s="22" t="s">
        <v>2399</v>
      </c>
      <c r="H425" s="22"/>
      <c r="I425" t="s">
        <v>2400</v>
      </c>
      <c r="K425" s="24">
        <f t="shared" si="7"/>
        <v>0</v>
      </c>
    </row>
    <row r="426" spans="1:11" hidden="1" x14ac:dyDescent="0.3">
      <c r="A426" s="21">
        <v>45118</v>
      </c>
      <c r="B426" t="s">
        <v>154</v>
      </c>
      <c r="C426" s="22"/>
      <c r="D426" s="23">
        <v>3000</v>
      </c>
      <c r="E426" s="23">
        <v>0</v>
      </c>
      <c r="F426" s="23">
        <v>58530.9</v>
      </c>
      <c r="G426" s="22" t="s">
        <v>2418</v>
      </c>
      <c r="H426" s="22"/>
      <c r="I426" t="s">
        <v>2403</v>
      </c>
      <c r="K426" s="24">
        <f t="shared" si="7"/>
        <v>55716.659999999996</v>
      </c>
    </row>
    <row r="427" spans="1:11" hidden="1" x14ac:dyDescent="0.3">
      <c r="A427" s="21">
        <v>45118</v>
      </c>
      <c r="B427" t="s">
        <v>133</v>
      </c>
      <c r="C427" s="22"/>
      <c r="D427" s="23">
        <v>116.91</v>
      </c>
      <c r="E427" s="23">
        <v>0</v>
      </c>
      <c r="F427" s="23">
        <v>58413.99</v>
      </c>
      <c r="G427" s="22" t="s">
        <v>2406</v>
      </c>
      <c r="H427" s="22"/>
      <c r="I427" t="s">
        <v>2403</v>
      </c>
      <c r="K427" s="24">
        <f t="shared" si="7"/>
        <v>0</v>
      </c>
    </row>
    <row r="428" spans="1:11" hidden="1" x14ac:dyDescent="0.3">
      <c r="A428" s="21">
        <v>45118</v>
      </c>
      <c r="B428" t="s">
        <v>133</v>
      </c>
      <c r="C428" s="22"/>
      <c r="D428" s="23">
        <v>4256.2</v>
      </c>
      <c r="E428" s="23">
        <v>0</v>
      </c>
      <c r="F428" s="23">
        <v>54157.79</v>
      </c>
      <c r="G428" s="22" t="s">
        <v>2406</v>
      </c>
      <c r="H428" s="22"/>
      <c r="I428" t="s">
        <v>2403</v>
      </c>
      <c r="K428" s="24">
        <f t="shared" si="7"/>
        <v>0</v>
      </c>
    </row>
    <row r="429" spans="1:11" hidden="1" x14ac:dyDescent="0.3">
      <c r="A429" s="21">
        <v>45118</v>
      </c>
      <c r="B429" t="s">
        <v>135</v>
      </c>
      <c r="C429" s="22"/>
      <c r="D429" s="23">
        <v>0</v>
      </c>
      <c r="E429" s="23">
        <v>39.450000000000003</v>
      </c>
      <c r="F429" s="23">
        <v>54197.24</v>
      </c>
      <c r="G429" s="22" t="s">
        <v>2406</v>
      </c>
      <c r="H429" s="22"/>
      <c r="I429" t="s">
        <v>2403</v>
      </c>
      <c r="K429" s="24">
        <f t="shared" si="7"/>
        <v>0</v>
      </c>
    </row>
    <row r="430" spans="1:11" hidden="1" x14ac:dyDescent="0.3">
      <c r="A430" s="21">
        <v>45118</v>
      </c>
      <c r="B430" t="s">
        <v>133</v>
      </c>
      <c r="C430" s="22"/>
      <c r="D430" s="23">
        <v>5462.73</v>
      </c>
      <c r="E430" s="23">
        <v>0</v>
      </c>
      <c r="F430" s="23">
        <v>48734.51</v>
      </c>
      <c r="G430" s="22" t="s">
        <v>2406</v>
      </c>
      <c r="H430" s="22"/>
      <c r="I430" t="s">
        <v>2403</v>
      </c>
      <c r="K430" s="24">
        <f t="shared" si="7"/>
        <v>0</v>
      </c>
    </row>
    <row r="431" spans="1:11" hidden="1" x14ac:dyDescent="0.3">
      <c r="A431" s="21">
        <v>45118</v>
      </c>
      <c r="B431" t="s">
        <v>135</v>
      </c>
      <c r="C431" s="22"/>
      <c r="D431" s="23">
        <v>0</v>
      </c>
      <c r="E431" s="23">
        <v>5462.73</v>
      </c>
      <c r="F431" s="23">
        <v>54197.24</v>
      </c>
      <c r="G431" s="22" t="s">
        <v>2406</v>
      </c>
      <c r="H431" s="22"/>
      <c r="I431" t="s">
        <v>2403</v>
      </c>
      <c r="K431" s="24">
        <f t="shared" si="7"/>
        <v>0</v>
      </c>
    </row>
    <row r="432" spans="1:11" hidden="1" x14ac:dyDescent="0.3">
      <c r="A432" s="21">
        <v>45118</v>
      </c>
      <c r="B432" t="s">
        <v>1335</v>
      </c>
      <c r="C432" s="22" t="s">
        <v>1161</v>
      </c>
      <c r="D432" s="23">
        <v>70</v>
      </c>
      <c r="E432" s="23">
        <v>0</v>
      </c>
      <c r="F432" s="23">
        <v>117177.56</v>
      </c>
      <c r="G432" s="22" t="s">
        <v>2399</v>
      </c>
      <c r="H432" s="22"/>
      <c r="I432" t="s">
        <v>2400</v>
      </c>
      <c r="K432" s="24">
        <f t="shared" si="7"/>
        <v>-63050.32</v>
      </c>
    </row>
    <row r="433" spans="1:11" hidden="1" x14ac:dyDescent="0.3">
      <c r="A433" s="21">
        <v>45118</v>
      </c>
      <c r="B433" t="s">
        <v>1336</v>
      </c>
      <c r="C433" s="22" t="s">
        <v>1146</v>
      </c>
      <c r="D433" s="23">
        <v>0</v>
      </c>
      <c r="E433" s="23">
        <v>40</v>
      </c>
      <c r="F433" s="23">
        <v>117217.56</v>
      </c>
      <c r="G433" s="22" t="s">
        <v>2399</v>
      </c>
      <c r="H433" s="22"/>
      <c r="I433" t="s">
        <v>2400</v>
      </c>
      <c r="K433" s="24">
        <f t="shared" si="7"/>
        <v>0</v>
      </c>
    </row>
    <row r="434" spans="1:11" hidden="1" x14ac:dyDescent="0.3">
      <c r="A434" s="21">
        <v>45118</v>
      </c>
      <c r="B434" t="s">
        <v>1337</v>
      </c>
      <c r="C434" s="22" t="s">
        <v>1161</v>
      </c>
      <c r="D434" s="23">
        <v>170</v>
      </c>
      <c r="E434" s="23">
        <v>0</v>
      </c>
      <c r="F434" s="23">
        <v>117047.56</v>
      </c>
      <c r="G434" s="22" t="s">
        <v>2399</v>
      </c>
      <c r="H434" s="22"/>
      <c r="I434" t="s">
        <v>2400</v>
      </c>
      <c r="K434" s="24">
        <f t="shared" si="7"/>
        <v>0</v>
      </c>
    </row>
    <row r="435" spans="1:11" hidden="1" x14ac:dyDescent="0.3">
      <c r="A435" s="21">
        <v>45119</v>
      </c>
      <c r="B435" t="s">
        <v>133</v>
      </c>
      <c r="C435" s="22"/>
      <c r="D435" s="23">
        <v>116.93</v>
      </c>
      <c r="E435" s="23">
        <v>0</v>
      </c>
      <c r="F435" s="23">
        <v>54080.31</v>
      </c>
      <c r="G435" s="22" t="s">
        <v>2406</v>
      </c>
      <c r="H435" s="22"/>
      <c r="I435" t="s">
        <v>2403</v>
      </c>
      <c r="K435" s="24">
        <f t="shared" si="7"/>
        <v>62850.320000000007</v>
      </c>
    </row>
    <row r="436" spans="1:11" hidden="1" x14ac:dyDescent="0.3">
      <c r="A436" s="21">
        <v>45119</v>
      </c>
      <c r="B436" t="s">
        <v>133</v>
      </c>
      <c r="C436" s="22"/>
      <c r="D436" s="23">
        <v>24846.959999999999</v>
      </c>
      <c r="E436" s="23">
        <v>0</v>
      </c>
      <c r="F436" s="23">
        <v>29233.35</v>
      </c>
      <c r="G436" s="22" t="s">
        <v>2406</v>
      </c>
      <c r="H436" s="22"/>
      <c r="I436" t="s">
        <v>2403</v>
      </c>
      <c r="K436" s="24">
        <f t="shared" si="7"/>
        <v>0</v>
      </c>
    </row>
    <row r="437" spans="1:11" hidden="1" x14ac:dyDescent="0.3">
      <c r="A437" s="21">
        <v>45119</v>
      </c>
      <c r="B437" t="s">
        <v>135</v>
      </c>
      <c r="C437" s="22"/>
      <c r="D437" s="23">
        <v>0</v>
      </c>
      <c r="E437" s="23">
        <v>31.55</v>
      </c>
      <c r="F437" s="23">
        <v>29264.9</v>
      </c>
      <c r="G437" s="22" t="s">
        <v>2406</v>
      </c>
      <c r="H437" s="22"/>
      <c r="I437" t="s">
        <v>2403</v>
      </c>
      <c r="K437" s="24">
        <f t="shared" si="7"/>
        <v>0</v>
      </c>
    </row>
    <row r="438" spans="1:11" hidden="1" x14ac:dyDescent="0.3">
      <c r="A438" s="21">
        <v>45119</v>
      </c>
      <c r="B438" t="s">
        <v>1338</v>
      </c>
      <c r="C438" s="22" t="s">
        <v>1148</v>
      </c>
      <c r="D438" s="23">
        <v>40</v>
      </c>
      <c r="E438" s="23">
        <v>0</v>
      </c>
      <c r="F438" s="23">
        <v>117007.56</v>
      </c>
      <c r="G438" s="22" t="s">
        <v>2399</v>
      </c>
      <c r="H438" s="22"/>
      <c r="I438" t="s">
        <v>2400</v>
      </c>
      <c r="K438" s="24">
        <f t="shared" si="7"/>
        <v>-87782.66</v>
      </c>
    </row>
    <row r="439" spans="1:11" hidden="1" x14ac:dyDescent="0.3">
      <c r="A439" s="21">
        <v>45119</v>
      </c>
      <c r="B439" t="s">
        <v>1339</v>
      </c>
      <c r="C439" s="22" t="s">
        <v>1148</v>
      </c>
      <c r="D439" s="23">
        <v>20</v>
      </c>
      <c r="E439" s="23">
        <v>0</v>
      </c>
      <c r="F439" s="23">
        <v>116987.56</v>
      </c>
      <c r="G439" s="22" t="s">
        <v>2399</v>
      </c>
      <c r="H439" s="22"/>
      <c r="I439" t="s">
        <v>2400</v>
      </c>
      <c r="K439" s="24">
        <f t="shared" si="7"/>
        <v>0</v>
      </c>
    </row>
    <row r="440" spans="1:11" hidden="1" x14ac:dyDescent="0.3">
      <c r="A440" s="21">
        <v>45120</v>
      </c>
      <c r="B440" t="s">
        <v>133</v>
      </c>
      <c r="C440" s="22"/>
      <c r="D440" s="23">
        <v>116.94</v>
      </c>
      <c r="E440" s="23">
        <v>0</v>
      </c>
      <c r="F440" s="23">
        <v>29147.96</v>
      </c>
      <c r="G440" s="22" t="s">
        <v>2406</v>
      </c>
      <c r="H440" s="22"/>
      <c r="I440" t="s">
        <v>2403</v>
      </c>
      <c r="K440" s="24">
        <f t="shared" si="7"/>
        <v>87722.66</v>
      </c>
    </row>
    <row r="441" spans="1:11" hidden="1" x14ac:dyDescent="0.3">
      <c r="A441" s="21">
        <v>45120</v>
      </c>
      <c r="B441" t="s">
        <v>135</v>
      </c>
      <c r="C441" s="22"/>
      <c r="D441" s="23">
        <v>0</v>
      </c>
      <c r="E441" s="23">
        <v>0.41</v>
      </c>
      <c r="F441" s="23">
        <v>29148.37</v>
      </c>
      <c r="G441" s="22" t="s">
        <v>2406</v>
      </c>
      <c r="H441" s="22"/>
      <c r="I441" t="s">
        <v>2403</v>
      </c>
      <c r="K441" s="24">
        <f t="shared" si="7"/>
        <v>0</v>
      </c>
    </row>
    <row r="442" spans="1:11" hidden="1" x14ac:dyDescent="0.3">
      <c r="A442" s="21">
        <v>45120</v>
      </c>
      <c r="B442" t="s">
        <v>1340</v>
      </c>
      <c r="C442" s="22" t="s">
        <v>1152</v>
      </c>
      <c r="D442" s="23">
        <v>20</v>
      </c>
      <c r="E442" s="23">
        <v>0</v>
      </c>
      <c r="F442" s="23">
        <v>116967.56</v>
      </c>
      <c r="G442" s="22" t="s">
        <v>2399</v>
      </c>
      <c r="H442" s="22"/>
      <c r="I442" t="s">
        <v>2400</v>
      </c>
      <c r="K442" s="24">
        <f t="shared" si="7"/>
        <v>-87839.19</v>
      </c>
    </row>
    <row r="443" spans="1:11" hidden="1" x14ac:dyDescent="0.3">
      <c r="A443" s="21">
        <v>45120</v>
      </c>
      <c r="B443" t="s">
        <v>1341</v>
      </c>
      <c r="C443" s="22" t="s">
        <v>1181</v>
      </c>
      <c r="D443" s="23">
        <v>0</v>
      </c>
      <c r="E443" s="23">
        <v>60</v>
      </c>
      <c r="F443" s="23">
        <v>117027.56</v>
      </c>
      <c r="G443" s="22" t="s">
        <v>2399</v>
      </c>
      <c r="H443" s="22"/>
      <c r="I443" t="s">
        <v>2400</v>
      </c>
      <c r="K443" s="24">
        <f t="shared" si="7"/>
        <v>0</v>
      </c>
    </row>
    <row r="444" spans="1:11" hidden="1" x14ac:dyDescent="0.3">
      <c r="A444" s="21">
        <v>45121</v>
      </c>
      <c r="B444" t="s">
        <v>204</v>
      </c>
      <c r="C444" s="22"/>
      <c r="D444" s="23">
        <v>3000</v>
      </c>
      <c r="E444" s="23">
        <v>0</v>
      </c>
      <c r="F444" s="23">
        <v>26148.37</v>
      </c>
      <c r="G444" s="22" t="s">
        <v>2418</v>
      </c>
      <c r="H444" s="22"/>
      <c r="I444" t="s">
        <v>2403</v>
      </c>
      <c r="K444" s="24">
        <f t="shared" si="7"/>
        <v>87879.19</v>
      </c>
    </row>
    <row r="445" spans="1:11" hidden="1" x14ac:dyDescent="0.3">
      <c r="A445" s="21">
        <v>45121</v>
      </c>
      <c r="B445" t="s">
        <v>133</v>
      </c>
      <c r="C445" s="22"/>
      <c r="D445" s="23">
        <v>116.94</v>
      </c>
      <c r="E445" s="23">
        <v>0</v>
      </c>
      <c r="F445" s="23">
        <v>26031.43</v>
      </c>
      <c r="G445" s="22" t="s">
        <v>2406</v>
      </c>
      <c r="H445" s="22"/>
      <c r="I445" t="s">
        <v>2403</v>
      </c>
      <c r="K445" s="24">
        <f t="shared" si="7"/>
        <v>0</v>
      </c>
    </row>
    <row r="446" spans="1:11" hidden="1" x14ac:dyDescent="0.3">
      <c r="A446" s="21">
        <v>45121</v>
      </c>
      <c r="B446" t="s">
        <v>133</v>
      </c>
      <c r="C446" s="22"/>
      <c r="D446" s="23">
        <v>134.57</v>
      </c>
      <c r="E446" s="23">
        <v>0</v>
      </c>
      <c r="F446" s="23">
        <v>25896.86</v>
      </c>
      <c r="G446" s="22" t="s">
        <v>2406</v>
      </c>
      <c r="H446" s="22"/>
      <c r="I446" t="s">
        <v>2403</v>
      </c>
      <c r="K446" s="24">
        <f t="shared" si="7"/>
        <v>0</v>
      </c>
    </row>
    <row r="447" spans="1:11" hidden="1" x14ac:dyDescent="0.3">
      <c r="A447" s="21">
        <v>45121</v>
      </c>
      <c r="B447" t="s">
        <v>1342</v>
      </c>
      <c r="C447" s="22" t="s">
        <v>1172</v>
      </c>
      <c r="D447" s="23">
        <v>50</v>
      </c>
      <c r="E447" s="23">
        <v>0</v>
      </c>
      <c r="F447" s="23">
        <v>116977.56</v>
      </c>
      <c r="G447" s="22" t="s">
        <v>2399</v>
      </c>
      <c r="H447" s="22"/>
      <c r="I447" t="s">
        <v>2400</v>
      </c>
      <c r="K447" s="24">
        <f t="shared" si="7"/>
        <v>-91130.7</v>
      </c>
    </row>
    <row r="448" spans="1:11" hidden="1" x14ac:dyDescent="0.3">
      <c r="A448" s="21">
        <v>45121</v>
      </c>
      <c r="B448" t="s">
        <v>1343</v>
      </c>
      <c r="C448" s="22" t="s">
        <v>1172</v>
      </c>
      <c r="D448" s="23">
        <v>10</v>
      </c>
      <c r="E448" s="23">
        <v>0</v>
      </c>
      <c r="F448" s="23">
        <v>116967.56</v>
      </c>
      <c r="G448" s="22" t="s">
        <v>2399</v>
      </c>
      <c r="H448" s="22"/>
      <c r="I448" t="s">
        <v>2400</v>
      </c>
      <c r="K448" s="24">
        <f t="shared" si="7"/>
        <v>0</v>
      </c>
    </row>
    <row r="449" spans="1:11" hidden="1" x14ac:dyDescent="0.3">
      <c r="A449" s="21">
        <v>45121</v>
      </c>
      <c r="B449" t="s">
        <v>1344</v>
      </c>
      <c r="C449" s="22" t="s">
        <v>1172</v>
      </c>
      <c r="D449" s="23">
        <v>60</v>
      </c>
      <c r="E449" s="23">
        <v>0</v>
      </c>
      <c r="F449" s="23">
        <v>116907.56</v>
      </c>
      <c r="G449" s="22" t="s">
        <v>2399</v>
      </c>
      <c r="H449" s="22"/>
      <c r="I449" t="s">
        <v>2400</v>
      </c>
      <c r="K449" s="24">
        <f t="shared" si="7"/>
        <v>0</v>
      </c>
    </row>
    <row r="450" spans="1:11" hidden="1" x14ac:dyDescent="0.3">
      <c r="A450" s="21">
        <v>45121</v>
      </c>
      <c r="B450" t="s">
        <v>1345</v>
      </c>
      <c r="C450" s="22" t="s">
        <v>1172</v>
      </c>
      <c r="D450" s="23">
        <v>80</v>
      </c>
      <c r="E450" s="23">
        <v>0</v>
      </c>
      <c r="F450" s="23">
        <v>116827.56</v>
      </c>
      <c r="G450" s="22" t="s">
        <v>2399</v>
      </c>
      <c r="H450" s="22"/>
      <c r="I450" t="s">
        <v>2400</v>
      </c>
      <c r="K450" s="24">
        <f t="shared" si="7"/>
        <v>0</v>
      </c>
    </row>
    <row r="451" spans="1:11" hidden="1" x14ac:dyDescent="0.3">
      <c r="A451" s="21">
        <v>45121</v>
      </c>
      <c r="B451" t="s">
        <v>1346</v>
      </c>
      <c r="C451" s="22" t="s">
        <v>1172</v>
      </c>
      <c r="D451" s="23">
        <v>40</v>
      </c>
      <c r="E451" s="23">
        <v>0</v>
      </c>
      <c r="F451" s="23">
        <v>116787.56</v>
      </c>
      <c r="G451" s="22" t="s">
        <v>2399</v>
      </c>
      <c r="H451" s="22"/>
      <c r="I451" t="s">
        <v>2400</v>
      </c>
      <c r="K451" s="24">
        <f t="shared" si="7"/>
        <v>0</v>
      </c>
    </row>
    <row r="452" spans="1:11" hidden="1" x14ac:dyDescent="0.3">
      <c r="A452" s="21">
        <v>45121</v>
      </c>
      <c r="B452" t="s">
        <v>1347</v>
      </c>
      <c r="C452" s="22" t="s">
        <v>1172</v>
      </c>
      <c r="D452" s="23">
        <v>800</v>
      </c>
      <c r="E452" s="23">
        <v>0</v>
      </c>
      <c r="F452" s="23">
        <v>115987.56</v>
      </c>
      <c r="G452" s="22" t="s">
        <v>2399</v>
      </c>
      <c r="H452" s="22"/>
      <c r="I452" t="s">
        <v>2400</v>
      </c>
      <c r="K452" s="24">
        <f t="shared" si="7"/>
        <v>0</v>
      </c>
    </row>
    <row r="453" spans="1:11" hidden="1" x14ac:dyDescent="0.3">
      <c r="A453" s="21">
        <v>45122</v>
      </c>
      <c r="B453" t="s">
        <v>1348</v>
      </c>
      <c r="C453" s="22" t="s">
        <v>1154</v>
      </c>
      <c r="D453" s="23">
        <v>40</v>
      </c>
      <c r="E453" s="23">
        <v>0</v>
      </c>
      <c r="F453" s="23">
        <v>115947.56</v>
      </c>
      <c r="G453" s="22" t="s">
        <v>2399</v>
      </c>
      <c r="H453" s="22"/>
      <c r="I453" t="s">
        <v>2400</v>
      </c>
      <c r="K453" s="24">
        <f t="shared" si="7"/>
        <v>0</v>
      </c>
    </row>
    <row r="454" spans="1:11" hidden="1" x14ac:dyDescent="0.3">
      <c r="A454" s="21">
        <v>45122</v>
      </c>
      <c r="B454" t="s">
        <v>1349</v>
      </c>
      <c r="C454" s="22" t="s">
        <v>1154</v>
      </c>
      <c r="D454" s="23">
        <v>300</v>
      </c>
      <c r="E454" s="23">
        <v>0</v>
      </c>
      <c r="F454" s="23">
        <v>115647.56</v>
      </c>
      <c r="G454" s="22" t="s">
        <v>2399</v>
      </c>
      <c r="H454" s="22"/>
      <c r="I454" t="s">
        <v>2400</v>
      </c>
      <c r="K454" s="24">
        <f t="shared" ref="K454:K517" si="8">F453-D454+E454-F454</f>
        <v>0</v>
      </c>
    </row>
    <row r="455" spans="1:11" hidden="1" x14ac:dyDescent="0.3">
      <c r="A455" s="21">
        <v>45122</v>
      </c>
      <c r="B455" t="s">
        <v>1350</v>
      </c>
      <c r="C455" s="22" t="s">
        <v>1154</v>
      </c>
      <c r="D455" s="23">
        <v>30</v>
      </c>
      <c r="E455" s="23">
        <v>0</v>
      </c>
      <c r="F455" s="23">
        <v>115617.56</v>
      </c>
      <c r="G455" s="22" t="s">
        <v>2399</v>
      </c>
      <c r="H455" s="22"/>
      <c r="I455" t="s">
        <v>2400</v>
      </c>
      <c r="K455" s="24">
        <f t="shared" si="8"/>
        <v>0</v>
      </c>
    </row>
    <row r="456" spans="1:11" hidden="1" x14ac:dyDescent="0.3">
      <c r="A456" s="21">
        <v>45123</v>
      </c>
      <c r="B456" t="s">
        <v>1351</v>
      </c>
      <c r="C456" s="22" t="s">
        <v>1143</v>
      </c>
      <c r="D456" s="23">
        <v>460</v>
      </c>
      <c r="E456" s="23">
        <v>0</v>
      </c>
      <c r="F456" s="23">
        <v>115157.56</v>
      </c>
      <c r="G456" s="22" t="s">
        <v>2399</v>
      </c>
      <c r="H456" s="22"/>
      <c r="I456" t="s">
        <v>2400</v>
      </c>
      <c r="K456" s="24">
        <f t="shared" si="8"/>
        <v>0</v>
      </c>
    </row>
    <row r="457" spans="1:11" hidden="1" x14ac:dyDescent="0.3">
      <c r="A457" s="21">
        <v>45123</v>
      </c>
      <c r="B457" t="s">
        <v>1352</v>
      </c>
      <c r="C457" s="22" t="s">
        <v>1143</v>
      </c>
      <c r="D457" s="23">
        <v>400</v>
      </c>
      <c r="E457" s="23">
        <v>0</v>
      </c>
      <c r="F457" s="23">
        <v>114757.56</v>
      </c>
      <c r="G457" s="22" t="s">
        <v>2399</v>
      </c>
      <c r="H457" s="22"/>
      <c r="I457" t="s">
        <v>2400</v>
      </c>
      <c r="K457" s="24">
        <f t="shared" si="8"/>
        <v>0</v>
      </c>
    </row>
    <row r="458" spans="1:11" hidden="1" x14ac:dyDescent="0.3">
      <c r="A458" s="21">
        <v>45123</v>
      </c>
      <c r="B458" t="s">
        <v>1353</v>
      </c>
      <c r="C458" s="22" t="s">
        <v>1143</v>
      </c>
      <c r="D458" s="23">
        <v>30</v>
      </c>
      <c r="E458" s="23">
        <v>0</v>
      </c>
      <c r="F458" s="23">
        <v>114727.56</v>
      </c>
      <c r="G458" s="22" t="s">
        <v>2399</v>
      </c>
      <c r="H458" s="22"/>
      <c r="I458" t="s">
        <v>2400</v>
      </c>
      <c r="K458" s="24">
        <f t="shared" si="8"/>
        <v>0</v>
      </c>
    </row>
    <row r="459" spans="1:11" hidden="1" x14ac:dyDescent="0.3">
      <c r="A459" s="21">
        <v>45123</v>
      </c>
      <c r="B459" t="s">
        <v>1354</v>
      </c>
      <c r="C459" s="22" t="s">
        <v>1143</v>
      </c>
      <c r="D459" s="23">
        <v>50</v>
      </c>
      <c r="E459" s="23">
        <v>0</v>
      </c>
      <c r="F459" s="23">
        <v>114677.56</v>
      </c>
      <c r="G459" s="22" t="s">
        <v>2399</v>
      </c>
      <c r="H459" s="22"/>
      <c r="I459" t="s">
        <v>2400</v>
      </c>
      <c r="K459" s="24">
        <f t="shared" si="8"/>
        <v>0</v>
      </c>
    </row>
    <row r="460" spans="1:11" hidden="1" x14ac:dyDescent="0.3">
      <c r="A460" s="21">
        <v>45123</v>
      </c>
      <c r="B460" t="s">
        <v>1355</v>
      </c>
      <c r="C460" s="22" t="s">
        <v>1143</v>
      </c>
      <c r="D460" s="23">
        <v>250</v>
      </c>
      <c r="E460" s="23">
        <v>0</v>
      </c>
      <c r="F460" s="23">
        <v>114427.56</v>
      </c>
      <c r="G460" s="22" t="s">
        <v>2399</v>
      </c>
      <c r="H460" s="22"/>
      <c r="I460" t="s">
        <v>2400</v>
      </c>
      <c r="K460" s="24">
        <f t="shared" si="8"/>
        <v>0</v>
      </c>
    </row>
    <row r="461" spans="1:11" hidden="1" x14ac:dyDescent="0.3">
      <c r="A461" s="21">
        <v>45123</v>
      </c>
      <c r="B461" t="s">
        <v>1356</v>
      </c>
      <c r="C461" s="22" t="s">
        <v>1208</v>
      </c>
      <c r="D461" s="23">
        <v>0</v>
      </c>
      <c r="E461" s="23">
        <v>6</v>
      </c>
      <c r="F461" s="23">
        <v>114433.56</v>
      </c>
      <c r="G461" s="22" t="s">
        <v>2399</v>
      </c>
      <c r="H461" s="22"/>
      <c r="I461" t="s">
        <v>2400</v>
      </c>
      <c r="K461" s="24">
        <f t="shared" si="8"/>
        <v>0</v>
      </c>
    </row>
    <row r="462" spans="1:11" hidden="1" x14ac:dyDescent="0.3">
      <c r="A462" s="21">
        <v>45123</v>
      </c>
      <c r="B462" t="s">
        <v>1357</v>
      </c>
      <c r="C462" s="22" t="s">
        <v>1143</v>
      </c>
      <c r="D462" s="23">
        <v>20</v>
      </c>
      <c r="E462" s="23">
        <v>0</v>
      </c>
      <c r="F462" s="23">
        <v>114413.56</v>
      </c>
      <c r="G462" s="22" t="s">
        <v>2399</v>
      </c>
      <c r="H462" s="22"/>
      <c r="I462" t="s">
        <v>2400</v>
      </c>
      <c r="K462" s="24">
        <f t="shared" si="8"/>
        <v>0</v>
      </c>
    </row>
    <row r="463" spans="1:11" hidden="1" x14ac:dyDescent="0.3">
      <c r="A463" s="21">
        <v>45124</v>
      </c>
      <c r="B463" t="s">
        <v>154</v>
      </c>
      <c r="C463" s="22"/>
      <c r="D463" s="23">
        <v>2500</v>
      </c>
      <c r="E463" s="23">
        <v>0</v>
      </c>
      <c r="F463" s="23">
        <v>23396.86</v>
      </c>
      <c r="G463" s="22" t="s">
        <v>2413</v>
      </c>
      <c r="H463" s="22"/>
      <c r="I463" t="s">
        <v>2403</v>
      </c>
      <c r="K463" s="24">
        <f t="shared" si="8"/>
        <v>88516.7</v>
      </c>
    </row>
    <row r="464" spans="1:11" hidden="1" x14ac:dyDescent="0.3">
      <c r="A464" s="21">
        <v>45124</v>
      </c>
      <c r="B464" t="s">
        <v>133</v>
      </c>
      <c r="C464" s="22"/>
      <c r="D464" s="23">
        <v>350.64</v>
      </c>
      <c r="E464" s="23">
        <v>0</v>
      </c>
      <c r="F464" s="23">
        <v>23046.22</v>
      </c>
      <c r="G464" s="22" t="s">
        <v>2406</v>
      </c>
      <c r="H464" s="22"/>
      <c r="I464" t="s">
        <v>2403</v>
      </c>
      <c r="K464" s="24">
        <f t="shared" si="8"/>
        <v>0</v>
      </c>
    </row>
    <row r="465" spans="1:11" hidden="1" x14ac:dyDescent="0.3">
      <c r="A465" s="21">
        <v>45124</v>
      </c>
      <c r="B465" t="s">
        <v>135</v>
      </c>
      <c r="C465" s="22"/>
      <c r="D465" s="23">
        <v>0</v>
      </c>
      <c r="E465" s="23">
        <v>343.96</v>
      </c>
      <c r="F465" s="23">
        <v>23390.18</v>
      </c>
      <c r="G465" s="22" t="s">
        <v>2406</v>
      </c>
      <c r="H465" s="22"/>
      <c r="I465" t="s">
        <v>2403</v>
      </c>
      <c r="K465" s="24">
        <f t="shared" si="8"/>
        <v>0</v>
      </c>
    </row>
    <row r="466" spans="1:11" hidden="1" x14ac:dyDescent="0.3">
      <c r="A466" s="21">
        <v>45124</v>
      </c>
      <c r="B466" t="s">
        <v>135</v>
      </c>
      <c r="C466" s="22"/>
      <c r="D466" s="23">
        <v>0</v>
      </c>
      <c r="E466" s="23">
        <v>5658.17</v>
      </c>
      <c r="F466" s="23">
        <v>29048.35</v>
      </c>
      <c r="G466" s="22" t="s">
        <v>2406</v>
      </c>
      <c r="H466" s="22"/>
      <c r="I466" t="s">
        <v>2403</v>
      </c>
      <c r="K466" s="24">
        <f t="shared" si="8"/>
        <v>0</v>
      </c>
    </row>
    <row r="467" spans="1:11" hidden="1" x14ac:dyDescent="0.3">
      <c r="A467" s="21">
        <v>45124</v>
      </c>
      <c r="B467" t="s">
        <v>1358</v>
      </c>
      <c r="C467" s="22" t="s">
        <v>1191</v>
      </c>
      <c r="D467" s="23">
        <v>20</v>
      </c>
      <c r="E467" s="23">
        <v>0</v>
      </c>
      <c r="F467" s="23">
        <v>114393.56</v>
      </c>
      <c r="G467" s="22" t="s">
        <v>2399</v>
      </c>
      <c r="H467" s="22"/>
      <c r="I467" t="s">
        <v>2400</v>
      </c>
      <c r="K467" s="24">
        <f t="shared" si="8"/>
        <v>-85365.209999999992</v>
      </c>
    </row>
    <row r="468" spans="1:11" hidden="1" x14ac:dyDescent="0.3">
      <c r="A468" s="21">
        <v>45124</v>
      </c>
      <c r="B468" t="s">
        <v>1359</v>
      </c>
      <c r="C468" s="22" t="s">
        <v>1191</v>
      </c>
      <c r="D468" s="23">
        <v>40</v>
      </c>
      <c r="E468" s="23">
        <v>0</v>
      </c>
      <c r="F468" s="23">
        <v>114353.56</v>
      </c>
      <c r="G468" s="22" t="s">
        <v>2399</v>
      </c>
      <c r="H468" s="22"/>
      <c r="I468" t="s">
        <v>2400</v>
      </c>
      <c r="K468" s="24">
        <f t="shared" si="8"/>
        <v>0</v>
      </c>
    </row>
    <row r="469" spans="1:11" hidden="1" x14ac:dyDescent="0.3">
      <c r="A469" s="21">
        <v>45124</v>
      </c>
      <c r="B469" t="s">
        <v>1360</v>
      </c>
      <c r="C469" s="22" t="s">
        <v>1191</v>
      </c>
      <c r="D469" s="23">
        <v>20</v>
      </c>
      <c r="E469" s="23">
        <v>0</v>
      </c>
      <c r="F469" s="23">
        <v>114333.56</v>
      </c>
      <c r="G469" s="22" t="s">
        <v>2399</v>
      </c>
      <c r="H469" s="22"/>
      <c r="I469" t="s">
        <v>2400</v>
      </c>
      <c r="K469" s="24">
        <f t="shared" si="8"/>
        <v>0</v>
      </c>
    </row>
    <row r="470" spans="1:11" hidden="1" x14ac:dyDescent="0.3">
      <c r="A470" s="21">
        <v>45125</v>
      </c>
      <c r="B470" t="s">
        <v>133</v>
      </c>
      <c r="C470" s="22"/>
      <c r="D470" s="23">
        <v>117.05</v>
      </c>
      <c r="E470" s="23">
        <v>0</v>
      </c>
      <c r="F470" s="23">
        <v>28931.3</v>
      </c>
      <c r="G470" s="22" t="s">
        <v>2406</v>
      </c>
      <c r="H470" s="22"/>
      <c r="I470" t="s">
        <v>2403</v>
      </c>
      <c r="K470" s="24">
        <f t="shared" si="8"/>
        <v>85285.209999999992</v>
      </c>
    </row>
    <row r="471" spans="1:11" hidden="1" x14ac:dyDescent="0.3">
      <c r="A471" s="21">
        <v>45125</v>
      </c>
      <c r="B471" t="s">
        <v>390</v>
      </c>
      <c r="C471" s="22"/>
      <c r="D471" s="23">
        <v>406.16</v>
      </c>
      <c r="E471" s="23">
        <v>0</v>
      </c>
      <c r="F471" s="23">
        <v>28525.14</v>
      </c>
      <c r="G471" s="22" t="s">
        <v>2410</v>
      </c>
      <c r="H471" s="22"/>
      <c r="I471" t="s">
        <v>2403</v>
      </c>
      <c r="K471" s="24">
        <f t="shared" si="8"/>
        <v>0</v>
      </c>
    </row>
    <row r="472" spans="1:11" hidden="1" x14ac:dyDescent="0.3">
      <c r="A472" s="21">
        <v>45125</v>
      </c>
      <c r="B472" t="s">
        <v>391</v>
      </c>
      <c r="C472" s="22"/>
      <c r="D472" s="23">
        <v>7.08</v>
      </c>
      <c r="E472" s="23">
        <v>0</v>
      </c>
      <c r="F472" s="23">
        <v>28518.06</v>
      </c>
      <c r="G472" s="22" t="s">
        <v>2415</v>
      </c>
      <c r="H472" s="22"/>
      <c r="I472" t="s">
        <v>2403</v>
      </c>
      <c r="K472" s="24">
        <f t="shared" si="8"/>
        <v>0</v>
      </c>
    </row>
    <row r="473" spans="1:11" hidden="1" x14ac:dyDescent="0.3">
      <c r="A473" s="21">
        <v>45125</v>
      </c>
      <c r="B473" t="s">
        <v>135</v>
      </c>
      <c r="C473" s="22"/>
      <c r="D473" s="23">
        <v>0</v>
      </c>
      <c r="E473" s="23">
        <v>2937.29</v>
      </c>
      <c r="F473" s="23">
        <v>31455.35</v>
      </c>
      <c r="G473" s="22" t="s">
        <v>2406</v>
      </c>
      <c r="H473" s="22"/>
      <c r="I473" t="s">
        <v>2403</v>
      </c>
      <c r="K473" s="24">
        <f t="shared" si="8"/>
        <v>0</v>
      </c>
    </row>
    <row r="474" spans="1:11" hidden="1" x14ac:dyDescent="0.3">
      <c r="A474" s="21">
        <v>45125</v>
      </c>
      <c r="B474" t="s">
        <v>1361</v>
      </c>
      <c r="C474" s="22" t="s">
        <v>1161</v>
      </c>
      <c r="D474" s="23">
        <v>150</v>
      </c>
      <c r="E474" s="23">
        <v>0</v>
      </c>
      <c r="F474" s="23">
        <v>114183.56</v>
      </c>
      <c r="G474" s="22" t="s">
        <v>2399</v>
      </c>
      <c r="H474" s="22"/>
      <c r="I474" t="s">
        <v>2400</v>
      </c>
      <c r="K474" s="24">
        <f t="shared" si="8"/>
        <v>-82878.209999999992</v>
      </c>
    </row>
    <row r="475" spans="1:11" hidden="1" x14ac:dyDescent="0.3">
      <c r="A475" s="21">
        <v>45125</v>
      </c>
      <c r="B475" t="s">
        <v>1362</v>
      </c>
      <c r="C475" s="22" t="s">
        <v>1161</v>
      </c>
      <c r="D475" s="23">
        <v>165</v>
      </c>
      <c r="E475" s="23">
        <v>0</v>
      </c>
      <c r="F475" s="23">
        <v>114018.56</v>
      </c>
      <c r="G475" s="22" t="s">
        <v>2399</v>
      </c>
      <c r="H475" s="22"/>
      <c r="I475" t="s">
        <v>2400</v>
      </c>
      <c r="K475" s="24">
        <f t="shared" si="8"/>
        <v>0</v>
      </c>
    </row>
    <row r="476" spans="1:11" hidden="1" x14ac:dyDescent="0.3">
      <c r="A476" s="21">
        <v>45125</v>
      </c>
      <c r="B476" t="s">
        <v>1363</v>
      </c>
      <c r="C476" s="22" t="s">
        <v>1146</v>
      </c>
      <c r="D476" s="23">
        <v>0</v>
      </c>
      <c r="E476" s="23">
        <v>80</v>
      </c>
      <c r="F476" s="23">
        <v>114098.56</v>
      </c>
      <c r="G476" s="22" t="s">
        <v>2399</v>
      </c>
      <c r="H476" s="22"/>
      <c r="I476" t="s">
        <v>2400</v>
      </c>
      <c r="K476" s="24">
        <f t="shared" si="8"/>
        <v>0</v>
      </c>
    </row>
    <row r="477" spans="1:11" hidden="1" x14ac:dyDescent="0.3">
      <c r="A477" s="21">
        <v>45125</v>
      </c>
      <c r="B477" t="s">
        <v>1364</v>
      </c>
      <c r="C477" s="22" t="s">
        <v>1161</v>
      </c>
      <c r="D477" s="23">
        <v>150</v>
      </c>
      <c r="E477" s="23">
        <v>0</v>
      </c>
      <c r="F477" s="23">
        <v>113948.56</v>
      </c>
      <c r="G477" s="22" t="s">
        <v>2399</v>
      </c>
      <c r="H477" s="22"/>
      <c r="I477" t="s">
        <v>2400</v>
      </c>
      <c r="K477" s="24">
        <f t="shared" si="8"/>
        <v>0</v>
      </c>
    </row>
    <row r="478" spans="1:11" hidden="1" x14ac:dyDescent="0.3">
      <c r="A478" s="21">
        <v>45125</v>
      </c>
      <c r="B478" t="s">
        <v>1365</v>
      </c>
      <c r="C478" s="22" t="s">
        <v>1161</v>
      </c>
      <c r="D478" s="23">
        <v>60</v>
      </c>
      <c r="E478" s="23">
        <v>0</v>
      </c>
      <c r="F478" s="23">
        <v>113888.56</v>
      </c>
      <c r="G478" s="22" t="s">
        <v>2399</v>
      </c>
      <c r="H478" s="22"/>
      <c r="I478" t="s">
        <v>2400</v>
      </c>
      <c r="K478" s="24">
        <f t="shared" si="8"/>
        <v>0</v>
      </c>
    </row>
    <row r="479" spans="1:11" hidden="1" x14ac:dyDescent="0.3">
      <c r="A479" s="21">
        <v>45125</v>
      </c>
      <c r="B479" t="s">
        <v>1366</v>
      </c>
      <c r="C479" s="22" t="s">
        <v>1146</v>
      </c>
      <c r="D479" s="23">
        <v>0</v>
      </c>
      <c r="E479" s="23">
        <v>20</v>
      </c>
      <c r="F479" s="23">
        <v>113908.56</v>
      </c>
      <c r="G479" s="22" t="s">
        <v>2399</v>
      </c>
      <c r="H479" s="22"/>
      <c r="I479" t="s">
        <v>2400</v>
      </c>
      <c r="K479" s="24">
        <f t="shared" si="8"/>
        <v>0</v>
      </c>
    </row>
    <row r="480" spans="1:11" hidden="1" x14ac:dyDescent="0.3">
      <c r="A480" s="21">
        <v>45126</v>
      </c>
      <c r="B480" t="s">
        <v>135</v>
      </c>
      <c r="C480" s="22"/>
      <c r="D480" s="23">
        <v>0</v>
      </c>
      <c r="E480" s="23">
        <v>20745.740000000002</v>
      </c>
      <c r="F480" s="23">
        <v>52201.09</v>
      </c>
      <c r="G480" s="22" t="s">
        <v>2406</v>
      </c>
      <c r="H480" s="22"/>
      <c r="I480" t="s">
        <v>2403</v>
      </c>
      <c r="K480" s="24">
        <f t="shared" si="8"/>
        <v>82453.209999999992</v>
      </c>
    </row>
    <row r="481" spans="1:11" hidden="1" x14ac:dyDescent="0.3">
      <c r="A481" s="21">
        <v>45126</v>
      </c>
      <c r="B481" t="s">
        <v>395</v>
      </c>
      <c r="C481" s="22"/>
      <c r="D481" s="23">
        <v>0</v>
      </c>
      <c r="E481" s="23">
        <v>275</v>
      </c>
      <c r="F481" s="23">
        <v>52476.09</v>
      </c>
      <c r="G481" s="22" t="s">
        <v>2409</v>
      </c>
      <c r="H481" s="22"/>
      <c r="I481" t="s">
        <v>2403</v>
      </c>
      <c r="K481" s="24">
        <f t="shared" si="8"/>
        <v>0</v>
      </c>
    </row>
    <row r="482" spans="1:11" hidden="1" x14ac:dyDescent="0.3">
      <c r="A482" s="21">
        <v>45126</v>
      </c>
      <c r="B482" t="s">
        <v>133</v>
      </c>
      <c r="C482" s="22"/>
      <c r="D482" s="23">
        <v>465.99</v>
      </c>
      <c r="E482" s="23">
        <v>0</v>
      </c>
      <c r="F482" s="23">
        <v>52010.1</v>
      </c>
      <c r="G482" s="22" t="s">
        <v>2406</v>
      </c>
      <c r="H482" s="22"/>
      <c r="I482" t="s">
        <v>2403</v>
      </c>
      <c r="K482" s="24">
        <f t="shared" si="8"/>
        <v>0</v>
      </c>
    </row>
    <row r="483" spans="1:11" hidden="1" x14ac:dyDescent="0.3">
      <c r="A483" s="21">
        <v>45126</v>
      </c>
      <c r="B483" t="s">
        <v>135</v>
      </c>
      <c r="C483" s="22"/>
      <c r="D483" s="23">
        <v>0</v>
      </c>
      <c r="E483" s="23">
        <v>82.6</v>
      </c>
      <c r="F483" s="23">
        <v>52092.7</v>
      </c>
      <c r="G483" s="22" t="s">
        <v>2406</v>
      </c>
      <c r="H483" s="22"/>
      <c r="I483" t="s">
        <v>2403</v>
      </c>
      <c r="K483" s="24">
        <f t="shared" si="8"/>
        <v>0</v>
      </c>
    </row>
    <row r="484" spans="1:11" hidden="1" x14ac:dyDescent="0.3">
      <c r="A484" s="21">
        <v>45126</v>
      </c>
      <c r="B484" t="s">
        <v>135</v>
      </c>
      <c r="C484" s="22"/>
      <c r="D484" s="23">
        <v>0</v>
      </c>
      <c r="E484" s="23">
        <v>465.99</v>
      </c>
      <c r="F484" s="23">
        <v>52558.69</v>
      </c>
      <c r="G484" s="22" t="s">
        <v>2406</v>
      </c>
      <c r="H484" s="22"/>
      <c r="I484" t="s">
        <v>2403</v>
      </c>
      <c r="K484" s="24">
        <f t="shared" si="8"/>
        <v>0</v>
      </c>
    </row>
    <row r="485" spans="1:11" hidden="1" x14ac:dyDescent="0.3">
      <c r="A485" s="21">
        <v>45126</v>
      </c>
      <c r="B485" t="s">
        <v>1367</v>
      </c>
      <c r="C485" s="22" t="s">
        <v>1148</v>
      </c>
      <c r="D485" s="23">
        <v>40</v>
      </c>
      <c r="E485" s="23">
        <v>0</v>
      </c>
      <c r="F485" s="23">
        <v>113868.56</v>
      </c>
      <c r="G485" s="22" t="s">
        <v>2399</v>
      </c>
      <c r="H485" s="22"/>
      <c r="I485" t="s">
        <v>2400</v>
      </c>
      <c r="K485" s="24">
        <f t="shared" si="8"/>
        <v>-61349.869999999995</v>
      </c>
    </row>
    <row r="486" spans="1:11" hidden="1" x14ac:dyDescent="0.3">
      <c r="A486" s="21">
        <v>45126</v>
      </c>
      <c r="B486" t="s">
        <v>1368</v>
      </c>
      <c r="C486" s="22"/>
      <c r="D486" s="23">
        <v>2</v>
      </c>
      <c r="E486" s="23">
        <v>0</v>
      </c>
      <c r="F486" s="23">
        <v>113866.56</v>
      </c>
      <c r="G486" s="22" t="s">
        <v>2419</v>
      </c>
      <c r="H486" s="22"/>
      <c r="I486" t="s">
        <v>2400</v>
      </c>
      <c r="K486" s="24">
        <f t="shared" si="8"/>
        <v>0</v>
      </c>
    </row>
    <row r="487" spans="1:11" hidden="1" x14ac:dyDescent="0.3">
      <c r="A487" s="21">
        <v>45126</v>
      </c>
      <c r="B487" t="s">
        <v>1369</v>
      </c>
      <c r="C487" s="22" t="s">
        <v>1152</v>
      </c>
      <c r="D487" s="23">
        <v>60</v>
      </c>
      <c r="E487" s="23">
        <v>0</v>
      </c>
      <c r="F487" s="23">
        <v>113806.56</v>
      </c>
      <c r="G487" s="22" t="s">
        <v>2399</v>
      </c>
      <c r="H487" s="22"/>
      <c r="I487" t="s">
        <v>2400</v>
      </c>
      <c r="K487" s="24">
        <f t="shared" si="8"/>
        <v>0</v>
      </c>
    </row>
    <row r="488" spans="1:11" hidden="1" x14ac:dyDescent="0.3">
      <c r="A488" s="21">
        <v>45126</v>
      </c>
      <c r="B488" t="s">
        <v>1370</v>
      </c>
      <c r="C488" s="22" t="s">
        <v>1181</v>
      </c>
      <c r="D488" s="23">
        <v>0</v>
      </c>
      <c r="E488" s="23">
        <v>20</v>
      </c>
      <c r="F488" s="23">
        <v>113826.56</v>
      </c>
      <c r="G488" s="22" t="s">
        <v>2399</v>
      </c>
      <c r="H488" s="22"/>
      <c r="I488" t="s">
        <v>2400</v>
      </c>
      <c r="K488" s="24">
        <f t="shared" si="8"/>
        <v>0</v>
      </c>
    </row>
    <row r="489" spans="1:11" hidden="1" x14ac:dyDescent="0.3">
      <c r="A489" s="21">
        <v>45126</v>
      </c>
      <c r="B489" t="s">
        <v>1371</v>
      </c>
      <c r="C489" s="22" t="s">
        <v>1152</v>
      </c>
      <c r="D489" s="23">
        <v>50</v>
      </c>
      <c r="E489" s="23">
        <v>0</v>
      </c>
      <c r="F489" s="23">
        <v>113776.56</v>
      </c>
      <c r="G489" s="22" t="s">
        <v>2399</v>
      </c>
      <c r="H489" s="22"/>
      <c r="I489" t="s">
        <v>2400</v>
      </c>
      <c r="K489" s="24">
        <f t="shared" si="8"/>
        <v>0</v>
      </c>
    </row>
    <row r="490" spans="1:11" hidden="1" x14ac:dyDescent="0.3">
      <c r="A490" s="21">
        <v>45127</v>
      </c>
      <c r="B490" t="s">
        <v>133</v>
      </c>
      <c r="C490" s="22"/>
      <c r="D490" s="23">
        <v>113.92</v>
      </c>
      <c r="E490" s="23">
        <v>0</v>
      </c>
      <c r="F490" s="23">
        <v>52444.77</v>
      </c>
      <c r="G490" s="22" t="s">
        <v>2406</v>
      </c>
      <c r="H490" s="22"/>
      <c r="I490" t="s">
        <v>2403</v>
      </c>
      <c r="K490" s="24">
        <f t="shared" si="8"/>
        <v>61217.87</v>
      </c>
    </row>
    <row r="491" spans="1:11" hidden="1" x14ac:dyDescent="0.3">
      <c r="A491" s="21">
        <v>45127</v>
      </c>
      <c r="B491" t="s">
        <v>135</v>
      </c>
      <c r="C491" s="22"/>
      <c r="D491" s="23">
        <v>0</v>
      </c>
      <c r="E491" s="23">
        <v>7180.08</v>
      </c>
      <c r="F491" s="23">
        <v>59624.85</v>
      </c>
      <c r="G491" s="22" t="s">
        <v>2406</v>
      </c>
      <c r="H491" s="22"/>
      <c r="I491" t="s">
        <v>2403</v>
      </c>
      <c r="K491" s="24">
        <f t="shared" si="8"/>
        <v>0</v>
      </c>
    </row>
    <row r="492" spans="1:11" hidden="1" x14ac:dyDescent="0.3">
      <c r="A492" s="21">
        <v>45127</v>
      </c>
      <c r="B492" t="s">
        <v>135</v>
      </c>
      <c r="C492" s="22"/>
      <c r="D492" s="23">
        <v>0</v>
      </c>
      <c r="E492" s="23">
        <v>44.98</v>
      </c>
      <c r="F492" s="23">
        <v>59669.83</v>
      </c>
      <c r="G492" s="22" t="s">
        <v>2406</v>
      </c>
      <c r="H492" s="22"/>
      <c r="I492" t="s">
        <v>2403</v>
      </c>
      <c r="K492" s="24">
        <f t="shared" si="8"/>
        <v>0</v>
      </c>
    </row>
    <row r="493" spans="1:11" hidden="1" x14ac:dyDescent="0.3">
      <c r="A493" s="21">
        <v>45127</v>
      </c>
      <c r="B493" t="s">
        <v>1372</v>
      </c>
      <c r="C493" s="22" t="s">
        <v>1152</v>
      </c>
      <c r="D493" s="23">
        <v>50</v>
      </c>
      <c r="E493" s="23">
        <v>0</v>
      </c>
      <c r="F493" s="23">
        <v>113726.56</v>
      </c>
      <c r="G493" s="22" t="s">
        <v>2399</v>
      </c>
      <c r="H493" s="22"/>
      <c r="I493" t="s">
        <v>2400</v>
      </c>
      <c r="K493" s="24">
        <f t="shared" si="8"/>
        <v>-54106.729999999996</v>
      </c>
    </row>
    <row r="494" spans="1:11" hidden="1" x14ac:dyDescent="0.3">
      <c r="A494" s="21">
        <v>45127</v>
      </c>
      <c r="B494" t="s">
        <v>1373</v>
      </c>
      <c r="C494" s="22" t="s">
        <v>1152</v>
      </c>
      <c r="D494" s="23">
        <v>70</v>
      </c>
      <c r="E494" s="23">
        <v>0</v>
      </c>
      <c r="F494" s="23">
        <v>113656.56</v>
      </c>
      <c r="G494" s="22" t="s">
        <v>2399</v>
      </c>
      <c r="H494" s="22"/>
      <c r="I494" t="s">
        <v>2400</v>
      </c>
      <c r="K494" s="24">
        <f t="shared" si="8"/>
        <v>0</v>
      </c>
    </row>
    <row r="495" spans="1:11" hidden="1" x14ac:dyDescent="0.3">
      <c r="A495" s="21">
        <v>45127</v>
      </c>
      <c r="B495" t="s">
        <v>1374</v>
      </c>
      <c r="C495" s="22" t="s">
        <v>1181</v>
      </c>
      <c r="D495" s="23">
        <v>0</v>
      </c>
      <c r="E495" s="23">
        <v>20</v>
      </c>
      <c r="F495" s="23">
        <v>113676.56</v>
      </c>
      <c r="G495" s="22" t="s">
        <v>2399</v>
      </c>
      <c r="H495" s="22"/>
      <c r="I495" t="s">
        <v>2400</v>
      </c>
      <c r="K495" s="24">
        <f t="shared" si="8"/>
        <v>0</v>
      </c>
    </row>
    <row r="496" spans="1:11" hidden="1" x14ac:dyDescent="0.3">
      <c r="A496" s="21">
        <v>45127</v>
      </c>
      <c r="B496" t="s">
        <v>1375</v>
      </c>
      <c r="C496" s="22" t="s">
        <v>1181</v>
      </c>
      <c r="D496" s="23">
        <v>0</v>
      </c>
      <c r="E496" s="23">
        <v>80</v>
      </c>
      <c r="F496" s="23">
        <v>113756.56</v>
      </c>
      <c r="G496" s="22" t="s">
        <v>2399</v>
      </c>
      <c r="H496" s="22"/>
      <c r="I496" t="s">
        <v>2400</v>
      </c>
      <c r="K496" s="24">
        <f t="shared" si="8"/>
        <v>0</v>
      </c>
    </row>
    <row r="497" spans="1:11" hidden="1" x14ac:dyDescent="0.3">
      <c r="A497" s="21">
        <v>45128</v>
      </c>
      <c r="B497" t="s">
        <v>133</v>
      </c>
      <c r="C497" s="22"/>
      <c r="D497" s="23">
        <v>113.94</v>
      </c>
      <c r="E497" s="23">
        <v>0</v>
      </c>
      <c r="F497" s="23">
        <v>59555.89</v>
      </c>
      <c r="G497" s="22" t="s">
        <v>2406</v>
      </c>
      <c r="H497" s="22"/>
      <c r="I497" t="s">
        <v>2403</v>
      </c>
      <c r="K497" s="24">
        <f t="shared" si="8"/>
        <v>54086.729999999996</v>
      </c>
    </row>
    <row r="498" spans="1:11" hidden="1" x14ac:dyDescent="0.3">
      <c r="A498" s="21">
        <v>45128</v>
      </c>
      <c r="B498" t="s">
        <v>135</v>
      </c>
      <c r="C498" s="22"/>
      <c r="D498" s="23">
        <v>0</v>
      </c>
      <c r="E498" s="23">
        <v>17375.14</v>
      </c>
      <c r="F498" s="23">
        <v>76931.03</v>
      </c>
      <c r="G498" s="22" t="s">
        <v>2406</v>
      </c>
      <c r="H498" s="22"/>
      <c r="I498" t="s">
        <v>2403</v>
      </c>
      <c r="K498" s="24">
        <f t="shared" si="8"/>
        <v>0</v>
      </c>
    </row>
    <row r="499" spans="1:11" hidden="1" x14ac:dyDescent="0.3">
      <c r="A499" s="21">
        <v>45128</v>
      </c>
      <c r="B499" t="s">
        <v>405</v>
      </c>
      <c r="C499" s="22"/>
      <c r="D499" s="23">
        <v>0</v>
      </c>
      <c r="E499" s="23">
        <v>100</v>
      </c>
      <c r="F499" s="23">
        <v>77031.03</v>
      </c>
      <c r="G499" s="22" t="s">
        <v>2409</v>
      </c>
      <c r="H499" s="22"/>
      <c r="I499" t="s">
        <v>2403</v>
      </c>
      <c r="K499" s="24">
        <f t="shared" si="8"/>
        <v>0</v>
      </c>
    </row>
    <row r="500" spans="1:11" hidden="1" x14ac:dyDescent="0.3">
      <c r="A500" s="21">
        <v>45128</v>
      </c>
      <c r="B500" t="s">
        <v>133</v>
      </c>
      <c r="C500" s="22"/>
      <c r="D500" s="23">
        <v>108.48</v>
      </c>
      <c r="E500" s="23">
        <v>0</v>
      </c>
      <c r="F500" s="23">
        <v>76922.55</v>
      </c>
      <c r="G500" s="22" t="s">
        <v>2406</v>
      </c>
      <c r="H500" s="22"/>
      <c r="I500" t="s">
        <v>2403</v>
      </c>
      <c r="K500" s="24">
        <f t="shared" si="8"/>
        <v>0</v>
      </c>
    </row>
    <row r="501" spans="1:11" hidden="1" x14ac:dyDescent="0.3">
      <c r="A501" s="21">
        <v>45128</v>
      </c>
      <c r="B501" t="s">
        <v>1376</v>
      </c>
      <c r="C501" s="22" t="s">
        <v>1172</v>
      </c>
      <c r="D501" s="23">
        <v>280</v>
      </c>
      <c r="E501" s="23">
        <v>0</v>
      </c>
      <c r="F501" s="23">
        <v>113476.56</v>
      </c>
      <c r="G501" s="22" t="s">
        <v>2399</v>
      </c>
      <c r="H501" s="22"/>
      <c r="I501" t="s">
        <v>2400</v>
      </c>
      <c r="K501" s="24">
        <f t="shared" si="8"/>
        <v>-36834.009999999995</v>
      </c>
    </row>
    <row r="502" spans="1:11" hidden="1" x14ac:dyDescent="0.3">
      <c r="A502" s="21">
        <v>45129</v>
      </c>
      <c r="B502" t="s">
        <v>408</v>
      </c>
      <c r="C502" s="22"/>
      <c r="D502" s="23">
        <v>50000</v>
      </c>
      <c r="E502" s="23">
        <v>0</v>
      </c>
      <c r="F502" s="23">
        <v>26922.55</v>
      </c>
      <c r="G502" s="22" t="s">
        <v>2426</v>
      </c>
      <c r="H502" s="22"/>
      <c r="I502" t="s">
        <v>2403</v>
      </c>
      <c r="K502" s="24">
        <f t="shared" si="8"/>
        <v>36554.009999999995</v>
      </c>
    </row>
    <row r="503" spans="1:11" hidden="1" x14ac:dyDescent="0.3">
      <c r="A503" s="21">
        <v>45129</v>
      </c>
      <c r="B503" t="s">
        <v>1377</v>
      </c>
      <c r="C503" s="22" t="s">
        <v>1154</v>
      </c>
      <c r="D503" s="23">
        <v>449</v>
      </c>
      <c r="E503" s="23">
        <v>0</v>
      </c>
      <c r="F503" s="23">
        <v>113027.56</v>
      </c>
      <c r="G503" s="22" t="s">
        <v>2399</v>
      </c>
      <c r="H503" s="22"/>
      <c r="I503" t="s">
        <v>2400</v>
      </c>
      <c r="K503" s="24">
        <f t="shared" si="8"/>
        <v>-86554.01</v>
      </c>
    </row>
    <row r="504" spans="1:11" hidden="1" x14ac:dyDescent="0.3">
      <c r="A504" s="21">
        <v>45129</v>
      </c>
      <c r="B504" t="s">
        <v>1378</v>
      </c>
      <c r="C504" s="22" t="s">
        <v>1154</v>
      </c>
      <c r="D504" s="23">
        <v>1344</v>
      </c>
      <c r="E504" s="23">
        <v>0</v>
      </c>
      <c r="F504" s="23">
        <v>111683.56</v>
      </c>
      <c r="G504" s="22" t="s">
        <v>2399</v>
      </c>
      <c r="H504" s="22"/>
      <c r="I504" t="s">
        <v>2400</v>
      </c>
      <c r="K504" s="24">
        <f t="shared" si="8"/>
        <v>0</v>
      </c>
    </row>
    <row r="505" spans="1:11" hidden="1" x14ac:dyDescent="0.3">
      <c r="A505" s="21">
        <v>45129</v>
      </c>
      <c r="B505" t="s">
        <v>1379</v>
      </c>
      <c r="C505" s="22" t="s">
        <v>1154</v>
      </c>
      <c r="D505" s="23">
        <v>127</v>
      </c>
      <c r="E505" s="23">
        <v>0</v>
      </c>
      <c r="F505" s="23">
        <v>111556.56</v>
      </c>
      <c r="G505" s="22" t="s">
        <v>2399</v>
      </c>
      <c r="H505" s="22"/>
      <c r="I505" t="s">
        <v>2400</v>
      </c>
      <c r="K505" s="24">
        <f t="shared" si="8"/>
        <v>0</v>
      </c>
    </row>
    <row r="506" spans="1:11" hidden="1" x14ac:dyDescent="0.3">
      <c r="A506" s="21">
        <v>45129</v>
      </c>
      <c r="B506" t="s">
        <v>1380</v>
      </c>
      <c r="C506" s="22" t="s">
        <v>1223</v>
      </c>
      <c r="D506" s="23">
        <v>0</v>
      </c>
      <c r="E506" s="23">
        <v>450</v>
      </c>
      <c r="F506" s="23">
        <v>112006.56</v>
      </c>
      <c r="G506" s="22" t="s">
        <v>2399</v>
      </c>
      <c r="H506" s="22"/>
      <c r="I506" t="s">
        <v>2400</v>
      </c>
      <c r="K506" s="24">
        <f t="shared" si="8"/>
        <v>0</v>
      </c>
    </row>
    <row r="507" spans="1:11" hidden="1" x14ac:dyDescent="0.3">
      <c r="A507" s="21">
        <v>45129</v>
      </c>
      <c r="B507" t="s">
        <v>1381</v>
      </c>
      <c r="C507" s="22" t="s">
        <v>1223</v>
      </c>
      <c r="D507" s="23">
        <v>0</v>
      </c>
      <c r="E507" s="23">
        <v>500</v>
      </c>
      <c r="F507" s="23">
        <v>112506.56</v>
      </c>
      <c r="G507" s="22" t="s">
        <v>2399</v>
      </c>
      <c r="H507" s="22"/>
      <c r="I507" t="s">
        <v>2400</v>
      </c>
      <c r="K507" s="24">
        <f t="shared" si="8"/>
        <v>0</v>
      </c>
    </row>
    <row r="508" spans="1:11" hidden="1" x14ac:dyDescent="0.3">
      <c r="A508" s="21">
        <v>45130</v>
      </c>
      <c r="B508" t="s">
        <v>33</v>
      </c>
      <c r="C508" s="22"/>
      <c r="D508" s="23">
        <v>0.54</v>
      </c>
      <c r="E508" s="23">
        <v>0</v>
      </c>
      <c r="F508" s="23">
        <v>48898.57</v>
      </c>
      <c r="G508" s="22" t="s">
        <v>2415</v>
      </c>
      <c r="H508" s="22"/>
      <c r="I508" t="s">
        <v>2404</v>
      </c>
      <c r="K508" s="24">
        <f t="shared" si="8"/>
        <v>63607.450000000004</v>
      </c>
    </row>
    <row r="509" spans="1:11" hidden="1" x14ac:dyDescent="0.3">
      <c r="A509" s="21">
        <v>45130</v>
      </c>
      <c r="B509" t="s">
        <v>34</v>
      </c>
      <c r="C509" s="22"/>
      <c r="D509" s="23">
        <v>3</v>
      </c>
      <c r="E509" s="23">
        <v>0</v>
      </c>
      <c r="F509" s="23">
        <v>48895.57</v>
      </c>
      <c r="G509" s="22" t="s">
        <v>2415</v>
      </c>
      <c r="H509" s="22"/>
      <c r="I509" t="s">
        <v>2404</v>
      </c>
      <c r="K509" s="24">
        <f t="shared" si="8"/>
        <v>0</v>
      </c>
    </row>
    <row r="510" spans="1:11" hidden="1" x14ac:dyDescent="0.3">
      <c r="A510" s="21">
        <v>45130</v>
      </c>
      <c r="B510" t="s">
        <v>1542</v>
      </c>
      <c r="C510" s="22" t="s">
        <v>1536</v>
      </c>
      <c r="D510" s="23">
        <v>0</v>
      </c>
      <c r="E510" s="23">
        <v>199</v>
      </c>
      <c r="F510" s="23">
        <v>200.86</v>
      </c>
      <c r="G510" s="22" t="s">
        <v>2399</v>
      </c>
      <c r="H510" s="22"/>
      <c r="I510" t="s">
        <v>2401</v>
      </c>
      <c r="K510" s="24">
        <f t="shared" si="8"/>
        <v>48893.71</v>
      </c>
    </row>
    <row r="511" spans="1:11" hidden="1" x14ac:dyDescent="0.3">
      <c r="A511" s="21">
        <v>45130</v>
      </c>
      <c r="B511" t="s">
        <v>1382</v>
      </c>
      <c r="C511" s="22" t="s">
        <v>1143</v>
      </c>
      <c r="D511" s="23">
        <v>199</v>
      </c>
      <c r="E511" s="23">
        <v>0</v>
      </c>
      <c r="F511" s="23">
        <v>112307.56</v>
      </c>
      <c r="G511" s="22" t="s">
        <v>2399</v>
      </c>
      <c r="H511" s="22"/>
      <c r="I511" t="s">
        <v>2400</v>
      </c>
      <c r="K511" s="24">
        <f t="shared" si="8"/>
        <v>-112305.7</v>
      </c>
    </row>
    <row r="512" spans="1:11" hidden="1" x14ac:dyDescent="0.3">
      <c r="A512" s="21">
        <v>45130</v>
      </c>
      <c r="B512" t="s">
        <v>1383</v>
      </c>
      <c r="C512" s="22" t="s">
        <v>1143</v>
      </c>
      <c r="D512" s="23">
        <v>199</v>
      </c>
      <c r="E512" s="23">
        <v>0</v>
      </c>
      <c r="F512" s="23">
        <v>112108.56</v>
      </c>
      <c r="G512" s="22" t="s">
        <v>2399</v>
      </c>
      <c r="H512" s="22"/>
      <c r="I512" t="s">
        <v>2400</v>
      </c>
      <c r="K512" s="24">
        <f t="shared" si="8"/>
        <v>0</v>
      </c>
    </row>
    <row r="513" spans="1:11" hidden="1" x14ac:dyDescent="0.3">
      <c r="A513" s="21">
        <v>45130</v>
      </c>
      <c r="B513" t="s">
        <v>1384</v>
      </c>
      <c r="C513" s="22" t="s">
        <v>1143</v>
      </c>
      <c r="D513" s="23">
        <v>1347</v>
      </c>
      <c r="E513" s="23">
        <v>0</v>
      </c>
      <c r="F513" s="23">
        <v>110761.56</v>
      </c>
      <c r="G513" s="22" t="s">
        <v>2399</v>
      </c>
      <c r="H513" s="22"/>
      <c r="I513" t="s">
        <v>2400</v>
      </c>
      <c r="K513" s="24">
        <f t="shared" si="8"/>
        <v>0</v>
      </c>
    </row>
    <row r="514" spans="1:11" hidden="1" x14ac:dyDescent="0.3">
      <c r="A514" s="21">
        <v>45130</v>
      </c>
      <c r="B514" t="s">
        <v>1385</v>
      </c>
      <c r="C514" s="22" t="s">
        <v>1143</v>
      </c>
      <c r="D514" s="23">
        <v>40</v>
      </c>
      <c r="E514" s="23">
        <v>0</v>
      </c>
      <c r="F514" s="23">
        <v>110721.56</v>
      </c>
      <c r="G514" s="22" t="s">
        <v>2399</v>
      </c>
      <c r="H514" s="22"/>
      <c r="I514" t="s">
        <v>2400</v>
      </c>
      <c r="K514" s="24">
        <f t="shared" si="8"/>
        <v>0</v>
      </c>
    </row>
    <row r="515" spans="1:11" hidden="1" x14ac:dyDescent="0.3">
      <c r="A515" s="21">
        <v>45130</v>
      </c>
      <c r="B515" t="s">
        <v>1386</v>
      </c>
      <c r="C515" s="22" t="s">
        <v>1143</v>
      </c>
      <c r="D515" s="23">
        <v>265</v>
      </c>
      <c r="E515" s="23">
        <v>0</v>
      </c>
      <c r="F515" s="23">
        <v>110456.56</v>
      </c>
      <c r="G515" s="22" t="s">
        <v>2399</v>
      </c>
      <c r="H515" s="22"/>
      <c r="I515" t="s">
        <v>2400</v>
      </c>
      <c r="K515" s="24">
        <f t="shared" si="8"/>
        <v>0</v>
      </c>
    </row>
    <row r="516" spans="1:11" hidden="1" x14ac:dyDescent="0.3">
      <c r="A516" s="21">
        <v>45130</v>
      </c>
      <c r="B516" t="s">
        <v>1387</v>
      </c>
      <c r="C516" s="22" t="s">
        <v>1143</v>
      </c>
      <c r="D516" s="23">
        <v>2000</v>
      </c>
      <c r="E516" s="23">
        <v>0</v>
      </c>
      <c r="F516" s="23">
        <v>108456.56</v>
      </c>
      <c r="G516" s="22" t="s">
        <v>2399</v>
      </c>
      <c r="H516" s="22"/>
      <c r="I516" t="s">
        <v>2400</v>
      </c>
      <c r="K516" s="24">
        <f t="shared" si="8"/>
        <v>0</v>
      </c>
    </row>
    <row r="517" spans="1:11" hidden="1" x14ac:dyDescent="0.3">
      <c r="A517" s="21">
        <v>45130</v>
      </c>
      <c r="B517" t="s">
        <v>1388</v>
      </c>
      <c r="C517" s="22" t="s">
        <v>1143</v>
      </c>
      <c r="D517" s="23">
        <v>60</v>
      </c>
      <c r="E517" s="23">
        <v>0</v>
      </c>
      <c r="F517" s="23">
        <v>108396.56</v>
      </c>
      <c r="G517" s="22" t="s">
        <v>2399</v>
      </c>
      <c r="H517" s="22"/>
      <c r="I517" t="s">
        <v>2400</v>
      </c>
      <c r="K517" s="24">
        <f t="shared" si="8"/>
        <v>0</v>
      </c>
    </row>
    <row r="518" spans="1:11" hidden="1" x14ac:dyDescent="0.3">
      <c r="A518" s="21">
        <v>45131</v>
      </c>
      <c r="B518" t="s">
        <v>410</v>
      </c>
      <c r="C518" s="22"/>
      <c r="D518" s="23">
        <v>0</v>
      </c>
      <c r="E518" s="23">
        <v>1160</v>
      </c>
      <c r="F518" s="23">
        <v>28082.55</v>
      </c>
      <c r="G518" s="22" t="s">
        <v>2409</v>
      </c>
      <c r="H518" s="22"/>
      <c r="I518" t="s">
        <v>2403</v>
      </c>
      <c r="K518" s="24">
        <f t="shared" ref="K518:K581" si="9">F517-D518+E518-F518</f>
        <v>81474.009999999995</v>
      </c>
    </row>
    <row r="519" spans="1:11" hidden="1" x14ac:dyDescent="0.3">
      <c r="A519" s="21">
        <v>45131</v>
      </c>
      <c r="B519" t="s">
        <v>133</v>
      </c>
      <c r="C519" s="22"/>
      <c r="D519" s="23">
        <v>341.67</v>
      </c>
      <c r="E519" s="23">
        <v>0</v>
      </c>
      <c r="F519" s="23">
        <v>27740.880000000001</v>
      </c>
      <c r="G519" s="22" t="s">
        <v>2406</v>
      </c>
      <c r="H519" s="22"/>
      <c r="I519" t="s">
        <v>2403</v>
      </c>
      <c r="K519" s="24">
        <f t="shared" si="9"/>
        <v>0</v>
      </c>
    </row>
    <row r="520" spans="1:11" hidden="1" x14ac:dyDescent="0.3">
      <c r="A520" s="21">
        <v>45131</v>
      </c>
      <c r="B520" t="s">
        <v>135</v>
      </c>
      <c r="C520" s="22"/>
      <c r="D520" s="23">
        <v>0</v>
      </c>
      <c r="E520" s="23">
        <v>144.55000000000001</v>
      </c>
      <c r="F520" s="23">
        <v>27885.43</v>
      </c>
      <c r="G520" s="22" t="s">
        <v>2406</v>
      </c>
      <c r="H520" s="22"/>
      <c r="I520" t="s">
        <v>2403</v>
      </c>
      <c r="K520" s="24">
        <f t="shared" si="9"/>
        <v>0</v>
      </c>
    </row>
    <row r="521" spans="1:11" hidden="1" x14ac:dyDescent="0.3">
      <c r="A521" s="21">
        <v>45131</v>
      </c>
      <c r="B521" t="s">
        <v>1389</v>
      </c>
      <c r="C521" s="22" t="s">
        <v>1191</v>
      </c>
      <c r="D521" s="23">
        <v>160</v>
      </c>
      <c r="E521" s="23">
        <v>0</v>
      </c>
      <c r="F521" s="23">
        <v>108236.56</v>
      </c>
      <c r="G521" s="22" t="s">
        <v>2399</v>
      </c>
      <c r="H521" s="22"/>
      <c r="I521" t="s">
        <v>2400</v>
      </c>
      <c r="K521" s="24">
        <f t="shared" si="9"/>
        <v>-80511.13</v>
      </c>
    </row>
    <row r="522" spans="1:11" hidden="1" x14ac:dyDescent="0.3">
      <c r="A522" s="21">
        <v>45131</v>
      </c>
      <c r="B522" t="s">
        <v>1390</v>
      </c>
      <c r="C522" s="22" t="s">
        <v>1191</v>
      </c>
      <c r="D522" s="23">
        <v>261</v>
      </c>
      <c r="E522" s="23">
        <v>0</v>
      </c>
      <c r="F522" s="23">
        <v>107975.56</v>
      </c>
      <c r="G522" s="22" t="s">
        <v>2399</v>
      </c>
      <c r="H522" s="22"/>
      <c r="I522" t="s">
        <v>2400</v>
      </c>
      <c r="K522" s="24">
        <f t="shared" si="9"/>
        <v>0</v>
      </c>
    </row>
    <row r="523" spans="1:11" hidden="1" x14ac:dyDescent="0.3">
      <c r="A523" s="21">
        <v>45132</v>
      </c>
      <c r="B523" t="s">
        <v>414</v>
      </c>
      <c r="C523" s="22"/>
      <c r="D523" s="23">
        <v>5000</v>
      </c>
      <c r="E523" s="23">
        <v>0</v>
      </c>
      <c r="F523" s="23">
        <v>22885.43</v>
      </c>
      <c r="G523" s="22" t="s">
        <v>2414</v>
      </c>
      <c r="H523" s="22"/>
      <c r="I523" t="s">
        <v>2403</v>
      </c>
      <c r="K523" s="24">
        <f t="shared" si="9"/>
        <v>80090.13</v>
      </c>
    </row>
    <row r="524" spans="1:11" hidden="1" x14ac:dyDescent="0.3">
      <c r="A524" s="21">
        <v>45132</v>
      </c>
      <c r="B524" t="s">
        <v>154</v>
      </c>
      <c r="C524" s="22"/>
      <c r="D524" s="23">
        <v>2500</v>
      </c>
      <c r="E524" s="23">
        <v>0</v>
      </c>
      <c r="F524" s="23">
        <v>20385.43</v>
      </c>
      <c r="G524" s="22" t="s">
        <v>2413</v>
      </c>
      <c r="H524" s="22"/>
      <c r="I524" t="s">
        <v>2403</v>
      </c>
      <c r="K524" s="24">
        <f t="shared" si="9"/>
        <v>0</v>
      </c>
    </row>
    <row r="525" spans="1:11" hidden="1" x14ac:dyDescent="0.3">
      <c r="A525" s="21">
        <v>45132</v>
      </c>
      <c r="B525" t="s">
        <v>133</v>
      </c>
      <c r="C525" s="22"/>
      <c r="D525" s="23">
        <v>113.96</v>
      </c>
      <c r="E525" s="23">
        <v>0</v>
      </c>
      <c r="F525" s="23">
        <v>20271.47</v>
      </c>
      <c r="G525" s="22" t="s">
        <v>2406</v>
      </c>
      <c r="H525" s="22"/>
      <c r="I525" t="s">
        <v>2403</v>
      </c>
      <c r="K525" s="24">
        <f t="shared" si="9"/>
        <v>0</v>
      </c>
    </row>
    <row r="526" spans="1:11" hidden="1" x14ac:dyDescent="0.3">
      <c r="A526" s="21">
        <v>45132</v>
      </c>
      <c r="B526" t="s">
        <v>418</v>
      </c>
      <c r="C526" s="22"/>
      <c r="D526" s="23">
        <v>0</v>
      </c>
      <c r="E526" s="23">
        <v>5000</v>
      </c>
      <c r="F526" s="23">
        <v>25271.47</v>
      </c>
      <c r="G526" s="22" t="s">
        <v>2422</v>
      </c>
      <c r="H526" s="22"/>
      <c r="I526" t="s">
        <v>2403</v>
      </c>
      <c r="K526" s="24">
        <f t="shared" si="9"/>
        <v>0</v>
      </c>
    </row>
    <row r="527" spans="1:11" hidden="1" x14ac:dyDescent="0.3">
      <c r="A527" s="21">
        <v>45132</v>
      </c>
      <c r="B527" t="s">
        <v>135</v>
      </c>
      <c r="C527" s="22"/>
      <c r="D527" s="23">
        <v>0</v>
      </c>
      <c r="E527" s="23">
        <v>243.97</v>
      </c>
      <c r="F527" s="23">
        <v>25515.439999999999</v>
      </c>
      <c r="G527" s="22" t="s">
        <v>2406</v>
      </c>
      <c r="H527" s="22"/>
      <c r="I527" t="s">
        <v>2403</v>
      </c>
      <c r="K527" s="24">
        <f t="shared" si="9"/>
        <v>0</v>
      </c>
    </row>
    <row r="528" spans="1:11" hidden="1" x14ac:dyDescent="0.3">
      <c r="A528" s="21">
        <v>45133</v>
      </c>
      <c r="B528" t="s">
        <v>133</v>
      </c>
      <c r="C528" s="22"/>
      <c r="D528" s="23">
        <v>114.08</v>
      </c>
      <c r="E528" s="23">
        <v>0</v>
      </c>
      <c r="F528" s="23">
        <v>25401.360000000001</v>
      </c>
      <c r="G528" s="22" t="s">
        <v>2406</v>
      </c>
      <c r="H528" s="22"/>
      <c r="I528" t="s">
        <v>2403</v>
      </c>
      <c r="K528" s="24">
        <f t="shared" si="9"/>
        <v>0</v>
      </c>
    </row>
    <row r="529" spans="1:11" hidden="1" x14ac:dyDescent="0.3">
      <c r="A529" s="21">
        <v>45133</v>
      </c>
      <c r="B529" t="s">
        <v>135</v>
      </c>
      <c r="C529" s="22"/>
      <c r="D529" s="23">
        <v>0</v>
      </c>
      <c r="E529" s="23">
        <v>1797.08</v>
      </c>
      <c r="F529" s="23">
        <v>27198.44</v>
      </c>
      <c r="G529" s="22" t="s">
        <v>2406</v>
      </c>
      <c r="H529" s="22"/>
      <c r="I529" t="s">
        <v>2403</v>
      </c>
      <c r="K529" s="24">
        <f t="shared" si="9"/>
        <v>0</v>
      </c>
    </row>
    <row r="530" spans="1:11" hidden="1" x14ac:dyDescent="0.3">
      <c r="A530" s="21">
        <v>45133</v>
      </c>
      <c r="B530" t="s">
        <v>1391</v>
      </c>
      <c r="C530" s="22" t="s">
        <v>1148</v>
      </c>
      <c r="D530" s="23">
        <v>20</v>
      </c>
      <c r="E530" s="23">
        <v>0</v>
      </c>
      <c r="F530" s="23">
        <v>107955.56</v>
      </c>
      <c r="G530" s="22" t="s">
        <v>2399</v>
      </c>
      <c r="H530" s="22"/>
      <c r="I530" t="s">
        <v>2400</v>
      </c>
      <c r="K530" s="24">
        <f t="shared" si="9"/>
        <v>-80777.119999999995</v>
      </c>
    </row>
    <row r="531" spans="1:11" hidden="1" x14ac:dyDescent="0.3">
      <c r="A531" s="21">
        <v>45134</v>
      </c>
      <c r="B531" t="s">
        <v>423</v>
      </c>
      <c r="C531" s="22"/>
      <c r="D531" s="23">
        <v>0</v>
      </c>
      <c r="E531" s="23">
        <v>600</v>
      </c>
      <c r="F531" s="23">
        <v>27798.44</v>
      </c>
      <c r="G531" s="22" t="s">
        <v>2409</v>
      </c>
      <c r="H531" s="22"/>
      <c r="I531" t="s">
        <v>2403</v>
      </c>
      <c r="K531" s="24">
        <f t="shared" si="9"/>
        <v>80757.119999999995</v>
      </c>
    </row>
    <row r="532" spans="1:11" hidden="1" x14ac:dyDescent="0.3">
      <c r="A532" s="21">
        <v>45134</v>
      </c>
      <c r="B532" t="s">
        <v>1392</v>
      </c>
      <c r="C532" s="22" t="s">
        <v>1152</v>
      </c>
      <c r="D532" s="23">
        <v>5000.22</v>
      </c>
      <c r="E532" s="23">
        <v>0</v>
      </c>
      <c r="F532" s="23">
        <v>102955.34</v>
      </c>
      <c r="G532" s="22" t="s">
        <v>2399</v>
      </c>
      <c r="H532" s="22"/>
      <c r="I532" t="s">
        <v>2400</v>
      </c>
      <c r="K532" s="24">
        <f t="shared" si="9"/>
        <v>-80157.119999999995</v>
      </c>
    </row>
    <row r="533" spans="1:11" hidden="1" x14ac:dyDescent="0.3">
      <c r="A533" s="21">
        <v>45135</v>
      </c>
      <c r="B533" t="s">
        <v>133</v>
      </c>
      <c r="C533" s="22"/>
      <c r="D533" s="23">
        <v>6724.1</v>
      </c>
      <c r="E533" s="23">
        <v>0</v>
      </c>
      <c r="F533" s="23">
        <v>21074.34</v>
      </c>
      <c r="G533" s="22" t="s">
        <v>2406</v>
      </c>
      <c r="H533" s="22"/>
      <c r="I533" t="s">
        <v>2403</v>
      </c>
      <c r="K533" s="24">
        <f t="shared" si="9"/>
        <v>75156.899999999994</v>
      </c>
    </row>
    <row r="534" spans="1:11" hidden="1" x14ac:dyDescent="0.3">
      <c r="A534" s="21">
        <v>45135</v>
      </c>
      <c r="B534" t="s">
        <v>133</v>
      </c>
      <c r="C534" s="22"/>
      <c r="D534" s="23">
        <v>108.2</v>
      </c>
      <c r="E534" s="23">
        <v>0</v>
      </c>
      <c r="F534" s="23">
        <v>20966.14</v>
      </c>
      <c r="G534" s="22" t="s">
        <v>2406</v>
      </c>
      <c r="H534" s="22"/>
      <c r="I534" t="s">
        <v>2403</v>
      </c>
      <c r="K534" s="24">
        <f t="shared" si="9"/>
        <v>0</v>
      </c>
    </row>
    <row r="535" spans="1:11" hidden="1" x14ac:dyDescent="0.3">
      <c r="A535" s="21">
        <v>45135</v>
      </c>
      <c r="B535" t="s">
        <v>1393</v>
      </c>
      <c r="C535" s="22"/>
      <c r="D535" s="23">
        <v>0</v>
      </c>
      <c r="E535" s="23">
        <v>2</v>
      </c>
      <c r="F535" s="23">
        <v>102957.34</v>
      </c>
      <c r="G535" s="22" t="s">
        <v>2419</v>
      </c>
      <c r="H535" s="22"/>
      <c r="I535" t="s">
        <v>2400</v>
      </c>
      <c r="K535" s="24">
        <f t="shared" si="9"/>
        <v>-81989.2</v>
      </c>
    </row>
    <row r="536" spans="1:11" hidden="1" x14ac:dyDescent="0.3">
      <c r="A536" s="21">
        <v>45135</v>
      </c>
      <c r="B536" t="s">
        <v>1394</v>
      </c>
      <c r="C536" s="22" t="s">
        <v>1184</v>
      </c>
      <c r="D536" s="23">
        <v>0</v>
      </c>
      <c r="E536" s="23">
        <v>2260.2800000000002</v>
      </c>
      <c r="F536" s="23">
        <v>105217.62</v>
      </c>
      <c r="G536" s="22" t="s">
        <v>2399</v>
      </c>
      <c r="H536" s="22"/>
      <c r="I536" t="s">
        <v>2400</v>
      </c>
      <c r="K536" s="24">
        <f t="shared" si="9"/>
        <v>0</v>
      </c>
    </row>
    <row r="537" spans="1:11" hidden="1" x14ac:dyDescent="0.3">
      <c r="A537" s="21">
        <v>45135</v>
      </c>
      <c r="B537" t="s">
        <v>1395</v>
      </c>
      <c r="C537" s="22" t="s">
        <v>1184</v>
      </c>
      <c r="D537" s="23">
        <v>0</v>
      </c>
      <c r="E537" s="23">
        <v>1545.28</v>
      </c>
      <c r="F537" s="23">
        <v>106762.9</v>
      </c>
      <c r="G537" s="22" t="s">
        <v>2399</v>
      </c>
      <c r="H537" s="22"/>
      <c r="I537" t="s">
        <v>2400</v>
      </c>
      <c r="K537" s="24">
        <f t="shared" si="9"/>
        <v>0</v>
      </c>
    </row>
    <row r="538" spans="1:11" hidden="1" x14ac:dyDescent="0.3">
      <c r="A538" s="21">
        <v>45136</v>
      </c>
      <c r="B538" t="s">
        <v>133</v>
      </c>
      <c r="C538" s="22"/>
      <c r="D538" s="23">
        <v>343.38</v>
      </c>
      <c r="E538" s="23">
        <v>0</v>
      </c>
      <c r="F538" s="23">
        <v>20622.759999999998</v>
      </c>
      <c r="G538" s="22" t="s">
        <v>2406</v>
      </c>
      <c r="H538" s="22"/>
      <c r="I538" t="s">
        <v>2403</v>
      </c>
      <c r="K538" s="24">
        <f t="shared" si="9"/>
        <v>85796.76</v>
      </c>
    </row>
    <row r="539" spans="1:11" hidden="1" x14ac:dyDescent="0.3">
      <c r="A539" s="21">
        <v>45136</v>
      </c>
      <c r="B539" t="s">
        <v>1396</v>
      </c>
      <c r="C539" s="22" t="s">
        <v>1154</v>
      </c>
      <c r="D539" s="23">
        <v>100</v>
      </c>
      <c r="E539" s="23">
        <v>0</v>
      </c>
      <c r="F539" s="23">
        <v>106662.9</v>
      </c>
      <c r="G539" s="22" t="s">
        <v>2399</v>
      </c>
      <c r="H539" s="22"/>
      <c r="I539" t="s">
        <v>2400</v>
      </c>
      <c r="K539" s="24">
        <f t="shared" si="9"/>
        <v>-86140.14</v>
      </c>
    </row>
    <row r="540" spans="1:11" hidden="1" x14ac:dyDescent="0.3">
      <c r="A540" s="21">
        <v>45136</v>
      </c>
      <c r="B540" t="s">
        <v>1397</v>
      </c>
      <c r="C540" s="22" t="s">
        <v>1154</v>
      </c>
      <c r="D540" s="23">
        <v>60</v>
      </c>
      <c r="E540" s="23">
        <v>0</v>
      </c>
      <c r="F540" s="23">
        <v>106602.9</v>
      </c>
      <c r="G540" s="22" t="s">
        <v>2399</v>
      </c>
      <c r="H540" s="22"/>
      <c r="I540" t="s">
        <v>2400</v>
      </c>
      <c r="K540" s="24">
        <f t="shared" si="9"/>
        <v>0</v>
      </c>
    </row>
    <row r="541" spans="1:11" hidden="1" x14ac:dyDescent="0.3">
      <c r="A541" s="21">
        <v>45136</v>
      </c>
      <c r="B541" t="s">
        <v>1398</v>
      </c>
      <c r="C541" s="22" t="s">
        <v>1223</v>
      </c>
      <c r="D541" s="23">
        <v>0</v>
      </c>
      <c r="E541" s="23">
        <v>55.28</v>
      </c>
      <c r="F541" s="23">
        <v>106658.18</v>
      </c>
      <c r="G541" s="22" t="s">
        <v>2399</v>
      </c>
      <c r="H541" s="22"/>
      <c r="I541" t="s">
        <v>2400</v>
      </c>
      <c r="K541" s="24">
        <f t="shared" si="9"/>
        <v>0</v>
      </c>
    </row>
    <row r="542" spans="1:11" hidden="1" x14ac:dyDescent="0.3">
      <c r="A542" s="21">
        <v>45137</v>
      </c>
      <c r="B542" t="s">
        <v>1399</v>
      </c>
      <c r="C542" s="22" t="s">
        <v>1208</v>
      </c>
      <c r="D542" s="23">
        <v>0</v>
      </c>
      <c r="E542" s="23">
        <v>130</v>
      </c>
      <c r="F542" s="23">
        <v>106788.18</v>
      </c>
      <c r="G542" s="22" t="s">
        <v>2399</v>
      </c>
      <c r="H542" s="22"/>
      <c r="I542" t="s">
        <v>2400</v>
      </c>
      <c r="K542" s="24">
        <f t="shared" si="9"/>
        <v>0</v>
      </c>
    </row>
    <row r="543" spans="1:11" hidden="1" x14ac:dyDescent="0.3">
      <c r="A543" s="21">
        <v>45137</v>
      </c>
      <c r="B543" t="s">
        <v>1400</v>
      </c>
      <c r="C543" s="22" t="s">
        <v>1143</v>
      </c>
      <c r="D543" s="23">
        <v>50</v>
      </c>
      <c r="E543" s="23">
        <v>0</v>
      </c>
      <c r="F543" s="23">
        <v>106738.18</v>
      </c>
      <c r="G543" s="22" t="s">
        <v>2399</v>
      </c>
      <c r="H543" s="22"/>
      <c r="I543" t="s">
        <v>2400</v>
      </c>
      <c r="K543" s="24">
        <f t="shared" si="9"/>
        <v>0</v>
      </c>
    </row>
    <row r="544" spans="1:11" hidden="1" x14ac:dyDescent="0.3">
      <c r="A544" s="21">
        <v>45137</v>
      </c>
      <c r="B544" t="s">
        <v>1401</v>
      </c>
      <c r="C544" s="22" t="s">
        <v>1143</v>
      </c>
      <c r="D544" s="23">
        <v>100</v>
      </c>
      <c r="E544" s="23">
        <v>0</v>
      </c>
      <c r="F544" s="23">
        <v>106638.18</v>
      </c>
      <c r="G544" s="22" t="s">
        <v>2399</v>
      </c>
      <c r="H544" s="22"/>
      <c r="I544" t="s">
        <v>2400</v>
      </c>
      <c r="K544" s="24">
        <f t="shared" si="9"/>
        <v>0</v>
      </c>
    </row>
    <row r="545" spans="1:11" hidden="1" x14ac:dyDescent="0.3">
      <c r="A545" s="21">
        <v>45138</v>
      </c>
      <c r="B545" t="s">
        <v>133</v>
      </c>
      <c r="C545" s="22"/>
      <c r="D545" s="23">
        <v>360.15</v>
      </c>
      <c r="E545" s="23">
        <v>0</v>
      </c>
      <c r="F545" s="23">
        <v>20262.61</v>
      </c>
      <c r="G545" s="22" t="s">
        <v>2406</v>
      </c>
      <c r="H545" s="22"/>
      <c r="I545" t="s">
        <v>2403</v>
      </c>
      <c r="K545" s="24">
        <f t="shared" si="9"/>
        <v>86015.42</v>
      </c>
    </row>
    <row r="546" spans="1:11" hidden="1" x14ac:dyDescent="0.3">
      <c r="A546" s="21">
        <v>45138</v>
      </c>
      <c r="B546" t="s">
        <v>135</v>
      </c>
      <c r="C546" s="22"/>
      <c r="D546" s="23">
        <v>0</v>
      </c>
      <c r="E546" s="23">
        <v>38.299999999999997</v>
      </c>
      <c r="F546" s="23">
        <v>20300.91</v>
      </c>
      <c r="G546" s="22" t="s">
        <v>2406</v>
      </c>
      <c r="H546" s="22"/>
      <c r="I546" t="s">
        <v>2403</v>
      </c>
      <c r="K546" s="24">
        <f t="shared" si="9"/>
        <v>0</v>
      </c>
    </row>
    <row r="547" spans="1:11" hidden="1" x14ac:dyDescent="0.3">
      <c r="A547" s="21">
        <v>45138</v>
      </c>
      <c r="B547" t="s">
        <v>1543</v>
      </c>
      <c r="C547" s="22" t="s">
        <v>1536</v>
      </c>
      <c r="D547" s="23">
        <v>0</v>
      </c>
      <c r="E547" s="23">
        <v>1000</v>
      </c>
      <c r="F547" s="23">
        <v>1200.8599999999999</v>
      </c>
      <c r="G547" s="22" t="s">
        <v>2399</v>
      </c>
      <c r="H547" s="22"/>
      <c r="I547" t="s">
        <v>2401</v>
      </c>
      <c r="K547" s="24">
        <f t="shared" si="9"/>
        <v>20100.05</v>
      </c>
    </row>
    <row r="548" spans="1:11" hidden="1" x14ac:dyDescent="0.3">
      <c r="A548" s="21">
        <v>45138</v>
      </c>
      <c r="B548" t="s">
        <v>1544</v>
      </c>
      <c r="C548" s="22" t="s">
        <v>1536</v>
      </c>
      <c r="D548" s="23">
        <v>400</v>
      </c>
      <c r="E548" s="23">
        <v>0</v>
      </c>
      <c r="F548" s="23">
        <v>800.86</v>
      </c>
      <c r="G548" s="22" t="s">
        <v>2399</v>
      </c>
      <c r="H548" s="22"/>
      <c r="I548" t="s">
        <v>2401</v>
      </c>
      <c r="K548" s="24">
        <f t="shared" si="9"/>
        <v>0</v>
      </c>
    </row>
    <row r="549" spans="1:11" hidden="1" x14ac:dyDescent="0.3">
      <c r="A549" s="21">
        <v>45138</v>
      </c>
      <c r="B549" t="s">
        <v>1545</v>
      </c>
      <c r="C549" s="22" t="s">
        <v>1536</v>
      </c>
      <c r="D549" s="23">
        <v>200</v>
      </c>
      <c r="E549" s="23">
        <v>0</v>
      </c>
      <c r="F549" s="23">
        <v>600.86</v>
      </c>
      <c r="G549" s="22" t="s">
        <v>2399</v>
      </c>
      <c r="H549" s="22"/>
      <c r="I549" t="s">
        <v>2401</v>
      </c>
      <c r="K549" s="24">
        <f t="shared" si="9"/>
        <v>0</v>
      </c>
    </row>
    <row r="550" spans="1:11" hidden="1" x14ac:dyDescent="0.3">
      <c r="A550" s="21">
        <v>45138</v>
      </c>
      <c r="B550" t="s">
        <v>1546</v>
      </c>
      <c r="C550" s="22" t="s">
        <v>1536</v>
      </c>
      <c r="D550" s="23">
        <v>600</v>
      </c>
      <c r="E550" s="23">
        <v>0</v>
      </c>
      <c r="F550" s="23">
        <v>0.86</v>
      </c>
      <c r="G550" s="22" t="s">
        <v>2399</v>
      </c>
      <c r="H550" s="22"/>
      <c r="I550" t="s">
        <v>2401</v>
      </c>
      <c r="K550" s="24">
        <f t="shared" si="9"/>
        <v>1.3655743202889425E-14</v>
      </c>
    </row>
    <row r="551" spans="1:11" hidden="1" x14ac:dyDescent="0.3">
      <c r="A551" s="21">
        <v>45138</v>
      </c>
      <c r="B551" t="s">
        <v>1402</v>
      </c>
      <c r="C551" s="22" t="s">
        <v>1191</v>
      </c>
      <c r="D551" s="23">
        <v>50</v>
      </c>
      <c r="E551" s="23">
        <v>0</v>
      </c>
      <c r="F551" s="23">
        <v>106588.18</v>
      </c>
      <c r="G551" s="22" t="s">
        <v>2399</v>
      </c>
      <c r="H551" s="22"/>
      <c r="I551" t="s">
        <v>2400</v>
      </c>
      <c r="K551" s="24">
        <f t="shared" si="9"/>
        <v>-106637.31999999999</v>
      </c>
    </row>
    <row r="552" spans="1:11" hidden="1" x14ac:dyDescent="0.3">
      <c r="A552" s="21">
        <v>45138</v>
      </c>
      <c r="B552" t="s">
        <v>1403</v>
      </c>
      <c r="C552" s="22" t="s">
        <v>1191</v>
      </c>
      <c r="D552" s="23">
        <v>270</v>
      </c>
      <c r="E552" s="23">
        <v>0</v>
      </c>
      <c r="F552" s="23">
        <v>106318.18</v>
      </c>
      <c r="G552" s="22" t="s">
        <v>2399</v>
      </c>
      <c r="H552" s="22"/>
      <c r="I552" t="s">
        <v>2400</v>
      </c>
      <c r="K552" s="24">
        <f t="shared" si="9"/>
        <v>0</v>
      </c>
    </row>
    <row r="553" spans="1:11" hidden="1" x14ac:dyDescent="0.3">
      <c r="A553" s="21">
        <v>45138</v>
      </c>
      <c r="B553" t="s">
        <v>1404</v>
      </c>
      <c r="C553" s="22" t="s">
        <v>1191</v>
      </c>
      <c r="D553" s="23">
        <v>1000</v>
      </c>
      <c r="E553" s="23">
        <v>0</v>
      </c>
      <c r="F553" s="23">
        <v>105318.18</v>
      </c>
      <c r="G553" s="22" t="s">
        <v>2399</v>
      </c>
      <c r="H553" s="22"/>
      <c r="I553" t="s">
        <v>2400</v>
      </c>
      <c r="K553" s="24">
        <f t="shared" si="9"/>
        <v>0</v>
      </c>
    </row>
    <row r="554" spans="1:11" hidden="1" x14ac:dyDescent="0.3">
      <c r="A554" s="21">
        <v>45138</v>
      </c>
      <c r="B554" t="s">
        <v>1405</v>
      </c>
      <c r="C554" s="22" t="s">
        <v>1191</v>
      </c>
      <c r="D554" s="23">
        <v>350</v>
      </c>
      <c r="E554" s="23">
        <v>0</v>
      </c>
      <c r="F554" s="23">
        <v>104968.18</v>
      </c>
      <c r="G554" s="22" t="s">
        <v>2399</v>
      </c>
      <c r="H554" s="22"/>
      <c r="I554" t="s">
        <v>2400</v>
      </c>
      <c r="K554" s="24">
        <f t="shared" si="9"/>
        <v>0</v>
      </c>
    </row>
    <row r="555" spans="1:11" hidden="1" x14ac:dyDescent="0.3">
      <c r="A555" s="21">
        <v>45139</v>
      </c>
      <c r="B555" t="s">
        <v>133</v>
      </c>
      <c r="C555" s="22"/>
      <c r="D555" s="23">
        <v>120.07</v>
      </c>
      <c r="E555" s="23">
        <v>0</v>
      </c>
      <c r="F555" s="23">
        <v>20180.84</v>
      </c>
      <c r="G555" s="22" t="s">
        <v>2406</v>
      </c>
      <c r="H555" s="22"/>
      <c r="I555" t="s">
        <v>2403</v>
      </c>
      <c r="K555" s="24">
        <f t="shared" si="9"/>
        <v>84667.26999999999</v>
      </c>
    </row>
    <row r="556" spans="1:11" hidden="1" x14ac:dyDescent="0.3">
      <c r="A556" s="21">
        <v>45139</v>
      </c>
      <c r="B556" t="s">
        <v>133</v>
      </c>
      <c r="C556" s="22"/>
      <c r="D556" s="23">
        <v>20180.84</v>
      </c>
      <c r="E556" s="23">
        <v>0</v>
      </c>
      <c r="F556" s="23">
        <v>0</v>
      </c>
      <c r="G556" s="22" t="s">
        <v>2406</v>
      </c>
      <c r="H556" s="22"/>
      <c r="I556" t="s">
        <v>2403</v>
      </c>
      <c r="K556" s="24">
        <f t="shared" si="9"/>
        <v>0</v>
      </c>
    </row>
    <row r="557" spans="1:11" hidden="1" x14ac:dyDescent="0.3">
      <c r="A557" s="21">
        <v>45139</v>
      </c>
      <c r="B557" t="s">
        <v>135</v>
      </c>
      <c r="C557" s="22"/>
      <c r="D557" s="23">
        <v>0</v>
      </c>
      <c r="E557" s="23">
        <v>9827.5400000000009</v>
      </c>
      <c r="F557" s="23">
        <v>9827.5400000000009</v>
      </c>
      <c r="G557" s="22" t="s">
        <v>2406</v>
      </c>
      <c r="H557" s="22"/>
      <c r="I557" t="s">
        <v>2403</v>
      </c>
      <c r="K557" s="24">
        <f t="shared" si="9"/>
        <v>0</v>
      </c>
    </row>
    <row r="558" spans="1:11" hidden="1" x14ac:dyDescent="0.3">
      <c r="A558" s="21">
        <v>45139</v>
      </c>
      <c r="B558" t="s">
        <v>1406</v>
      </c>
      <c r="C558" s="22" t="s">
        <v>1148</v>
      </c>
      <c r="D558" s="23">
        <v>20</v>
      </c>
      <c r="E558" s="23">
        <v>0</v>
      </c>
      <c r="F558" s="23">
        <v>104948.18</v>
      </c>
      <c r="G558" s="22" t="s">
        <v>2399</v>
      </c>
      <c r="H558" s="22"/>
      <c r="I558" t="s">
        <v>2400</v>
      </c>
      <c r="K558" s="24">
        <f t="shared" si="9"/>
        <v>-95140.639999999985</v>
      </c>
    </row>
    <row r="559" spans="1:11" hidden="1" x14ac:dyDescent="0.3">
      <c r="A559" s="21">
        <v>45140</v>
      </c>
      <c r="B559" t="s">
        <v>133</v>
      </c>
      <c r="C559" s="22"/>
      <c r="D559" s="23">
        <v>1508.23</v>
      </c>
      <c r="E559" s="23">
        <v>0</v>
      </c>
      <c r="F559" s="23">
        <v>8319.31</v>
      </c>
      <c r="G559" s="22" t="s">
        <v>2406</v>
      </c>
      <c r="H559" s="22"/>
      <c r="I559" t="s">
        <v>2403</v>
      </c>
      <c r="K559" s="24">
        <f t="shared" si="9"/>
        <v>95120.639999999999</v>
      </c>
    </row>
    <row r="560" spans="1:11" hidden="1" x14ac:dyDescent="0.3">
      <c r="A560" s="21">
        <v>45140</v>
      </c>
      <c r="B560" t="s">
        <v>1407</v>
      </c>
      <c r="C560" s="22" t="s">
        <v>1148</v>
      </c>
      <c r="D560" s="23">
        <v>24687</v>
      </c>
      <c r="E560" s="23">
        <v>0</v>
      </c>
      <c r="F560" s="23">
        <v>80261.179999999993</v>
      </c>
      <c r="G560" s="22" t="s">
        <v>2399</v>
      </c>
      <c r="H560" s="22"/>
      <c r="I560" t="s">
        <v>2400</v>
      </c>
      <c r="K560" s="24">
        <f t="shared" si="9"/>
        <v>-96628.87</v>
      </c>
    </row>
    <row r="561" spans="1:11" hidden="1" x14ac:dyDescent="0.3">
      <c r="A561" s="21">
        <v>45140</v>
      </c>
      <c r="B561" t="s">
        <v>1408</v>
      </c>
      <c r="C561" s="22" t="s">
        <v>1148</v>
      </c>
      <c r="D561" s="23">
        <v>10</v>
      </c>
      <c r="E561" s="23">
        <v>0</v>
      </c>
      <c r="F561" s="23">
        <v>80251.179999999993</v>
      </c>
      <c r="G561" s="22" t="s">
        <v>2399</v>
      </c>
      <c r="H561" s="22"/>
      <c r="I561" t="s">
        <v>2400</v>
      </c>
      <c r="K561" s="24">
        <f t="shared" si="9"/>
        <v>0</v>
      </c>
    </row>
    <row r="562" spans="1:11" hidden="1" x14ac:dyDescent="0.3">
      <c r="A562" s="21">
        <v>45140</v>
      </c>
      <c r="B562" t="s">
        <v>1409</v>
      </c>
      <c r="C562" s="22" t="s">
        <v>1148</v>
      </c>
      <c r="D562" s="23">
        <v>40</v>
      </c>
      <c r="E562" s="23">
        <v>0</v>
      </c>
      <c r="F562" s="23">
        <v>80211.179999999993</v>
      </c>
      <c r="G562" s="22" t="s">
        <v>2399</v>
      </c>
      <c r="H562" s="22"/>
      <c r="I562" t="s">
        <v>2400</v>
      </c>
      <c r="K562" s="24">
        <f t="shared" si="9"/>
        <v>0</v>
      </c>
    </row>
    <row r="563" spans="1:11" hidden="1" x14ac:dyDescent="0.3">
      <c r="A563" s="21">
        <v>45141</v>
      </c>
      <c r="B563" t="s">
        <v>133</v>
      </c>
      <c r="C563" s="22"/>
      <c r="D563" s="23">
        <v>133.01</v>
      </c>
      <c r="E563" s="23">
        <v>0</v>
      </c>
      <c r="F563" s="23">
        <v>8186.3</v>
      </c>
      <c r="G563" s="22" t="s">
        <v>2406</v>
      </c>
      <c r="H563" s="22"/>
      <c r="I563" t="s">
        <v>2403</v>
      </c>
      <c r="K563" s="24">
        <f t="shared" si="9"/>
        <v>71891.87</v>
      </c>
    </row>
    <row r="564" spans="1:11" hidden="1" x14ac:dyDescent="0.3">
      <c r="A564" s="21">
        <v>45141</v>
      </c>
      <c r="B564" t="s">
        <v>133</v>
      </c>
      <c r="C564" s="22"/>
      <c r="D564" s="23">
        <v>967.62</v>
      </c>
      <c r="E564" s="23">
        <v>0</v>
      </c>
      <c r="F564" s="23">
        <v>7218.68</v>
      </c>
      <c r="G564" s="22" t="s">
        <v>2406</v>
      </c>
      <c r="H564" s="22"/>
      <c r="I564" t="s">
        <v>2403</v>
      </c>
      <c r="K564" s="24">
        <f t="shared" si="9"/>
        <v>0</v>
      </c>
    </row>
    <row r="565" spans="1:11" hidden="1" x14ac:dyDescent="0.3">
      <c r="A565" s="21">
        <v>45141</v>
      </c>
      <c r="B565" t="s">
        <v>1410</v>
      </c>
      <c r="C565" s="22" t="s">
        <v>1152</v>
      </c>
      <c r="D565" s="23">
        <v>140</v>
      </c>
      <c r="E565" s="23">
        <v>0</v>
      </c>
      <c r="F565" s="23">
        <v>80071.179999999993</v>
      </c>
      <c r="G565" s="22" t="s">
        <v>2399</v>
      </c>
      <c r="H565" s="22"/>
      <c r="I565" t="s">
        <v>2400</v>
      </c>
      <c r="K565" s="24">
        <f t="shared" si="9"/>
        <v>-72992.5</v>
      </c>
    </row>
    <row r="566" spans="1:11" hidden="1" x14ac:dyDescent="0.3">
      <c r="A566" s="21">
        <v>45141</v>
      </c>
      <c r="B566" t="s">
        <v>1411</v>
      </c>
      <c r="C566" s="22" t="s">
        <v>1152</v>
      </c>
      <c r="D566" s="23">
        <v>785</v>
      </c>
      <c r="E566" s="23">
        <v>0</v>
      </c>
      <c r="F566" s="23">
        <v>79286.179999999993</v>
      </c>
      <c r="G566" s="22" t="s">
        <v>2399</v>
      </c>
      <c r="H566" s="22"/>
      <c r="I566" t="s">
        <v>2400</v>
      </c>
      <c r="K566" s="24">
        <f t="shared" si="9"/>
        <v>0</v>
      </c>
    </row>
    <row r="567" spans="1:11" hidden="1" x14ac:dyDescent="0.3">
      <c r="A567" s="21">
        <v>45141</v>
      </c>
      <c r="B567" t="s">
        <v>1412</v>
      </c>
      <c r="C567" s="22" t="s">
        <v>1152</v>
      </c>
      <c r="D567" s="23">
        <v>135</v>
      </c>
      <c r="E567" s="23">
        <v>0</v>
      </c>
      <c r="F567" s="23">
        <v>79151.179999999993</v>
      </c>
      <c r="G567" s="22" t="s">
        <v>2399</v>
      </c>
      <c r="H567" s="22"/>
      <c r="I567" t="s">
        <v>2400</v>
      </c>
      <c r="K567" s="24">
        <f t="shared" si="9"/>
        <v>0</v>
      </c>
    </row>
    <row r="568" spans="1:11" hidden="1" x14ac:dyDescent="0.3">
      <c r="A568" s="21">
        <v>45141</v>
      </c>
      <c r="B568" t="s">
        <v>1413</v>
      </c>
      <c r="C568" s="22" t="s">
        <v>1152</v>
      </c>
      <c r="D568" s="23">
        <v>20</v>
      </c>
      <c r="E568" s="23">
        <v>0</v>
      </c>
      <c r="F568" s="23">
        <v>79131.179999999993</v>
      </c>
      <c r="G568" s="22" t="s">
        <v>2399</v>
      </c>
      <c r="H568" s="22"/>
      <c r="I568" t="s">
        <v>2400</v>
      </c>
      <c r="K568" s="24">
        <f t="shared" si="9"/>
        <v>0</v>
      </c>
    </row>
    <row r="569" spans="1:11" hidden="1" x14ac:dyDescent="0.3">
      <c r="A569" s="21">
        <v>45142</v>
      </c>
      <c r="B569" t="s">
        <v>133</v>
      </c>
      <c r="C569" s="22"/>
      <c r="D569" s="23">
        <v>132.53</v>
      </c>
      <c r="E569" s="23">
        <v>0</v>
      </c>
      <c r="F569" s="23">
        <v>7086.15</v>
      </c>
      <c r="G569" s="22" t="s">
        <v>2406</v>
      </c>
      <c r="H569" s="22"/>
      <c r="I569" t="s">
        <v>2403</v>
      </c>
      <c r="K569" s="24">
        <f t="shared" si="9"/>
        <v>71912.5</v>
      </c>
    </row>
    <row r="570" spans="1:11" hidden="1" x14ac:dyDescent="0.3">
      <c r="A570" s="21">
        <v>45142</v>
      </c>
      <c r="B570" t="s">
        <v>133</v>
      </c>
      <c r="C570" s="22"/>
      <c r="D570" s="23">
        <v>7086.15</v>
      </c>
      <c r="E570" s="23">
        <v>0</v>
      </c>
      <c r="F570" s="23">
        <v>0</v>
      </c>
      <c r="G570" s="22" t="s">
        <v>2406</v>
      </c>
      <c r="H570" s="22"/>
      <c r="I570" t="s">
        <v>2403</v>
      </c>
      <c r="K570" s="24">
        <f t="shared" si="9"/>
        <v>0</v>
      </c>
    </row>
    <row r="571" spans="1:11" hidden="1" x14ac:dyDescent="0.3">
      <c r="A571" s="21">
        <v>45142</v>
      </c>
      <c r="B571" t="s">
        <v>1414</v>
      </c>
      <c r="C571" s="22" t="s">
        <v>1172</v>
      </c>
      <c r="D571" s="23">
        <v>50</v>
      </c>
      <c r="E571" s="23">
        <v>0</v>
      </c>
      <c r="F571" s="23">
        <v>79081.179999999993</v>
      </c>
      <c r="G571" s="22" t="s">
        <v>2399</v>
      </c>
      <c r="H571" s="22"/>
      <c r="I571" t="s">
        <v>2400</v>
      </c>
      <c r="K571" s="24">
        <f t="shared" si="9"/>
        <v>-79131.179999999993</v>
      </c>
    </row>
    <row r="572" spans="1:11" hidden="1" x14ac:dyDescent="0.3">
      <c r="A572" s="21">
        <v>45142</v>
      </c>
      <c r="B572" t="s">
        <v>1415</v>
      </c>
      <c r="C572" s="22"/>
      <c r="D572" s="23">
        <v>0</v>
      </c>
      <c r="E572" s="23">
        <v>60</v>
      </c>
      <c r="F572" s="23">
        <v>79141.179999999993</v>
      </c>
      <c r="G572" s="22" t="s">
        <v>2409</v>
      </c>
      <c r="H572" s="22"/>
      <c r="I572" t="s">
        <v>2400</v>
      </c>
      <c r="K572" s="24">
        <f t="shared" si="9"/>
        <v>0</v>
      </c>
    </row>
    <row r="573" spans="1:11" hidden="1" x14ac:dyDescent="0.3">
      <c r="A573" s="21">
        <v>45142</v>
      </c>
      <c r="B573" t="s">
        <v>1416</v>
      </c>
      <c r="C573" s="22"/>
      <c r="D573" s="23">
        <v>0</v>
      </c>
      <c r="E573" s="23">
        <v>30</v>
      </c>
      <c r="F573" s="23">
        <v>79171.179999999993</v>
      </c>
      <c r="G573" s="22" t="s">
        <v>2409</v>
      </c>
      <c r="H573" s="22"/>
      <c r="I573" t="s">
        <v>2400</v>
      </c>
      <c r="K573" s="24">
        <f t="shared" si="9"/>
        <v>0</v>
      </c>
    </row>
    <row r="574" spans="1:11" hidden="1" x14ac:dyDescent="0.3">
      <c r="A574" s="21">
        <v>45142</v>
      </c>
      <c r="B574" t="s">
        <v>1417</v>
      </c>
      <c r="C574" s="22" t="s">
        <v>1172</v>
      </c>
      <c r="D574" s="23">
        <v>20</v>
      </c>
      <c r="E574" s="23">
        <v>0</v>
      </c>
      <c r="F574" s="23">
        <v>79151.179999999993</v>
      </c>
      <c r="G574" s="22" t="s">
        <v>2399</v>
      </c>
      <c r="H574" s="22"/>
      <c r="I574" t="s">
        <v>2400</v>
      </c>
      <c r="K574" s="24">
        <f t="shared" si="9"/>
        <v>0</v>
      </c>
    </row>
    <row r="575" spans="1:11" hidden="1" x14ac:dyDescent="0.3">
      <c r="A575" s="21">
        <v>45142</v>
      </c>
      <c r="B575" t="s">
        <v>1418</v>
      </c>
      <c r="C575" s="22" t="s">
        <v>1184</v>
      </c>
      <c r="D575" s="23">
        <v>0</v>
      </c>
      <c r="E575" s="23">
        <v>20</v>
      </c>
      <c r="F575" s="23">
        <v>79171.179999999993</v>
      </c>
      <c r="G575" s="22" t="s">
        <v>2399</v>
      </c>
      <c r="H575" s="22"/>
      <c r="I575" t="s">
        <v>2400</v>
      </c>
      <c r="K575" s="24">
        <f t="shared" si="9"/>
        <v>0</v>
      </c>
    </row>
    <row r="576" spans="1:11" hidden="1" x14ac:dyDescent="0.3">
      <c r="A576" s="21">
        <v>45142</v>
      </c>
      <c r="B576" t="s">
        <v>1419</v>
      </c>
      <c r="C576" s="22" t="s">
        <v>1172</v>
      </c>
      <c r="D576" s="23">
        <v>2493.9499999999998</v>
      </c>
      <c r="E576" s="23">
        <v>0</v>
      </c>
      <c r="F576" s="23">
        <v>76677.23</v>
      </c>
      <c r="G576" s="22" t="s">
        <v>2399</v>
      </c>
      <c r="H576" s="22"/>
      <c r="I576" t="s">
        <v>2400</v>
      </c>
      <c r="K576" s="24">
        <f t="shared" si="9"/>
        <v>0</v>
      </c>
    </row>
    <row r="577" spans="1:11" hidden="1" x14ac:dyDescent="0.3">
      <c r="A577" s="21">
        <v>45143</v>
      </c>
      <c r="B577" t="s">
        <v>438</v>
      </c>
      <c r="C577" s="22"/>
      <c r="D577" s="23">
        <v>0</v>
      </c>
      <c r="E577" s="23">
        <v>25000</v>
      </c>
      <c r="F577" s="23">
        <v>25000</v>
      </c>
      <c r="G577" s="22" t="s">
        <v>2422</v>
      </c>
      <c r="H577" s="22"/>
      <c r="I577" t="s">
        <v>2403</v>
      </c>
      <c r="K577" s="24">
        <f t="shared" si="9"/>
        <v>76677.23</v>
      </c>
    </row>
    <row r="578" spans="1:11" hidden="1" x14ac:dyDescent="0.3">
      <c r="A578" s="21">
        <v>45144</v>
      </c>
      <c r="B578" t="s">
        <v>35</v>
      </c>
      <c r="C578" s="22"/>
      <c r="D578" s="23">
        <v>136</v>
      </c>
      <c r="E578" s="23">
        <v>0</v>
      </c>
      <c r="F578" s="23">
        <v>48759.57</v>
      </c>
      <c r="G578" s="22" t="s">
        <v>2419</v>
      </c>
      <c r="H578" s="22"/>
      <c r="I578" t="s">
        <v>2404</v>
      </c>
      <c r="K578" s="24">
        <f t="shared" si="9"/>
        <v>-23895.57</v>
      </c>
    </row>
    <row r="579" spans="1:11" hidden="1" x14ac:dyDescent="0.3">
      <c r="A579" s="21">
        <v>45144</v>
      </c>
      <c r="B579" t="s">
        <v>36</v>
      </c>
      <c r="C579" s="22"/>
      <c r="D579" s="23">
        <v>2285</v>
      </c>
      <c r="E579" s="23">
        <v>0</v>
      </c>
      <c r="F579" s="23">
        <v>46474.57</v>
      </c>
      <c r="G579" s="22" t="s">
        <v>2419</v>
      </c>
      <c r="H579" s="22"/>
      <c r="I579" t="s">
        <v>2404</v>
      </c>
      <c r="K579" s="24">
        <f t="shared" si="9"/>
        <v>0</v>
      </c>
    </row>
    <row r="580" spans="1:11" hidden="1" x14ac:dyDescent="0.3">
      <c r="A580" s="21">
        <v>45144</v>
      </c>
      <c r="B580" t="s">
        <v>37</v>
      </c>
      <c r="C580" s="22"/>
      <c r="D580" s="23">
        <v>16</v>
      </c>
      <c r="E580" s="23">
        <v>0</v>
      </c>
      <c r="F580" s="23">
        <v>46458.57</v>
      </c>
      <c r="G580" s="22" t="s">
        <v>2419</v>
      </c>
      <c r="H580" s="22"/>
      <c r="I580" t="s">
        <v>2404</v>
      </c>
      <c r="K580" s="24">
        <f t="shared" si="9"/>
        <v>0</v>
      </c>
    </row>
    <row r="581" spans="1:11" hidden="1" x14ac:dyDescent="0.3">
      <c r="A581" s="21">
        <v>45144</v>
      </c>
      <c r="B581" t="s">
        <v>38</v>
      </c>
      <c r="C581" s="22"/>
      <c r="D581" s="23">
        <v>142</v>
      </c>
      <c r="E581" s="23">
        <v>0</v>
      </c>
      <c r="F581" s="23">
        <v>46316.57</v>
      </c>
      <c r="G581" s="22" t="s">
        <v>2419</v>
      </c>
      <c r="H581" s="22"/>
      <c r="I581" t="s">
        <v>2404</v>
      </c>
      <c r="K581" s="24">
        <f t="shared" si="9"/>
        <v>0</v>
      </c>
    </row>
    <row r="582" spans="1:11" hidden="1" x14ac:dyDescent="0.3">
      <c r="A582" s="21">
        <v>45144</v>
      </c>
      <c r="B582" t="s">
        <v>39</v>
      </c>
      <c r="C582" s="22"/>
      <c r="D582" s="23">
        <v>130</v>
      </c>
      <c r="E582" s="23">
        <v>0</v>
      </c>
      <c r="F582" s="23">
        <v>46186.57</v>
      </c>
      <c r="G582" s="22" t="s">
        <v>2419</v>
      </c>
      <c r="H582" s="22"/>
      <c r="I582" t="s">
        <v>2404</v>
      </c>
      <c r="K582" s="24">
        <f t="shared" ref="K582:K645" si="10">F581-D582+E582-F582</f>
        <v>0</v>
      </c>
    </row>
    <row r="583" spans="1:11" hidden="1" x14ac:dyDescent="0.3">
      <c r="A583" s="21">
        <v>45145</v>
      </c>
      <c r="B583" t="s">
        <v>40</v>
      </c>
      <c r="C583" s="22"/>
      <c r="D583" s="23">
        <v>0</v>
      </c>
      <c r="E583" s="23">
        <v>130</v>
      </c>
      <c r="F583" s="23">
        <v>46316.57</v>
      </c>
      <c r="G583" s="22" t="s">
        <v>2419</v>
      </c>
      <c r="H583" s="22"/>
      <c r="I583" t="s">
        <v>2404</v>
      </c>
      <c r="K583" s="24">
        <f t="shared" si="10"/>
        <v>0</v>
      </c>
    </row>
    <row r="584" spans="1:11" hidden="1" x14ac:dyDescent="0.3">
      <c r="A584" s="21">
        <v>45145</v>
      </c>
      <c r="B584" t="s">
        <v>133</v>
      </c>
      <c r="C584" s="22"/>
      <c r="D584" s="23">
        <v>24124.85</v>
      </c>
      <c r="E584" s="23">
        <v>0</v>
      </c>
      <c r="F584" s="23">
        <v>875.15</v>
      </c>
      <c r="G584" s="22" t="s">
        <v>2406</v>
      </c>
      <c r="H584" s="22"/>
      <c r="I584" t="s">
        <v>2403</v>
      </c>
      <c r="K584" s="24">
        <f t="shared" si="10"/>
        <v>21316.57</v>
      </c>
    </row>
    <row r="585" spans="1:11" hidden="1" x14ac:dyDescent="0.3">
      <c r="A585" s="21">
        <v>45145</v>
      </c>
      <c r="B585" t="s">
        <v>441</v>
      </c>
      <c r="C585" s="22"/>
      <c r="D585" s="23">
        <v>0</v>
      </c>
      <c r="E585" s="23">
        <v>10000</v>
      </c>
      <c r="F585" s="23">
        <v>10875.15</v>
      </c>
      <c r="G585" s="22" t="s">
        <v>2421</v>
      </c>
      <c r="H585" s="22"/>
      <c r="I585" t="s">
        <v>2403</v>
      </c>
      <c r="K585" s="24">
        <f t="shared" si="10"/>
        <v>0</v>
      </c>
    </row>
    <row r="586" spans="1:11" hidden="1" x14ac:dyDescent="0.3">
      <c r="A586" s="21">
        <v>45145</v>
      </c>
      <c r="B586" t="s">
        <v>133</v>
      </c>
      <c r="C586" s="22"/>
      <c r="D586" s="23">
        <v>10875.15</v>
      </c>
      <c r="E586" s="23">
        <v>0</v>
      </c>
      <c r="F586" s="23">
        <v>0</v>
      </c>
      <c r="G586" s="22" t="s">
        <v>2406</v>
      </c>
      <c r="H586" s="22"/>
      <c r="I586" t="s">
        <v>2403</v>
      </c>
      <c r="K586" s="24">
        <f t="shared" si="10"/>
        <v>0</v>
      </c>
    </row>
    <row r="587" spans="1:11" hidden="1" x14ac:dyDescent="0.3">
      <c r="A587" s="21">
        <v>45145</v>
      </c>
      <c r="B587" t="s">
        <v>444</v>
      </c>
      <c r="C587" s="22"/>
      <c r="D587" s="23">
        <v>0</v>
      </c>
      <c r="E587" s="23">
        <v>162.5</v>
      </c>
      <c r="F587" s="23">
        <v>162.5</v>
      </c>
      <c r="G587" s="22" t="s">
        <v>2409</v>
      </c>
      <c r="H587" s="22"/>
      <c r="I587" t="s">
        <v>2403</v>
      </c>
      <c r="K587" s="24">
        <f t="shared" si="10"/>
        <v>0</v>
      </c>
    </row>
    <row r="588" spans="1:11" hidden="1" x14ac:dyDescent="0.3">
      <c r="A588" s="21">
        <v>45145</v>
      </c>
      <c r="B588" t="s">
        <v>446</v>
      </c>
      <c r="C588" s="22"/>
      <c r="D588" s="23">
        <v>0</v>
      </c>
      <c r="E588" s="23">
        <v>207</v>
      </c>
      <c r="F588" s="23">
        <v>369.5</v>
      </c>
      <c r="G588" s="22" t="s">
        <v>2409</v>
      </c>
      <c r="H588" s="22"/>
      <c r="I588" t="s">
        <v>2403</v>
      </c>
      <c r="K588" s="24">
        <f t="shared" si="10"/>
        <v>0</v>
      </c>
    </row>
    <row r="589" spans="1:11" hidden="1" x14ac:dyDescent="0.3">
      <c r="A589" s="21">
        <v>45145</v>
      </c>
      <c r="B589" t="s">
        <v>448</v>
      </c>
      <c r="C589" s="22"/>
      <c r="D589" s="23">
        <v>0</v>
      </c>
      <c r="E589" s="23">
        <v>1880</v>
      </c>
      <c r="F589" s="23">
        <v>2249.5</v>
      </c>
      <c r="G589" s="22" t="s">
        <v>2407</v>
      </c>
      <c r="H589" s="22"/>
      <c r="I589" t="s">
        <v>2403</v>
      </c>
      <c r="K589" s="24">
        <f t="shared" si="10"/>
        <v>0</v>
      </c>
    </row>
    <row r="590" spans="1:11" hidden="1" x14ac:dyDescent="0.3">
      <c r="A590" s="21">
        <v>45145</v>
      </c>
      <c r="B590" t="s">
        <v>450</v>
      </c>
      <c r="C590" s="22"/>
      <c r="D590" s="23">
        <v>0</v>
      </c>
      <c r="E590" s="23">
        <v>25000</v>
      </c>
      <c r="F590" s="23">
        <v>27249.5</v>
      </c>
      <c r="G590" s="22" t="s">
        <v>2422</v>
      </c>
      <c r="H590" s="22"/>
      <c r="I590" t="s">
        <v>2403</v>
      </c>
      <c r="K590" s="24">
        <f t="shared" si="10"/>
        <v>0</v>
      </c>
    </row>
    <row r="591" spans="1:11" hidden="1" x14ac:dyDescent="0.3">
      <c r="A591" s="21">
        <v>45145</v>
      </c>
      <c r="B591" t="s">
        <v>135</v>
      </c>
      <c r="C591" s="22"/>
      <c r="D591" s="23">
        <v>0</v>
      </c>
      <c r="E591" s="23">
        <v>24124.85</v>
      </c>
      <c r="F591" s="23">
        <v>37490.67</v>
      </c>
      <c r="G591" s="22" t="s">
        <v>2406</v>
      </c>
      <c r="H591" s="22"/>
      <c r="I591" t="s">
        <v>2403</v>
      </c>
      <c r="K591" s="24">
        <f t="shared" si="10"/>
        <v>13883.68</v>
      </c>
    </row>
    <row r="592" spans="1:11" hidden="1" x14ac:dyDescent="0.3">
      <c r="A592" s="21">
        <v>45145</v>
      </c>
      <c r="B592" t="s">
        <v>1420</v>
      </c>
      <c r="C592" s="22" t="s">
        <v>1332</v>
      </c>
      <c r="D592" s="23">
        <v>0</v>
      </c>
      <c r="E592" s="23">
        <v>2260.2800000000002</v>
      </c>
      <c r="F592" s="23">
        <v>78937.509999999995</v>
      </c>
      <c r="G592" s="22" t="s">
        <v>2399</v>
      </c>
      <c r="H592" s="22"/>
      <c r="I592" t="s">
        <v>2400</v>
      </c>
      <c r="K592" s="24">
        <f t="shared" si="10"/>
        <v>-39186.559999999998</v>
      </c>
    </row>
    <row r="593" spans="1:11" hidden="1" x14ac:dyDescent="0.3">
      <c r="A593" s="21">
        <v>45146</v>
      </c>
      <c r="B593" t="s">
        <v>133</v>
      </c>
      <c r="C593" s="22"/>
      <c r="D593" s="23">
        <v>13883.68</v>
      </c>
      <c r="E593" s="23">
        <v>0</v>
      </c>
      <c r="F593" s="23">
        <v>13365.82</v>
      </c>
      <c r="G593" s="22" t="s">
        <v>2406</v>
      </c>
      <c r="H593" s="22"/>
      <c r="I593" t="s">
        <v>2403</v>
      </c>
      <c r="K593" s="24">
        <f t="shared" si="10"/>
        <v>51688.009999999995</v>
      </c>
    </row>
    <row r="594" spans="1:11" hidden="1" x14ac:dyDescent="0.3">
      <c r="A594" s="21">
        <v>45146</v>
      </c>
      <c r="B594" t="s">
        <v>133</v>
      </c>
      <c r="C594" s="22"/>
      <c r="D594" s="23">
        <v>113.72</v>
      </c>
      <c r="E594" s="23">
        <v>0</v>
      </c>
      <c r="F594" s="23">
        <v>37376.949999999997</v>
      </c>
      <c r="G594" s="22" t="s">
        <v>2406</v>
      </c>
      <c r="H594" s="22"/>
      <c r="I594" t="s">
        <v>2403</v>
      </c>
      <c r="K594" s="24">
        <f t="shared" si="10"/>
        <v>-24124.85</v>
      </c>
    </row>
    <row r="595" spans="1:11" hidden="1" x14ac:dyDescent="0.3">
      <c r="A595" s="21">
        <v>45146</v>
      </c>
      <c r="B595" t="s">
        <v>455</v>
      </c>
      <c r="C595" s="22"/>
      <c r="D595" s="23">
        <v>0</v>
      </c>
      <c r="E595" s="23">
        <v>640</v>
      </c>
      <c r="F595" s="23">
        <v>38016.949999999997</v>
      </c>
      <c r="G595" s="22" t="s">
        <v>2409</v>
      </c>
      <c r="H595" s="22"/>
      <c r="I595" t="s">
        <v>2403</v>
      </c>
      <c r="K595" s="24">
        <f t="shared" si="10"/>
        <v>0</v>
      </c>
    </row>
    <row r="596" spans="1:11" hidden="1" x14ac:dyDescent="0.3">
      <c r="A596" s="21">
        <v>45146</v>
      </c>
      <c r="B596" t="s">
        <v>135</v>
      </c>
      <c r="C596" s="22"/>
      <c r="D596" s="23">
        <v>0</v>
      </c>
      <c r="E596" s="23">
        <v>4.88</v>
      </c>
      <c r="F596" s="23">
        <v>38021.83</v>
      </c>
      <c r="G596" s="22" t="s">
        <v>2406</v>
      </c>
      <c r="H596" s="22"/>
      <c r="I596" t="s">
        <v>2403</v>
      </c>
      <c r="K596" s="24">
        <f t="shared" si="10"/>
        <v>0</v>
      </c>
    </row>
    <row r="597" spans="1:11" hidden="1" x14ac:dyDescent="0.3">
      <c r="A597" s="21">
        <v>45146</v>
      </c>
      <c r="B597" t="s">
        <v>1421</v>
      </c>
      <c r="C597" s="22" t="s">
        <v>1161</v>
      </c>
      <c r="D597" s="23">
        <v>50</v>
      </c>
      <c r="E597" s="23">
        <v>0</v>
      </c>
      <c r="F597" s="23">
        <v>78887.509999999995</v>
      </c>
      <c r="G597" s="22" t="s">
        <v>2399</v>
      </c>
      <c r="H597" s="22"/>
      <c r="I597" t="s">
        <v>2400</v>
      </c>
      <c r="K597" s="24">
        <f t="shared" si="10"/>
        <v>-40915.679999999993</v>
      </c>
    </row>
    <row r="598" spans="1:11" hidden="1" x14ac:dyDescent="0.3">
      <c r="A598" s="21">
        <v>45147</v>
      </c>
      <c r="B598" t="s">
        <v>41</v>
      </c>
      <c r="C598" s="22"/>
      <c r="D598" s="23">
        <v>50</v>
      </c>
      <c r="E598" s="23">
        <v>0</v>
      </c>
      <c r="F598" s="23">
        <v>46266.57</v>
      </c>
      <c r="G598" s="22" t="s">
        <v>2419</v>
      </c>
      <c r="H598" s="22"/>
      <c r="I598" t="s">
        <v>2404</v>
      </c>
      <c r="K598" s="24">
        <f t="shared" si="10"/>
        <v>32570.939999999995</v>
      </c>
    </row>
    <row r="599" spans="1:11" hidden="1" x14ac:dyDescent="0.3">
      <c r="A599" s="21">
        <v>45147</v>
      </c>
      <c r="B599" t="s">
        <v>133</v>
      </c>
      <c r="C599" s="22"/>
      <c r="D599" s="23">
        <v>113.72</v>
      </c>
      <c r="E599" s="23">
        <v>0</v>
      </c>
      <c r="F599" s="23">
        <v>37908.11</v>
      </c>
      <c r="G599" s="22" t="s">
        <v>2406</v>
      </c>
      <c r="H599" s="22"/>
      <c r="I599" t="s">
        <v>2403</v>
      </c>
      <c r="K599" s="24">
        <f t="shared" si="10"/>
        <v>8244.739999999998</v>
      </c>
    </row>
    <row r="600" spans="1:11" hidden="1" x14ac:dyDescent="0.3">
      <c r="A600" s="21">
        <v>45147</v>
      </c>
      <c r="B600" t="s">
        <v>133</v>
      </c>
      <c r="C600" s="22"/>
      <c r="D600" s="23">
        <v>34.549999999999997</v>
      </c>
      <c r="E600" s="23">
        <v>0</v>
      </c>
      <c r="F600" s="23">
        <v>37873.56</v>
      </c>
      <c r="G600" s="22" t="s">
        <v>2406</v>
      </c>
      <c r="H600" s="22"/>
      <c r="I600" t="s">
        <v>2403</v>
      </c>
      <c r="K600" s="24">
        <f t="shared" si="10"/>
        <v>0</v>
      </c>
    </row>
    <row r="601" spans="1:11" hidden="1" x14ac:dyDescent="0.3">
      <c r="A601" s="21">
        <v>45147</v>
      </c>
      <c r="B601" t="s">
        <v>1422</v>
      </c>
      <c r="C601" s="22" t="s">
        <v>1148</v>
      </c>
      <c r="D601" s="23">
        <v>20</v>
      </c>
      <c r="E601" s="23">
        <v>0</v>
      </c>
      <c r="F601" s="23">
        <v>78867.509999999995</v>
      </c>
      <c r="G601" s="22" t="s">
        <v>2399</v>
      </c>
      <c r="H601" s="22"/>
      <c r="I601" t="s">
        <v>2400</v>
      </c>
      <c r="K601" s="24">
        <f t="shared" si="10"/>
        <v>-41013.949999999997</v>
      </c>
    </row>
    <row r="602" spans="1:11" hidden="1" x14ac:dyDescent="0.3">
      <c r="A602" s="21">
        <v>45147</v>
      </c>
      <c r="B602" t="s">
        <v>1423</v>
      </c>
      <c r="C602" s="22" t="s">
        <v>1148</v>
      </c>
      <c r="D602" s="23">
        <v>5000</v>
      </c>
      <c r="E602" s="23">
        <v>0</v>
      </c>
      <c r="F602" s="23">
        <v>73867.509999999995</v>
      </c>
      <c r="G602" s="22" t="s">
        <v>2399</v>
      </c>
      <c r="H602" s="22"/>
      <c r="I602" t="s">
        <v>2400</v>
      </c>
      <c r="K602" s="24">
        <f t="shared" si="10"/>
        <v>0</v>
      </c>
    </row>
    <row r="603" spans="1:11" hidden="1" x14ac:dyDescent="0.3">
      <c r="A603" s="21">
        <v>45148</v>
      </c>
      <c r="B603" t="s">
        <v>133</v>
      </c>
      <c r="C603" s="22"/>
      <c r="D603" s="23">
        <v>113.7</v>
      </c>
      <c r="E603" s="23">
        <v>0</v>
      </c>
      <c r="F603" s="23">
        <v>37759.86</v>
      </c>
      <c r="G603" s="22" t="s">
        <v>2406</v>
      </c>
      <c r="H603" s="22"/>
      <c r="I603" t="s">
        <v>2403</v>
      </c>
      <c r="K603" s="24">
        <f t="shared" si="10"/>
        <v>35993.949999999997</v>
      </c>
    </row>
    <row r="604" spans="1:11" hidden="1" x14ac:dyDescent="0.3">
      <c r="A604" s="21">
        <v>45148</v>
      </c>
      <c r="B604" t="s">
        <v>1424</v>
      </c>
      <c r="C604" s="22" t="s">
        <v>1152</v>
      </c>
      <c r="D604" s="23">
        <v>475</v>
      </c>
      <c r="E604" s="23">
        <v>0</v>
      </c>
      <c r="F604" s="23">
        <v>73392.509999999995</v>
      </c>
      <c r="G604" s="22" t="s">
        <v>2399</v>
      </c>
      <c r="H604" s="22"/>
      <c r="I604" t="s">
        <v>2400</v>
      </c>
      <c r="K604" s="24">
        <f t="shared" si="10"/>
        <v>-36107.649999999994</v>
      </c>
    </row>
    <row r="605" spans="1:11" hidden="1" x14ac:dyDescent="0.3">
      <c r="A605" s="21">
        <v>45148</v>
      </c>
      <c r="B605" t="s">
        <v>1425</v>
      </c>
      <c r="C605" s="22" t="s">
        <v>1181</v>
      </c>
      <c r="D605" s="23">
        <v>0</v>
      </c>
      <c r="E605" s="23">
        <v>475</v>
      </c>
      <c r="F605" s="23">
        <v>73867.509999999995</v>
      </c>
      <c r="G605" s="22" t="s">
        <v>2399</v>
      </c>
      <c r="H605" s="22"/>
      <c r="I605" t="s">
        <v>2400</v>
      </c>
      <c r="K605" s="24">
        <f t="shared" si="10"/>
        <v>0</v>
      </c>
    </row>
    <row r="606" spans="1:11" hidden="1" x14ac:dyDescent="0.3">
      <c r="A606" s="21">
        <v>45149</v>
      </c>
      <c r="B606" t="s">
        <v>133</v>
      </c>
      <c r="C606" s="22"/>
      <c r="D606" s="23">
        <v>179.44</v>
      </c>
      <c r="E606" s="23">
        <v>0</v>
      </c>
      <c r="F606" s="23">
        <v>37580.42</v>
      </c>
      <c r="G606" s="22" t="s">
        <v>2406</v>
      </c>
      <c r="H606" s="22"/>
      <c r="I606" t="s">
        <v>2403</v>
      </c>
      <c r="K606" s="24">
        <f t="shared" si="10"/>
        <v>36107.649999999994</v>
      </c>
    </row>
    <row r="607" spans="1:11" hidden="1" x14ac:dyDescent="0.3">
      <c r="A607" s="21">
        <v>45149</v>
      </c>
      <c r="B607" t="s">
        <v>154</v>
      </c>
      <c r="C607" s="22"/>
      <c r="D607" s="23">
        <v>3000</v>
      </c>
      <c r="E607" s="23">
        <v>0</v>
      </c>
      <c r="F607" s="23">
        <v>34580.42</v>
      </c>
      <c r="G607" s="22" t="s">
        <v>2418</v>
      </c>
      <c r="H607" s="22"/>
      <c r="I607" t="s">
        <v>2403</v>
      </c>
      <c r="K607" s="24">
        <f t="shared" si="10"/>
        <v>0</v>
      </c>
    </row>
    <row r="608" spans="1:11" hidden="1" x14ac:dyDescent="0.3">
      <c r="A608" s="21">
        <v>45149</v>
      </c>
      <c r="B608" t="s">
        <v>133</v>
      </c>
      <c r="C608" s="22"/>
      <c r="D608" s="23">
        <v>113.61</v>
      </c>
      <c r="E608" s="23">
        <v>0</v>
      </c>
      <c r="F608" s="23">
        <v>34466.81</v>
      </c>
      <c r="G608" s="22" t="s">
        <v>2406</v>
      </c>
      <c r="H608" s="22"/>
      <c r="I608" t="s">
        <v>2403</v>
      </c>
      <c r="K608" s="24">
        <f t="shared" si="10"/>
        <v>0</v>
      </c>
    </row>
    <row r="609" spans="1:11" hidden="1" x14ac:dyDescent="0.3">
      <c r="A609" s="21">
        <v>45149</v>
      </c>
      <c r="B609" t="s">
        <v>133</v>
      </c>
      <c r="C609" s="22"/>
      <c r="D609" s="23">
        <v>201.59</v>
      </c>
      <c r="E609" s="23">
        <v>0</v>
      </c>
      <c r="F609" s="23">
        <v>34265.22</v>
      </c>
      <c r="G609" s="22" t="s">
        <v>2406</v>
      </c>
      <c r="H609" s="22"/>
      <c r="I609" t="s">
        <v>2403</v>
      </c>
      <c r="K609" s="24">
        <f t="shared" si="10"/>
        <v>0</v>
      </c>
    </row>
    <row r="610" spans="1:11" hidden="1" x14ac:dyDescent="0.3">
      <c r="A610" s="21">
        <v>45149</v>
      </c>
      <c r="B610" t="s">
        <v>1426</v>
      </c>
      <c r="C610" s="22" t="s">
        <v>1172</v>
      </c>
      <c r="D610" s="23">
        <v>1500</v>
      </c>
      <c r="E610" s="23">
        <v>0</v>
      </c>
      <c r="F610" s="23">
        <v>72367.509999999995</v>
      </c>
      <c r="G610" s="22" t="s">
        <v>2399</v>
      </c>
      <c r="H610" s="22"/>
      <c r="I610" t="s">
        <v>2400</v>
      </c>
      <c r="K610" s="24">
        <f t="shared" si="10"/>
        <v>-39602.289999999994</v>
      </c>
    </row>
    <row r="611" spans="1:11" hidden="1" x14ac:dyDescent="0.3">
      <c r="A611" s="21">
        <v>45151</v>
      </c>
      <c r="B611" t="s">
        <v>42</v>
      </c>
      <c r="C611" s="22"/>
      <c r="D611" s="23">
        <v>110</v>
      </c>
      <c r="E611" s="23">
        <v>0</v>
      </c>
      <c r="F611" s="23">
        <v>46156.57</v>
      </c>
      <c r="G611" s="22" t="s">
        <v>2419</v>
      </c>
      <c r="H611" s="22"/>
      <c r="I611" t="s">
        <v>2404</v>
      </c>
      <c r="K611" s="24">
        <f t="shared" si="10"/>
        <v>26100.939999999995</v>
      </c>
    </row>
    <row r="612" spans="1:11" hidden="1" x14ac:dyDescent="0.3">
      <c r="A612" s="21">
        <v>45151</v>
      </c>
      <c r="B612" t="s">
        <v>1427</v>
      </c>
      <c r="C612" s="22" t="s">
        <v>1143</v>
      </c>
      <c r="D612" s="23">
        <v>605</v>
      </c>
      <c r="E612" s="23">
        <v>0</v>
      </c>
      <c r="F612" s="23">
        <v>71762.509999999995</v>
      </c>
      <c r="G612" s="22" t="s">
        <v>2399</v>
      </c>
      <c r="H612" s="22"/>
      <c r="I612" t="s">
        <v>2400</v>
      </c>
      <c r="K612" s="24">
        <f t="shared" si="10"/>
        <v>-26210.939999999995</v>
      </c>
    </row>
    <row r="613" spans="1:11" hidden="1" x14ac:dyDescent="0.3">
      <c r="A613" s="21">
        <v>45151</v>
      </c>
      <c r="B613" t="s">
        <v>1428</v>
      </c>
      <c r="C613" s="22" t="s">
        <v>1143</v>
      </c>
      <c r="D613" s="23">
        <v>475</v>
      </c>
      <c r="E613" s="23">
        <v>0</v>
      </c>
      <c r="F613" s="23">
        <v>71287.509999999995</v>
      </c>
      <c r="G613" s="22" t="s">
        <v>2399</v>
      </c>
      <c r="H613" s="22"/>
      <c r="I613" t="s">
        <v>2400</v>
      </c>
      <c r="K613" s="24">
        <f t="shared" si="10"/>
        <v>0</v>
      </c>
    </row>
    <row r="614" spans="1:11" hidden="1" x14ac:dyDescent="0.3">
      <c r="A614" s="21">
        <v>45152</v>
      </c>
      <c r="B614" t="s">
        <v>465</v>
      </c>
      <c r="C614" s="22"/>
      <c r="D614" s="23">
        <v>0</v>
      </c>
      <c r="E614" s="23">
        <v>285</v>
      </c>
      <c r="F614" s="23">
        <v>34550.22</v>
      </c>
      <c r="G614" s="22" t="s">
        <v>2409</v>
      </c>
      <c r="H614" s="22"/>
      <c r="I614" t="s">
        <v>2403</v>
      </c>
      <c r="K614" s="24">
        <f t="shared" si="10"/>
        <v>37022.289999999994</v>
      </c>
    </row>
    <row r="615" spans="1:11" hidden="1" x14ac:dyDescent="0.3">
      <c r="A615" s="21">
        <v>45152</v>
      </c>
      <c r="B615" t="s">
        <v>204</v>
      </c>
      <c r="C615" s="22"/>
      <c r="D615" s="23">
        <v>3000</v>
      </c>
      <c r="E615" s="23">
        <v>0</v>
      </c>
      <c r="F615" s="23">
        <v>31550.22</v>
      </c>
      <c r="G615" s="22" t="s">
        <v>2418</v>
      </c>
      <c r="H615" s="22"/>
      <c r="I615" t="s">
        <v>2403</v>
      </c>
      <c r="K615" s="24">
        <f t="shared" si="10"/>
        <v>0</v>
      </c>
    </row>
    <row r="616" spans="1:11" hidden="1" x14ac:dyDescent="0.3">
      <c r="A616" s="21">
        <v>45152</v>
      </c>
      <c r="B616" t="s">
        <v>133</v>
      </c>
      <c r="C616" s="22"/>
      <c r="D616" s="23">
        <v>340.53</v>
      </c>
      <c r="E616" s="23">
        <v>0</v>
      </c>
      <c r="F616" s="23">
        <v>31209.69</v>
      </c>
      <c r="G616" s="22" t="s">
        <v>2406</v>
      </c>
      <c r="H616" s="22"/>
      <c r="I616" t="s">
        <v>2403</v>
      </c>
      <c r="K616" s="24">
        <f t="shared" si="10"/>
        <v>0</v>
      </c>
    </row>
    <row r="617" spans="1:11" hidden="1" x14ac:dyDescent="0.3">
      <c r="A617" s="21">
        <v>45152</v>
      </c>
      <c r="B617" t="s">
        <v>133</v>
      </c>
      <c r="C617" s="22"/>
      <c r="D617" s="23">
        <v>448.83</v>
      </c>
      <c r="E617" s="23">
        <v>0</v>
      </c>
      <c r="F617" s="23">
        <v>30760.86</v>
      </c>
      <c r="G617" s="22" t="s">
        <v>2406</v>
      </c>
      <c r="H617" s="22"/>
      <c r="I617" t="s">
        <v>2403</v>
      </c>
      <c r="K617" s="24">
        <f t="shared" si="10"/>
        <v>0</v>
      </c>
    </row>
    <row r="618" spans="1:11" hidden="1" x14ac:dyDescent="0.3">
      <c r="A618" s="21">
        <v>45152</v>
      </c>
      <c r="B618" t="s">
        <v>1429</v>
      </c>
      <c r="C618" s="22" t="s">
        <v>1191</v>
      </c>
      <c r="D618" s="23">
        <v>122</v>
      </c>
      <c r="E618" s="23">
        <v>0</v>
      </c>
      <c r="F618" s="23">
        <v>71165.509999999995</v>
      </c>
      <c r="G618" s="22" t="s">
        <v>2399</v>
      </c>
      <c r="H618" s="22"/>
      <c r="I618" t="s">
        <v>2400</v>
      </c>
      <c r="K618" s="24">
        <f t="shared" si="10"/>
        <v>-40526.649999999994</v>
      </c>
    </row>
    <row r="619" spans="1:11" hidden="1" x14ac:dyDescent="0.3">
      <c r="A619" s="21">
        <v>45152</v>
      </c>
      <c r="B619" t="s">
        <v>1430</v>
      </c>
      <c r="C619" s="22"/>
      <c r="D619" s="23">
        <v>0</v>
      </c>
      <c r="E619" s="23">
        <v>95</v>
      </c>
      <c r="F619" s="23">
        <v>71260.509999999995</v>
      </c>
      <c r="G619" s="22" t="s">
        <v>2409</v>
      </c>
      <c r="H619" s="22"/>
      <c r="I619" t="s">
        <v>2400</v>
      </c>
      <c r="K619" s="24">
        <f t="shared" si="10"/>
        <v>0</v>
      </c>
    </row>
    <row r="620" spans="1:11" hidden="1" x14ac:dyDescent="0.3">
      <c r="A620" s="21">
        <v>45152</v>
      </c>
      <c r="B620" t="s">
        <v>1431</v>
      </c>
      <c r="C620" s="22" t="s">
        <v>1191</v>
      </c>
      <c r="D620" s="23">
        <v>80</v>
      </c>
      <c r="E620" s="23">
        <v>0</v>
      </c>
      <c r="F620" s="23">
        <v>71180.509999999995</v>
      </c>
      <c r="G620" s="22" t="s">
        <v>2399</v>
      </c>
      <c r="H620" s="22"/>
      <c r="I620" t="s">
        <v>2400</v>
      </c>
      <c r="K620" s="24">
        <f t="shared" si="10"/>
        <v>0</v>
      </c>
    </row>
    <row r="621" spans="1:11" hidden="1" x14ac:dyDescent="0.3">
      <c r="A621" s="21">
        <v>45154</v>
      </c>
      <c r="B621" t="s">
        <v>154</v>
      </c>
      <c r="C621" s="22"/>
      <c r="D621" s="23">
        <v>2500</v>
      </c>
      <c r="E621" s="23">
        <v>0</v>
      </c>
      <c r="F621" s="23">
        <v>28260.86</v>
      </c>
      <c r="G621" s="22" t="s">
        <v>2413</v>
      </c>
      <c r="H621" s="22"/>
      <c r="I621" t="s">
        <v>2403</v>
      </c>
      <c r="K621" s="24">
        <f t="shared" si="10"/>
        <v>40419.649999999994</v>
      </c>
    </row>
    <row r="622" spans="1:11" hidden="1" x14ac:dyDescent="0.3">
      <c r="A622" s="21">
        <v>45154</v>
      </c>
      <c r="B622" t="s">
        <v>133</v>
      </c>
      <c r="C622" s="22"/>
      <c r="D622" s="23">
        <v>226.58</v>
      </c>
      <c r="E622" s="23">
        <v>0</v>
      </c>
      <c r="F622" s="23">
        <v>28034.28</v>
      </c>
      <c r="G622" s="22" t="s">
        <v>2406</v>
      </c>
      <c r="H622" s="22"/>
      <c r="I622" t="s">
        <v>2403</v>
      </c>
      <c r="K622" s="24">
        <f t="shared" si="10"/>
        <v>0</v>
      </c>
    </row>
    <row r="623" spans="1:11" hidden="1" x14ac:dyDescent="0.3">
      <c r="A623" s="21">
        <v>45154</v>
      </c>
      <c r="B623" t="s">
        <v>1432</v>
      </c>
      <c r="C623" s="22" t="s">
        <v>1148</v>
      </c>
      <c r="D623" s="23">
        <v>200</v>
      </c>
      <c r="E623" s="23">
        <v>0</v>
      </c>
      <c r="F623" s="23">
        <v>70980.509999999995</v>
      </c>
      <c r="G623" s="22" t="s">
        <v>2399</v>
      </c>
      <c r="H623" s="22"/>
      <c r="I623" t="s">
        <v>2400</v>
      </c>
      <c r="K623" s="24">
        <f t="shared" si="10"/>
        <v>-43146.229999999996</v>
      </c>
    </row>
    <row r="624" spans="1:11" hidden="1" x14ac:dyDescent="0.3">
      <c r="A624" s="21">
        <v>45154</v>
      </c>
      <c r="B624" t="s">
        <v>1433</v>
      </c>
      <c r="C624" s="22" t="s">
        <v>1148</v>
      </c>
      <c r="D624" s="23">
        <v>50</v>
      </c>
      <c r="E624" s="23">
        <v>0</v>
      </c>
      <c r="F624" s="23">
        <v>70930.509999999995</v>
      </c>
      <c r="G624" s="22" t="s">
        <v>2399</v>
      </c>
      <c r="H624" s="22"/>
      <c r="I624" t="s">
        <v>2400</v>
      </c>
      <c r="K624" s="24">
        <f t="shared" si="10"/>
        <v>0</v>
      </c>
    </row>
    <row r="625" spans="1:11" hidden="1" x14ac:dyDescent="0.3">
      <c r="A625" s="21">
        <v>45155</v>
      </c>
      <c r="B625" t="s">
        <v>133</v>
      </c>
      <c r="C625" s="22"/>
      <c r="D625" s="23">
        <v>113.31</v>
      </c>
      <c r="E625" s="23">
        <v>0</v>
      </c>
      <c r="F625" s="23">
        <v>27920.97</v>
      </c>
      <c r="G625" s="22" t="s">
        <v>2406</v>
      </c>
      <c r="H625" s="22"/>
      <c r="I625" t="s">
        <v>2403</v>
      </c>
      <c r="K625" s="24">
        <f t="shared" si="10"/>
        <v>42896.229999999996</v>
      </c>
    </row>
    <row r="626" spans="1:11" hidden="1" x14ac:dyDescent="0.3">
      <c r="A626" s="21">
        <v>45155</v>
      </c>
      <c r="B626" t="s">
        <v>135</v>
      </c>
      <c r="C626" s="22"/>
      <c r="D626" s="23">
        <v>0</v>
      </c>
      <c r="E626" s="23">
        <v>111.15</v>
      </c>
      <c r="F626" s="23">
        <v>28032.12</v>
      </c>
      <c r="G626" s="22" t="s">
        <v>2406</v>
      </c>
      <c r="H626" s="22"/>
      <c r="I626" t="s">
        <v>2403</v>
      </c>
      <c r="K626" s="24">
        <f t="shared" si="10"/>
        <v>0</v>
      </c>
    </row>
    <row r="627" spans="1:11" hidden="1" x14ac:dyDescent="0.3">
      <c r="A627" s="21">
        <v>45155</v>
      </c>
      <c r="B627" t="s">
        <v>135</v>
      </c>
      <c r="C627" s="22"/>
      <c r="D627" s="23">
        <v>0</v>
      </c>
      <c r="E627" s="23">
        <v>44.58</v>
      </c>
      <c r="F627" s="23">
        <v>28076.7</v>
      </c>
      <c r="G627" s="22" t="s">
        <v>2406</v>
      </c>
      <c r="H627" s="22"/>
      <c r="I627" t="s">
        <v>2403</v>
      </c>
      <c r="K627" s="24">
        <f t="shared" si="10"/>
        <v>0</v>
      </c>
    </row>
    <row r="628" spans="1:11" hidden="1" x14ac:dyDescent="0.3">
      <c r="A628" s="21">
        <v>45155</v>
      </c>
      <c r="B628" t="s">
        <v>1434</v>
      </c>
      <c r="C628" s="22" t="s">
        <v>1152</v>
      </c>
      <c r="D628" s="23">
        <v>250</v>
      </c>
      <c r="E628" s="23">
        <v>0</v>
      </c>
      <c r="F628" s="23">
        <v>70680.509999999995</v>
      </c>
      <c r="G628" s="22" t="s">
        <v>2399</v>
      </c>
      <c r="H628" s="22"/>
      <c r="I628" t="s">
        <v>2400</v>
      </c>
      <c r="K628" s="24">
        <f t="shared" si="10"/>
        <v>-42853.81</v>
      </c>
    </row>
    <row r="629" spans="1:11" hidden="1" x14ac:dyDescent="0.3">
      <c r="A629" s="21">
        <v>45155</v>
      </c>
      <c r="B629" t="s">
        <v>1435</v>
      </c>
      <c r="C629" s="22" t="s">
        <v>1152</v>
      </c>
      <c r="D629" s="23">
        <v>2266</v>
      </c>
      <c r="E629" s="23">
        <v>0</v>
      </c>
      <c r="F629" s="23">
        <v>68414.509999999995</v>
      </c>
      <c r="G629" s="22" t="s">
        <v>2399</v>
      </c>
      <c r="H629" s="22"/>
      <c r="I629" t="s">
        <v>2400</v>
      </c>
      <c r="K629" s="24">
        <f t="shared" si="10"/>
        <v>0</v>
      </c>
    </row>
    <row r="630" spans="1:11" hidden="1" x14ac:dyDescent="0.3">
      <c r="A630" s="21">
        <v>45156</v>
      </c>
      <c r="B630" t="s">
        <v>133</v>
      </c>
      <c r="C630" s="22"/>
      <c r="D630" s="23">
        <v>113.37</v>
      </c>
      <c r="E630" s="23">
        <v>0</v>
      </c>
      <c r="F630" s="23">
        <v>27963.33</v>
      </c>
      <c r="G630" s="22" t="s">
        <v>2406</v>
      </c>
      <c r="H630" s="22"/>
      <c r="I630" t="s">
        <v>2403</v>
      </c>
      <c r="K630" s="24">
        <f t="shared" si="10"/>
        <v>40337.81</v>
      </c>
    </row>
    <row r="631" spans="1:11" hidden="1" x14ac:dyDescent="0.3">
      <c r="A631" s="21">
        <v>45156</v>
      </c>
      <c r="B631" t="s">
        <v>476</v>
      </c>
      <c r="C631" s="22"/>
      <c r="D631" s="23">
        <v>778.8</v>
      </c>
      <c r="E631" s="23">
        <v>0</v>
      </c>
      <c r="F631" s="23">
        <v>27184.53</v>
      </c>
      <c r="G631" s="22" t="s">
        <v>2410</v>
      </c>
      <c r="H631" s="22"/>
      <c r="I631" t="s">
        <v>2403</v>
      </c>
      <c r="K631" s="24">
        <f t="shared" si="10"/>
        <v>0</v>
      </c>
    </row>
    <row r="632" spans="1:11" hidden="1" x14ac:dyDescent="0.3">
      <c r="A632" s="21">
        <v>45156</v>
      </c>
      <c r="B632" t="s">
        <v>133</v>
      </c>
      <c r="C632" s="22"/>
      <c r="D632" s="23">
        <v>113.17</v>
      </c>
      <c r="E632" s="23">
        <v>0</v>
      </c>
      <c r="F632" s="23">
        <v>27071.360000000001</v>
      </c>
      <c r="G632" s="22" t="s">
        <v>2406</v>
      </c>
      <c r="H632" s="22"/>
      <c r="I632" t="s">
        <v>2403</v>
      </c>
      <c r="K632" s="24">
        <f t="shared" si="10"/>
        <v>0</v>
      </c>
    </row>
    <row r="633" spans="1:11" hidden="1" x14ac:dyDescent="0.3">
      <c r="A633" s="21">
        <v>45156</v>
      </c>
      <c r="B633" t="s">
        <v>1436</v>
      </c>
      <c r="C633" s="22" t="s">
        <v>1172</v>
      </c>
      <c r="D633" s="23">
        <v>101.8</v>
      </c>
      <c r="E633" s="23">
        <v>0</v>
      </c>
      <c r="F633" s="23">
        <v>68312.710000000006</v>
      </c>
      <c r="G633" s="22" t="s">
        <v>2399</v>
      </c>
      <c r="H633" s="22"/>
      <c r="I633" t="s">
        <v>2400</v>
      </c>
      <c r="K633" s="24">
        <f t="shared" si="10"/>
        <v>-41343.150000000009</v>
      </c>
    </row>
    <row r="634" spans="1:11" hidden="1" x14ac:dyDescent="0.3">
      <c r="A634" s="21">
        <v>45156</v>
      </c>
      <c r="B634" t="s">
        <v>1437</v>
      </c>
      <c r="C634" s="22" t="s">
        <v>1172</v>
      </c>
      <c r="D634" s="23">
        <v>197</v>
      </c>
      <c r="E634" s="23">
        <v>0</v>
      </c>
      <c r="F634" s="23">
        <v>68115.710000000006</v>
      </c>
      <c r="G634" s="22" t="s">
        <v>2399</v>
      </c>
      <c r="H634" s="22"/>
      <c r="I634" t="s">
        <v>2400</v>
      </c>
      <c r="K634" s="24">
        <f t="shared" si="10"/>
        <v>0</v>
      </c>
    </row>
    <row r="635" spans="1:11" hidden="1" x14ac:dyDescent="0.3">
      <c r="A635" s="21">
        <v>45157</v>
      </c>
      <c r="B635" t="s">
        <v>2427</v>
      </c>
      <c r="C635" s="22" t="s">
        <v>1154</v>
      </c>
      <c r="D635" s="23">
        <v>212</v>
      </c>
      <c r="E635" s="23">
        <v>0</v>
      </c>
      <c r="F635" s="23">
        <v>67903.710000000006</v>
      </c>
      <c r="G635" s="22" t="s">
        <v>2399</v>
      </c>
      <c r="H635" s="22"/>
      <c r="I635" t="s">
        <v>2400</v>
      </c>
      <c r="K635" s="24">
        <f t="shared" si="10"/>
        <v>0</v>
      </c>
    </row>
    <row r="636" spans="1:11" hidden="1" x14ac:dyDescent="0.3">
      <c r="A636" s="21">
        <v>45158</v>
      </c>
      <c r="B636" t="s">
        <v>2428</v>
      </c>
      <c r="C636" s="22" t="s">
        <v>1208</v>
      </c>
      <c r="D636" s="23">
        <v>0</v>
      </c>
      <c r="E636" s="23">
        <v>30</v>
      </c>
      <c r="F636" s="23">
        <v>67933.710000000006</v>
      </c>
      <c r="G636" s="22" t="s">
        <v>2399</v>
      </c>
      <c r="H636" s="22"/>
      <c r="I636" t="s">
        <v>2400</v>
      </c>
      <c r="K636" s="24">
        <f t="shared" si="10"/>
        <v>0</v>
      </c>
    </row>
    <row r="637" spans="1:11" hidden="1" x14ac:dyDescent="0.3">
      <c r="A637" s="21">
        <v>45158</v>
      </c>
      <c r="B637" t="s">
        <v>2429</v>
      </c>
      <c r="C637" s="22" t="s">
        <v>1143</v>
      </c>
      <c r="D637" s="23">
        <v>182</v>
      </c>
      <c r="E637" s="23">
        <v>0</v>
      </c>
      <c r="F637" s="23">
        <v>67751.710000000006</v>
      </c>
      <c r="G637" s="22" t="s">
        <v>2399</v>
      </c>
      <c r="H637" s="22"/>
      <c r="I637" t="s">
        <v>2400</v>
      </c>
      <c r="K637" s="24">
        <f t="shared" si="10"/>
        <v>0</v>
      </c>
    </row>
    <row r="638" spans="1:11" hidden="1" x14ac:dyDescent="0.3">
      <c r="A638" s="21">
        <v>45158</v>
      </c>
      <c r="B638" t="s">
        <v>2430</v>
      </c>
      <c r="C638" s="22" t="s">
        <v>1143</v>
      </c>
      <c r="D638" s="23">
        <v>1500</v>
      </c>
      <c r="E638" s="23">
        <v>0</v>
      </c>
      <c r="F638" s="23">
        <v>66251.710000000006</v>
      </c>
      <c r="G638" s="22" t="s">
        <v>2399</v>
      </c>
      <c r="H638" s="22"/>
      <c r="I638" t="s">
        <v>2400</v>
      </c>
      <c r="K638" s="24">
        <f t="shared" si="10"/>
        <v>0</v>
      </c>
    </row>
    <row r="639" spans="1:11" hidden="1" x14ac:dyDescent="0.3">
      <c r="A639" s="21">
        <v>45159</v>
      </c>
      <c r="B639" t="s">
        <v>133</v>
      </c>
      <c r="C639" s="22"/>
      <c r="D639" s="23">
        <v>339.93</v>
      </c>
      <c r="E639" s="23">
        <v>0</v>
      </c>
      <c r="F639" s="23">
        <v>26731.43</v>
      </c>
      <c r="G639" s="22" t="s">
        <v>2406</v>
      </c>
      <c r="H639" s="22"/>
      <c r="I639" t="s">
        <v>2403</v>
      </c>
      <c r="K639" s="24">
        <f t="shared" si="10"/>
        <v>39180.350000000013</v>
      </c>
    </row>
    <row r="640" spans="1:11" hidden="1" x14ac:dyDescent="0.3">
      <c r="A640" s="21">
        <v>45159</v>
      </c>
      <c r="B640" t="s">
        <v>133</v>
      </c>
      <c r="C640" s="22"/>
      <c r="D640" s="23">
        <v>86.56</v>
      </c>
      <c r="E640" s="23">
        <v>0</v>
      </c>
      <c r="F640" s="23">
        <v>26644.87</v>
      </c>
      <c r="G640" s="22" t="s">
        <v>2406</v>
      </c>
      <c r="H640" s="22"/>
      <c r="I640" t="s">
        <v>2403</v>
      </c>
      <c r="K640" s="24">
        <f t="shared" si="10"/>
        <v>0</v>
      </c>
    </row>
    <row r="641" spans="1:11" hidden="1" x14ac:dyDescent="0.3">
      <c r="A641" s="21">
        <v>45159</v>
      </c>
      <c r="B641" t="s">
        <v>2431</v>
      </c>
      <c r="C641" s="22" t="s">
        <v>1191</v>
      </c>
      <c r="D641" s="23">
        <v>40</v>
      </c>
      <c r="E641" s="23">
        <v>0</v>
      </c>
      <c r="F641" s="23">
        <v>66211.710000000006</v>
      </c>
      <c r="G641" s="22" t="s">
        <v>2399</v>
      </c>
      <c r="H641" s="22"/>
      <c r="I641" t="s">
        <v>2400</v>
      </c>
      <c r="K641" s="24">
        <f t="shared" si="10"/>
        <v>-39606.840000000011</v>
      </c>
    </row>
    <row r="642" spans="1:11" hidden="1" x14ac:dyDescent="0.3">
      <c r="A642" s="21">
        <v>45159</v>
      </c>
      <c r="B642" t="s">
        <v>2432</v>
      </c>
      <c r="C642" s="22" t="s">
        <v>1191</v>
      </c>
      <c r="D642" s="23">
        <v>50</v>
      </c>
      <c r="E642" s="23">
        <v>0</v>
      </c>
      <c r="F642" s="23">
        <v>66161.710000000006</v>
      </c>
      <c r="G642" s="22" t="s">
        <v>2399</v>
      </c>
      <c r="H642" s="22"/>
      <c r="I642" t="s">
        <v>2400</v>
      </c>
      <c r="K642" s="24">
        <f t="shared" si="10"/>
        <v>0</v>
      </c>
    </row>
    <row r="643" spans="1:11" hidden="1" x14ac:dyDescent="0.3">
      <c r="A643" s="21">
        <v>45159</v>
      </c>
      <c r="B643" t="s">
        <v>2433</v>
      </c>
      <c r="C643" s="22" t="s">
        <v>1191</v>
      </c>
      <c r="D643" s="23">
        <v>90</v>
      </c>
      <c r="E643" s="23">
        <v>0</v>
      </c>
      <c r="F643" s="23">
        <v>66071.710000000006</v>
      </c>
      <c r="G643" s="22" t="s">
        <v>2399</v>
      </c>
      <c r="H643" s="22"/>
      <c r="I643" t="s">
        <v>2400</v>
      </c>
      <c r="K643" s="24">
        <f t="shared" si="10"/>
        <v>0</v>
      </c>
    </row>
    <row r="644" spans="1:11" hidden="1" x14ac:dyDescent="0.3">
      <c r="A644" s="21">
        <v>45159</v>
      </c>
      <c r="B644" t="s">
        <v>2434</v>
      </c>
      <c r="C644" s="22" t="s">
        <v>1191</v>
      </c>
      <c r="D644" s="23">
        <v>2546</v>
      </c>
      <c r="E644" s="23">
        <v>0</v>
      </c>
      <c r="F644" s="23">
        <v>63525.71</v>
      </c>
      <c r="G644" s="22" t="s">
        <v>2399</v>
      </c>
      <c r="H644" s="22"/>
      <c r="I644" t="s">
        <v>2400</v>
      </c>
      <c r="K644" s="24">
        <f t="shared" si="10"/>
        <v>0</v>
      </c>
    </row>
    <row r="645" spans="1:11" hidden="1" x14ac:dyDescent="0.3">
      <c r="A645" s="21">
        <v>45160</v>
      </c>
      <c r="B645" t="s">
        <v>133</v>
      </c>
      <c r="C645" s="22"/>
      <c r="D645" s="23">
        <v>113.27</v>
      </c>
      <c r="E645" s="23">
        <v>0</v>
      </c>
      <c r="F645" s="23">
        <v>26531.599999999999</v>
      </c>
      <c r="G645" s="22" t="s">
        <v>2406</v>
      </c>
      <c r="H645" s="22"/>
      <c r="I645" t="s">
        <v>2403</v>
      </c>
      <c r="K645" s="24">
        <f t="shared" si="10"/>
        <v>36880.840000000004</v>
      </c>
    </row>
    <row r="646" spans="1:11" hidden="1" x14ac:dyDescent="0.3">
      <c r="A646" s="21">
        <v>45160</v>
      </c>
      <c r="B646" t="s">
        <v>133</v>
      </c>
      <c r="C646" s="22"/>
      <c r="D646" s="23">
        <v>118.89</v>
      </c>
      <c r="E646" s="23">
        <v>0</v>
      </c>
      <c r="F646" s="23">
        <v>26412.71</v>
      </c>
      <c r="G646" s="22" t="s">
        <v>2406</v>
      </c>
      <c r="H646" s="22"/>
      <c r="I646" t="s">
        <v>2403</v>
      </c>
      <c r="K646" s="24">
        <f t="shared" ref="K646:K709" si="11">F645-D646+E646-F646</f>
        <v>0</v>
      </c>
    </row>
    <row r="647" spans="1:11" hidden="1" x14ac:dyDescent="0.3">
      <c r="A647" s="21">
        <v>45160</v>
      </c>
      <c r="B647" t="s">
        <v>2435</v>
      </c>
      <c r="C647" s="22" t="s">
        <v>1161</v>
      </c>
      <c r="D647" s="23">
        <v>90</v>
      </c>
      <c r="E647" s="23">
        <v>0</v>
      </c>
      <c r="F647" s="23">
        <v>63435.71</v>
      </c>
      <c r="G647" s="22" t="s">
        <v>2399</v>
      </c>
      <c r="H647" s="22"/>
      <c r="I647" t="s">
        <v>2400</v>
      </c>
      <c r="K647" s="24">
        <f t="shared" si="11"/>
        <v>-37113</v>
      </c>
    </row>
    <row r="648" spans="1:11" hidden="1" x14ac:dyDescent="0.3">
      <c r="A648" s="21">
        <v>45160</v>
      </c>
      <c r="B648" t="s">
        <v>2436</v>
      </c>
      <c r="C648" s="22" t="s">
        <v>1161</v>
      </c>
      <c r="D648" s="23">
        <v>200</v>
      </c>
      <c r="E648" s="23">
        <v>0</v>
      </c>
      <c r="F648" s="23">
        <v>63235.71</v>
      </c>
      <c r="G648" s="22" t="s">
        <v>2399</v>
      </c>
      <c r="H648" s="22"/>
      <c r="I648" t="s">
        <v>2400</v>
      </c>
      <c r="K648" s="24">
        <f t="shared" si="11"/>
        <v>0</v>
      </c>
    </row>
    <row r="649" spans="1:11" hidden="1" x14ac:dyDescent="0.3">
      <c r="A649" s="21">
        <v>45160</v>
      </c>
      <c r="B649" t="s">
        <v>2437</v>
      </c>
      <c r="C649" s="22" t="s">
        <v>1161</v>
      </c>
      <c r="D649" s="23">
        <v>210</v>
      </c>
      <c r="E649" s="23">
        <v>0</v>
      </c>
      <c r="F649" s="23">
        <v>63025.71</v>
      </c>
      <c r="G649" s="22" t="s">
        <v>2399</v>
      </c>
      <c r="H649" s="22"/>
      <c r="I649" t="s">
        <v>2400</v>
      </c>
      <c r="K649" s="24">
        <f t="shared" si="11"/>
        <v>0</v>
      </c>
    </row>
    <row r="650" spans="1:11" hidden="1" x14ac:dyDescent="0.3">
      <c r="A650" s="21">
        <v>45160</v>
      </c>
      <c r="B650" t="s">
        <v>2438</v>
      </c>
      <c r="C650" s="22" t="s">
        <v>1161</v>
      </c>
      <c r="D650" s="23">
        <v>440.17</v>
      </c>
      <c r="E650" s="23">
        <v>0</v>
      </c>
      <c r="F650" s="23">
        <v>62585.54</v>
      </c>
      <c r="G650" s="22" t="s">
        <v>2399</v>
      </c>
      <c r="H650" s="22"/>
      <c r="I650" t="s">
        <v>2400</v>
      </c>
      <c r="K650" s="24">
        <f t="shared" si="11"/>
        <v>0</v>
      </c>
    </row>
    <row r="651" spans="1:11" hidden="1" x14ac:dyDescent="0.3">
      <c r="A651" s="21">
        <v>45161</v>
      </c>
      <c r="B651" t="s">
        <v>133</v>
      </c>
      <c r="C651" s="22"/>
      <c r="D651" s="23">
        <v>113.21</v>
      </c>
      <c r="E651" s="23">
        <v>0</v>
      </c>
      <c r="F651" s="23">
        <v>26299.5</v>
      </c>
      <c r="G651" s="22" t="s">
        <v>2406</v>
      </c>
      <c r="H651" s="22"/>
      <c r="I651" t="s">
        <v>2403</v>
      </c>
      <c r="K651" s="24">
        <f t="shared" si="11"/>
        <v>36172.83</v>
      </c>
    </row>
    <row r="652" spans="1:11" hidden="1" x14ac:dyDescent="0.3">
      <c r="A652" s="21">
        <v>45161</v>
      </c>
      <c r="B652" t="s">
        <v>204</v>
      </c>
      <c r="C652" s="22"/>
      <c r="D652" s="23">
        <v>5000</v>
      </c>
      <c r="E652" s="23">
        <v>0</v>
      </c>
      <c r="F652" s="23">
        <v>21299.5</v>
      </c>
      <c r="G652" s="22" t="s">
        <v>2442</v>
      </c>
      <c r="H652" s="22"/>
      <c r="I652" t="s">
        <v>2403</v>
      </c>
      <c r="K652" s="24">
        <f t="shared" si="11"/>
        <v>0</v>
      </c>
    </row>
    <row r="653" spans="1:11" hidden="1" x14ac:dyDescent="0.3">
      <c r="A653" s="21">
        <v>45161</v>
      </c>
      <c r="B653" t="s">
        <v>133</v>
      </c>
      <c r="C653" s="22"/>
      <c r="D653" s="23">
        <v>7991.11</v>
      </c>
      <c r="E653" s="23">
        <v>0</v>
      </c>
      <c r="F653" s="23">
        <v>13308.39</v>
      </c>
      <c r="G653" s="22" t="s">
        <v>2406</v>
      </c>
      <c r="H653" s="22"/>
      <c r="I653" t="s">
        <v>2403</v>
      </c>
      <c r="K653" s="24">
        <f t="shared" si="11"/>
        <v>0</v>
      </c>
    </row>
    <row r="654" spans="1:11" hidden="1" x14ac:dyDescent="0.3">
      <c r="A654" s="21">
        <v>45161</v>
      </c>
      <c r="B654" t="s">
        <v>135</v>
      </c>
      <c r="C654" s="22"/>
      <c r="D654" s="23">
        <v>0</v>
      </c>
      <c r="E654" s="23">
        <v>109.13</v>
      </c>
      <c r="F654" s="23">
        <v>13417.52</v>
      </c>
      <c r="G654" s="22" t="s">
        <v>2406</v>
      </c>
      <c r="H654" s="22"/>
      <c r="I654" t="s">
        <v>2403</v>
      </c>
      <c r="K654" s="24">
        <f t="shared" si="11"/>
        <v>0</v>
      </c>
    </row>
    <row r="655" spans="1:11" hidden="1" x14ac:dyDescent="0.3">
      <c r="A655" s="21">
        <v>45161</v>
      </c>
      <c r="B655" t="s">
        <v>2439</v>
      </c>
      <c r="C655" s="22"/>
      <c r="D655" s="23">
        <v>0</v>
      </c>
      <c r="E655" s="23">
        <v>6</v>
      </c>
      <c r="F655" s="23">
        <v>62591.54</v>
      </c>
      <c r="G655" s="22" t="s">
        <v>2409</v>
      </c>
      <c r="H655" s="22"/>
      <c r="I655" t="s">
        <v>2400</v>
      </c>
      <c r="K655" s="24">
        <f t="shared" si="11"/>
        <v>-49168.020000000004</v>
      </c>
    </row>
    <row r="656" spans="1:11" hidden="1" x14ac:dyDescent="0.3">
      <c r="A656" s="21">
        <v>45161</v>
      </c>
      <c r="B656" t="s">
        <v>2440</v>
      </c>
      <c r="C656" s="22" t="s">
        <v>1148</v>
      </c>
      <c r="D656" s="23">
        <v>70</v>
      </c>
      <c r="E656" s="23">
        <v>0</v>
      </c>
      <c r="F656" s="23">
        <v>62521.54</v>
      </c>
      <c r="G656" s="22" t="s">
        <v>2399</v>
      </c>
      <c r="H656" s="22"/>
      <c r="I656" t="s">
        <v>2400</v>
      </c>
      <c r="K656" s="24">
        <f t="shared" si="11"/>
        <v>0</v>
      </c>
    </row>
    <row r="657" spans="1:11" hidden="1" x14ac:dyDescent="0.3">
      <c r="A657" s="21">
        <v>45161</v>
      </c>
      <c r="B657" t="s">
        <v>2441</v>
      </c>
      <c r="C657" s="22" t="s">
        <v>1152</v>
      </c>
      <c r="D657" s="23">
        <v>1658.95</v>
      </c>
      <c r="E657" s="23">
        <v>0</v>
      </c>
      <c r="F657" s="23">
        <v>60862.59</v>
      </c>
      <c r="G657" s="22" t="s">
        <v>2399</v>
      </c>
      <c r="H657" s="22"/>
      <c r="I657" t="s">
        <v>2400</v>
      </c>
      <c r="K657" s="24">
        <f t="shared" si="11"/>
        <v>0</v>
      </c>
    </row>
    <row r="658" spans="1:11" hidden="1" x14ac:dyDescent="0.3">
      <c r="A658" s="21">
        <v>45162</v>
      </c>
      <c r="B658" t="s">
        <v>334</v>
      </c>
      <c r="C658" s="22"/>
      <c r="D658" s="23">
        <v>0</v>
      </c>
      <c r="E658" s="23">
        <v>40000</v>
      </c>
      <c r="F658" s="23">
        <v>53417.52</v>
      </c>
      <c r="G658" s="22" t="s">
        <v>2422</v>
      </c>
      <c r="H658" s="22"/>
      <c r="I658" t="s">
        <v>2403</v>
      </c>
      <c r="K658" s="24">
        <f t="shared" si="11"/>
        <v>47445.07</v>
      </c>
    </row>
    <row r="659" spans="1:11" hidden="1" x14ac:dyDescent="0.3">
      <c r="A659" s="21">
        <v>45162</v>
      </c>
      <c r="B659" t="s">
        <v>154</v>
      </c>
      <c r="C659" s="22"/>
      <c r="D659" s="23">
        <v>10000</v>
      </c>
      <c r="E659" s="23">
        <v>0</v>
      </c>
      <c r="F659" s="23">
        <v>43417.52</v>
      </c>
      <c r="G659" s="22" t="s">
        <v>2447</v>
      </c>
      <c r="H659" s="22"/>
      <c r="I659" t="s">
        <v>2403</v>
      </c>
      <c r="K659" s="24">
        <f t="shared" si="11"/>
        <v>0</v>
      </c>
    </row>
    <row r="660" spans="1:11" hidden="1" x14ac:dyDescent="0.3">
      <c r="A660" s="21">
        <v>45162</v>
      </c>
      <c r="B660" t="s">
        <v>133</v>
      </c>
      <c r="C660" s="22"/>
      <c r="D660" s="23">
        <v>113.27</v>
      </c>
      <c r="E660" s="23">
        <v>0</v>
      </c>
      <c r="F660" s="23">
        <v>43304.25</v>
      </c>
      <c r="G660" s="22" t="s">
        <v>2406</v>
      </c>
      <c r="H660" s="22"/>
      <c r="I660" t="s">
        <v>2403</v>
      </c>
      <c r="K660" s="24">
        <f t="shared" si="11"/>
        <v>0</v>
      </c>
    </row>
    <row r="661" spans="1:11" hidden="1" x14ac:dyDescent="0.3">
      <c r="A661" s="21">
        <v>45162</v>
      </c>
      <c r="B661" t="s">
        <v>133</v>
      </c>
      <c r="C661" s="22"/>
      <c r="D661" s="23">
        <v>98.68</v>
      </c>
      <c r="E661" s="23">
        <v>0</v>
      </c>
      <c r="F661" s="23">
        <v>43205.57</v>
      </c>
      <c r="G661" s="22" t="s">
        <v>2406</v>
      </c>
      <c r="H661" s="22"/>
      <c r="I661" t="s">
        <v>2403</v>
      </c>
      <c r="K661" s="24">
        <f t="shared" si="11"/>
        <v>0</v>
      </c>
    </row>
    <row r="662" spans="1:11" hidden="1" x14ac:dyDescent="0.3">
      <c r="A662" s="21">
        <v>45162</v>
      </c>
      <c r="B662" t="s">
        <v>2443</v>
      </c>
      <c r="C662" s="22" t="s">
        <v>1152</v>
      </c>
      <c r="D662" s="23">
        <v>110</v>
      </c>
      <c r="E662" s="23">
        <v>0</v>
      </c>
      <c r="F662" s="23">
        <v>60752.59</v>
      </c>
      <c r="G662" s="22" t="s">
        <v>2399</v>
      </c>
      <c r="H662" s="22"/>
      <c r="I662" t="s">
        <v>2400</v>
      </c>
      <c r="K662" s="24">
        <f t="shared" si="11"/>
        <v>-17657.019999999997</v>
      </c>
    </row>
    <row r="663" spans="1:11" hidden="1" x14ac:dyDescent="0.3">
      <c r="A663" s="21">
        <v>45162</v>
      </c>
      <c r="B663" t="s">
        <v>2444</v>
      </c>
      <c r="C663" s="22" t="s">
        <v>1152</v>
      </c>
      <c r="D663" s="23">
        <v>100</v>
      </c>
      <c r="E663" s="23">
        <v>0</v>
      </c>
      <c r="F663" s="23">
        <v>60652.59</v>
      </c>
      <c r="G663" s="22" t="s">
        <v>2399</v>
      </c>
      <c r="H663" s="22"/>
      <c r="I663" t="s">
        <v>2400</v>
      </c>
      <c r="K663" s="24">
        <f t="shared" si="11"/>
        <v>0</v>
      </c>
    </row>
    <row r="664" spans="1:11" hidden="1" x14ac:dyDescent="0.3">
      <c r="A664" s="21">
        <v>45162</v>
      </c>
      <c r="B664" t="s">
        <v>2445</v>
      </c>
      <c r="C664" s="22" t="s">
        <v>1152</v>
      </c>
      <c r="D664" s="23">
        <v>45</v>
      </c>
      <c r="E664" s="23">
        <v>0</v>
      </c>
      <c r="F664" s="23">
        <v>60607.59</v>
      </c>
      <c r="G664" s="22" t="s">
        <v>2399</v>
      </c>
      <c r="H664" s="22"/>
      <c r="I664" t="s">
        <v>2400</v>
      </c>
      <c r="K664" s="24">
        <f t="shared" si="11"/>
        <v>0</v>
      </c>
    </row>
    <row r="665" spans="1:11" hidden="1" x14ac:dyDescent="0.3">
      <c r="A665" s="21">
        <v>45162</v>
      </c>
      <c r="B665" t="s">
        <v>2446</v>
      </c>
      <c r="C665" s="22" t="s">
        <v>1181</v>
      </c>
      <c r="D665" s="23">
        <v>0</v>
      </c>
      <c r="E665" s="23">
        <v>230</v>
      </c>
      <c r="F665" s="23">
        <v>60837.59</v>
      </c>
      <c r="G665" s="22" t="s">
        <v>2399</v>
      </c>
      <c r="H665" s="22"/>
      <c r="I665" t="s">
        <v>2400</v>
      </c>
      <c r="K665" s="24">
        <f t="shared" si="11"/>
        <v>0</v>
      </c>
    </row>
    <row r="666" spans="1:11" hidden="1" x14ac:dyDescent="0.3">
      <c r="A666" s="21">
        <v>45163</v>
      </c>
      <c r="B666" t="s">
        <v>154</v>
      </c>
      <c r="C666" s="22"/>
      <c r="D666" s="23">
        <v>2500</v>
      </c>
      <c r="E666" s="23">
        <v>0</v>
      </c>
      <c r="F666" s="23">
        <v>40705.57</v>
      </c>
      <c r="G666" s="22" t="s">
        <v>2413</v>
      </c>
      <c r="H666" s="22"/>
      <c r="I666" t="s">
        <v>2403</v>
      </c>
      <c r="K666" s="24">
        <f t="shared" si="11"/>
        <v>17632.019999999997</v>
      </c>
    </row>
    <row r="667" spans="1:11" hidden="1" x14ac:dyDescent="0.3">
      <c r="A667" s="21">
        <v>45163</v>
      </c>
      <c r="B667" t="s">
        <v>133</v>
      </c>
      <c r="C667" s="22"/>
      <c r="D667" s="23">
        <v>113.22</v>
      </c>
      <c r="E667" s="23">
        <v>0</v>
      </c>
      <c r="F667" s="23">
        <v>40592.35</v>
      </c>
      <c r="G667" s="22" t="s">
        <v>2406</v>
      </c>
      <c r="H667" s="22"/>
      <c r="I667" t="s">
        <v>2403</v>
      </c>
      <c r="K667" s="24">
        <f t="shared" si="11"/>
        <v>0</v>
      </c>
    </row>
    <row r="668" spans="1:11" hidden="1" x14ac:dyDescent="0.3">
      <c r="A668" s="21">
        <v>45163</v>
      </c>
      <c r="B668" t="s">
        <v>133</v>
      </c>
      <c r="C668" s="22"/>
      <c r="D668" s="23">
        <v>241.3</v>
      </c>
      <c r="E668" s="23">
        <v>0</v>
      </c>
      <c r="F668" s="23">
        <v>40351.050000000003</v>
      </c>
      <c r="G668" s="22" t="s">
        <v>2406</v>
      </c>
      <c r="H668" s="22"/>
      <c r="I668" t="s">
        <v>2403</v>
      </c>
      <c r="K668" s="24">
        <f t="shared" si="11"/>
        <v>0</v>
      </c>
    </row>
    <row r="669" spans="1:11" hidden="1" x14ac:dyDescent="0.3">
      <c r="A669" s="21">
        <v>45163</v>
      </c>
      <c r="B669" t="s">
        <v>2448</v>
      </c>
      <c r="C669" s="22"/>
      <c r="D669" s="23">
        <v>0</v>
      </c>
      <c r="E669" s="23">
        <v>24</v>
      </c>
      <c r="F669" s="23">
        <v>60861.59</v>
      </c>
      <c r="G669" s="22" t="s">
        <v>2409</v>
      </c>
      <c r="H669" s="22"/>
      <c r="I669" t="s">
        <v>2400</v>
      </c>
      <c r="K669" s="24">
        <f t="shared" si="11"/>
        <v>-20486.539999999994</v>
      </c>
    </row>
    <row r="670" spans="1:11" hidden="1" x14ac:dyDescent="0.3">
      <c r="A670" s="21">
        <v>45164</v>
      </c>
      <c r="B670" t="s">
        <v>2449</v>
      </c>
      <c r="C670" s="22" t="s">
        <v>1154</v>
      </c>
      <c r="D670" s="23">
        <v>44</v>
      </c>
      <c r="E670" s="23">
        <v>0</v>
      </c>
      <c r="F670" s="23">
        <v>60817.59</v>
      </c>
      <c r="G670" s="22" t="s">
        <v>2399</v>
      </c>
      <c r="H670" s="22"/>
      <c r="I670" t="s">
        <v>2400</v>
      </c>
      <c r="K670" s="24">
        <f t="shared" si="11"/>
        <v>0</v>
      </c>
    </row>
    <row r="671" spans="1:11" hidden="1" x14ac:dyDescent="0.3">
      <c r="A671" s="21">
        <v>45164</v>
      </c>
      <c r="B671" t="s">
        <v>2450</v>
      </c>
      <c r="C671" s="22" t="s">
        <v>1154</v>
      </c>
      <c r="D671" s="23">
        <v>199</v>
      </c>
      <c r="E671" s="23">
        <v>0</v>
      </c>
      <c r="F671" s="23">
        <v>60618.59</v>
      </c>
      <c r="G671" s="22" t="s">
        <v>2399</v>
      </c>
      <c r="H671" s="22"/>
      <c r="I671" t="s">
        <v>2400</v>
      </c>
      <c r="K671" s="24">
        <f t="shared" si="11"/>
        <v>0</v>
      </c>
    </row>
    <row r="672" spans="1:11" hidden="1" x14ac:dyDescent="0.3">
      <c r="A672" s="21">
        <v>45164</v>
      </c>
      <c r="B672" t="s">
        <v>2451</v>
      </c>
      <c r="C672" s="22" t="s">
        <v>1154</v>
      </c>
      <c r="D672" s="23">
        <v>65</v>
      </c>
      <c r="E672" s="23">
        <v>0</v>
      </c>
      <c r="F672" s="23">
        <v>60553.59</v>
      </c>
      <c r="G672" s="22" t="s">
        <v>2399</v>
      </c>
      <c r="H672" s="22"/>
      <c r="I672" t="s">
        <v>2400</v>
      </c>
      <c r="K672" s="24">
        <f t="shared" si="11"/>
        <v>0</v>
      </c>
    </row>
    <row r="673" spans="1:11" hidden="1" x14ac:dyDescent="0.3">
      <c r="A673" s="21">
        <v>45164</v>
      </c>
      <c r="B673" t="s">
        <v>2452</v>
      </c>
      <c r="C673" s="22" t="s">
        <v>1154</v>
      </c>
      <c r="D673" s="23">
        <v>45</v>
      </c>
      <c r="E673" s="23">
        <v>0</v>
      </c>
      <c r="F673" s="23">
        <v>60508.59</v>
      </c>
      <c r="G673" s="22" t="s">
        <v>2399</v>
      </c>
      <c r="H673" s="22"/>
      <c r="I673" t="s">
        <v>2400</v>
      </c>
      <c r="K673" s="24">
        <f t="shared" si="11"/>
        <v>0</v>
      </c>
    </row>
    <row r="674" spans="1:11" hidden="1" x14ac:dyDescent="0.3">
      <c r="A674" s="21">
        <v>45164</v>
      </c>
      <c r="B674" t="s">
        <v>2453</v>
      </c>
      <c r="C674" s="22" t="s">
        <v>1154</v>
      </c>
      <c r="D674" s="23">
        <v>321</v>
      </c>
      <c r="E674" s="23">
        <v>0</v>
      </c>
      <c r="F674" s="23">
        <v>60187.59</v>
      </c>
      <c r="G674" s="22" t="s">
        <v>2399</v>
      </c>
      <c r="H674" s="22"/>
      <c r="I674" t="s">
        <v>2400</v>
      </c>
      <c r="K674" s="24">
        <f t="shared" si="11"/>
        <v>0</v>
      </c>
    </row>
    <row r="675" spans="1:11" hidden="1" x14ac:dyDescent="0.3">
      <c r="A675" s="21">
        <v>45165</v>
      </c>
      <c r="B675" t="s">
        <v>2454</v>
      </c>
      <c r="C675" s="22" t="s">
        <v>1143</v>
      </c>
      <c r="D675" s="23">
        <v>234</v>
      </c>
      <c r="E675" s="23">
        <v>0</v>
      </c>
      <c r="F675" s="23">
        <v>59953.59</v>
      </c>
      <c r="G675" s="22" t="s">
        <v>2399</v>
      </c>
      <c r="H675" s="22"/>
      <c r="I675" t="s">
        <v>2400</v>
      </c>
      <c r="K675" s="24">
        <f t="shared" si="11"/>
        <v>0</v>
      </c>
    </row>
    <row r="676" spans="1:11" hidden="1" x14ac:dyDescent="0.3">
      <c r="A676" s="21">
        <v>45165</v>
      </c>
      <c r="B676" t="s">
        <v>2455</v>
      </c>
      <c r="C676" s="22" t="s">
        <v>1143</v>
      </c>
      <c r="D676" s="23">
        <v>65</v>
      </c>
      <c r="E676" s="23">
        <v>0</v>
      </c>
      <c r="F676" s="23">
        <v>59888.59</v>
      </c>
      <c r="G676" s="22" t="s">
        <v>2399</v>
      </c>
      <c r="H676" s="22"/>
      <c r="I676" t="s">
        <v>2400</v>
      </c>
      <c r="K676" s="24">
        <f t="shared" si="11"/>
        <v>0</v>
      </c>
    </row>
    <row r="677" spans="1:11" hidden="1" x14ac:dyDescent="0.3">
      <c r="A677" s="21">
        <v>45165</v>
      </c>
      <c r="B677" t="s">
        <v>2456</v>
      </c>
      <c r="C677" s="22" t="s">
        <v>1143</v>
      </c>
      <c r="D677" s="23">
        <v>612</v>
      </c>
      <c r="E677" s="23">
        <v>0</v>
      </c>
      <c r="F677" s="23">
        <v>59276.59</v>
      </c>
      <c r="G677" s="22" t="s">
        <v>2399</v>
      </c>
      <c r="H677" s="22"/>
      <c r="I677" t="s">
        <v>2400</v>
      </c>
      <c r="K677" s="24">
        <f t="shared" si="11"/>
        <v>0</v>
      </c>
    </row>
    <row r="678" spans="1:11" hidden="1" x14ac:dyDescent="0.3">
      <c r="A678" s="21">
        <v>45165</v>
      </c>
      <c r="B678" t="s">
        <v>2457</v>
      </c>
      <c r="C678" s="22" t="s">
        <v>1208</v>
      </c>
      <c r="D678" s="23">
        <v>0</v>
      </c>
      <c r="E678" s="23">
        <v>480</v>
      </c>
      <c r="F678" s="23">
        <v>59756.59</v>
      </c>
      <c r="G678" s="22" t="s">
        <v>2399</v>
      </c>
      <c r="H678" s="22"/>
      <c r="I678" t="s">
        <v>2400</v>
      </c>
      <c r="K678" s="24">
        <f t="shared" si="11"/>
        <v>0</v>
      </c>
    </row>
    <row r="679" spans="1:11" hidden="1" x14ac:dyDescent="0.3">
      <c r="A679" s="21">
        <v>45165</v>
      </c>
      <c r="B679" t="s">
        <v>2458</v>
      </c>
      <c r="C679" s="22" t="s">
        <v>1143</v>
      </c>
      <c r="D679" s="23">
        <v>345</v>
      </c>
      <c r="E679" s="23">
        <v>0</v>
      </c>
      <c r="F679" s="23">
        <v>59411.59</v>
      </c>
      <c r="G679" s="22" t="s">
        <v>2399</v>
      </c>
      <c r="H679" s="22"/>
      <c r="I679" t="s">
        <v>2400</v>
      </c>
      <c r="K679" s="24">
        <f t="shared" si="11"/>
        <v>0</v>
      </c>
    </row>
    <row r="680" spans="1:11" hidden="1" x14ac:dyDescent="0.3">
      <c r="A680" s="21">
        <v>45166</v>
      </c>
      <c r="B680" t="s">
        <v>133</v>
      </c>
      <c r="C680" s="22"/>
      <c r="D680" s="23">
        <v>339.3</v>
      </c>
      <c r="E680" s="23">
        <v>0</v>
      </c>
      <c r="F680" s="23">
        <v>40011.75</v>
      </c>
      <c r="G680" s="22" t="s">
        <v>2406</v>
      </c>
      <c r="H680" s="22"/>
      <c r="I680" t="s">
        <v>2403</v>
      </c>
      <c r="K680" s="24">
        <f t="shared" si="11"/>
        <v>19060.539999999994</v>
      </c>
    </row>
    <row r="681" spans="1:11" hidden="1" x14ac:dyDescent="0.3">
      <c r="A681" s="21">
        <v>45166</v>
      </c>
      <c r="B681" t="s">
        <v>494</v>
      </c>
      <c r="C681" s="22"/>
      <c r="D681" s="23">
        <v>0</v>
      </c>
      <c r="E681" s="23">
        <v>18</v>
      </c>
      <c r="F681" s="23">
        <v>40029.75</v>
      </c>
      <c r="G681" s="22" t="s">
        <v>2409</v>
      </c>
      <c r="H681" s="22"/>
      <c r="I681" t="s">
        <v>2403</v>
      </c>
      <c r="K681" s="24">
        <f t="shared" si="11"/>
        <v>0</v>
      </c>
    </row>
    <row r="682" spans="1:11" hidden="1" x14ac:dyDescent="0.3">
      <c r="A682" s="21">
        <v>45166</v>
      </c>
      <c r="B682" t="s">
        <v>2459</v>
      </c>
      <c r="C682" s="22"/>
      <c r="D682" s="23">
        <v>0</v>
      </c>
      <c r="E682" s="23">
        <v>7590</v>
      </c>
      <c r="F682" s="23">
        <v>67001.59</v>
      </c>
      <c r="G682" s="22" t="s">
        <v>2460</v>
      </c>
      <c r="H682" s="22"/>
      <c r="I682" t="s">
        <v>2400</v>
      </c>
      <c r="K682" s="24">
        <f t="shared" si="11"/>
        <v>-19381.839999999997</v>
      </c>
    </row>
    <row r="683" spans="1:11" hidden="1" x14ac:dyDescent="0.3">
      <c r="A683" s="21">
        <v>45166</v>
      </c>
      <c r="B683" t="s">
        <v>2461</v>
      </c>
      <c r="C683" s="22"/>
      <c r="D683" s="23">
        <v>0</v>
      </c>
      <c r="E683" s="23">
        <v>18</v>
      </c>
      <c r="F683" s="23">
        <v>67019.59</v>
      </c>
      <c r="G683" s="22" t="s">
        <v>2409</v>
      </c>
      <c r="H683" s="22"/>
      <c r="I683" t="s">
        <v>2400</v>
      </c>
      <c r="K683" s="24">
        <f t="shared" si="11"/>
        <v>0</v>
      </c>
    </row>
    <row r="684" spans="1:11" hidden="1" x14ac:dyDescent="0.3">
      <c r="A684" s="21">
        <v>45167</v>
      </c>
      <c r="B684" t="s">
        <v>496</v>
      </c>
      <c r="C684" s="22"/>
      <c r="D684" s="23">
        <v>0</v>
      </c>
      <c r="E684" s="23">
        <v>243.25</v>
      </c>
      <c r="F684" s="23">
        <v>40273</v>
      </c>
      <c r="G684" s="22" t="s">
        <v>2406</v>
      </c>
      <c r="H684" s="22"/>
      <c r="I684" t="s">
        <v>2403</v>
      </c>
      <c r="K684" s="24">
        <f t="shared" si="11"/>
        <v>26989.839999999997</v>
      </c>
    </row>
    <row r="685" spans="1:11" hidden="1" x14ac:dyDescent="0.3">
      <c r="A685" s="21">
        <v>45167</v>
      </c>
      <c r="B685" t="s">
        <v>133</v>
      </c>
      <c r="C685" s="22"/>
      <c r="D685" s="23">
        <v>113.1</v>
      </c>
      <c r="E685" s="23">
        <v>0</v>
      </c>
      <c r="F685" s="23">
        <v>40159.9</v>
      </c>
      <c r="G685" s="22" t="s">
        <v>2406</v>
      </c>
      <c r="H685" s="22"/>
      <c r="I685" t="s">
        <v>2403</v>
      </c>
      <c r="K685" s="24">
        <f t="shared" si="11"/>
        <v>0</v>
      </c>
    </row>
    <row r="686" spans="1:11" hidden="1" x14ac:dyDescent="0.3">
      <c r="A686" s="21">
        <v>45167</v>
      </c>
      <c r="B686" t="s">
        <v>499</v>
      </c>
      <c r="C686" s="22"/>
      <c r="D686" s="23">
        <v>14040</v>
      </c>
      <c r="E686" s="23">
        <v>0</v>
      </c>
      <c r="F686" s="23">
        <v>26119.9</v>
      </c>
      <c r="G686" s="22" t="s">
        <v>2465</v>
      </c>
      <c r="H686" s="22"/>
      <c r="I686" t="s">
        <v>2403</v>
      </c>
      <c r="K686" s="24">
        <f t="shared" si="11"/>
        <v>0</v>
      </c>
    </row>
    <row r="687" spans="1:11" hidden="1" x14ac:dyDescent="0.3">
      <c r="A687" s="21">
        <v>45167</v>
      </c>
      <c r="B687" t="s">
        <v>2462</v>
      </c>
      <c r="C687" s="22" t="s">
        <v>2463</v>
      </c>
      <c r="D687" s="23">
        <v>0</v>
      </c>
      <c r="E687" s="23">
        <v>252.98</v>
      </c>
      <c r="F687" s="23">
        <v>67272.570000000007</v>
      </c>
      <c r="G687" s="22" t="s">
        <v>2646</v>
      </c>
      <c r="H687" s="22"/>
      <c r="I687" t="s">
        <v>2400</v>
      </c>
      <c r="K687" s="24">
        <f t="shared" si="11"/>
        <v>-40899.69</v>
      </c>
    </row>
    <row r="688" spans="1:11" hidden="1" x14ac:dyDescent="0.3">
      <c r="A688" s="21">
        <v>45167</v>
      </c>
      <c r="B688" t="s">
        <v>2464</v>
      </c>
      <c r="C688" s="22"/>
      <c r="D688" s="23">
        <v>0</v>
      </c>
      <c r="E688" s="23">
        <v>36</v>
      </c>
      <c r="F688" s="23">
        <v>67308.570000000007</v>
      </c>
      <c r="G688" s="22" t="s">
        <v>2409</v>
      </c>
      <c r="H688" s="22"/>
      <c r="I688" t="s">
        <v>2400</v>
      </c>
      <c r="K688" s="24">
        <f t="shared" si="11"/>
        <v>0</v>
      </c>
    </row>
    <row r="689" spans="1:11" hidden="1" x14ac:dyDescent="0.3">
      <c r="A689" s="21">
        <v>45168</v>
      </c>
      <c r="B689" t="s">
        <v>496</v>
      </c>
      <c r="C689" s="22"/>
      <c r="D689" s="23">
        <v>0</v>
      </c>
      <c r="E689" s="23">
        <v>176.49</v>
      </c>
      <c r="F689" s="23">
        <v>26296.39</v>
      </c>
      <c r="G689" s="22" t="s">
        <v>2406</v>
      </c>
      <c r="H689" s="22"/>
      <c r="I689" t="s">
        <v>2403</v>
      </c>
      <c r="K689" s="24">
        <f t="shared" si="11"/>
        <v>41188.670000000013</v>
      </c>
    </row>
    <row r="690" spans="1:11" hidden="1" x14ac:dyDescent="0.3">
      <c r="A690" s="21">
        <v>45168</v>
      </c>
      <c r="B690" t="s">
        <v>133</v>
      </c>
      <c r="C690" s="22"/>
      <c r="D690" s="23">
        <v>113.22</v>
      </c>
      <c r="E690" s="23">
        <v>0</v>
      </c>
      <c r="F690" s="23">
        <v>26183.17</v>
      </c>
      <c r="G690" s="22" t="s">
        <v>2406</v>
      </c>
      <c r="H690" s="22"/>
      <c r="I690" t="s">
        <v>2403</v>
      </c>
      <c r="K690" s="24">
        <f t="shared" si="11"/>
        <v>0</v>
      </c>
    </row>
    <row r="691" spans="1:11" hidden="1" x14ac:dyDescent="0.3">
      <c r="A691" s="21">
        <v>45168</v>
      </c>
      <c r="B691" t="s">
        <v>503</v>
      </c>
      <c r="C691" s="22"/>
      <c r="D691" s="23">
        <v>0</v>
      </c>
      <c r="E691" s="23">
        <v>150000</v>
      </c>
      <c r="F691" s="23">
        <v>176183.17</v>
      </c>
      <c r="G691" s="22" t="s">
        <v>2421</v>
      </c>
      <c r="H691" s="22"/>
      <c r="I691" t="s">
        <v>2403</v>
      </c>
      <c r="K691" s="24">
        <f t="shared" si="11"/>
        <v>0</v>
      </c>
    </row>
    <row r="692" spans="1:11" hidden="1" x14ac:dyDescent="0.3">
      <c r="A692" s="21">
        <v>45168</v>
      </c>
      <c r="B692" t="s">
        <v>133</v>
      </c>
      <c r="C692" s="22"/>
      <c r="D692" s="23">
        <v>267.58</v>
      </c>
      <c r="E692" s="23">
        <v>0</v>
      </c>
      <c r="F692" s="23">
        <v>175915.59</v>
      </c>
      <c r="G692" s="22" t="s">
        <v>2406</v>
      </c>
      <c r="H692" s="22"/>
      <c r="I692" t="s">
        <v>2403</v>
      </c>
      <c r="K692" s="24">
        <f t="shared" si="11"/>
        <v>0</v>
      </c>
    </row>
    <row r="693" spans="1:11" hidden="1" x14ac:dyDescent="0.3">
      <c r="A693" s="21">
        <v>45169</v>
      </c>
      <c r="B693" t="s">
        <v>133</v>
      </c>
      <c r="C693" s="22"/>
      <c r="D693" s="23">
        <v>113.17</v>
      </c>
      <c r="E693" s="23">
        <v>0</v>
      </c>
      <c r="F693" s="23">
        <v>175802.42</v>
      </c>
      <c r="G693" s="22" t="s">
        <v>2406</v>
      </c>
      <c r="H693" s="22"/>
      <c r="I693" t="s">
        <v>2403</v>
      </c>
      <c r="K693" s="24">
        <f t="shared" si="11"/>
        <v>0</v>
      </c>
    </row>
    <row r="694" spans="1:11" hidden="1" x14ac:dyDescent="0.3">
      <c r="A694" s="21">
        <v>45169</v>
      </c>
      <c r="B694" t="s">
        <v>2466</v>
      </c>
      <c r="C694" s="22" t="s">
        <v>1152</v>
      </c>
      <c r="D694" s="23">
        <v>118</v>
      </c>
      <c r="E694" s="23">
        <v>0</v>
      </c>
      <c r="F694" s="23">
        <v>67190.570000000007</v>
      </c>
      <c r="G694" s="22" t="s">
        <v>2399</v>
      </c>
      <c r="H694" s="22"/>
      <c r="I694" t="s">
        <v>2400</v>
      </c>
      <c r="K694" s="24">
        <f t="shared" si="11"/>
        <v>108493.85</v>
      </c>
    </row>
    <row r="695" spans="1:11" hidden="1" x14ac:dyDescent="0.3">
      <c r="A695" s="21">
        <v>45170</v>
      </c>
      <c r="B695" t="s">
        <v>133</v>
      </c>
      <c r="C695" s="22"/>
      <c r="D695" s="23">
        <v>23580.75</v>
      </c>
      <c r="E695" s="23">
        <v>0</v>
      </c>
      <c r="F695" s="23">
        <v>152221.67000000001</v>
      </c>
      <c r="G695" s="22" t="s">
        <v>2406</v>
      </c>
      <c r="H695" s="22"/>
      <c r="I695" t="s">
        <v>2403</v>
      </c>
      <c r="K695" s="24">
        <f t="shared" si="11"/>
        <v>-108611.85</v>
      </c>
    </row>
    <row r="696" spans="1:11" hidden="1" x14ac:dyDescent="0.3">
      <c r="A696" s="21">
        <v>45170</v>
      </c>
      <c r="B696" t="s">
        <v>133</v>
      </c>
      <c r="C696" s="22"/>
      <c r="D696" s="23">
        <v>101.54</v>
      </c>
      <c r="E696" s="23">
        <v>0</v>
      </c>
      <c r="F696" s="23">
        <v>152120.13</v>
      </c>
      <c r="G696" s="22" t="s">
        <v>2406</v>
      </c>
      <c r="H696" s="22"/>
      <c r="I696" t="s">
        <v>2403</v>
      </c>
      <c r="K696" s="24">
        <f t="shared" si="11"/>
        <v>0</v>
      </c>
    </row>
    <row r="697" spans="1:11" hidden="1" x14ac:dyDescent="0.3">
      <c r="A697" s="21">
        <v>45170</v>
      </c>
      <c r="B697" t="s">
        <v>509</v>
      </c>
      <c r="C697" s="22"/>
      <c r="D697" s="23">
        <v>0</v>
      </c>
      <c r="E697" s="23">
        <v>45</v>
      </c>
      <c r="F697" s="23">
        <v>152165.13</v>
      </c>
      <c r="G697" s="22" t="s">
        <v>2409</v>
      </c>
      <c r="H697" s="22"/>
      <c r="I697" t="s">
        <v>2403</v>
      </c>
      <c r="K697" s="24">
        <f t="shared" si="11"/>
        <v>0</v>
      </c>
    </row>
    <row r="698" spans="1:11" hidden="1" x14ac:dyDescent="0.3">
      <c r="A698" s="21">
        <v>45170</v>
      </c>
      <c r="B698" t="s">
        <v>511</v>
      </c>
      <c r="C698" s="22"/>
      <c r="D698" s="23">
        <v>0</v>
      </c>
      <c r="E698" s="23">
        <v>120</v>
      </c>
      <c r="F698" s="23">
        <v>152285.13</v>
      </c>
      <c r="G698" s="22" t="s">
        <v>2409</v>
      </c>
      <c r="H698" s="22"/>
      <c r="I698" t="s">
        <v>2403</v>
      </c>
      <c r="K698" s="24">
        <f t="shared" si="11"/>
        <v>0</v>
      </c>
    </row>
    <row r="699" spans="1:11" hidden="1" x14ac:dyDescent="0.3">
      <c r="A699" s="21">
        <v>45170</v>
      </c>
      <c r="B699" t="s">
        <v>513</v>
      </c>
      <c r="C699" s="22"/>
      <c r="D699" s="23">
        <v>0</v>
      </c>
      <c r="E699" s="23">
        <v>140</v>
      </c>
      <c r="F699" s="23">
        <v>152425.13</v>
      </c>
      <c r="G699" s="22" t="s">
        <v>2409</v>
      </c>
      <c r="H699" s="22"/>
      <c r="I699" t="s">
        <v>2403</v>
      </c>
      <c r="K699" s="24">
        <f t="shared" si="11"/>
        <v>0</v>
      </c>
    </row>
    <row r="700" spans="1:11" hidden="1" x14ac:dyDescent="0.3">
      <c r="A700" s="21">
        <v>45170</v>
      </c>
      <c r="B700" t="s">
        <v>496</v>
      </c>
      <c r="C700" s="22"/>
      <c r="D700" s="23">
        <v>0</v>
      </c>
      <c r="E700" s="23">
        <v>156.86000000000001</v>
      </c>
      <c r="F700" s="23">
        <v>152581.99</v>
      </c>
      <c r="G700" s="22" t="s">
        <v>2406</v>
      </c>
      <c r="H700" s="22"/>
      <c r="I700" t="s">
        <v>2403</v>
      </c>
      <c r="K700" s="24">
        <f t="shared" si="11"/>
        <v>0</v>
      </c>
    </row>
    <row r="701" spans="1:11" x14ac:dyDescent="0.3">
      <c r="A701" s="21">
        <v>45170</v>
      </c>
      <c r="B701" t="s">
        <v>2467</v>
      </c>
      <c r="C701" s="22"/>
      <c r="D701" s="23">
        <v>3000</v>
      </c>
      <c r="E701" s="23">
        <v>0</v>
      </c>
      <c r="F701" s="23">
        <v>64190.57</v>
      </c>
      <c r="G701" s="22" t="s">
        <v>2412</v>
      </c>
      <c r="H701" s="22"/>
      <c r="I701" t="s">
        <v>2400</v>
      </c>
      <c r="K701" s="24">
        <f t="shared" si="11"/>
        <v>85391.419999999984</v>
      </c>
    </row>
    <row r="702" spans="1:11" hidden="1" x14ac:dyDescent="0.3">
      <c r="A702" s="21">
        <v>45170</v>
      </c>
      <c r="B702" t="s">
        <v>2468</v>
      </c>
      <c r="C702" s="22" t="s">
        <v>1172</v>
      </c>
      <c r="D702" s="23">
        <v>455</v>
      </c>
      <c r="E702" s="23">
        <v>0</v>
      </c>
      <c r="F702" s="23">
        <v>63735.57</v>
      </c>
      <c r="G702" s="22" t="s">
        <v>2399</v>
      </c>
      <c r="H702" s="22"/>
      <c r="I702" t="s">
        <v>2400</v>
      </c>
      <c r="K702" s="24">
        <f t="shared" si="11"/>
        <v>0</v>
      </c>
    </row>
    <row r="703" spans="1:11" hidden="1" x14ac:dyDescent="0.3">
      <c r="A703" s="21">
        <v>45170</v>
      </c>
      <c r="B703" t="s">
        <v>2469</v>
      </c>
      <c r="C703" s="22" t="s">
        <v>1172</v>
      </c>
      <c r="D703" s="23">
        <v>2744</v>
      </c>
      <c r="E703" s="23">
        <v>0</v>
      </c>
      <c r="F703" s="23">
        <v>60991.57</v>
      </c>
      <c r="G703" s="22" t="s">
        <v>2399</v>
      </c>
      <c r="H703" s="22"/>
      <c r="I703" t="s">
        <v>2400</v>
      </c>
      <c r="K703" s="24">
        <f t="shared" si="11"/>
        <v>0</v>
      </c>
    </row>
    <row r="704" spans="1:11" hidden="1" x14ac:dyDescent="0.3">
      <c r="A704" s="21">
        <v>45171</v>
      </c>
      <c r="B704" t="s">
        <v>2470</v>
      </c>
      <c r="C704" s="22" t="s">
        <v>1154</v>
      </c>
      <c r="D704" s="23">
        <v>1153.5999999999999</v>
      </c>
      <c r="E704" s="23">
        <v>0</v>
      </c>
      <c r="F704" s="23">
        <v>59837.97</v>
      </c>
      <c r="G704" s="22" t="s">
        <v>2399</v>
      </c>
      <c r="H704" s="22"/>
      <c r="I704" t="s">
        <v>2400</v>
      </c>
      <c r="K704" s="24">
        <f t="shared" si="11"/>
        <v>0</v>
      </c>
    </row>
    <row r="705" spans="1:11" hidden="1" x14ac:dyDescent="0.3">
      <c r="A705" s="21">
        <v>45173</v>
      </c>
      <c r="B705" t="s">
        <v>133</v>
      </c>
      <c r="C705" s="22"/>
      <c r="D705" s="23">
        <v>304.86</v>
      </c>
      <c r="E705" s="23">
        <v>0</v>
      </c>
      <c r="F705" s="23">
        <v>152277.13</v>
      </c>
      <c r="G705" s="22" t="s">
        <v>2406</v>
      </c>
      <c r="H705" s="22"/>
      <c r="I705" t="s">
        <v>2403</v>
      </c>
      <c r="K705" s="24">
        <f t="shared" si="11"/>
        <v>-92744.02</v>
      </c>
    </row>
    <row r="706" spans="1:11" hidden="1" x14ac:dyDescent="0.3">
      <c r="A706" s="21">
        <v>45173</v>
      </c>
      <c r="B706" t="s">
        <v>517</v>
      </c>
      <c r="C706" s="22"/>
      <c r="D706" s="23">
        <v>0</v>
      </c>
      <c r="E706" s="23">
        <v>60</v>
      </c>
      <c r="F706" s="23">
        <v>152337.13</v>
      </c>
      <c r="G706" s="22" t="s">
        <v>2409</v>
      </c>
      <c r="H706" s="22"/>
      <c r="I706" t="s">
        <v>2403</v>
      </c>
      <c r="K706" s="24">
        <f t="shared" si="11"/>
        <v>0</v>
      </c>
    </row>
    <row r="707" spans="1:11" hidden="1" x14ac:dyDescent="0.3">
      <c r="A707" s="21">
        <v>45174</v>
      </c>
      <c r="B707" t="s">
        <v>496</v>
      </c>
      <c r="C707" s="22"/>
      <c r="D707" s="23">
        <v>0</v>
      </c>
      <c r="E707" s="23">
        <v>3251.46</v>
      </c>
      <c r="F707" s="23">
        <v>155588.59</v>
      </c>
      <c r="G707" s="22" t="s">
        <v>2406</v>
      </c>
      <c r="H707" s="22"/>
      <c r="I707" t="s">
        <v>2403</v>
      </c>
      <c r="K707" s="24">
        <f t="shared" si="11"/>
        <v>0</v>
      </c>
    </row>
    <row r="708" spans="1:11" hidden="1" x14ac:dyDescent="0.3">
      <c r="A708" s="21">
        <v>45174</v>
      </c>
      <c r="B708" t="s">
        <v>133</v>
      </c>
      <c r="C708" s="22"/>
      <c r="D708" s="23">
        <v>101.62</v>
      </c>
      <c r="E708" s="23">
        <v>0</v>
      </c>
      <c r="F708" s="23">
        <v>155486.97</v>
      </c>
      <c r="G708" s="22" t="s">
        <v>2406</v>
      </c>
      <c r="H708" s="22"/>
      <c r="I708" t="s">
        <v>2403</v>
      </c>
      <c r="K708" s="24">
        <f t="shared" si="11"/>
        <v>0</v>
      </c>
    </row>
    <row r="709" spans="1:11" hidden="1" x14ac:dyDescent="0.3">
      <c r="A709" s="21">
        <v>45174</v>
      </c>
      <c r="B709" t="s">
        <v>521</v>
      </c>
      <c r="C709" s="22"/>
      <c r="D709" s="23">
        <v>0</v>
      </c>
      <c r="E709" s="23">
        <v>459</v>
      </c>
      <c r="F709" s="23">
        <v>155945.97</v>
      </c>
      <c r="G709" s="22" t="s">
        <v>2409</v>
      </c>
      <c r="H709" s="22"/>
      <c r="I709" t="s">
        <v>2403</v>
      </c>
      <c r="K709" s="24">
        <f t="shared" si="11"/>
        <v>0</v>
      </c>
    </row>
    <row r="710" spans="1:11" hidden="1" x14ac:dyDescent="0.3">
      <c r="A710" s="21">
        <v>45174</v>
      </c>
      <c r="B710" t="s">
        <v>523</v>
      </c>
      <c r="C710" s="22"/>
      <c r="D710" s="23">
        <v>0</v>
      </c>
      <c r="E710" s="23">
        <v>80</v>
      </c>
      <c r="F710" s="23">
        <v>156025.97</v>
      </c>
      <c r="G710" s="22" t="s">
        <v>2409</v>
      </c>
      <c r="H710" s="22"/>
      <c r="I710" t="s">
        <v>2403</v>
      </c>
      <c r="K710" s="24">
        <f t="shared" ref="K710:K773" si="12">F709-D710+E710-F710</f>
        <v>0</v>
      </c>
    </row>
    <row r="711" spans="1:11" hidden="1" x14ac:dyDescent="0.3">
      <c r="A711" s="21">
        <v>45175</v>
      </c>
      <c r="B711" t="s">
        <v>496</v>
      </c>
      <c r="C711" s="22"/>
      <c r="D711" s="23">
        <v>0</v>
      </c>
      <c r="E711" s="23">
        <v>3377.75</v>
      </c>
      <c r="F711" s="23">
        <v>159403.72</v>
      </c>
      <c r="G711" s="22" t="s">
        <v>2406</v>
      </c>
      <c r="H711" s="22"/>
      <c r="I711" t="s">
        <v>2403</v>
      </c>
      <c r="K711" s="24">
        <f t="shared" si="12"/>
        <v>0</v>
      </c>
    </row>
    <row r="712" spans="1:11" hidden="1" x14ac:dyDescent="0.3">
      <c r="A712" s="21">
        <v>45175</v>
      </c>
      <c r="B712" t="s">
        <v>133</v>
      </c>
      <c r="C712" s="22"/>
      <c r="D712" s="23">
        <v>100.05</v>
      </c>
      <c r="E712" s="23">
        <v>0</v>
      </c>
      <c r="F712" s="23">
        <v>159303.67000000001</v>
      </c>
      <c r="G712" s="22" t="s">
        <v>2406</v>
      </c>
      <c r="H712" s="22"/>
      <c r="I712" t="s">
        <v>2403</v>
      </c>
      <c r="K712" s="24">
        <f t="shared" si="12"/>
        <v>0</v>
      </c>
    </row>
    <row r="713" spans="1:11" hidden="1" x14ac:dyDescent="0.3">
      <c r="A713" s="21">
        <v>45175</v>
      </c>
      <c r="B713" t="s">
        <v>133</v>
      </c>
      <c r="C713" s="22"/>
      <c r="D713" s="23">
        <v>9173.6200000000008</v>
      </c>
      <c r="E713" s="23">
        <v>0</v>
      </c>
      <c r="F713" s="23">
        <v>150130.04999999999</v>
      </c>
      <c r="G713" s="22" t="s">
        <v>2406</v>
      </c>
      <c r="H713" s="22"/>
      <c r="I713" t="s">
        <v>2403</v>
      </c>
      <c r="K713" s="24">
        <f t="shared" si="12"/>
        <v>0</v>
      </c>
    </row>
    <row r="714" spans="1:11" hidden="1" x14ac:dyDescent="0.3">
      <c r="A714" s="21">
        <v>45175</v>
      </c>
      <c r="B714" t="s">
        <v>2471</v>
      </c>
      <c r="C714" s="22"/>
      <c r="D714" s="23">
        <v>0</v>
      </c>
      <c r="E714" s="23">
        <v>80</v>
      </c>
      <c r="F714" s="23">
        <v>59917.97</v>
      </c>
      <c r="G714" s="22" t="s">
        <v>2409</v>
      </c>
      <c r="H714" s="22"/>
      <c r="I714" t="s">
        <v>2400</v>
      </c>
      <c r="K714" s="24">
        <f t="shared" si="12"/>
        <v>90292.079999999987</v>
      </c>
    </row>
    <row r="715" spans="1:11" hidden="1" x14ac:dyDescent="0.3">
      <c r="A715" s="21">
        <v>45176</v>
      </c>
      <c r="B715" t="s">
        <v>133</v>
      </c>
      <c r="C715" s="22"/>
      <c r="D715" s="23">
        <v>93.76</v>
      </c>
      <c r="E715" s="23">
        <v>0</v>
      </c>
      <c r="F715" s="23">
        <v>150036.29</v>
      </c>
      <c r="G715" s="22" t="s">
        <v>2406</v>
      </c>
      <c r="H715" s="22"/>
      <c r="I715" t="s">
        <v>2403</v>
      </c>
      <c r="K715" s="24">
        <f t="shared" si="12"/>
        <v>-90212.080000000016</v>
      </c>
    </row>
    <row r="716" spans="1:11" hidden="1" x14ac:dyDescent="0.3">
      <c r="A716" s="21">
        <v>45176</v>
      </c>
      <c r="B716" t="s">
        <v>529</v>
      </c>
      <c r="C716" s="22"/>
      <c r="D716" s="23">
        <v>0</v>
      </c>
      <c r="E716" s="23">
        <v>100</v>
      </c>
      <c r="F716" s="23">
        <v>150136.29</v>
      </c>
      <c r="G716" s="22" t="s">
        <v>2409</v>
      </c>
      <c r="H716" s="22"/>
      <c r="I716" t="s">
        <v>2403</v>
      </c>
      <c r="K716" s="24">
        <f t="shared" si="12"/>
        <v>0</v>
      </c>
    </row>
    <row r="717" spans="1:11" hidden="1" x14ac:dyDescent="0.3">
      <c r="A717" s="21">
        <v>45176</v>
      </c>
      <c r="B717" t="s">
        <v>531</v>
      </c>
      <c r="C717" s="22"/>
      <c r="D717" s="23">
        <v>0</v>
      </c>
      <c r="E717" s="23">
        <v>1880</v>
      </c>
      <c r="F717" s="23">
        <v>152016.29</v>
      </c>
      <c r="G717" s="22" t="s">
        <v>2407</v>
      </c>
      <c r="H717" s="22"/>
      <c r="I717" t="s">
        <v>2403</v>
      </c>
      <c r="K717" s="24">
        <f t="shared" si="12"/>
        <v>0</v>
      </c>
    </row>
    <row r="718" spans="1:11" hidden="1" x14ac:dyDescent="0.3">
      <c r="A718" s="21">
        <v>45176</v>
      </c>
      <c r="B718" t="s">
        <v>2472</v>
      </c>
      <c r="C718" s="22" t="s">
        <v>1152</v>
      </c>
      <c r="D718" s="23">
        <v>557.15</v>
      </c>
      <c r="E718" s="23">
        <v>0</v>
      </c>
      <c r="F718" s="23">
        <v>59360.82</v>
      </c>
      <c r="G718" s="22" t="s">
        <v>2399</v>
      </c>
      <c r="H718" s="22"/>
      <c r="I718" t="s">
        <v>2400</v>
      </c>
      <c r="K718" s="24">
        <f t="shared" si="12"/>
        <v>92098.32</v>
      </c>
    </row>
    <row r="719" spans="1:11" hidden="1" x14ac:dyDescent="0.3">
      <c r="A719" s="21">
        <v>45177</v>
      </c>
      <c r="B719" t="s">
        <v>496</v>
      </c>
      <c r="C719" s="22"/>
      <c r="D719" s="23">
        <v>0</v>
      </c>
      <c r="E719" s="23">
        <v>281.98</v>
      </c>
      <c r="F719" s="23">
        <v>152298.26999999999</v>
      </c>
      <c r="G719" s="22" t="s">
        <v>2406</v>
      </c>
      <c r="H719" s="22"/>
      <c r="I719" t="s">
        <v>2403</v>
      </c>
      <c r="K719" s="24">
        <f t="shared" si="12"/>
        <v>-92655.469999999987</v>
      </c>
    </row>
    <row r="720" spans="1:11" hidden="1" x14ac:dyDescent="0.3">
      <c r="A720" s="21">
        <v>45177</v>
      </c>
      <c r="B720" t="s">
        <v>133</v>
      </c>
      <c r="C720" s="22"/>
      <c r="D720" s="23">
        <v>93.76</v>
      </c>
      <c r="E720" s="23">
        <v>0</v>
      </c>
      <c r="F720" s="23">
        <v>152204.51</v>
      </c>
      <c r="G720" s="22" t="s">
        <v>2406</v>
      </c>
      <c r="H720" s="22"/>
      <c r="I720" t="s">
        <v>2403</v>
      </c>
      <c r="K720" s="24">
        <f t="shared" si="12"/>
        <v>0</v>
      </c>
    </row>
    <row r="721" spans="1:11" hidden="1" x14ac:dyDescent="0.3">
      <c r="A721" s="21">
        <v>45178</v>
      </c>
      <c r="B721" t="s">
        <v>2473</v>
      </c>
      <c r="C721" s="22" t="s">
        <v>1154</v>
      </c>
      <c r="D721" s="23">
        <v>20</v>
      </c>
      <c r="E721" s="23">
        <v>0</v>
      </c>
      <c r="F721" s="23">
        <v>59340.82</v>
      </c>
      <c r="G721" s="22" t="s">
        <v>2399</v>
      </c>
      <c r="H721" s="22"/>
      <c r="I721" t="s">
        <v>2400</v>
      </c>
      <c r="K721" s="24">
        <f t="shared" si="12"/>
        <v>92843.69</v>
      </c>
    </row>
    <row r="722" spans="1:11" hidden="1" x14ac:dyDescent="0.3">
      <c r="A722" s="21">
        <v>45178</v>
      </c>
      <c r="B722" t="s">
        <v>2474</v>
      </c>
      <c r="C722" s="22" t="s">
        <v>1154</v>
      </c>
      <c r="D722" s="23">
        <v>50</v>
      </c>
      <c r="E722" s="23">
        <v>0</v>
      </c>
      <c r="F722" s="23">
        <v>59290.82</v>
      </c>
      <c r="G722" s="22" t="s">
        <v>2399</v>
      </c>
      <c r="H722" s="22"/>
      <c r="I722" t="s">
        <v>2400</v>
      </c>
      <c r="K722" s="24">
        <f t="shared" si="12"/>
        <v>0</v>
      </c>
    </row>
    <row r="723" spans="1:11" hidden="1" x14ac:dyDescent="0.3">
      <c r="A723" s="21">
        <v>45178</v>
      </c>
      <c r="B723" t="s">
        <v>2475</v>
      </c>
      <c r="C723" s="22" t="s">
        <v>1154</v>
      </c>
      <c r="D723" s="23">
        <v>50</v>
      </c>
      <c r="E723" s="23">
        <v>0</v>
      </c>
      <c r="F723" s="23">
        <v>59240.82</v>
      </c>
      <c r="G723" s="22" t="s">
        <v>2399</v>
      </c>
      <c r="H723" s="22"/>
      <c r="I723" t="s">
        <v>2400</v>
      </c>
      <c r="K723" s="24">
        <f t="shared" si="12"/>
        <v>0</v>
      </c>
    </row>
    <row r="724" spans="1:11" hidden="1" x14ac:dyDescent="0.3">
      <c r="A724" s="21">
        <v>45178</v>
      </c>
      <c r="B724" t="s">
        <v>2476</v>
      </c>
      <c r="C724" s="22" t="s">
        <v>1154</v>
      </c>
      <c r="D724" s="23">
        <v>104.5</v>
      </c>
      <c r="E724" s="23">
        <v>0</v>
      </c>
      <c r="F724" s="23">
        <v>59136.32</v>
      </c>
      <c r="G724" s="22" t="s">
        <v>2399</v>
      </c>
      <c r="H724" s="22"/>
      <c r="I724" t="s">
        <v>2400</v>
      </c>
      <c r="K724" s="24">
        <f t="shared" si="12"/>
        <v>0</v>
      </c>
    </row>
    <row r="725" spans="1:11" hidden="1" x14ac:dyDescent="0.3">
      <c r="A725" s="21">
        <v>45180</v>
      </c>
      <c r="B725" t="s">
        <v>496</v>
      </c>
      <c r="C725" s="22"/>
      <c r="D725" s="23">
        <v>0</v>
      </c>
      <c r="E725" s="23">
        <v>160.02000000000001</v>
      </c>
      <c r="F725" s="23">
        <v>152364.53</v>
      </c>
      <c r="G725" s="22" t="s">
        <v>2406</v>
      </c>
      <c r="H725" s="22"/>
      <c r="I725" t="s">
        <v>2403</v>
      </c>
      <c r="K725" s="24">
        <f t="shared" si="12"/>
        <v>-93068.19</v>
      </c>
    </row>
    <row r="726" spans="1:11" hidden="1" x14ac:dyDescent="0.3">
      <c r="A726" s="21">
        <v>45180</v>
      </c>
      <c r="B726" t="s">
        <v>154</v>
      </c>
      <c r="C726" s="22"/>
      <c r="D726" s="23">
        <v>3000</v>
      </c>
      <c r="E726" s="23">
        <v>0</v>
      </c>
      <c r="F726" s="23">
        <v>149364.53</v>
      </c>
      <c r="G726" s="22" t="s">
        <v>2418</v>
      </c>
      <c r="H726" s="22"/>
      <c r="I726" t="s">
        <v>2403</v>
      </c>
      <c r="K726" s="24">
        <f t="shared" si="12"/>
        <v>0</v>
      </c>
    </row>
    <row r="727" spans="1:11" hidden="1" x14ac:dyDescent="0.3">
      <c r="A727" s="21">
        <v>45180</v>
      </c>
      <c r="B727" t="s">
        <v>133</v>
      </c>
      <c r="C727" s="22"/>
      <c r="D727" s="23">
        <v>281.7</v>
      </c>
      <c r="E727" s="23">
        <v>0</v>
      </c>
      <c r="F727" s="23">
        <v>149082.82999999999</v>
      </c>
      <c r="G727" s="22" t="s">
        <v>2406</v>
      </c>
      <c r="H727" s="22"/>
      <c r="I727" t="s">
        <v>2403</v>
      </c>
      <c r="K727" s="24">
        <f t="shared" si="12"/>
        <v>0</v>
      </c>
    </row>
    <row r="728" spans="1:11" hidden="1" x14ac:dyDescent="0.3">
      <c r="A728" s="21">
        <v>45180</v>
      </c>
      <c r="B728" t="s">
        <v>538</v>
      </c>
      <c r="C728" s="22"/>
      <c r="D728" s="23">
        <v>295</v>
      </c>
      <c r="E728" s="23">
        <v>0</v>
      </c>
      <c r="F728" s="23">
        <v>148787.82999999999</v>
      </c>
      <c r="G728" s="22" t="s">
        <v>2415</v>
      </c>
      <c r="H728" s="22"/>
      <c r="I728" t="s">
        <v>2403</v>
      </c>
      <c r="K728" s="24">
        <f t="shared" si="12"/>
        <v>0</v>
      </c>
    </row>
    <row r="729" spans="1:11" hidden="1" x14ac:dyDescent="0.3">
      <c r="A729" s="21">
        <v>45180</v>
      </c>
      <c r="B729" t="s">
        <v>133</v>
      </c>
      <c r="C729" s="22"/>
      <c r="D729" s="23">
        <v>32347.65</v>
      </c>
      <c r="E729" s="23">
        <v>0</v>
      </c>
      <c r="F729" s="23">
        <v>116440.18</v>
      </c>
      <c r="G729" s="22" t="s">
        <v>2406</v>
      </c>
      <c r="H729" s="22"/>
      <c r="I729" t="s">
        <v>2403</v>
      </c>
      <c r="K729" s="24">
        <f t="shared" si="12"/>
        <v>0</v>
      </c>
    </row>
    <row r="730" spans="1:11" hidden="1" x14ac:dyDescent="0.3">
      <c r="A730" s="21">
        <v>45180</v>
      </c>
      <c r="B730" t="s">
        <v>133</v>
      </c>
      <c r="C730" s="22"/>
      <c r="D730" s="23">
        <v>50678.87</v>
      </c>
      <c r="E730" s="23">
        <v>0</v>
      </c>
      <c r="F730" s="23">
        <v>65761.31</v>
      </c>
      <c r="G730" s="22" t="s">
        <v>2406</v>
      </c>
      <c r="H730" s="22"/>
      <c r="I730" t="s">
        <v>2403</v>
      </c>
      <c r="K730" s="24">
        <f t="shared" si="12"/>
        <v>0</v>
      </c>
    </row>
    <row r="731" spans="1:11" hidden="1" x14ac:dyDescent="0.3">
      <c r="A731" s="21">
        <v>45180</v>
      </c>
      <c r="B731" t="s">
        <v>2477</v>
      </c>
      <c r="C731" s="22" t="s">
        <v>1191</v>
      </c>
      <c r="D731" s="23">
        <v>40</v>
      </c>
      <c r="E731" s="23">
        <v>0</v>
      </c>
      <c r="F731" s="23">
        <v>59096.32</v>
      </c>
      <c r="G731" s="22" t="s">
        <v>2399</v>
      </c>
      <c r="H731" s="22"/>
      <c r="I731" t="s">
        <v>2400</v>
      </c>
      <c r="K731" s="24">
        <f t="shared" si="12"/>
        <v>6624.989999999998</v>
      </c>
    </row>
    <row r="732" spans="1:11" hidden="1" x14ac:dyDescent="0.3">
      <c r="A732" s="21">
        <v>45181</v>
      </c>
      <c r="B732" t="s">
        <v>133</v>
      </c>
      <c r="C732" s="22"/>
      <c r="D732" s="23">
        <v>56.49</v>
      </c>
      <c r="E732" s="23">
        <v>0</v>
      </c>
      <c r="F732" s="23">
        <v>65704.820000000007</v>
      </c>
      <c r="G732" s="22" t="s">
        <v>2406</v>
      </c>
      <c r="H732" s="22"/>
      <c r="I732" t="s">
        <v>2403</v>
      </c>
      <c r="K732" s="24">
        <f t="shared" si="12"/>
        <v>-6664.9900000000052</v>
      </c>
    </row>
    <row r="733" spans="1:11" hidden="1" x14ac:dyDescent="0.3">
      <c r="A733" s="21">
        <v>45181</v>
      </c>
      <c r="B733" t="s">
        <v>133</v>
      </c>
      <c r="C733" s="22"/>
      <c r="D733" s="23">
        <v>68.989999999999995</v>
      </c>
      <c r="E733" s="23">
        <v>0</v>
      </c>
      <c r="F733" s="23">
        <v>65635.83</v>
      </c>
      <c r="G733" s="22" t="s">
        <v>2406</v>
      </c>
      <c r="H733" s="22"/>
      <c r="I733" t="s">
        <v>2403</v>
      </c>
      <c r="K733" s="24">
        <f t="shared" si="12"/>
        <v>0</v>
      </c>
    </row>
    <row r="734" spans="1:11" hidden="1" x14ac:dyDescent="0.3">
      <c r="A734" s="21">
        <v>45181</v>
      </c>
      <c r="B734" t="s">
        <v>133</v>
      </c>
      <c r="C734" s="22"/>
      <c r="D734" s="23">
        <v>18742.47</v>
      </c>
      <c r="E734" s="23">
        <v>0</v>
      </c>
      <c r="F734" s="23">
        <v>46893.36</v>
      </c>
      <c r="G734" s="22" t="s">
        <v>2406</v>
      </c>
      <c r="H734" s="22"/>
      <c r="I734" t="s">
        <v>2403</v>
      </c>
      <c r="K734" s="24">
        <f t="shared" si="12"/>
        <v>0</v>
      </c>
    </row>
    <row r="735" spans="1:11" hidden="1" x14ac:dyDescent="0.3">
      <c r="A735" s="21">
        <v>45181</v>
      </c>
      <c r="B735" t="s">
        <v>133</v>
      </c>
      <c r="C735" s="22"/>
      <c r="D735" s="23">
        <v>8141.8</v>
      </c>
      <c r="E735" s="23">
        <v>0</v>
      </c>
      <c r="F735" s="23">
        <v>38751.56</v>
      </c>
      <c r="G735" s="22" t="s">
        <v>2406</v>
      </c>
      <c r="H735" s="22"/>
      <c r="I735" t="s">
        <v>2403</v>
      </c>
      <c r="K735" s="24">
        <f t="shared" si="12"/>
        <v>0</v>
      </c>
    </row>
    <row r="736" spans="1:11" hidden="1" x14ac:dyDescent="0.3">
      <c r="A736" s="21">
        <v>45182</v>
      </c>
      <c r="B736" t="s">
        <v>503</v>
      </c>
      <c r="C736" s="22"/>
      <c r="D736" s="23">
        <v>0</v>
      </c>
      <c r="E736" s="23">
        <v>200000</v>
      </c>
      <c r="F736" s="23">
        <v>238751.56</v>
      </c>
      <c r="G736" s="22" t="s">
        <v>2421</v>
      </c>
      <c r="H736" s="22"/>
      <c r="I736" t="s">
        <v>2403</v>
      </c>
      <c r="K736" s="24">
        <f t="shared" si="12"/>
        <v>0</v>
      </c>
    </row>
    <row r="737" spans="1:11" hidden="1" x14ac:dyDescent="0.3">
      <c r="A737" s="21">
        <v>45182</v>
      </c>
      <c r="B737" t="s">
        <v>133</v>
      </c>
      <c r="C737" s="22"/>
      <c r="D737" s="23">
        <v>79.7</v>
      </c>
      <c r="E737" s="23">
        <v>0</v>
      </c>
      <c r="F737" s="23">
        <v>238671.86</v>
      </c>
      <c r="G737" s="22" t="s">
        <v>2406</v>
      </c>
      <c r="H737" s="22"/>
      <c r="I737" t="s">
        <v>2403</v>
      </c>
      <c r="K737" s="24">
        <f t="shared" si="12"/>
        <v>0</v>
      </c>
    </row>
    <row r="738" spans="1:11" hidden="1" x14ac:dyDescent="0.3">
      <c r="A738" s="21">
        <v>45182</v>
      </c>
      <c r="B738" t="s">
        <v>133</v>
      </c>
      <c r="C738" s="22"/>
      <c r="D738" s="23">
        <v>99405.5</v>
      </c>
      <c r="E738" s="23">
        <v>0</v>
      </c>
      <c r="F738" s="23">
        <v>139266.35999999999</v>
      </c>
      <c r="G738" s="22" t="s">
        <v>2406</v>
      </c>
      <c r="H738" s="22"/>
      <c r="I738" t="s">
        <v>2403</v>
      </c>
      <c r="K738" s="24">
        <f t="shared" si="12"/>
        <v>0</v>
      </c>
    </row>
    <row r="739" spans="1:11" hidden="1" x14ac:dyDescent="0.3">
      <c r="A739" s="21">
        <v>45182</v>
      </c>
      <c r="B739" t="s">
        <v>2478</v>
      </c>
      <c r="C739" s="22" t="s">
        <v>1148</v>
      </c>
      <c r="D739" s="23">
        <v>50</v>
      </c>
      <c r="E739" s="23">
        <v>0</v>
      </c>
      <c r="F739" s="23">
        <v>59046.32</v>
      </c>
      <c r="G739" s="22" t="s">
        <v>2399</v>
      </c>
      <c r="H739" s="22"/>
      <c r="I739" t="s">
        <v>2400</v>
      </c>
      <c r="K739" s="24">
        <f t="shared" si="12"/>
        <v>80170.039999999979</v>
      </c>
    </row>
    <row r="740" spans="1:11" hidden="1" x14ac:dyDescent="0.3">
      <c r="A740" s="21">
        <v>45183</v>
      </c>
      <c r="B740" t="s">
        <v>204</v>
      </c>
      <c r="C740" s="22"/>
      <c r="D740" s="23">
        <v>3000</v>
      </c>
      <c r="E740" s="23">
        <v>0</v>
      </c>
      <c r="F740" s="23">
        <v>136266.35999999999</v>
      </c>
      <c r="G740" s="22" t="s">
        <v>2418</v>
      </c>
      <c r="H740" s="22"/>
      <c r="I740" t="s">
        <v>2403</v>
      </c>
      <c r="K740" s="24">
        <f t="shared" si="12"/>
        <v>-80220.039999999979</v>
      </c>
    </row>
    <row r="741" spans="1:11" hidden="1" x14ac:dyDescent="0.3">
      <c r="A741" s="21">
        <v>45183</v>
      </c>
      <c r="B741" t="s">
        <v>133</v>
      </c>
      <c r="C741" s="22"/>
      <c r="D741" s="23">
        <v>41.67</v>
      </c>
      <c r="E741" s="23">
        <v>0</v>
      </c>
      <c r="F741" s="23">
        <v>136224.69</v>
      </c>
      <c r="G741" s="22" t="s">
        <v>2406</v>
      </c>
      <c r="H741" s="22"/>
      <c r="I741" t="s">
        <v>2403</v>
      </c>
      <c r="K741" s="24">
        <f t="shared" si="12"/>
        <v>0</v>
      </c>
    </row>
    <row r="742" spans="1:11" hidden="1" x14ac:dyDescent="0.3">
      <c r="A742" s="21">
        <v>45183</v>
      </c>
      <c r="B742" t="s">
        <v>133</v>
      </c>
      <c r="C742" s="22"/>
      <c r="D742" s="23">
        <v>338.47</v>
      </c>
      <c r="E742" s="23">
        <v>0</v>
      </c>
      <c r="F742" s="23">
        <v>135886.22</v>
      </c>
      <c r="G742" s="22" t="s">
        <v>2406</v>
      </c>
      <c r="H742" s="22"/>
      <c r="I742" t="s">
        <v>2403</v>
      </c>
      <c r="K742" s="24">
        <f t="shared" si="12"/>
        <v>0</v>
      </c>
    </row>
    <row r="743" spans="1:11" hidden="1" x14ac:dyDescent="0.3">
      <c r="A743" s="21">
        <v>45184</v>
      </c>
      <c r="B743" t="s">
        <v>154</v>
      </c>
      <c r="C743" s="22"/>
      <c r="D743" s="23">
        <v>2500</v>
      </c>
      <c r="E743" s="23">
        <v>0</v>
      </c>
      <c r="F743" s="23">
        <v>133386.22</v>
      </c>
      <c r="G743" s="22" t="s">
        <v>2413</v>
      </c>
      <c r="H743" s="22"/>
      <c r="I743" t="s">
        <v>2403</v>
      </c>
      <c r="K743" s="24">
        <f t="shared" si="12"/>
        <v>0</v>
      </c>
    </row>
    <row r="744" spans="1:11" x14ac:dyDescent="0.3">
      <c r="A744" s="21">
        <v>45185</v>
      </c>
      <c r="B744" t="s">
        <v>553</v>
      </c>
      <c r="C744" s="22"/>
      <c r="D744" s="23">
        <v>500</v>
      </c>
      <c r="E744" s="23">
        <v>0</v>
      </c>
      <c r="F744" s="23">
        <v>132886.22</v>
      </c>
      <c r="G744" s="22" t="s">
        <v>2499</v>
      </c>
      <c r="H744" s="22"/>
      <c r="I744" t="s">
        <v>2403</v>
      </c>
      <c r="K744" s="24">
        <f t="shared" si="12"/>
        <v>0</v>
      </c>
    </row>
    <row r="745" spans="1:11" hidden="1" x14ac:dyDescent="0.3">
      <c r="A745" s="21">
        <v>45185</v>
      </c>
      <c r="B745" t="s">
        <v>1547</v>
      </c>
      <c r="C745" s="22" t="s">
        <v>1536</v>
      </c>
      <c r="D745" s="23">
        <v>0</v>
      </c>
      <c r="E745" s="23">
        <v>100</v>
      </c>
      <c r="F745" s="23">
        <v>100.86</v>
      </c>
      <c r="G745" s="22" t="s">
        <v>2399</v>
      </c>
      <c r="H745" s="22"/>
      <c r="I745" t="s">
        <v>2401</v>
      </c>
      <c r="K745" s="24">
        <f t="shared" si="12"/>
        <v>132885.36000000002</v>
      </c>
    </row>
    <row r="746" spans="1:11" hidden="1" x14ac:dyDescent="0.3">
      <c r="A746" s="21">
        <v>45185</v>
      </c>
      <c r="B746" t="s">
        <v>1548</v>
      </c>
      <c r="C746" s="22" t="s">
        <v>1536</v>
      </c>
      <c r="D746" s="23">
        <v>50</v>
      </c>
      <c r="E746" s="23">
        <v>0</v>
      </c>
      <c r="F746" s="23">
        <v>50.86</v>
      </c>
      <c r="G746" s="22" t="s">
        <v>2408</v>
      </c>
      <c r="H746" s="22"/>
      <c r="I746" t="s">
        <v>2401</v>
      </c>
      <c r="K746" s="24">
        <f t="shared" si="12"/>
        <v>0</v>
      </c>
    </row>
    <row r="747" spans="1:11" hidden="1" x14ac:dyDescent="0.3">
      <c r="A747" s="21">
        <v>45185</v>
      </c>
      <c r="B747" t="s">
        <v>1549</v>
      </c>
      <c r="C747" s="22" t="s">
        <v>1536</v>
      </c>
      <c r="D747" s="23">
        <v>50</v>
      </c>
      <c r="E747" s="23">
        <v>0</v>
      </c>
      <c r="F747" s="23">
        <v>0.86</v>
      </c>
      <c r="G747" s="22" t="s">
        <v>2408</v>
      </c>
      <c r="H747" s="22"/>
      <c r="I747" t="s">
        <v>2401</v>
      </c>
      <c r="K747" s="24">
        <f t="shared" si="12"/>
        <v>0</v>
      </c>
    </row>
    <row r="748" spans="1:11" hidden="1" x14ac:dyDescent="0.3">
      <c r="A748" s="21">
        <v>45185</v>
      </c>
      <c r="B748" t="s">
        <v>1550</v>
      </c>
      <c r="C748" s="22" t="s">
        <v>1536</v>
      </c>
      <c r="D748" s="23">
        <v>0</v>
      </c>
      <c r="E748" s="23">
        <v>1000</v>
      </c>
      <c r="F748" s="23">
        <v>1000.86</v>
      </c>
      <c r="G748" s="22" t="s">
        <v>2399</v>
      </c>
      <c r="H748" s="22"/>
      <c r="I748" t="s">
        <v>2401</v>
      </c>
      <c r="K748" s="24">
        <f t="shared" si="12"/>
        <v>0</v>
      </c>
    </row>
    <row r="749" spans="1:11" hidden="1" x14ac:dyDescent="0.3">
      <c r="A749" s="21">
        <v>45185</v>
      </c>
      <c r="B749" t="s">
        <v>1551</v>
      </c>
      <c r="C749" s="22" t="s">
        <v>1536</v>
      </c>
      <c r="D749" s="23">
        <v>50</v>
      </c>
      <c r="E749" s="23">
        <v>0</v>
      </c>
      <c r="F749" s="23">
        <v>950.86</v>
      </c>
      <c r="G749" s="22" t="s">
        <v>2408</v>
      </c>
      <c r="H749" s="22"/>
      <c r="I749" t="s">
        <v>2401</v>
      </c>
      <c r="K749" s="24">
        <f t="shared" si="12"/>
        <v>0</v>
      </c>
    </row>
    <row r="750" spans="1:11" hidden="1" x14ac:dyDescent="0.3">
      <c r="A750" s="21">
        <v>45185</v>
      </c>
      <c r="B750" t="s">
        <v>1552</v>
      </c>
      <c r="C750" s="22" t="s">
        <v>1536</v>
      </c>
      <c r="D750" s="23">
        <v>50</v>
      </c>
      <c r="E750" s="23">
        <v>0</v>
      </c>
      <c r="F750" s="23">
        <v>900.86</v>
      </c>
      <c r="G750" s="22" t="s">
        <v>2408</v>
      </c>
      <c r="H750" s="22"/>
      <c r="I750" t="s">
        <v>2401</v>
      </c>
      <c r="K750" s="24">
        <f t="shared" si="12"/>
        <v>0</v>
      </c>
    </row>
    <row r="751" spans="1:11" hidden="1" x14ac:dyDescent="0.3">
      <c r="A751" s="21">
        <v>45185</v>
      </c>
      <c r="B751" t="s">
        <v>1553</v>
      </c>
      <c r="C751" s="22" t="s">
        <v>1536</v>
      </c>
      <c r="D751" s="23">
        <v>50</v>
      </c>
      <c r="E751" s="23">
        <v>0</v>
      </c>
      <c r="F751" s="23">
        <v>850.86</v>
      </c>
      <c r="G751" s="22" t="s">
        <v>2408</v>
      </c>
      <c r="H751" s="22"/>
      <c r="I751" t="s">
        <v>2401</v>
      </c>
      <c r="K751" s="24">
        <f t="shared" si="12"/>
        <v>0</v>
      </c>
    </row>
    <row r="752" spans="1:11" hidden="1" x14ac:dyDescent="0.3">
      <c r="A752" s="21">
        <v>45185</v>
      </c>
      <c r="B752" t="s">
        <v>1554</v>
      </c>
      <c r="C752" s="22" t="s">
        <v>1536</v>
      </c>
      <c r="D752" s="23">
        <v>50</v>
      </c>
      <c r="E752" s="23">
        <v>0</v>
      </c>
      <c r="F752" s="23">
        <v>800.86</v>
      </c>
      <c r="G752" s="22" t="s">
        <v>2408</v>
      </c>
      <c r="H752" s="22"/>
      <c r="I752" t="s">
        <v>2401</v>
      </c>
      <c r="K752" s="24">
        <f t="shared" si="12"/>
        <v>0</v>
      </c>
    </row>
    <row r="753" spans="1:11" hidden="1" x14ac:dyDescent="0.3">
      <c r="A753" s="21">
        <v>45185</v>
      </c>
      <c r="B753" t="s">
        <v>1555</v>
      </c>
      <c r="C753" s="22" t="s">
        <v>1536</v>
      </c>
      <c r="D753" s="23">
        <v>50</v>
      </c>
      <c r="E753" s="23">
        <v>0</v>
      </c>
      <c r="F753" s="23">
        <v>750.86</v>
      </c>
      <c r="G753" s="22" t="s">
        <v>2408</v>
      </c>
      <c r="H753" s="22"/>
      <c r="I753" t="s">
        <v>2401</v>
      </c>
      <c r="K753" s="24">
        <f t="shared" si="12"/>
        <v>0</v>
      </c>
    </row>
    <row r="754" spans="1:11" hidden="1" x14ac:dyDescent="0.3">
      <c r="A754" s="21">
        <v>45185</v>
      </c>
      <c r="B754" t="s">
        <v>1556</v>
      </c>
      <c r="C754" s="22" t="s">
        <v>1536</v>
      </c>
      <c r="D754" s="23">
        <v>50</v>
      </c>
      <c r="E754" s="23">
        <v>0</v>
      </c>
      <c r="F754" s="23">
        <v>700.86</v>
      </c>
      <c r="G754" s="22" t="s">
        <v>2408</v>
      </c>
      <c r="H754" s="22"/>
      <c r="I754" t="s">
        <v>2401</v>
      </c>
      <c r="K754" s="24">
        <f t="shared" si="12"/>
        <v>0</v>
      </c>
    </row>
    <row r="755" spans="1:11" hidden="1" x14ac:dyDescent="0.3">
      <c r="A755" s="21">
        <v>45185</v>
      </c>
      <c r="B755" t="s">
        <v>1557</v>
      </c>
      <c r="C755" s="22" t="s">
        <v>1536</v>
      </c>
      <c r="D755" s="23">
        <v>50</v>
      </c>
      <c r="E755" s="23">
        <v>0</v>
      </c>
      <c r="F755" s="23">
        <v>650.86</v>
      </c>
      <c r="G755" s="22" t="s">
        <v>2408</v>
      </c>
      <c r="H755" s="22"/>
      <c r="I755" t="s">
        <v>2401</v>
      </c>
      <c r="K755" s="24">
        <f t="shared" si="12"/>
        <v>0</v>
      </c>
    </row>
    <row r="756" spans="1:11" hidden="1" x14ac:dyDescent="0.3">
      <c r="A756" s="21">
        <v>45185</v>
      </c>
      <c r="B756" t="s">
        <v>1558</v>
      </c>
      <c r="C756" s="22" t="s">
        <v>1536</v>
      </c>
      <c r="D756" s="23">
        <v>50</v>
      </c>
      <c r="E756" s="23">
        <v>0</v>
      </c>
      <c r="F756" s="23">
        <v>600.86</v>
      </c>
      <c r="G756" s="22" t="s">
        <v>2408</v>
      </c>
      <c r="H756" s="22"/>
      <c r="I756" t="s">
        <v>2401</v>
      </c>
      <c r="K756" s="24">
        <f t="shared" si="12"/>
        <v>0</v>
      </c>
    </row>
    <row r="757" spans="1:11" hidden="1" x14ac:dyDescent="0.3">
      <c r="A757" s="21">
        <v>45185</v>
      </c>
      <c r="B757" t="s">
        <v>1559</v>
      </c>
      <c r="C757" s="22" t="s">
        <v>1536</v>
      </c>
      <c r="D757" s="23">
        <v>50</v>
      </c>
      <c r="E757" s="23">
        <v>0</v>
      </c>
      <c r="F757" s="23">
        <v>550.86</v>
      </c>
      <c r="G757" s="22" t="s">
        <v>2408</v>
      </c>
      <c r="H757" s="22"/>
      <c r="I757" t="s">
        <v>2401</v>
      </c>
      <c r="K757" s="24">
        <f t="shared" si="12"/>
        <v>0</v>
      </c>
    </row>
    <row r="758" spans="1:11" hidden="1" x14ac:dyDescent="0.3">
      <c r="A758" s="21">
        <v>45185</v>
      </c>
      <c r="B758" t="s">
        <v>1560</v>
      </c>
      <c r="C758" s="22" t="s">
        <v>1536</v>
      </c>
      <c r="D758" s="23">
        <v>50</v>
      </c>
      <c r="E758" s="23">
        <v>0</v>
      </c>
      <c r="F758" s="23">
        <v>500.86</v>
      </c>
      <c r="G758" s="22" t="s">
        <v>2408</v>
      </c>
      <c r="H758" s="22"/>
      <c r="I758" t="s">
        <v>2401</v>
      </c>
      <c r="K758" s="24">
        <f t="shared" si="12"/>
        <v>0</v>
      </c>
    </row>
    <row r="759" spans="1:11" hidden="1" x14ac:dyDescent="0.3">
      <c r="A759" s="21">
        <v>45185</v>
      </c>
      <c r="B759" t="s">
        <v>1561</v>
      </c>
      <c r="C759" s="22" t="s">
        <v>1536</v>
      </c>
      <c r="D759" s="23">
        <v>50</v>
      </c>
      <c r="E759" s="23">
        <v>0</v>
      </c>
      <c r="F759" s="23">
        <v>450.86</v>
      </c>
      <c r="G759" s="22" t="s">
        <v>2408</v>
      </c>
      <c r="H759" s="22"/>
      <c r="I759" t="s">
        <v>2401</v>
      </c>
      <c r="K759" s="24">
        <f t="shared" si="12"/>
        <v>0</v>
      </c>
    </row>
    <row r="760" spans="1:11" hidden="1" x14ac:dyDescent="0.3">
      <c r="A760" s="21">
        <v>45185</v>
      </c>
      <c r="B760" t="s">
        <v>1562</v>
      </c>
      <c r="C760" s="22" t="s">
        <v>1536</v>
      </c>
      <c r="D760" s="23">
        <v>50</v>
      </c>
      <c r="E760" s="23">
        <v>0</v>
      </c>
      <c r="F760" s="23">
        <v>400.86</v>
      </c>
      <c r="G760" s="22" t="s">
        <v>2408</v>
      </c>
      <c r="H760" s="22"/>
      <c r="I760" t="s">
        <v>2401</v>
      </c>
      <c r="K760" s="24">
        <f t="shared" si="12"/>
        <v>0</v>
      </c>
    </row>
    <row r="761" spans="1:11" hidden="1" x14ac:dyDescent="0.3">
      <c r="A761" s="21">
        <v>45185</v>
      </c>
      <c r="B761" t="s">
        <v>1563</v>
      </c>
      <c r="C761" s="22" t="s">
        <v>1536</v>
      </c>
      <c r="D761" s="23">
        <v>50</v>
      </c>
      <c r="E761" s="23">
        <v>0</v>
      </c>
      <c r="F761" s="23">
        <v>350.86</v>
      </c>
      <c r="G761" s="22" t="s">
        <v>2408</v>
      </c>
      <c r="H761" s="22"/>
      <c r="I761" t="s">
        <v>2401</v>
      </c>
      <c r="K761" s="24">
        <f t="shared" si="12"/>
        <v>0</v>
      </c>
    </row>
    <row r="762" spans="1:11" hidden="1" x14ac:dyDescent="0.3">
      <c r="A762" s="21">
        <v>45185</v>
      </c>
      <c r="B762" t="s">
        <v>1564</v>
      </c>
      <c r="C762" s="22" t="s">
        <v>1536</v>
      </c>
      <c r="D762" s="23">
        <v>50</v>
      </c>
      <c r="E762" s="23">
        <v>0</v>
      </c>
      <c r="F762" s="23">
        <v>300.86</v>
      </c>
      <c r="G762" s="22" t="s">
        <v>2408</v>
      </c>
      <c r="H762" s="22"/>
      <c r="I762" t="s">
        <v>2401</v>
      </c>
      <c r="K762" s="24">
        <f t="shared" si="12"/>
        <v>0</v>
      </c>
    </row>
    <row r="763" spans="1:11" hidden="1" x14ac:dyDescent="0.3">
      <c r="A763" s="21">
        <v>45185</v>
      </c>
      <c r="B763" t="s">
        <v>2479</v>
      </c>
      <c r="C763" s="22" t="s">
        <v>1154</v>
      </c>
      <c r="D763" s="23">
        <v>750</v>
      </c>
      <c r="E763" s="23">
        <v>0</v>
      </c>
      <c r="F763" s="23">
        <v>58296.32</v>
      </c>
      <c r="G763" s="22" t="s">
        <v>2399</v>
      </c>
      <c r="H763" s="22"/>
      <c r="I763" t="s">
        <v>2400</v>
      </c>
      <c r="K763" s="24">
        <f t="shared" si="12"/>
        <v>-58745.46</v>
      </c>
    </row>
    <row r="764" spans="1:11" hidden="1" x14ac:dyDescent="0.3">
      <c r="A764" s="21">
        <v>45185</v>
      </c>
      <c r="B764" t="s">
        <v>2480</v>
      </c>
      <c r="C764" s="22" t="s">
        <v>1154</v>
      </c>
      <c r="D764" s="23">
        <v>100</v>
      </c>
      <c r="E764" s="23">
        <v>0</v>
      </c>
      <c r="F764" s="23">
        <v>58196.32</v>
      </c>
      <c r="G764" s="22" t="s">
        <v>2399</v>
      </c>
      <c r="H764" s="22"/>
      <c r="I764" t="s">
        <v>2400</v>
      </c>
      <c r="K764" s="24">
        <f t="shared" si="12"/>
        <v>0</v>
      </c>
    </row>
    <row r="765" spans="1:11" hidden="1" x14ac:dyDescent="0.3">
      <c r="A765" s="21">
        <v>45185</v>
      </c>
      <c r="B765" t="s">
        <v>2481</v>
      </c>
      <c r="C765" s="22" t="s">
        <v>1223</v>
      </c>
      <c r="D765" s="23">
        <v>0</v>
      </c>
      <c r="E765" s="23">
        <v>50</v>
      </c>
      <c r="F765" s="23">
        <v>58246.32</v>
      </c>
      <c r="G765" s="22" t="s">
        <v>2399</v>
      </c>
      <c r="H765" s="22"/>
      <c r="I765" t="s">
        <v>2400</v>
      </c>
      <c r="K765" s="24">
        <f t="shared" si="12"/>
        <v>0</v>
      </c>
    </row>
    <row r="766" spans="1:11" hidden="1" x14ac:dyDescent="0.3">
      <c r="A766" s="21">
        <v>45185</v>
      </c>
      <c r="B766" t="s">
        <v>2482</v>
      </c>
      <c r="C766" s="22" t="s">
        <v>1223</v>
      </c>
      <c r="D766" s="23">
        <v>0</v>
      </c>
      <c r="E766" s="23">
        <v>50</v>
      </c>
      <c r="F766" s="23">
        <v>58296.32</v>
      </c>
      <c r="G766" s="22" t="s">
        <v>2399</v>
      </c>
      <c r="H766" s="22"/>
      <c r="I766" t="s">
        <v>2400</v>
      </c>
      <c r="K766" s="24">
        <f t="shared" si="12"/>
        <v>0</v>
      </c>
    </row>
    <row r="767" spans="1:11" hidden="1" x14ac:dyDescent="0.3">
      <c r="A767" s="21">
        <v>45185</v>
      </c>
      <c r="B767" t="s">
        <v>2483</v>
      </c>
      <c r="C767" s="22" t="s">
        <v>1154</v>
      </c>
      <c r="D767" s="23">
        <v>1000</v>
      </c>
      <c r="E767" s="23">
        <v>0</v>
      </c>
      <c r="F767" s="23">
        <v>57296.32</v>
      </c>
      <c r="G767" s="22" t="s">
        <v>2399</v>
      </c>
      <c r="H767" s="22"/>
      <c r="I767" t="s">
        <v>2400</v>
      </c>
      <c r="K767" s="24">
        <f t="shared" si="12"/>
        <v>0</v>
      </c>
    </row>
    <row r="768" spans="1:11" hidden="1" x14ac:dyDescent="0.3">
      <c r="A768" s="21">
        <v>45185</v>
      </c>
      <c r="B768" t="s">
        <v>2484</v>
      </c>
      <c r="C768" s="22" t="s">
        <v>1223</v>
      </c>
      <c r="D768" s="23">
        <v>0</v>
      </c>
      <c r="E768" s="23">
        <v>50</v>
      </c>
      <c r="F768" s="23">
        <v>57346.32</v>
      </c>
      <c r="G768" s="22" t="s">
        <v>2399</v>
      </c>
      <c r="H768" s="22"/>
      <c r="I768" t="s">
        <v>2400</v>
      </c>
      <c r="K768" s="24">
        <f t="shared" si="12"/>
        <v>0</v>
      </c>
    </row>
    <row r="769" spans="1:11" hidden="1" x14ac:dyDescent="0.3">
      <c r="A769" s="21">
        <v>45185</v>
      </c>
      <c r="B769" t="s">
        <v>2485</v>
      </c>
      <c r="C769" s="22" t="s">
        <v>1223</v>
      </c>
      <c r="D769" s="23">
        <v>0</v>
      </c>
      <c r="E769" s="23">
        <v>50</v>
      </c>
      <c r="F769" s="23">
        <v>57396.32</v>
      </c>
      <c r="G769" s="22" t="s">
        <v>2399</v>
      </c>
      <c r="H769" s="22"/>
      <c r="I769" t="s">
        <v>2400</v>
      </c>
      <c r="K769" s="24">
        <f t="shared" si="12"/>
        <v>0</v>
      </c>
    </row>
    <row r="770" spans="1:11" hidden="1" x14ac:dyDescent="0.3">
      <c r="A770" s="21">
        <v>45185</v>
      </c>
      <c r="B770" t="s">
        <v>2486</v>
      </c>
      <c r="C770" s="22" t="s">
        <v>1223</v>
      </c>
      <c r="D770" s="23">
        <v>0</v>
      </c>
      <c r="E770" s="23">
        <v>50</v>
      </c>
      <c r="F770" s="23">
        <v>57446.32</v>
      </c>
      <c r="G770" s="22" t="s">
        <v>2399</v>
      </c>
      <c r="H770" s="22"/>
      <c r="I770" t="s">
        <v>2400</v>
      </c>
      <c r="K770" s="24">
        <f t="shared" si="12"/>
        <v>0</v>
      </c>
    </row>
    <row r="771" spans="1:11" hidden="1" x14ac:dyDescent="0.3">
      <c r="A771" s="21">
        <v>45185</v>
      </c>
      <c r="B771" t="s">
        <v>2487</v>
      </c>
      <c r="C771" s="22" t="s">
        <v>1223</v>
      </c>
      <c r="D771" s="23">
        <v>0</v>
      </c>
      <c r="E771" s="23">
        <v>50</v>
      </c>
      <c r="F771" s="23">
        <v>57496.32</v>
      </c>
      <c r="G771" s="22" t="s">
        <v>2399</v>
      </c>
      <c r="H771" s="22"/>
      <c r="I771" t="s">
        <v>2400</v>
      </c>
      <c r="K771" s="24">
        <f t="shared" si="12"/>
        <v>0</v>
      </c>
    </row>
    <row r="772" spans="1:11" hidden="1" x14ac:dyDescent="0.3">
      <c r="A772" s="21">
        <v>45185</v>
      </c>
      <c r="B772" t="s">
        <v>2488</v>
      </c>
      <c r="C772" s="22" t="s">
        <v>1223</v>
      </c>
      <c r="D772" s="23">
        <v>0</v>
      </c>
      <c r="E772" s="23">
        <v>50</v>
      </c>
      <c r="F772" s="23">
        <v>57546.32</v>
      </c>
      <c r="G772" s="22" t="s">
        <v>2399</v>
      </c>
      <c r="H772" s="22"/>
      <c r="I772" t="s">
        <v>2400</v>
      </c>
      <c r="K772" s="24">
        <f t="shared" si="12"/>
        <v>0</v>
      </c>
    </row>
    <row r="773" spans="1:11" hidden="1" x14ac:dyDescent="0.3">
      <c r="A773" s="21">
        <v>45185</v>
      </c>
      <c r="B773" t="s">
        <v>2489</v>
      </c>
      <c r="C773" s="22" t="s">
        <v>1223</v>
      </c>
      <c r="D773" s="23">
        <v>0</v>
      </c>
      <c r="E773" s="23">
        <v>50</v>
      </c>
      <c r="F773" s="23">
        <v>57596.32</v>
      </c>
      <c r="G773" s="22" t="s">
        <v>2399</v>
      </c>
      <c r="H773" s="22"/>
      <c r="I773" t="s">
        <v>2400</v>
      </c>
      <c r="K773" s="24">
        <f t="shared" si="12"/>
        <v>0</v>
      </c>
    </row>
    <row r="774" spans="1:11" hidden="1" x14ac:dyDescent="0.3">
      <c r="A774" s="21">
        <v>45185</v>
      </c>
      <c r="B774" t="s">
        <v>2490</v>
      </c>
      <c r="C774" s="22" t="s">
        <v>1223</v>
      </c>
      <c r="D774" s="23">
        <v>0</v>
      </c>
      <c r="E774" s="23">
        <v>50</v>
      </c>
      <c r="F774" s="23">
        <v>57646.32</v>
      </c>
      <c r="G774" s="22" t="s">
        <v>2399</v>
      </c>
      <c r="H774" s="22"/>
      <c r="I774" t="s">
        <v>2400</v>
      </c>
      <c r="K774" s="24">
        <f t="shared" ref="K774:K814" si="13">F773-D774+E774-F774</f>
        <v>0</v>
      </c>
    </row>
    <row r="775" spans="1:11" hidden="1" x14ac:dyDescent="0.3">
      <c r="A775" s="21">
        <v>45185</v>
      </c>
      <c r="B775" t="s">
        <v>2491</v>
      </c>
      <c r="C775" s="22" t="s">
        <v>1223</v>
      </c>
      <c r="D775" s="23">
        <v>0</v>
      </c>
      <c r="E775" s="23">
        <v>50</v>
      </c>
      <c r="F775" s="23">
        <v>57696.32</v>
      </c>
      <c r="G775" s="22" t="s">
        <v>2399</v>
      </c>
      <c r="H775" s="22"/>
      <c r="I775" t="s">
        <v>2400</v>
      </c>
      <c r="K775" s="24">
        <f t="shared" si="13"/>
        <v>0</v>
      </c>
    </row>
    <row r="776" spans="1:11" hidden="1" x14ac:dyDescent="0.3">
      <c r="A776" s="21">
        <v>45185</v>
      </c>
      <c r="B776" t="s">
        <v>2492</v>
      </c>
      <c r="C776" s="22" t="s">
        <v>1223</v>
      </c>
      <c r="D776" s="23">
        <v>0</v>
      </c>
      <c r="E776" s="23">
        <v>50</v>
      </c>
      <c r="F776" s="23">
        <v>57746.32</v>
      </c>
      <c r="G776" s="22" t="s">
        <v>2399</v>
      </c>
      <c r="H776" s="22"/>
      <c r="I776" t="s">
        <v>2400</v>
      </c>
      <c r="K776" s="24">
        <f t="shared" si="13"/>
        <v>0</v>
      </c>
    </row>
    <row r="777" spans="1:11" hidden="1" x14ac:dyDescent="0.3">
      <c r="A777" s="21">
        <v>45185</v>
      </c>
      <c r="B777" t="s">
        <v>2493</v>
      </c>
      <c r="C777" s="22" t="s">
        <v>1223</v>
      </c>
      <c r="D777" s="23">
        <v>0</v>
      </c>
      <c r="E777" s="23">
        <v>50</v>
      </c>
      <c r="F777" s="23">
        <v>57796.32</v>
      </c>
      <c r="G777" s="22" t="s">
        <v>2399</v>
      </c>
      <c r="H777" s="22"/>
      <c r="I777" t="s">
        <v>2400</v>
      </c>
      <c r="K777" s="24">
        <f t="shared" si="13"/>
        <v>0</v>
      </c>
    </row>
    <row r="778" spans="1:11" hidden="1" x14ac:dyDescent="0.3">
      <c r="A778" s="21">
        <v>45185</v>
      </c>
      <c r="B778" t="s">
        <v>2494</v>
      </c>
      <c r="C778" s="22" t="s">
        <v>1223</v>
      </c>
      <c r="D778" s="23">
        <v>0</v>
      </c>
      <c r="E778" s="23">
        <v>50</v>
      </c>
      <c r="F778" s="23">
        <v>57846.32</v>
      </c>
      <c r="G778" s="22" t="s">
        <v>2399</v>
      </c>
      <c r="H778" s="22"/>
      <c r="I778" t="s">
        <v>2400</v>
      </c>
      <c r="K778" s="24">
        <f t="shared" si="13"/>
        <v>0</v>
      </c>
    </row>
    <row r="779" spans="1:11" hidden="1" x14ac:dyDescent="0.3">
      <c r="A779" s="21">
        <v>45185</v>
      </c>
      <c r="B779" t="s">
        <v>2495</v>
      </c>
      <c r="C779" s="22" t="s">
        <v>1223</v>
      </c>
      <c r="D779" s="23">
        <v>0</v>
      </c>
      <c r="E779" s="23">
        <v>50</v>
      </c>
      <c r="F779" s="23">
        <v>57896.32</v>
      </c>
      <c r="G779" s="22" t="s">
        <v>2399</v>
      </c>
      <c r="H779" s="22"/>
      <c r="I779" t="s">
        <v>2400</v>
      </c>
      <c r="K779" s="24">
        <f t="shared" si="13"/>
        <v>0</v>
      </c>
    </row>
    <row r="780" spans="1:11" hidden="1" x14ac:dyDescent="0.3">
      <c r="A780" s="21">
        <v>45185</v>
      </c>
      <c r="B780" t="s">
        <v>2496</v>
      </c>
      <c r="C780" s="22" t="s">
        <v>1223</v>
      </c>
      <c r="D780" s="23">
        <v>0</v>
      </c>
      <c r="E780" s="23">
        <v>50</v>
      </c>
      <c r="F780" s="23">
        <v>57946.32</v>
      </c>
      <c r="G780" s="22" t="s">
        <v>2399</v>
      </c>
      <c r="H780" s="22"/>
      <c r="I780" t="s">
        <v>2400</v>
      </c>
      <c r="K780" s="24">
        <f t="shared" si="13"/>
        <v>0</v>
      </c>
    </row>
    <row r="781" spans="1:11" hidden="1" x14ac:dyDescent="0.3">
      <c r="A781" s="21">
        <v>45185</v>
      </c>
      <c r="B781" t="s">
        <v>2497</v>
      </c>
      <c r="C781" s="22" t="s">
        <v>1223</v>
      </c>
      <c r="D781" s="23">
        <v>0</v>
      </c>
      <c r="E781" s="23">
        <v>50</v>
      </c>
      <c r="F781" s="23">
        <v>57996.32</v>
      </c>
      <c r="G781" s="22" t="s">
        <v>2399</v>
      </c>
      <c r="H781" s="22"/>
      <c r="I781" t="s">
        <v>2400</v>
      </c>
      <c r="K781" s="24">
        <f t="shared" si="13"/>
        <v>0</v>
      </c>
    </row>
    <row r="782" spans="1:11" hidden="1" x14ac:dyDescent="0.3">
      <c r="A782" s="21">
        <v>45185</v>
      </c>
      <c r="B782" t="s">
        <v>2498</v>
      </c>
      <c r="C782" s="22" t="s">
        <v>1154</v>
      </c>
      <c r="D782" s="23">
        <v>1500</v>
      </c>
      <c r="E782" s="23">
        <v>0</v>
      </c>
      <c r="F782" s="23">
        <v>56496.32</v>
      </c>
      <c r="G782" s="22" t="s">
        <v>2399</v>
      </c>
      <c r="H782" s="22"/>
      <c r="I782" t="s">
        <v>2400</v>
      </c>
      <c r="K782" s="24">
        <f t="shared" si="13"/>
        <v>0</v>
      </c>
    </row>
    <row r="783" spans="1:11" hidden="1" x14ac:dyDescent="0.3">
      <c r="A783" s="21">
        <v>45186</v>
      </c>
      <c r="B783" t="s">
        <v>1565</v>
      </c>
      <c r="C783" s="22" t="s">
        <v>1536</v>
      </c>
      <c r="D783" s="23">
        <v>50</v>
      </c>
      <c r="E783" s="23">
        <v>0</v>
      </c>
      <c r="F783" s="23">
        <v>250.86</v>
      </c>
      <c r="G783" s="22" t="s">
        <v>2408</v>
      </c>
      <c r="H783" s="22"/>
      <c r="I783" t="s">
        <v>2401</v>
      </c>
      <c r="K783" s="24">
        <f t="shared" si="13"/>
        <v>56195.46</v>
      </c>
    </row>
    <row r="784" spans="1:11" hidden="1" x14ac:dyDescent="0.3">
      <c r="A784" s="21">
        <v>45186</v>
      </c>
      <c r="B784" t="s">
        <v>2500</v>
      </c>
      <c r="C784" s="22" t="s">
        <v>1208</v>
      </c>
      <c r="D784" s="23">
        <v>0</v>
      </c>
      <c r="E784" s="23">
        <v>50</v>
      </c>
      <c r="F784" s="23">
        <v>56546.32</v>
      </c>
      <c r="G784" s="22" t="s">
        <v>2399</v>
      </c>
      <c r="H784" s="22"/>
      <c r="I784" t="s">
        <v>2400</v>
      </c>
      <c r="K784" s="24">
        <f t="shared" si="13"/>
        <v>-56245.46</v>
      </c>
    </row>
    <row r="785" spans="1:11" hidden="1" x14ac:dyDescent="0.3">
      <c r="A785" s="21">
        <v>45186</v>
      </c>
      <c r="B785" t="s">
        <v>2501</v>
      </c>
      <c r="C785" s="22" t="s">
        <v>1332</v>
      </c>
      <c r="D785" s="23">
        <v>0</v>
      </c>
      <c r="E785" s="23">
        <v>900</v>
      </c>
      <c r="F785" s="23">
        <v>57446.32</v>
      </c>
      <c r="G785" s="22" t="s">
        <v>2399</v>
      </c>
      <c r="H785" s="22"/>
      <c r="I785" t="s">
        <v>2400</v>
      </c>
      <c r="K785" s="24">
        <f t="shared" si="13"/>
        <v>0</v>
      </c>
    </row>
    <row r="786" spans="1:11" hidden="1" x14ac:dyDescent="0.3">
      <c r="A786" s="21">
        <v>45186</v>
      </c>
      <c r="B786" t="s">
        <v>2502</v>
      </c>
      <c r="C786" s="22" t="s">
        <v>1191</v>
      </c>
      <c r="D786" s="23">
        <v>1100</v>
      </c>
      <c r="E786" s="23">
        <v>0</v>
      </c>
      <c r="F786" s="23">
        <v>56346.32</v>
      </c>
      <c r="G786" s="22" t="s">
        <v>2399</v>
      </c>
      <c r="H786" s="22"/>
      <c r="I786" t="s">
        <v>2400</v>
      </c>
      <c r="K786" s="24">
        <f t="shared" si="13"/>
        <v>0</v>
      </c>
    </row>
    <row r="787" spans="1:11" hidden="1" x14ac:dyDescent="0.3">
      <c r="A787" s="21">
        <v>45186</v>
      </c>
      <c r="B787" t="s">
        <v>2503</v>
      </c>
      <c r="C787" s="22" t="s">
        <v>1191</v>
      </c>
      <c r="D787" s="23">
        <v>1100</v>
      </c>
      <c r="E787" s="23">
        <v>0</v>
      </c>
      <c r="F787" s="23">
        <v>55246.32</v>
      </c>
      <c r="G787" s="22" t="s">
        <v>2399</v>
      </c>
      <c r="H787" s="22"/>
      <c r="I787" t="s">
        <v>2400</v>
      </c>
      <c r="K787" s="24">
        <f t="shared" si="13"/>
        <v>0</v>
      </c>
    </row>
    <row r="788" spans="1:11" hidden="1" x14ac:dyDescent="0.3">
      <c r="A788" s="21">
        <v>45187</v>
      </c>
      <c r="B788" t="s">
        <v>496</v>
      </c>
      <c r="C788" s="22"/>
      <c r="D788" s="23">
        <v>0</v>
      </c>
      <c r="E788" s="23">
        <v>751.91</v>
      </c>
      <c r="F788" s="23">
        <v>133638.13</v>
      </c>
      <c r="G788" s="22" t="s">
        <v>2406</v>
      </c>
      <c r="H788" s="22"/>
      <c r="I788" t="s">
        <v>2403</v>
      </c>
      <c r="K788" s="24">
        <f t="shared" si="13"/>
        <v>-77639.899999999994</v>
      </c>
    </row>
    <row r="789" spans="1:11" hidden="1" x14ac:dyDescent="0.3">
      <c r="A789" s="21">
        <v>45187</v>
      </c>
      <c r="B789" t="s">
        <v>133</v>
      </c>
      <c r="C789" s="22"/>
      <c r="D789" s="23">
        <v>136.08000000000001</v>
      </c>
      <c r="E789" s="23">
        <v>0</v>
      </c>
      <c r="F789" s="23">
        <v>133502.04999999999</v>
      </c>
      <c r="G789" s="22" t="s">
        <v>2406</v>
      </c>
      <c r="H789" s="22"/>
      <c r="I789" t="s">
        <v>2403</v>
      </c>
      <c r="K789" s="24">
        <f t="shared" si="13"/>
        <v>0</v>
      </c>
    </row>
    <row r="790" spans="1:11" hidden="1" x14ac:dyDescent="0.3">
      <c r="A790" s="21">
        <v>45187</v>
      </c>
      <c r="B790" t="s">
        <v>557</v>
      </c>
      <c r="C790" s="22"/>
      <c r="D790" s="23">
        <v>224.2</v>
      </c>
      <c r="E790" s="23">
        <v>0</v>
      </c>
      <c r="F790" s="23">
        <v>133277.85</v>
      </c>
      <c r="G790" s="22" t="s">
        <v>2410</v>
      </c>
      <c r="H790" s="22"/>
      <c r="I790" t="s">
        <v>2403</v>
      </c>
      <c r="K790" s="24">
        <f t="shared" si="13"/>
        <v>0</v>
      </c>
    </row>
    <row r="791" spans="1:11" hidden="1" x14ac:dyDescent="0.3">
      <c r="A791" s="21">
        <v>45187</v>
      </c>
      <c r="B791" t="s">
        <v>133</v>
      </c>
      <c r="C791" s="22"/>
      <c r="D791" s="23">
        <v>15243.18</v>
      </c>
      <c r="E791" s="23">
        <v>0</v>
      </c>
      <c r="F791" s="23">
        <v>118034.67</v>
      </c>
      <c r="G791" s="22" t="s">
        <v>2406</v>
      </c>
      <c r="H791" s="22"/>
      <c r="I791" t="s">
        <v>2403</v>
      </c>
      <c r="K791" s="24">
        <f t="shared" si="13"/>
        <v>0</v>
      </c>
    </row>
    <row r="792" spans="1:11" hidden="1" x14ac:dyDescent="0.3">
      <c r="A792" s="21">
        <v>45187</v>
      </c>
      <c r="B792" t="s">
        <v>2504</v>
      </c>
      <c r="C792" s="22"/>
      <c r="D792" s="23">
        <v>0</v>
      </c>
      <c r="E792" s="23">
        <v>10</v>
      </c>
      <c r="F792" s="23">
        <v>55256.32</v>
      </c>
      <c r="G792" s="22" t="s">
        <v>2409</v>
      </c>
      <c r="H792" s="22"/>
      <c r="I792" t="s">
        <v>2400</v>
      </c>
      <c r="K792" s="24">
        <f t="shared" si="13"/>
        <v>62788.35</v>
      </c>
    </row>
    <row r="793" spans="1:11" hidden="1" x14ac:dyDescent="0.3">
      <c r="A793" s="21">
        <v>45187</v>
      </c>
      <c r="B793" t="s">
        <v>2505</v>
      </c>
      <c r="C793" s="22"/>
      <c r="D793" s="23">
        <v>0</v>
      </c>
      <c r="E793" s="23">
        <v>30</v>
      </c>
      <c r="F793" s="23">
        <v>55286.32</v>
      </c>
      <c r="G793" s="22" t="s">
        <v>2409</v>
      </c>
      <c r="H793" s="22"/>
      <c r="I793" t="s">
        <v>2400</v>
      </c>
      <c r="K793" s="24">
        <f t="shared" si="13"/>
        <v>0</v>
      </c>
    </row>
    <row r="794" spans="1:11" hidden="1" x14ac:dyDescent="0.3">
      <c r="A794" s="21">
        <v>45187</v>
      </c>
      <c r="B794" t="s">
        <v>2506</v>
      </c>
      <c r="C794" s="22" t="s">
        <v>1191</v>
      </c>
      <c r="D794" s="23">
        <v>59</v>
      </c>
      <c r="E794" s="23">
        <v>0</v>
      </c>
      <c r="F794" s="23">
        <v>55227.32</v>
      </c>
      <c r="G794" s="22" t="s">
        <v>2399</v>
      </c>
      <c r="H794" s="22"/>
      <c r="I794" t="s">
        <v>2400</v>
      </c>
      <c r="K794" s="24">
        <f t="shared" si="13"/>
        <v>0</v>
      </c>
    </row>
    <row r="795" spans="1:11" hidden="1" x14ac:dyDescent="0.3">
      <c r="A795" s="21">
        <v>45189</v>
      </c>
      <c r="B795" t="s">
        <v>496</v>
      </c>
      <c r="C795" s="22"/>
      <c r="D795" s="23">
        <v>0</v>
      </c>
      <c r="E795" s="23">
        <v>8000</v>
      </c>
      <c r="F795" s="23">
        <v>126034.67</v>
      </c>
      <c r="G795" s="22" t="s">
        <v>2406</v>
      </c>
      <c r="H795" s="22"/>
      <c r="I795" t="s">
        <v>2403</v>
      </c>
      <c r="K795" s="24">
        <f t="shared" si="13"/>
        <v>-62807.35</v>
      </c>
    </row>
    <row r="796" spans="1:11" hidden="1" x14ac:dyDescent="0.3">
      <c r="A796" s="21">
        <v>45189</v>
      </c>
      <c r="B796" t="s">
        <v>133</v>
      </c>
      <c r="C796" s="22"/>
      <c r="D796" s="23">
        <v>76.42</v>
      </c>
      <c r="E796" s="23">
        <v>0</v>
      </c>
      <c r="F796" s="23">
        <v>125958.25</v>
      </c>
      <c r="G796" s="22" t="s">
        <v>2406</v>
      </c>
      <c r="H796" s="22"/>
      <c r="I796" t="s">
        <v>2403</v>
      </c>
      <c r="K796" s="24">
        <f t="shared" si="13"/>
        <v>0</v>
      </c>
    </row>
    <row r="797" spans="1:11" hidden="1" x14ac:dyDescent="0.3">
      <c r="A797" s="21">
        <v>45189</v>
      </c>
      <c r="B797" t="s">
        <v>133</v>
      </c>
      <c r="C797" s="22"/>
      <c r="D797" s="23">
        <v>13410.04</v>
      </c>
      <c r="E797" s="23">
        <v>0</v>
      </c>
      <c r="F797" s="23">
        <v>112548.21</v>
      </c>
      <c r="G797" s="22" t="s">
        <v>2406</v>
      </c>
      <c r="H797" s="22"/>
      <c r="I797" t="s">
        <v>2403</v>
      </c>
      <c r="K797" s="24">
        <f t="shared" si="13"/>
        <v>0</v>
      </c>
    </row>
    <row r="798" spans="1:11" hidden="1" x14ac:dyDescent="0.3">
      <c r="A798" s="21">
        <v>45189</v>
      </c>
      <c r="B798" t="s">
        <v>133</v>
      </c>
      <c r="C798" s="22"/>
      <c r="D798" s="23">
        <v>9742.31</v>
      </c>
      <c r="E798" s="23">
        <v>0</v>
      </c>
      <c r="F798" s="23">
        <v>102805.9</v>
      </c>
      <c r="G798" s="22" t="s">
        <v>2406</v>
      </c>
      <c r="H798" s="22"/>
      <c r="I798" t="s">
        <v>2403</v>
      </c>
      <c r="K798" s="24">
        <f t="shared" si="13"/>
        <v>0</v>
      </c>
    </row>
    <row r="799" spans="1:11" hidden="1" x14ac:dyDescent="0.3">
      <c r="A799" s="21">
        <v>45189</v>
      </c>
      <c r="B799" t="s">
        <v>1566</v>
      </c>
      <c r="C799" s="22" t="s">
        <v>1536</v>
      </c>
      <c r="D799" s="23">
        <v>88</v>
      </c>
      <c r="E799" s="23">
        <v>0</v>
      </c>
      <c r="F799" s="23">
        <v>162.86000000000001</v>
      </c>
      <c r="G799" s="22" t="s">
        <v>2408</v>
      </c>
      <c r="H799" s="22"/>
      <c r="I799" t="s">
        <v>2401</v>
      </c>
      <c r="K799" s="24">
        <f t="shared" si="13"/>
        <v>102555.04</v>
      </c>
    </row>
    <row r="800" spans="1:11" hidden="1" x14ac:dyDescent="0.3">
      <c r="A800" s="21">
        <v>45189</v>
      </c>
      <c r="B800" t="s">
        <v>1567</v>
      </c>
      <c r="C800" s="22" t="s">
        <v>1536</v>
      </c>
      <c r="D800" s="23">
        <v>48</v>
      </c>
      <c r="E800" s="23">
        <v>0</v>
      </c>
      <c r="F800" s="23">
        <v>114.86</v>
      </c>
      <c r="G800" s="22" t="s">
        <v>2408</v>
      </c>
      <c r="H800" s="22"/>
      <c r="I800" t="s">
        <v>2401</v>
      </c>
      <c r="K800" s="24">
        <f t="shared" si="13"/>
        <v>0</v>
      </c>
    </row>
    <row r="801" spans="1:11" hidden="1" x14ac:dyDescent="0.3">
      <c r="A801" s="21">
        <v>45189</v>
      </c>
      <c r="B801" t="s">
        <v>1568</v>
      </c>
      <c r="C801" s="22" t="s">
        <v>1536</v>
      </c>
      <c r="D801" s="23">
        <v>30</v>
      </c>
      <c r="E801" s="23">
        <v>0</v>
      </c>
      <c r="F801" s="23">
        <v>84.86</v>
      </c>
      <c r="G801" s="22" t="s">
        <v>2408</v>
      </c>
      <c r="H801" s="22"/>
      <c r="I801" t="s">
        <v>2401</v>
      </c>
      <c r="K801" s="24">
        <f t="shared" si="13"/>
        <v>0</v>
      </c>
    </row>
    <row r="802" spans="1:11" hidden="1" x14ac:dyDescent="0.3">
      <c r="A802" s="21">
        <v>45189</v>
      </c>
      <c r="B802" t="s">
        <v>2507</v>
      </c>
      <c r="C802" s="22" t="s">
        <v>1148</v>
      </c>
      <c r="D802" s="23">
        <v>187.15</v>
      </c>
      <c r="E802" s="23">
        <v>0</v>
      </c>
      <c r="F802" s="23">
        <v>55040.17</v>
      </c>
      <c r="G802" s="22" t="s">
        <v>2399</v>
      </c>
      <c r="H802" s="22"/>
      <c r="I802" t="s">
        <v>2400</v>
      </c>
      <c r="K802" s="24">
        <f t="shared" si="13"/>
        <v>-55142.46</v>
      </c>
    </row>
    <row r="803" spans="1:11" hidden="1" x14ac:dyDescent="0.3">
      <c r="A803" s="21">
        <v>45190</v>
      </c>
      <c r="B803" t="s">
        <v>133</v>
      </c>
      <c r="C803" s="22"/>
      <c r="D803" s="23">
        <v>57.69</v>
      </c>
      <c r="E803" s="23">
        <v>0</v>
      </c>
      <c r="F803" s="23">
        <v>102748.21</v>
      </c>
      <c r="G803" s="22" t="s">
        <v>2406</v>
      </c>
      <c r="H803" s="22"/>
      <c r="I803" t="s">
        <v>2403</v>
      </c>
      <c r="K803" s="24">
        <f t="shared" si="13"/>
        <v>-47765.73000000001</v>
      </c>
    </row>
    <row r="804" spans="1:11" hidden="1" x14ac:dyDescent="0.3">
      <c r="A804" s="21">
        <v>45190</v>
      </c>
      <c r="B804" t="s">
        <v>133</v>
      </c>
      <c r="C804" s="22"/>
      <c r="D804" s="23">
        <v>10280.450000000001</v>
      </c>
      <c r="E804" s="23">
        <v>0</v>
      </c>
      <c r="F804" s="23">
        <v>92467.76</v>
      </c>
      <c r="G804" s="22" t="s">
        <v>2406</v>
      </c>
      <c r="H804" s="22"/>
      <c r="I804" t="s">
        <v>2403</v>
      </c>
      <c r="K804" s="24">
        <f t="shared" si="13"/>
        <v>0</v>
      </c>
    </row>
    <row r="805" spans="1:11" hidden="1" x14ac:dyDescent="0.3">
      <c r="A805" s="21">
        <v>45190</v>
      </c>
      <c r="B805" t="s">
        <v>565</v>
      </c>
      <c r="C805" s="22"/>
      <c r="D805" s="23">
        <v>30000</v>
      </c>
      <c r="E805" s="23">
        <v>0</v>
      </c>
      <c r="F805" s="23">
        <v>62467.76</v>
      </c>
      <c r="G805" s="22" t="s">
        <v>2510</v>
      </c>
      <c r="H805" s="22"/>
      <c r="I805" t="s">
        <v>2403</v>
      </c>
      <c r="K805" s="24">
        <f t="shared" si="13"/>
        <v>0</v>
      </c>
    </row>
    <row r="806" spans="1:11" hidden="1" x14ac:dyDescent="0.3">
      <c r="A806" s="21">
        <v>45190</v>
      </c>
      <c r="B806" t="s">
        <v>2508</v>
      </c>
      <c r="C806" s="22" t="s">
        <v>1152</v>
      </c>
      <c r="D806" s="23">
        <v>480</v>
      </c>
      <c r="E806" s="23">
        <v>0</v>
      </c>
      <c r="F806" s="23">
        <v>54560.17</v>
      </c>
      <c r="G806" s="22" t="s">
        <v>2399</v>
      </c>
      <c r="H806" s="22"/>
      <c r="I806" t="s">
        <v>2400</v>
      </c>
      <c r="K806" s="24">
        <f t="shared" si="13"/>
        <v>7427.5900000000038</v>
      </c>
    </row>
    <row r="807" spans="1:11" hidden="1" x14ac:dyDescent="0.3">
      <c r="A807" s="21">
        <v>45190</v>
      </c>
      <c r="B807" t="s">
        <v>2509</v>
      </c>
      <c r="C807" s="22" t="s">
        <v>1152</v>
      </c>
      <c r="D807" s="23">
        <v>1799</v>
      </c>
      <c r="E807" s="23">
        <v>0</v>
      </c>
      <c r="F807" s="23">
        <v>52761.17</v>
      </c>
      <c r="G807" s="22" t="s">
        <v>2399</v>
      </c>
      <c r="H807" s="22"/>
      <c r="I807" t="s">
        <v>2400</v>
      </c>
      <c r="K807" s="24">
        <f t="shared" si="13"/>
        <v>0</v>
      </c>
    </row>
    <row r="808" spans="1:11" hidden="1" x14ac:dyDescent="0.3">
      <c r="A808" s="21">
        <v>45191</v>
      </c>
      <c r="B808" t="s">
        <v>133</v>
      </c>
      <c r="C808" s="22"/>
      <c r="D808" s="23">
        <v>65.569999999999993</v>
      </c>
      <c r="E808" s="23">
        <v>0</v>
      </c>
      <c r="F808" s="23">
        <v>62402.19</v>
      </c>
      <c r="G808" s="22" t="s">
        <v>2406</v>
      </c>
      <c r="H808" s="22"/>
      <c r="I808" t="s">
        <v>2403</v>
      </c>
      <c r="K808" s="24">
        <f t="shared" si="13"/>
        <v>-9706.5900000000038</v>
      </c>
    </row>
    <row r="809" spans="1:11" hidden="1" x14ac:dyDescent="0.3">
      <c r="A809" s="21">
        <v>45191</v>
      </c>
      <c r="B809" t="s">
        <v>133</v>
      </c>
      <c r="C809" s="22"/>
      <c r="D809" s="23">
        <v>8145.09</v>
      </c>
      <c r="E809" s="23">
        <v>0</v>
      </c>
      <c r="F809" s="23">
        <v>54257.1</v>
      </c>
      <c r="G809" s="22" t="s">
        <v>2406</v>
      </c>
      <c r="H809" s="22"/>
      <c r="I809" t="s">
        <v>2403</v>
      </c>
      <c r="K809" s="24">
        <f t="shared" si="13"/>
        <v>0</v>
      </c>
    </row>
    <row r="810" spans="1:11" hidden="1" x14ac:dyDescent="0.3">
      <c r="A810" s="21">
        <v>45194</v>
      </c>
      <c r="B810" t="s">
        <v>496</v>
      </c>
      <c r="C810" s="22"/>
      <c r="D810" s="23">
        <v>0</v>
      </c>
      <c r="E810" s="23">
        <v>36925.730000000003</v>
      </c>
      <c r="F810" s="23">
        <v>91182.83</v>
      </c>
      <c r="G810" s="22" t="s">
        <v>2406</v>
      </c>
      <c r="H810" s="22"/>
      <c r="I810" t="s">
        <v>2403</v>
      </c>
      <c r="K810" s="24">
        <f t="shared" si="13"/>
        <v>0</v>
      </c>
    </row>
    <row r="811" spans="1:11" hidden="1" x14ac:dyDescent="0.3">
      <c r="A811" s="21">
        <v>45194</v>
      </c>
      <c r="B811" t="s">
        <v>154</v>
      </c>
      <c r="C811" s="22"/>
      <c r="D811" s="23">
        <v>2500</v>
      </c>
      <c r="E811" s="23">
        <v>0</v>
      </c>
      <c r="F811" s="23">
        <v>88682.83</v>
      </c>
      <c r="G811" s="22" t="s">
        <v>2413</v>
      </c>
      <c r="H811" s="22"/>
      <c r="I811" t="s">
        <v>2403</v>
      </c>
      <c r="K811" s="24">
        <f t="shared" si="13"/>
        <v>0</v>
      </c>
    </row>
    <row r="812" spans="1:11" hidden="1" x14ac:dyDescent="0.3">
      <c r="A812" s="21">
        <v>45194</v>
      </c>
      <c r="B812" t="s">
        <v>133</v>
      </c>
      <c r="C812" s="22"/>
      <c r="D812" s="23">
        <v>222.63</v>
      </c>
      <c r="E812" s="23">
        <v>0</v>
      </c>
      <c r="F812" s="23">
        <v>88460.2</v>
      </c>
      <c r="G812" s="22" t="s">
        <v>2406</v>
      </c>
      <c r="H812" s="22"/>
      <c r="I812" t="s">
        <v>2403</v>
      </c>
      <c r="K812" s="24">
        <f t="shared" si="13"/>
        <v>0</v>
      </c>
    </row>
    <row r="813" spans="1:11" hidden="1" x14ac:dyDescent="0.3">
      <c r="A813" s="21">
        <v>45194</v>
      </c>
      <c r="B813" t="s">
        <v>133</v>
      </c>
      <c r="C813" s="22"/>
      <c r="D813" s="23">
        <v>240.57</v>
      </c>
      <c r="E813" s="23">
        <v>0</v>
      </c>
      <c r="F813" s="23">
        <v>88219.63</v>
      </c>
      <c r="G813" s="22" t="s">
        <v>2406</v>
      </c>
      <c r="H813" s="22"/>
      <c r="I813" t="s">
        <v>2403</v>
      </c>
      <c r="K813" s="24">
        <f t="shared" si="13"/>
        <v>0</v>
      </c>
    </row>
    <row r="814" spans="1:11" hidden="1" x14ac:dyDescent="0.3">
      <c r="A814" s="21">
        <v>45194</v>
      </c>
      <c r="B814" t="s">
        <v>2511</v>
      </c>
      <c r="C814" s="22" t="s">
        <v>1191</v>
      </c>
      <c r="D814" s="23">
        <v>884.4</v>
      </c>
      <c r="E814" s="23">
        <v>0</v>
      </c>
      <c r="F814" s="23">
        <v>51876.77</v>
      </c>
      <c r="G814" s="22" t="s">
        <v>2399</v>
      </c>
      <c r="H814" s="22"/>
      <c r="I814" t="s">
        <v>2400</v>
      </c>
      <c r="K814" s="24">
        <f t="shared" si="13"/>
        <v>35458.460000000014</v>
      </c>
    </row>
    <row r="815" spans="1:11" hidden="1" x14ac:dyDescent="0.3">
      <c r="A815" s="21">
        <v>45194</v>
      </c>
      <c r="B815" t="s">
        <v>2512</v>
      </c>
      <c r="C815" s="22" t="s">
        <v>1191</v>
      </c>
      <c r="D815" s="23">
        <v>125</v>
      </c>
      <c r="E815" s="23">
        <v>0</v>
      </c>
      <c r="F815" s="23">
        <v>51751.77</v>
      </c>
      <c r="G815" s="22" t="s">
        <v>2399</v>
      </c>
      <c r="H815" s="22"/>
      <c r="I815" t="s">
        <v>2400</v>
      </c>
      <c r="K815" s="24"/>
    </row>
    <row r="816" spans="1:11" hidden="1" x14ac:dyDescent="0.3">
      <c r="A816" s="21">
        <v>45194</v>
      </c>
      <c r="B816" t="s">
        <v>1085</v>
      </c>
      <c r="C816" s="22"/>
      <c r="D816" s="23">
        <v>0</v>
      </c>
      <c r="E816" s="23">
        <v>567</v>
      </c>
      <c r="F816" s="23">
        <v>52318.77</v>
      </c>
      <c r="G816" s="22" t="s">
        <v>2423</v>
      </c>
      <c r="H816" s="22"/>
      <c r="I816" t="s">
        <v>2400</v>
      </c>
      <c r="K816" s="24">
        <f t="shared" ref="K816:K837" si="14">F815-D816+E816-F816</f>
        <v>0</v>
      </c>
    </row>
    <row r="817" spans="1:11" hidden="1" x14ac:dyDescent="0.3">
      <c r="A817" s="21">
        <v>45195</v>
      </c>
      <c r="B817" t="s">
        <v>133</v>
      </c>
      <c r="C817" s="22"/>
      <c r="D817" s="23">
        <v>85.62</v>
      </c>
      <c r="E817" s="23">
        <v>0</v>
      </c>
      <c r="F817" s="23">
        <v>88134.01</v>
      </c>
      <c r="G817" s="22" t="s">
        <v>2406</v>
      </c>
      <c r="H817" s="22"/>
      <c r="I817" t="s">
        <v>2403</v>
      </c>
      <c r="K817" s="24">
        <f t="shared" si="14"/>
        <v>-35900.86</v>
      </c>
    </row>
    <row r="818" spans="1:11" hidden="1" x14ac:dyDescent="0.3">
      <c r="A818" s="21">
        <v>45196</v>
      </c>
      <c r="B818" t="s">
        <v>496</v>
      </c>
      <c r="C818" s="22"/>
      <c r="D818" s="23">
        <v>0</v>
      </c>
      <c r="E818" s="23">
        <v>15791.65</v>
      </c>
      <c r="F818" s="23">
        <v>103925.66</v>
      </c>
      <c r="G818" s="22" t="s">
        <v>2406</v>
      </c>
      <c r="H818" s="22"/>
      <c r="I818" t="s">
        <v>2403</v>
      </c>
      <c r="K818" s="24">
        <f t="shared" si="14"/>
        <v>0</v>
      </c>
    </row>
    <row r="819" spans="1:11" hidden="1" x14ac:dyDescent="0.3">
      <c r="A819" s="21">
        <v>45196</v>
      </c>
      <c r="B819" t="s">
        <v>133</v>
      </c>
      <c r="C819" s="22"/>
      <c r="D819" s="23">
        <v>85.62</v>
      </c>
      <c r="E819" s="23">
        <v>0</v>
      </c>
      <c r="F819" s="23">
        <v>103840.04</v>
      </c>
      <c r="G819" s="22" t="s">
        <v>2406</v>
      </c>
      <c r="H819" s="22"/>
      <c r="I819" t="s">
        <v>2403</v>
      </c>
      <c r="K819" s="24">
        <f t="shared" si="14"/>
        <v>0</v>
      </c>
    </row>
    <row r="820" spans="1:11" hidden="1" x14ac:dyDescent="0.3">
      <c r="A820" s="21">
        <v>45196</v>
      </c>
      <c r="B820" t="s">
        <v>576</v>
      </c>
      <c r="C820" s="22"/>
      <c r="D820" s="23">
        <v>10000</v>
      </c>
      <c r="E820" s="23">
        <v>0</v>
      </c>
      <c r="F820" s="23">
        <v>93840.04</v>
      </c>
      <c r="G820" s="22" t="s">
        <v>2447</v>
      </c>
      <c r="H820" s="22"/>
      <c r="I820" t="s">
        <v>2403</v>
      </c>
      <c r="K820" s="24">
        <f t="shared" si="14"/>
        <v>0</v>
      </c>
    </row>
    <row r="821" spans="1:11" hidden="1" x14ac:dyDescent="0.3">
      <c r="A821" s="21">
        <v>45196</v>
      </c>
      <c r="B821" t="s">
        <v>2513</v>
      </c>
      <c r="C821" s="22" t="s">
        <v>1148</v>
      </c>
      <c r="D821" s="23">
        <v>31</v>
      </c>
      <c r="E821" s="23">
        <v>0</v>
      </c>
      <c r="F821" s="23">
        <v>52287.77</v>
      </c>
      <c r="G821" s="22" t="s">
        <v>2399</v>
      </c>
      <c r="H821" s="22"/>
      <c r="I821" t="s">
        <v>2400</v>
      </c>
      <c r="K821" s="24">
        <f t="shared" si="14"/>
        <v>41521.269999999997</v>
      </c>
    </row>
    <row r="822" spans="1:11" hidden="1" x14ac:dyDescent="0.3">
      <c r="A822" s="21">
        <v>45197</v>
      </c>
      <c r="B822" t="s">
        <v>133</v>
      </c>
      <c r="C822" s="22"/>
      <c r="D822" s="23">
        <v>98.13</v>
      </c>
      <c r="E822" s="23">
        <v>0</v>
      </c>
      <c r="F822" s="23">
        <v>93741.91</v>
      </c>
      <c r="G822" s="22" t="s">
        <v>2406</v>
      </c>
      <c r="H822" s="22"/>
      <c r="I822" t="s">
        <v>2403</v>
      </c>
      <c r="K822" s="24">
        <f t="shared" si="14"/>
        <v>-41552.270000000004</v>
      </c>
    </row>
    <row r="823" spans="1:11" hidden="1" x14ac:dyDescent="0.3">
      <c r="A823" s="21">
        <v>45197</v>
      </c>
      <c r="B823" t="s">
        <v>496</v>
      </c>
      <c r="C823" s="22"/>
      <c r="D823" s="23">
        <v>0</v>
      </c>
      <c r="E823" s="23">
        <v>11623.62</v>
      </c>
      <c r="F823" s="23">
        <v>105365.53</v>
      </c>
      <c r="G823" s="22" t="s">
        <v>2406</v>
      </c>
      <c r="H823" s="22"/>
      <c r="I823" t="s">
        <v>2403</v>
      </c>
      <c r="K823" s="24">
        <f t="shared" si="14"/>
        <v>0</v>
      </c>
    </row>
    <row r="824" spans="1:11" hidden="1" x14ac:dyDescent="0.3">
      <c r="A824" s="21">
        <v>45197</v>
      </c>
      <c r="B824" t="s">
        <v>133</v>
      </c>
      <c r="C824" s="22"/>
      <c r="D824" s="23">
        <v>71.400000000000006</v>
      </c>
      <c r="E824" s="23">
        <v>0</v>
      </c>
      <c r="F824" s="23">
        <v>105294.13</v>
      </c>
      <c r="G824" s="22" t="s">
        <v>2406</v>
      </c>
      <c r="H824" s="22"/>
      <c r="I824" t="s">
        <v>2403</v>
      </c>
      <c r="K824" s="24">
        <f t="shared" si="14"/>
        <v>0</v>
      </c>
    </row>
    <row r="825" spans="1:11" hidden="1" x14ac:dyDescent="0.3">
      <c r="A825" s="21">
        <v>45197</v>
      </c>
      <c r="B825" t="s">
        <v>133</v>
      </c>
      <c r="C825" s="22"/>
      <c r="D825" s="23">
        <v>5105.12</v>
      </c>
      <c r="E825" s="23">
        <v>0</v>
      </c>
      <c r="F825" s="23">
        <v>100189.01</v>
      </c>
      <c r="G825" s="22" t="s">
        <v>2406</v>
      </c>
      <c r="H825" s="22"/>
      <c r="I825" t="s">
        <v>2403</v>
      </c>
      <c r="K825" s="24">
        <f t="shared" si="14"/>
        <v>0</v>
      </c>
    </row>
    <row r="826" spans="1:11" hidden="1" x14ac:dyDescent="0.3">
      <c r="A826" s="21">
        <v>45198</v>
      </c>
      <c r="B826" t="s">
        <v>133</v>
      </c>
      <c r="C826" s="22"/>
      <c r="D826" s="23">
        <v>10971.38</v>
      </c>
      <c r="E826" s="23">
        <v>0</v>
      </c>
      <c r="F826" s="23">
        <v>89217.63</v>
      </c>
      <c r="G826" s="22" t="s">
        <v>2406</v>
      </c>
      <c r="H826" s="22"/>
      <c r="I826" t="s">
        <v>2403</v>
      </c>
      <c r="K826" s="24">
        <f t="shared" si="14"/>
        <v>0</v>
      </c>
    </row>
    <row r="827" spans="1:11" hidden="1" x14ac:dyDescent="0.3">
      <c r="A827" s="21">
        <v>45198</v>
      </c>
      <c r="B827" t="s">
        <v>583</v>
      </c>
      <c r="C827" s="22"/>
      <c r="D827" s="23">
        <v>14994</v>
      </c>
      <c r="E827" s="23">
        <v>0</v>
      </c>
      <c r="F827" s="23">
        <v>74223.63</v>
      </c>
      <c r="G827" s="22" t="s">
        <v>2465</v>
      </c>
      <c r="H827" s="22"/>
      <c r="I827" t="s">
        <v>2403</v>
      </c>
      <c r="K827" s="24">
        <f t="shared" si="14"/>
        <v>0</v>
      </c>
    </row>
    <row r="828" spans="1:11" hidden="1" x14ac:dyDescent="0.3">
      <c r="A828" s="21">
        <v>45198</v>
      </c>
      <c r="B828" t="s">
        <v>133</v>
      </c>
      <c r="C828" s="22"/>
      <c r="D828" s="23">
        <v>65.989999999999995</v>
      </c>
      <c r="E828" s="23">
        <v>0</v>
      </c>
      <c r="F828" s="23">
        <v>74157.64</v>
      </c>
      <c r="G828" s="22" t="s">
        <v>2406</v>
      </c>
      <c r="H828" s="22"/>
      <c r="I828" t="s">
        <v>2403</v>
      </c>
      <c r="K828" s="24">
        <f t="shared" si="14"/>
        <v>0</v>
      </c>
    </row>
    <row r="829" spans="1:11" hidden="1" x14ac:dyDescent="0.3">
      <c r="A829" s="21">
        <v>45198</v>
      </c>
      <c r="B829" t="s">
        <v>586</v>
      </c>
      <c r="C829" s="22"/>
      <c r="D829" s="23">
        <v>0</v>
      </c>
      <c r="E829" s="23">
        <v>186</v>
      </c>
      <c r="F829" s="23">
        <v>74343.64</v>
      </c>
      <c r="G829" s="22" t="s">
        <v>2409</v>
      </c>
      <c r="H829" s="22"/>
      <c r="I829" t="s">
        <v>2403</v>
      </c>
      <c r="K829" s="24">
        <f t="shared" si="14"/>
        <v>0</v>
      </c>
    </row>
    <row r="830" spans="1:11" hidden="1" x14ac:dyDescent="0.3">
      <c r="A830" s="21">
        <v>45199</v>
      </c>
      <c r="B830" t="s">
        <v>343</v>
      </c>
      <c r="C830" s="22"/>
      <c r="D830" s="23">
        <v>0</v>
      </c>
      <c r="E830" s="23">
        <v>478</v>
      </c>
      <c r="F830" s="23">
        <v>74821.64</v>
      </c>
      <c r="G830" s="22" t="s">
        <v>2423</v>
      </c>
      <c r="H830" s="22"/>
      <c r="I830" t="s">
        <v>2403</v>
      </c>
      <c r="K830" s="24">
        <f t="shared" si="14"/>
        <v>0</v>
      </c>
    </row>
    <row r="831" spans="1:11" hidden="1" x14ac:dyDescent="0.3">
      <c r="A831" s="21">
        <v>45199</v>
      </c>
      <c r="B831" t="s">
        <v>1569</v>
      </c>
      <c r="C831" s="22" t="s">
        <v>1536</v>
      </c>
      <c r="D831" s="23">
        <v>50</v>
      </c>
      <c r="E831" s="23">
        <v>0</v>
      </c>
      <c r="F831" s="23">
        <v>34.86</v>
      </c>
      <c r="G831" s="22" t="s">
        <v>2408</v>
      </c>
      <c r="H831" s="22"/>
      <c r="I831" t="s">
        <v>2401</v>
      </c>
      <c r="K831" s="24">
        <f t="shared" si="14"/>
        <v>74736.78</v>
      </c>
    </row>
    <row r="832" spans="1:11" hidden="1" x14ac:dyDescent="0.3">
      <c r="A832" s="21">
        <v>45199</v>
      </c>
      <c r="B832" t="s">
        <v>1570</v>
      </c>
      <c r="C832" s="22" t="s">
        <v>1536</v>
      </c>
      <c r="D832" s="23">
        <v>0</v>
      </c>
      <c r="E832" s="23">
        <v>1000</v>
      </c>
      <c r="F832" s="23">
        <v>1034.8599999999999</v>
      </c>
      <c r="G832" s="22" t="s">
        <v>2399</v>
      </c>
      <c r="H832" s="22"/>
      <c r="I832" t="s">
        <v>2401</v>
      </c>
      <c r="K832" s="24">
        <f t="shared" si="14"/>
        <v>0</v>
      </c>
    </row>
    <row r="833" spans="1:11" hidden="1" x14ac:dyDescent="0.3">
      <c r="A833" s="21">
        <v>45199</v>
      </c>
      <c r="B833" t="s">
        <v>1571</v>
      </c>
      <c r="C833" s="22" t="s">
        <v>1536</v>
      </c>
      <c r="D833" s="23">
        <v>50</v>
      </c>
      <c r="E833" s="23">
        <v>0</v>
      </c>
      <c r="F833" s="23">
        <v>984.86</v>
      </c>
      <c r="G833" s="22" t="s">
        <v>2408</v>
      </c>
      <c r="H833" s="22"/>
      <c r="I833" t="s">
        <v>2401</v>
      </c>
      <c r="K833" s="24">
        <f t="shared" si="14"/>
        <v>0</v>
      </c>
    </row>
    <row r="834" spans="1:11" hidden="1" x14ac:dyDescent="0.3">
      <c r="A834" s="21">
        <v>45199</v>
      </c>
      <c r="B834" t="s">
        <v>1572</v>
      </c>
      <c r="C834" s="22" t="s">
        <v>1536</v>
      </c>
      <c r="D834" s="23">
        <v>50</v>
      </c>
      <c r="E834" s="23">
        <v>0</v>
      </c>
      <c r="F834" s="23">
        <v>934.86</v>
      </c>
      <c r="G834" s="22" t="s">
        <v>2408</v>
      </c>
      <c r="H834" s="22"/>
      <c r="I834" t="s">
        <v>2401</v>
      </c>
      <c r="K834" s="24">
        <f t="shared" si="14"/>
        <v>0</v>
      </c>
    </row>
    <row r="835" spans="1:11" hidden="1" x14ac:dyDescent="0.3">
      <c r="A835" s="21">
        <v>45199</v>
      </c>
      <c r="B835" t="s">
        <v>1573</v>
      </c>
      <c r="C835" s="22" t="s">
        <v>1536</v>
      </c>
      <c r="D835" s="23">
        <v>50</v>
      </c>
      <c r="E835" s="23">
        <v>0</v>
      </c>
      <c r="F835" s="23">
        <v>884.86</v>
      </c>
      <c r="G835" s="22" t="s">
        <v>2408</v>
      </c>
      <c r="H835" s="22"/>
      <c r="I835" t="s">
        <v>2401</v>
      </c>
      <c r="K835" s="24">
        <f t="shared" si="14"/>
        <v>0</v>
      </c>
    </row>
    <row r="836" spans="1:11" hidden="1" x14ac:dyDescent="0.3">
      <c r="A836" s="21">
        <v>45199</v>
      </c>
      <c r="B836" t="s">
        <v>1574</v>
      </c>
      <c r="C836" s="22" t="s">
        <v>1536</v>
      </c>
      <c r="D836" s="23">
        <v>50</v>
      </c>
      <c r="E836" s="23">
        <v>0</v>
      </c>
      <c r="F836" s="23">
        <v>834.86</v>
      </c>
      <c r="G836" s="22" t="s">
        <v>2408</v>
      </c>
      <c r="H836" s="22"/>
      <c r="I836" t="s">
        <v>2401</v>
      </c>
      <c r="K836" s="24">
        <f t="shared" si="14"/>
        <v>0</v>
      </c>
    </row>
    <row r="837" spans="1:11" hidden="1" x14ac:dyDescent="0.3">
      <c r="A837" s="21">
        <v>45199</v>
      </c>
      <c r="B837" t="s">
        <v>1575</v>
      </c>
      <c r="C837" s="22" t="s">
        <v>1536</v>
      </c>
      <c r="D837" s="23">
        <v>50</v>
      </c>
      <c r="E837" s="23">
        <v>0</v>
      </c>
      <c r="F837" s="23">
        <v>784.86</v>
      </c>
      <c r="G837" s="22" t="s">
        <v>2408</v>
      </c>
      <c r="H837" s="22"/>
      <c r="I837" t="s">
        <v>2401</v>
      </c>
      <c r="K837" s="24">
        <f t="shared" si="14"/>
        <v>0</v>
      </c>
    </row>
    <row r="838" spans="1:11" hidden="1" x14ac:dyDescent="0.3">
      <c r="A838" s="21">
        <v>45199</v>
      </c>
      <c r="B838" t="s">
        <v>1576</v>
      </c>
      <c r="C838" s="22" t="s">
        <v>1536</v>
      </c>
      <c r="D838" s="23">
        <v>50</v>
      </c>
      <c r="E838" s="23">
        <v>0</v>
      </c>
      <c r="F838" s="23">
        <v>734.86</v>
      </c>
      <c r="G838" s="22" t="s">
        <v>2408</v>
      </c>
      <c r="H838" s="22"/>
      <c r="I838" t="s">
        <v>2401</v>
      </c>
      <c r="K838" s="24">
        <f t="shared" ref="K838:K901" si="15">F837-D838+E838-F838</f>
        <v>0</v>
      </c>
    </row>
    <row r="839" spans="1:11" hidden="1" x14ac:dyDescent="0.3">
      <c r="A839" s="21">
        <v>45199</v>
      </c>
      <c r="B839" t="s">
        <v>1577</v>
      </c>
      <c r="C839" s="22" t="s">
        <v>1536</v>
      </c>
      <c r="D839" s="23">
        <v>50</v>
      </c>
      <c r="E839" s="23">
        <v>0</v>
      </c>
      <c r="F839" s="23">
        <v>684.86</v>
      </c>
      <c r="G839" s="22" t="s">
        <v>2408</v>
      </c>
      <c r="H839" s="22"/>
      <c r="I839" t="s">
        <v>2401</v>
      </c>
      <c r="K839" s="24">
        <f t="shared" si="15"/>
        <v>0</v>
      </c>
    </row>
    <row r="840" spans="1:11" hidden="1" x14ac:dyDescent="0.3">
      <c r="A840" s="21">
        <v>45199</v>
      </c>
      <c r="B840" t="s">
        <v>1578</v>
      </c>
      <c r="C840" s="22" t="s">
        <v>1536</v>
      </c>
      <c r="D840" s="23">
        <v>50</v>
      </c>
      <c r="E840" s="23">
        <v>0</v>
      </c>
      <c r="F840" s="23">
        <v>634.86</v>
      </c>
      <c r="G840" s="22" t="s">
        <v>2408</v>
      </c>
      <c r="H840" s="22"/>
      <c r="I840" t="s">
        <v>2401</v>
      </c>
      <c r="K840" s="24">
        <f t="shared" si="15"/>
        <v>0</v>
      </c>
    </row>
    <row r="841" spans="1:11" hidden="1" x14ac:dyDescent="0.3">
      <c r="A841" s="21">
        <v>45199</v>
      </c>
      <c r="B841" t="s">
        <v>1579</v>
      </c>
      <c r="C841" s="22" t="s">
        <v>1536</v>
      </c>
      <c r="D841" s="23">
        <v>50</v>
      </c>
      <c r="E841" s="23">
        <v>0</v>
      </c>
      <c r="F841" s="23">
        <v>584.86</v>
      </c>
      <c r="G841" s="22" t="s">
        <v>2408</v>
      </c>
      <c r="H841" s="22"/>
      <c r="I841" t="s">
        <v>2401</v>
      </c>
      <c r="K841" s="24">
        <f t="shared" si="15"/>
        <v>0</v>
      </c>
    </row>
    <row r="842" spans="1:11" hidden="1" x14ac:dyDescent="0.3">
      <c r="A842" s="21">
        <v>45199</v>
      </c>
      <c r="B842" t="s">
        <v>1580</v>
      </c>
      <c r="C842" s="22" t="s">
        <v>1536</v>
      </c>
      <c r="D842" s="23">
        <v>50</v>
      </c>
      <c r="E842" s="23">
        <v>0</v>
      </c>
      <c r="F842" s="23">
        <v>534.86</v>
      </c>
      <c r="G842" s="22" t="s">
        <v>2408</v>
      </c>
      <c r="H842" s="22"/>
      <c r="I842" t="s">
        <v>2401</v>
      </c>
      <c r="K842" s="24">
        <f t="shared" si="15"/>
        <v>0</v>
      </c>
    </row>
    <row r="843" spans="1:11" hidden="1" x14ac:dyDescent="0.3">
      <c r="A843" s="21">
        <v>45199</v>
      </c>
      <c r="B843" t="s">
        <v>1581</v>
      </c>
      <c r="C843" s="22" t="s">
        <v>1536</v>
      </c>
      <c r="D843" s="23">
        <v>50</v>
      </c>
      <c r="E843" s="23">
        <v>0</v>
      </c>
      <c r="F843" s="23">
        <v>484.86</v>
      </c>
      <c r="G843" s="22" t="s">
        <v>2408</v>
      </c>
      <c r="H843" s="22"/>
      <c r="I843" t="s">
        <v>2401</v>
      </c>
      <c r="K843" s="24">
        <f t="shared" si="15"/>
        <v>0</v>
      </c>
    </row>
    <row r="844" spans="1:11" hidden="1" x14ac:dyDescent="0.3">
      <c r="A844" s="21">
        <v>45199</v>
      </c>
      <c r="B844" t="s">
        <v>1582</v>
      </c>
      <c r="C844" s="22" t="s">
        <v>1536</v>
      </c>
      <c r="D844" s="23">
        <v>50</v>
      </c>
      <c r="E844" s="23">
        <v>0</v>
      </c>
      <c r="F844" s="23">
        <v>434.86</v>
      </c>
      <c r="G844" s="22" t="s">
        <v>2408</v>
      </c>
      <c r="H844" s="22"/>
      <c r="I844" t="s">
        <v>2401</v>
      </c>
      <c r="K844" s="24">
        <f t="shared" si="15"/>
        <v>0</v>
      </c>
    </row>
    <row r="845" spans="1:11" hidden="1" x14ac:dyDescent="0.3">
      <c r="A845" s="21">
        <v>45199</v>
      </c>
      <c r="B845" t="s">
        <v>1583</v>
      </c>
      <c r="C845" s="22" t="s">
        <v>1536</v>
      </c>
      <c r="D845" s="23">
        <v>50</v>
      </c>
      <c r="E845" s="23">
        <v>0</v>
      </c>
      <c r="F845" s="23">
        <v>384.86</v>
      </c>
      <c r="G845" s="22" t="s">
        <v>2408</v>
      </c>
      <c r="H845" s="22"/>
      <c r="I845" t="s">
        <v>2401</v>
      </c>
      <c r="K845" s="24">
        <f t="shared" si="15"/>
        <v>0</v>
      </c>
    </row>
    <row r="846" spans="1:11" hidden="1" x14ac:dyDescent="0.3">
      <c r="A846" s="21">
        <v>45199</v>
      </c>
      <c r="B846" t="s">
        <v>1584</v>
      </c>
      <c r="C846" s="22" t="s">
        <v>1536</v>
      </c>
      <c r="D846" s="23">
        <v>50</v>
      </c>
      <c r="E846" s="23">
        <v>0</v>
      </c>
      <c r="F846" s="23">
        <v>334.86</v>
      </c>
      <c r="G846" s="22" t="s">
        <v>2408</v>
      </c>
      <c r="H846" s="22"/>
      <c r="I846" t="s">
        <v>2401</v>
      </c>
      <c r="K846" s="24">
        <f t="shared" si="15"/>
        <v>0</v>
      </c>
    </row>
    <row r="847" spans="1:11" hidden="1" x14ac:dyDescent="0.3">
      <c r="A847" s="21">
        <v>45199</v>
      </c>
      <c r="B847" t="s">
        <v>1585</v>
      </c>
      <c r="C847" s="22" t="s">
        <v>1536</v>
      </c>
      <c r="D847" s="23">
        <v>50</v>
      </c>
      <c r="E847" s="23">
        <v>0</v>
      </c>
      <c r="F847" s="23">
        <v>284.86</v>
      </c>
      <c r="G847" s="22" t="s">
        <v>2408</v>
      </c>
      <c r="H847" s="22"/>
      <c r="I847" t="s">
        <v>2401</v>
      </c>
      <c r="K847" s="24">
        <f t="shared" si="15"/>
        <v>0</v>
      </c>
    </row>
    <row r="848" spans="1:11" hidden="1" x14ac:dyDescent="0.3">
      <c r="A848" s="21">
        <v>45199</v>
      </c>
      <c r="B848" t="s">
        <v>1586</v>
      </c>
      <c r="C848" s="22" t="s">
        <v>1536</v>
      </c>
      <c r="D848" s="23">
        <v>50</v>
      </c>
      <c r="E848" s="23">
        <v>0</v>
      </c>
      <c r="F848" s="23">
        <v>234.86</v>
      </c>
      <c r="G848" s="22" t="s">
        <v>2408</v>
      </c>
      <c r="H848" s="22"/>
      <c r="I848" t="s">
        <v>2401</v>
      </c>
      <c r="K848" s="24">
        <f t="shared" si="15"/>
        <v>0</v>
      </c>
    </row>
    <row r="849" spans="1:11" hidden="1" x14ac:dyDescent="0.3">
      <c r="A849" s="21">
        <v>45199</v>
      </c>
      <c r="B849" t="s">
        <v>1587</v>
      </c>
      <c r="C849" s="22" t="s">
        <v>1536</v>
      </c>
      <c r="D849" s="23">
        <v>50</v>
      </c>
      <c r="E849" s="23">
        <v>0</v>
      </c>
      <c r="F849" s="23">
        <v>184.86</v>
      </c>
      <c r="G849" s="22" t="s">
        <v>2408</v>
      </c>
      <c r="H849" s="22"/>
      <c r="I849" t="s">
        <v>2401</v>
      </c>
      <c r="K849" s="24">
        <f t="shared" si="15"/>
        <v>0</v>
      </c>
    </row>
    <row r="850" spans="1:11" hidden="1" x14ac:dyDescent="0.3">
      <c r="A850" s="21">
        <v>45199</v>
      </c>
      <c r="B850" t="s">
        <v>1588</v>
      </c>
      <c r="C850" s="22" t="s">
        <v>1536</v>
      </c>
      <c r="D850" s="23">
        <v>50</v>
      </c>
      <c r="E850" s="23">
        <v>0</v>
      </c>
      <c r="F850" s="23">
        <v>134.86000000000001</v>
      </c>
      <c r="G850" s="22" t="s">
        <v>2408</v>
      </c>
      <c r="H850" s="22"/>
      <c r="I850" t="s">
        <v>2401</v>
      </c>
      <c r="K850" s="24">
        <f t="shared" si="15"/>
        <v>0</v>
      </c>
    </row>
    <row r="851" spans="1:11" hidden="1" x14ac:dyDescent="0.3">
      <c r="A851" s="21">
        <v>45199</v>
      </c>
      <c r="B851" t="s">
        <v>2514</v>
      </c>
      <c r="C851" s="22" t="s">
        <v>1223</v>
      </c>
      <c r="D851" s="23">
        <v>0</v>
      </c>
      <c r="E851" s="23">
        <v>50</v>
      </c>
      <c r="F851" s="23">
        <v>52337.77</v>
      </c>
      <c r="G851" s="22" t="s">
        <v>2399</v>
      </c>
      <c r="H851" s="22"/>
      <c r="I851" t="s">
        <v>2400</v>
      </c>
      <c r="K851" s="24">
        <f t="shared" si="15"/>
        <v>-52152.909999999996</v>
      </c>
    </row>
    <row r="852" spans="1:11" hidden="1" x14ac:dyDescent="0.3">
      <c r="A852" s="21">
        <v>45199</v>
      </c>
      <c r="B852" t="s">
        <v>2515</v>
      </c>
      <c r="C852" s="22" t="s">
        <v>1154</v>
      </c>
      <c r="D852" s="23">
        <v>1000</v>
      </c>
      <c r="E852" s="23">
        <v>0</v>
      </c>
      <c r="F852" s="23">
        <v>51337.77</v>
      </c>
      <c r="G852" s="22" t="s">
        <v>2399</v>
      </c>
      <c r="H852" s="22"/>
      <c r="I852" t="s">
        <v>2400</v>
      </c>
      <c r="K852" s="24">
        <f t="shared" si="15"/>
        <v>0</v>
      </c>
    </row>
    <row r="853" spans="1:11" hidden="1" x14ac:dyDescent="0.3">
      <c r="A853" s="21">
        <v>45199</v>
      </c>
      <c r="B853" t="s">
        <v>2516</v>
      </c>
      <c r="C853" s="22" t="s">
        <v>1223</v>
      </c>
      <c r="D853" s="23">
        <v>0</v>
      </c>
      <c r="E853" s="23">
        <v>50</v>
      </c>
      <c r="F853" s="23">
        <v>51387.77</v>
      </c>
      <c r="G853" s="22" t="s">
        <v>2399</v>
      </c>
      <c r="H853" s="22"/>
      <c r="I853" t="s">
        <v>2400</v>
      </c>
      <c r="K853" s="24">
        <f t="shared" si="15"/>
        <v>0</v>
      </c>
    </row>
    <row r="854" spans="1:11" hidden="1" x14ac:dyDescent="0.3">
      <c r="A854" s="21">
        <v>45199</v>
      </c>
      <c r="B854" t="s">
        <v>2517</v>
      </c>
      <c r="C854" s="22" t="s">
        <v>1223</v>
      </c>
      <c r="D854" s="23">
        <v>0</v>
      </c>
      <c r="E854" s="23">
        <v>50</v>
      </c>
      <c r="F854" s="23">
        <v>51437.77</v>
      </c>
      <c r="G854" s="22" t="s">
        <v>2399</v>
      </c>
      <c r="H854" s="22"/>
      <c r="I854" t="s">
        <v>2400</v>
      </c>
      <c r="K854" s="24">
        <f t="shared" si="15"/>
        <v>0</v>
      </c>
    </row>
    <row r="855" spans="1:11" hidden="1" x14ac:dyDescent="0.3">
      <c r="A855" s="21">
        <v>45199</v>
      </c>
      <c r="B855" t="s">
        <v>2518</v>
      </c>
      <c r="C855" s="22" t="s">
        <v>1223</v>
      </c>
      <c r="D855" s="23">
        <v>0</v>
      </c>
      <c r="E855" s="23">
        <v>50</v>
      </c>
      <c r="F855" s="23">
        <v>51487.77</v>
      </c>
      <c r="G855" s="22" t="s">
        <v>2399</v>
      </c>
      <c r="H855" s="22"/>
      <c r="I855" t="s">
        <v>2400</v>
      </c>
      <c r="K855" s="24">
        <f t="shared" si="15"/>
        <v>0</v>
      </c>
    </row>
    <row r="856" spans="1:11" hidden="1" x14ac:dyDescent="0.3">
      <c r="A856" s="21">
        <v>45199</v>
      </c>
      <c r="B856" t="s">
        <v>2519</v>
      </c>
      <c r="C856" s="22" t="s">
        <v>1223</v>
      </c>
      <c r="D856" s="23">
        <v>0</v>
      </c>
      <c r="E856" s="23">
        <v>50</v>
      </c>
      <c r="F856" s="23">
        <v>51537.77</v>
      </c>
      <c r="G856" s="22" t="s">
        <v>2399</v>
      </c>
      <c r="H856" s="22"/>
      <c r="I856" t="s">
        <v>2400</v>
      </c>
      <c r="K856" s="24">
        <f t="shared" si="15"/>
        <v>0</v>
      </c>
    </row>
    <row r="857" spans="1:11" hidden="1" x14ac:dyDescent="0.3">
      <c r="A857" s="21">
        <v>45199</v>
      </c>
      <c r="B857" t="s">
        <v>2520</v>
      </c>
      <c r="C857" s="22" t="s">
        <v>1223</v>
      </c>
      <c r="D857" s="23">
        <v>0</v>
      </c>
      <c r="E857" s="23">
        <v>50</v>
      </c>
      <c r="F857" s="23">
        <v>51587.77</v>
      </c>
      <c r="G857" s="22" t="s">
        <v>2399</v>
      </c>
      <c r="H857" s="22"/>
      <c r="I857" t="s">
        <v>2400</v>
      </c>
      <c r="K857" s="24">
        <f t="shared" si="15"/>
        <v>0</v>
      </c>
    </row>
    <row r="858" spans="1:11" hidden="1" x14ac:dyDescent="0.3">
      <c r="A858" s="21">
        <v>45199</v>
      </c>
      <c r="B858" t="s">
        <v>2521</v>
      </c>
      <c r="C858" s="22" t="s">
        <v>1223</v>
      </c>
      <c r="D858" s="23">
        <v>0</v>
      </c>
      <c r="E858" s="23">
        <v>50</v>
      </c>
      <c r="F858" s="23">
        <v>51637.77</v>
      </c>
      <c r="G858" s="22" t="s">
        <v>2399</v>
      </c>
      <c r="H858" s="22"/>
      <c r="I858" t="s">
        <v>2400</v>
      </c>
      <c r="K858" s="24">
        <f t="shared" si="15"/>
        <v>0</v>
      </c>
    </row>
    <row r="859" spans="1:11" hidden="1" x14ac:dyDescent="0.3">
      <c r="A859" s="21">
        <v>45199</v>
      </c>
      <c r="B859" t="s">
        <v>2522</v>
      </c>
      <c r="C859" s="22" t="s">
        <v>1223</v>
      </c>
      <c r="D859" s="23">
        <v>0</v>
      </c>
      <c r="E859" s="23">
        <v>50</v>
      </c>
      <c r="F859" s="23">
        <v>51687.77</v>
      </c>
      <c r="G859" s="22" t="s">
        <v>2399</v>
      </c>
      <c r="H859" s="22"/>
      <c r="I859" t="s">
        <v>2400</v>
      </c>
      <c r="K859" s="24">
        <f t="shared" si="15"/>
        <v>0</v>
      </c>
    </row>
    <row r="860" spans="1:11" hidden="1" x14ac:dyDescent="0.3">
      <c r="A860" s="21">
        <v>45199</v>
      </c>
      <c r="B860" t="s">
        <v>2523</v>
      </c>
      <c r="C860" s="22" t="s">
        <v>1223</v>
      </c>
      <c r="D860" s="23">
        <v>0</v>
      </c>
      <c r="E860" s="23">
        <v>50</v>
      </c>
      <c r="F860" s="23">
        <v>51737.77</v>
      </c>
      <c r="G860" s="22" t="s">
        <v>2399</v>
      </c>
      <c r="H860" s="22"/>
      <c r="I860" t="s">
        <v>2400</v>
      </c>
      <c r="K860" s="24">
        <f t="shared" si="15"/>
        <v>0</v>
      </c>
    </row>
    <row r="861" spans="1:11" hidden="1" x14ac:dyDescent="0.3">
      <c r="A861" s="21">
        <v>45199</v>
      </c>
      <c r="B861" t="s">
        <v>2524</v>
      </c>
      <c r="C861" s="22" t="s">
        <v>1223</v>
      </c>
      <c r="D861" s="23">
        <v>0</v>
      </c>
      <c r="E861" s="23">
        <v>50</v>
      </c>
      <c r="F861" s="23">
        <v>51787.77</v>
      </c>
      <c r="G861" s="22" t="s">
        <v>2399</v>
      </c>
      <c r="H861" s="22"/>
      <c r="I861" t="s">
        <v>2400</v>
      </c>
      <c r="K861" s="24">
        <f t="shared" si="15"/>
        <v>0</v>
      </c>
    </row>
    <row r="862" spans="1:11" hidden="1" x14ac:dyDescent="0.3">
      <c r="A862" s="21">
        <v>45199</v>
      </c>
      <c r="B862" t="s">
        <v>2525</v>
      </c>
      <c r="C862" s="22" t="s">
        <v>1223</v>
      </c>
      <c r="D862" s="23">
        <v>0</v>
      </c>
      <c r="E862" s="23">
        <v>50</v>
      </c>
      <c r="F862" s="23">
        <v>51837.77</v>
      </c>
      <c r="G862" s="22" t="s">
        <v>2399</v>
      </c>
      <c r="H862" s="22"/>
      <c r="I862" t="s">
        <v>2400</v>
      </c>
      <c r="K862" s="24">
        <f t="shared" si="15"/>
        <v>0</v>
      </c>
    </row>
    <row r="863" spans="1:11" hidden="1" x14ac:dyDescent="0.3">
      <c r="A863" s="21">
        <v>45199</v>
      </c>
      <c r="B863" t="s">
        <v>2526</v>
      </c>
      <c r="C863" s="22" t="s">
        <v>1223</v>
      </c>
      <c r="D863" s="23">
        <v>0</v>
      </c>
      <c r="E863" s="23">
        <v>50</v>
      </c>
      <c r="F863" s="23">
        <v>51887.77</v>
      </c>
      <c r="G863" s="22" t="s">
        <v>2399</v>
      </c>
      <c r="H863" s="22"/>
      <c r="I863" t="s">
        <v>2400</v>
      </c>
      <c r="K863" s="24">
        <f t="shared" si="15"/>
        <v>0</v>
      </c>
    </row>
    <row r="864" spans="1:11" hidden="1" x14ac:dyDescent="0.3">
      <c r="A864" s="21">
        <v>45199</v>
      </c>
      <c r="B864" t="s">
        <v>2527</v>
      </c>
      <c r="C864" s="22" t="s">
        <v>1223</v>
      </c>
      <c r="D864" s="23">
        <v>0</v>
      </c>
      <c r="E864" s="23">
        <v>50</v>
      </c>
      <c r="F864" s="23">
        <v>51937.77</v>
      </c>
      <c r="G864" s="22" t="s">
        <v>2399</v>
      </c>
      <c r="H864" s="22"/>
      <c r="I864" t="s">
        <v>2400</v>
      </c>
      <c r="K864" s="24">
        <f t="shared" si="15"/>
        <v>0</v>
      </c>
    </row>
    <row r="865" spans="1:11" hidden="1" x14ac:dyDescent="0.3">
      <c r="A865" s="21">
        <v>45199</v>
      </c>
      <c r="B865" t="s">
        <v>2528</v>
      </c>
      <c r="C865" s="22" t="s">
        <v>1223</v>
      </c>
      <c r="D865" s="23">
        <v>0</v>
      </c>
      <c r="E865" s="23">
        <v>50</v>
      </c>
      <c r="F865" s="23">
        <v>51987.77</v>
      </c>
      <c r="G865" s="22" t="s">
        <v>2399</v>
      </c>
      <c r="H865" s="22"/>
      <c r="I865" t="s">
        <v>2400</v>
      </c>
      <c r="K865" s="24">
        <f t="shared" si="15"/>
        <v>0</v>
      </c>
    </row>
    <row r="866" spans="1:11" hidden="1" x14ac:dyDescent="0.3">
      <c r="A866" s="21">
        <v>45199</v>
      </c>
      <c r="B866" t="s">
        <v>2529</v>
      </c>
      <c r="C866" s="22" t="s">
        <v>1223</v>
      </c>
      <c r="D866" s="23">
        <v>0</v>
      </c>
      <c r="E866" s="23">
        <v>50</v>
      </c>
      <c r="F866" s="23">
        <v>52037.77</v>
      </c>
      <c r="G866" s="22" t="s">
        <v>2399</v>
      </c>
      <c r="H866" s="22"/>
      <c r="I866" t="s">
        <v>2400</v>
      </c>
      <c r="K866" s="24">
        <f t="shared" si="15"/>
        <v>0</v>
      </c>
    </row>
    <row r="867" spans="1:11" hidden="1" x14ac:dyDescent="0.3">
      <c r="A867" s="21">
        <v>45199</v>
      </c>
      <c r="B867" t="s">
        <v>2530</v>
      </c>
      <c r="C867" s="22" t="s">
        <v>1223</v>
      </c>
      <c r="D867" s="23">
        <v>0</v>
      </c>
      <c r="E867" s="23">
        <v>50</v>
      </c>
      <c r="F867" s="23">
        <v>52087.77</v>
      </c>
      <c r="G867" s="22" t="s">
        <v>2399</v>
      </c>
      <c r="H867" s="22"/>
      <c r="I867" t="s">
        <v>2400</v>
      </c>
      <c r="K867" s="24">
        <f t="shared" si="15"/>
        <v>0</v>
      </c>
    </row>
    <row r="868" spans="1:11" hidden="1" x14ac:dyDescent="0.3">
      <c r="A868" s="21">
        <v>45199</v>
      </c>
      <c r="B868" t="s">
        <v>2531</v>
      </c>
      <c r="C868" s="22" t="s">
        <v>1223</v>
      </c>
      <c r="D868" s="23">
        <v>0</v>
      </c>
      <c r="E868" s="23">
        <v>50</v>
      </c>
      <c r="F868" s="23">
        <v>52137.77</v>
      </c>
      <c r="G868" s="22" t="s">
        <v>2399</v>
      </c>
      <c r="H868" s="22"/>
      <c r="I868" t="s">
        <v>2400</v>
      </c>
      <c r="K868" s="24">
        <f t="shared" si="15"/>
        <v>0</v>
      </c>
    </row>
    <row r="869" spans="1:11" hidden="1" x14ac:dyDescent="0.3">
      <c r="A869" s="21">
        <v>45199</v>
      </c>
      <c r="B869" t="s">
        <v>2532</v>
      </c>
      <c r="C869" s="22" t="s">
        <v>1223</v>
      </c>
      <c r="D869" s="23">
        <v>0</v>
      </c>
      <c r="E869" s="23">
        <v>50</v>
      </c>
      <c r="F869" s="23">
        <v>52187.77</v>
      </c>
      <c r="G869" s="22" t="s">
        <v>2399</v>
      </c>
      <c r="H869" s="22"/>
      <c r="I869" t="s">
        <v>2400</v>
      </c>
      <c r="K869" s="24">
        <f t="shared" si="15"/>
        <v>0</v>
      </c>
    </row>
    <row r="870" spans="1:11" hidden="1" x14ac:dyDescent="0.3">
      <c r="A870" s="21">
        <v>45199</v>
      </c>
      <c r="B870" t="s">
        <v>2533</v>
      </c>
      <c r="C870" s="22" t="s">
        <v>1223</v>
      </c>
      <c r="D870" s="23">
        <v>0</v>
      </c>
      <c r="E870" s="23">
        <v>50</v>
      </c>
      <c r="F870" s="23">
        <v>52237.77</v>
      </c>
      <c r="G870" s="22" t="s">
        <v>2399</v>
      </c>
      <c r="H870" s="22"/>
      <c r="I870" t="s">
        <v>2400</v>
      </c>
      <c r="K870" s="24">
        <f t="shared" si="15"/>
        <v>0</v>
      </c>
    </row>
    <row r="871" spans="1:11" hidden="1" x14ac:dyDescent="0.3">
      <c r="A871" s="21">
        <v>45200</v>
      </c>
      <c r="B871" t="s">
        <v>43</v>
      </c>
      <c r="C871" s="22"/>
      <c r="D871" s="23">
        <v>0</v>
      </c>
      <c r="E871" s="23">
        <v>357</v>
      </c>
      <c r="F871" s="23">
        <v>46513.57</v>
      </c>
      <c r="G871" s="22" t="s">
        <v>2423</v>
      </c>
      <c r="H871" s="22"/>
      <c r="I871" t="s">
        <v>2404</v>
      </c>
      <c r="K871" s="24">
        <f t="shared" si="15"/>
        <v>6081.1999999999971</v>
      </c>
    </row>
    <row r="872" spans="1:11" hidden="1" x14ac:dyDescent="0.3">
      <c r="A872" s="21">
        <v>45200</v>
      </c>
      <c r="B872" t="s">
        <v>1589</v>
      </c>
      <c r="C872" s="22" t="s">
        <v>1536</v>
      </c>
      <c r="D872" s="23">
        <v>20</v>
      </c>
      <c r="E872" s="23">
        <v>0</v>
      </c>
      <c r="F872" s="23">
        <v>114.86</v>
      </c>
      <c r="G872" s="22" t="s">
        <v>2408</v>
      </c>
      <c r="H872" s="22"/>
      <c r="I872" t="s">
        <v>2401</v>
      </c>
      <c r="K872" s="24">
        <f t="shared" si="15"/>
        <v>46378.71</v>
      </c>
    </row>
    <row r="873" spans="1:11" hidden="1" x14ac:dyDescent="0.3">
      <c r="A873" s="21">
        <v>45202</v>
      </c>
      <c r="B873" t="s">
        <v>496</v>
      </c>
      <c r="C873" s="22"/>
      <c r="D873" s="23">
        <v>0</v>
      </c>
      <c r="E873" s="23">
        <v>398.69</v>
      </c>
      <c r="F873" s="23">
        <v>75220.33</v>
      </c>
      <c r="G873" s="22" t="s">
        <v>2406</v>
      </c>
      <c r="H873" s="22"/>
      <c r="I873" t="s">
        <v>2403</v>
      </c>
      <c r="K873" s="24">
        <f t="shared" si="15"/>
        <v>-74706.78</v>
      </c>
    </row>
    <row r="874" spans="1:11" hidden="1" x14ac:dyDescent="0.3">
      <c r="A874" s="21">
        <v>45202</v>
      </c>
      <c r="B874" t="s">
        <v>589</v>
      </c>
      <c r="C874" s="22"/>
      <c r="D874" s="23">
        <v>5114</v>
      </c>
      <c r="E874" s="23">
        <v>0</v>
      </c>
      <c r="F874" s="23">
        <v>70106.33</v>
      </c>
      <c r="G874" s="22" t="s">
        <v>2535</v>
      </c>
      <c r="H874" s="22"/>
      <c r="I874" t="s">
        <v>2403</v>
      </c>
      <c r="K874" s="24">
        <f t="shared" si="15"/>
        <v>0</v>
      </c>
    </row>
    <row r="875" spans="1:11" hidden="1" x14ac:dyDescent="0.3">
      <c r="A875" s="21">
        <v>45202</v>
      </c>
      <c r="B875" t="s">
        <v>1590</v>
      </c>
      <c r="C875" s="22" t="s">
        <v>1536</v>
      </c>
      <c r="D875" s="23">
        <v>0</v>
      </c>
      <c r="E875" s="23">
        <v>20161.29</v>
      </c>
      <c r="F875" s="23">
        <v>20276.150000000001</v>
      </c>
      <c r="G875" s="22" t="s">
        <v>2534</v>
      </c>
      <c r="H875" s="22"/>
      <c r="I875" t="s">
        <v>2401</v>
      </c>
      <c r="K875" s="24">
        <f t="shared" si="15"/>
        <v>69991.47</v>
      </c>
    </row>
    <row r="876" spans="1:11" hidden="1" x14ac:dyDescent="0.3">
      <c r="A876" s="21">
        <v>45202</v>
      </c>
      <c r="B876" t="s">
        <v>2439</v>
      </c>
      <c r="C876" s="22"/>
      <c r="D876" s="23">
        <v>0</v>
      </c>
      <c r="E876" s="23">
        <v>4</v>
      </c>
      <c r="F876" s="23">
        <v>52241.77</v>
      </c>
      <c r="G876" s="22" t="s">
        <v>2409</v>
      </c>
      <c r="H876" s="22"/>
      <c r="I876" t="s">
        <v>2400</v>
      </c>
      <c r="K876" s="24">
        <f t="shared" si="15"/>
        <v>-31961.619999999995</v>
      </c>
    </row>
    <row r="877" spans="1:11" hidden="1" x14ac:dyDescent="0.3">
      <c r="A877" s="21">
        <v>45203</v>
      </c>
      <c r="B877" t="s">
        <v>133</v>
      </c>
      <c r="C877" s="22"/>
      <c r="D877" s="23">
        <v>17886.740000000002</v>
      </c>
      <c r="E877" s="23">
        <v>0</v>
      </c>
      <c r="F877" s="23">
        <v>52219.59</v>
      </c>
      <c r="G877" s="22" t="s">
        <v>2406</v>
      </c>
      <c r="H877" s="22"/>
      <c r="I877" t="s">
        <v>2403</v>
      </c>
      <c r="K877" s="24">
        <f t="shared" si="15"/>
        <v>-17864.559999999998</v>
      </c>
    </row>
    <row r="878" spans="1:11" hidden="1" x14ac:dyDescent="0.3">
      <c r="A878" s="21">
        <v>45203</v>
      </c>
      <c r="B878" t="s">
        <v>204</v>
      </c>
      <c r="C878" s="22"/>
      <c r="D878" s="23">
        <v>5000</v>
      </c>
      <c r="E878" s="23">
        <v>0</v>
      </c>
      <c r="F878" s="23">
        <v>47219.59</v>
      </c>
      <c r="G878" s="22" t="s">
        <v>2442</v>
      </c>
      <c r="H878" s="22"/>
      <c r="I878" t="s">
        <v>2403</v>
      </c>
      <c r="K878" s="24">
        <f t="shared" si="15"/>
        <v>0</v>
      </c>
    </row>
    <row r="879" spans="1:11" hidden="1" x14ac:dyDescent="0.3">
      <c r="A879" s="21">
        <v>45203</v>
      </c>
      <c r="B879" t="s">
        <v>133</v>
      </c>
      <c r="C879" s="22"/>
      <c r="D879" s="23">
        <v>73.19</v>
      </c>
      <c r="E879" s="23">
        <v>0</v>
      </c>
      <c r="F879" s="23">
        <v>47146.400000000001</v>
      </c>
      <c r="G879" s="22" t="s">
        <v>2406</v>
      </c>
      <c r="H879" s="22"/>
      <c r="I879" t="s">
        <v>2403</v>
      </c>
      <c r="K879" s="24">
        <f t="shared" si="15"/>
        <v>0</v>
      </c>
    </row>
    <row r="880" spans="1:11" hidden="1" x14ac:dyDescent="0.3">
      <c r="A880" s="21">
        <v>45203</v>
      </c>
      <c r="B880" t="s">
        <v>133</v>
      </c>
      <c r="C880" s="22"/>
      <c r="D880" s="23">
        <v>153.15</v>
      </c>
      <c r="E880" s="23">
        <v>0</v>
      </c>
      <c r="F880" s="23">
        <v>46993.25</v>
      </c>
      <c r="G880" s="22" t="s">
        <v>2406</v>
      </c>
      <c r="H880" s="22"/>
      <c r="I880" t="s">
        <v>2403</v>
      </c>
      <c r="K880" s="24">
        <f t="shared" si="15"/>
        <v>0</v>
      </c>
    </row>
    <row r="881" spans="1:11" hidden="1" x14ac:dyDescent="0.3">
      <c r="A881" s="21">
        <v>45203</v>
      </c>
      <c r="B881" t="s">
        <v>1591</v>
      </c>
      <c r="C881" s="22" t="s">
        <v>1536</v>
      </c>
      <c r="D881" s="23">
        <v>1000</v>
      </c>
      <c r="E881" s="23">
        <v>0</v>
      </c>
      <c r="F881" s="23">
        <v>19276.150000000001</v>
      </c>
      <c r="G881" s="22" t="s">
        <v>2536</v>
      </c>
      <c r="H881" s="22"/>
      <c r="I881" t="s">
        <v>2401</v>
      </c>
      <c r="K881" s="24">
        <f t="shared" si="15"/>
        <v>26717.1</v>
      </c>
    </row>
    <row r="882" spans="1:11" hidden="1" x14ac:dyDescent="0.3">
      <c r="A882" s="21">
        <v>45203</v>
      </c>
      <c r="B882" t="s">
        <v>1592</v>
      </c>
      <c r="C882" s="22" t="s">
        <v>1536</v>
      </c>
      <c r="D882" s="23">
        <v>100</v>
      </c>
      <c r="E882" s="23">
        <v>0</v>
      </c>
      <c r="F882" s="23">
        <v>19176.150000000001</v>
      </c>
      <c r="G882" s="22" t="s">
        <v>2537</v>
      </c>
      <c r="H882" s="22"/>
      <c r="I882" t="s">
        <v>2401</v>
      </c>
      <c r="K882" s="24">
        <f t="shared" si="15"/>
        <v>0</v>
      </c>
    </row>
    <row r="883" spans="1:11" hidden="1" x14ac:dyDescent="0.3">
      <c r="A883" s="21">
        <v>45203</v>
      </c>
      <c r="B883" t="s">
        <v>1593</v>
      </c>
      <c r="C883" s="22" t="s">
        <v>1536</v>
      </c>
      <c r="D883" s="23">
        <v>1000</v>
      </c>
      <c r="E883" s="23">
        <v>0</v>
      </c>
      <c r="F883" s="23">
        <v>18176.150000000001</v>
      </c>
      <c r="G883" s="22" t="s">
        <v>2538</v>
      </c>
      <c r="H883" s="22"/>
      <c r="I883" t="s">
        <v>2401</v>
      </c>
      <c r="K883" s="24">
        <f t="shared" si="15"/>
        <v>0</v>
      </c>
    </row>
    <row r="884" spans="1:11" hidden="1" x14ac:dyDescent="0.3">
      <c r="A884" s="21">
        <v>45203</v>
      </c>
      <c r="B884" t="s">
        <v>1594</v>
      </c>
      <c r="C884" s="22" t="s">
        <v>1536</v>
      </c>
      <c r="D884" s="23">
        <v>40</v>
      </c>
      <c r="E884" s="23">
        <v>0</v>
      </c>
      <c r="F884" s="23">
        <v>18136.150000000001</v>
      </c>
      <c r="G884" s="22" t="s">
        <v>2408</v>
      </c>
      <c r="H884" s="22"/>
      <c r="I884" t="s">
        <v>2401</v>
      </c>
      <c r="K884" s="24">
        <f t="shared" si="15"/>
        <v>0</v>
      </c>
    </row>
    <row r="885" spans="1:11" hidden="1" x14ac:dyDescent="0.3">
      <c r="A885" s="21">
        <v>45203</v>
      </c>
      <c r="B885" t="s">
        <v>1595</v>
      </c>
      <c r="C885" s="22" t="s">
        <v>1536</v>
      </c>
      <c r="D885" s="23">
        <v>150</v>
      </c>
      <c r="E885" s="23">
        <v>0</v>
      </c>
      <c r="F885" s="23">
        <v>17986.150000000001</v>
      </c>
      <c r="G885" s="22" t="s">
        <v>2399</v>
      </c>
      <c r="H885" s="22"/>
      <c r="I885" t="s">
        <v>2401</v>
      </c>
      <c r="K885" s="24">
        <f t="shared" si="15"/>
        <v>0</v>
      </c>
    </row>
    <row r="886" spans="1:11" hidden="1" x14ac:dyDescent="0.3">
      <c r="A886" s="21">
        <v>45203</v>
      </c>
      <c r="B886" t="s">
        <v>2539</v>
      </c>
      <c r="C886" s="22" t="s">
        <v>2540</v>
      </c>
      <c r="D886" s="23">
        <v>0</v>
      </c>
      <c r="E886" s="23">
        <v>6.19</v>
      </c>
      <c r="F886" s="23">
        <v>52247.96</v>
      </c>
      <c r="G886" s="22" t="s">
        <v>2425</v>
      </c>
      <c r="H886" s="22"/>
      <c r="I886" t="s">
        <v>2400</v>
      </c>
      <c r="K886" s="24">
        <f t="shared" si="15"/>
        <v>-34255.619999999995</v>
      </c>
    </row>
    <row r="887" spans="1:11" hidden="1" x14ac:dyDescent="0.3">
      <c r="A887" s="21">
        <v>45204</v>
      </c>
      <c r="B887" t="s">
        <v>133</v>
      </c>
      <c r="C887" s="22"/>
      <c r="D887" s="23">
        <v>73.11</v>
      </c>
      <c r="E887" s="23">
        <v>0</v>
      </c>
      <c r="F887" s="23">
        <v>46920.14</v>
      </c>
      <c r="G887" s="22" t="s">
        <v>2406</v>
      </c>
      <c r="H887" s="22"/>
      <c r="I887" t="s">
        <v>2403</v>
      </c>
      <c r="K887" s="24">
        <f t="shared" si="15"/>
        <v>5254.7099999999991</v>
      </c>
    </row>
    <row r="888" spans="1:11" hidden="1" x14ac:dyDescent="0.3">
      <c r="A888" s="21">
        <v>45204</v>
      </c>
      <c r="B888" t="s">
        <v>1596</v>
      </c>
      <c r="C888" s="22" t="s">
        <v>1536</v>
      </c>
      <c r="D888" s="23">
        <v>10</v>
      </c>
      <c r="E888" s="23">
        <v>0</v>
      </c>
      <c r="F888" s="23">
        <v>17976.150000000001</v>
      </c>
      <c r="G888" s="22" t="s">
        <v>2541</v>
      </c>
      <c r="H888" s="22"/>
      <c r="I888" t="s">
        <v>2401</v>
      </c>
      <c r="K888" s="24">
        <f t="shared" si="15"/>
        <v>28933.989999999998</v>
      </c>
    </row>
    <row r="889" spans="1:11" hidden="1" x14ac:dyDescent="0.3">
      <c r="A889" s="21">
        <v>45204</v>
      </c>
      <c r="B889" t="s">
        <v>1597</v>
      </c>
      <c r="C889" s="22" t="s">
        <v>1536</v>
      </c>
      <c r="D889" s="23">
        <v>50</v>
      </c>
      <c r="E889" s="23">
        <v>0</v>
      </c>
      <c r="F889" s="23">
        <v>17926.150000000001</v>
      </c>
      <c r="G889" s="22" t="s">
        <v>2537</v>
      </c>
      <c r="H889" s="22"/>
      <c r="I889" t="s">
        <v>2401</v>
      </c>
      <c r="K889" s="24">
        <f t="shared" si="15"/>
        <v>0</v>
      </c>
    </row>
    <row r="890" spans="1:11" hidden="1" x14ac:dyDescent="0.3">
      <c r="A890" s="21">
        <v>45204</v>
      </c>
      <c r="B890" t="s">
        <v>2542</v>
      </c>
      <c r="C890" s="22" t="s">
        <v>2543</v>
      </c>
      <c r="D890" s="23">
        <v>0</v>
      </c>
      <c r="E890" s="23">
        <v>32500</v>
      </c>
      <c r="F890" s="23">
        <v>84747.96</v>
      </c>
      <c r="G890" s="22" t="s">
        <v>2544</v>
      </c>
      <c r="H890" s="22"/>
      <c r="I890" t="s">
        <v>2400</v>
      </c>
      <c r="K890" s="24">
        <f t="shared" si="15"/>
        <v>-34321.810000000005</v>
      </c>
    </row>
    <row r="891" spans="1:11" hidden="1" x14ac:dyDescent="0.3">
      <c r="A891" s="21">
        <v>45205</v>
      </c>
      <c r="B891" t="s">
        <v>496</v>
      </c>
      <c r="C891" s="22"/>
      <c r="D891" s="23">
        <v>0</v>
      </c>
      <c r="E891" s="23">
        <v>974.64</v>
      </c>
      <c r="F891" s="23">
        <v>47894.78</v>
      </c>
      <c r="G891" s="22" t="s">
        <v>2406</v>
      </c>
      <c r="H891" s="22"/>
      <c r="I891" t="s">
        <v>2403</v>
      </c>
      <c r="K891" s="24">
        <f t="shared" si="15"/>
        <v>37827.820000000007</v>
      </c>
    </row>
    <row r="892" spans="1:11" hidden="1" x14ac:dyDescent="0.3">
      <c r="A892" s="21">
        <v>45205</v>
      </c>
      <c r="B892" t="s">
        <v>496</v>
      </c>
      <c r="C892" s="22"/>
      <c r="D892" s="23">
        <v>0</v>
      </c>
      <c r="E892" s="23">
        <v>54620.56</v>
      </c>
      <c r="F892" s="23">
        <v>102515.34</v>
      </c>
      <c r="G892" s="22" t="s">
        <v>2406</v>
      </c>
      <c r="H892" s="22"/>
      <c r="I892" t="s">
        <v>2403</v>
      </c>
      <c r="K892" s="24">
        <f t="shared" si="15"/>
        <v>0</v>
      </c>
    </row>
    <row r="893" spans="1:11" hidden="1" x14ac:dyDescent="0.3">
      <c r="A893" s="21">
        <v>45205</v>
      </c>
      <c r="B893" t="s">
        <v>133</v>
      </c>
      <c r="C893" s="22"/>
      <c r="D893" s="23">
        <v>73.11</v>
      </c>
      <c r="E893" s="23">
        <v>0</v>
      </c>
      <c r="F893" s="23">
        <v>102442.23</v>
      </c>
      <c r="G893" s="22" t="s">
        <v>2406</v>
      </c>
      <c r="H893" s="22"/>
      <c r="I893" t="s">
        <v>2403</v>
      </c>
      <c r="K893" s="24">
        <f t="shared" si="15"/>
        <v>0</v>
      </c>
    </row>
    <row r="894" spans="1:11" hidden="1" x14ac:dyDescent="0.3">
      <c r="A894" s="21">
        <v>45205</v>
      </c>
      <c r="B894" t="s">
        <v>133</v>
      </c>
      <c r="C894" s="22"/>
      <c r="D894" s="23">
        <v>22193.64</v>
      </c>
      <c r="E894" s="23">
        <v>0</v>
      </c>
      <c r="F894" s="23">
        <v>80248.59</v>
      </c>
      <c r="G894" s="22" t="s">
        <v>2406</v>
      </c>
      <c r="H894" s="22"/>
      <c r="I894" t="s">
        <v>2403</v>
      </c>
      <c r="K894" s="24">
        <f t="shared" si="15"/>
        <v>0</v>
      </c>
    </row>
    <row r="895" spans="1:11" hidden="1" x14ac:dyDescent="0.3">
      <c r="A895" s="21">
        <v>45205</v>
      </c>
      <c r="B895" t="s">
        <v>1598</v>
      </c>
      <c r="C895" s="22" t="s">
        <v>1536</v>
      </c>
      <c r="D895" s="23">
        <v>10</v>
      </c>
      <c r="E895" s="23">
        <v>0</v>
      </c>
      <c r="F895" s="23">
        <v>17916.150000000001</v>
      </c>
      <c r="G895" s="22" t="s">
        <v>2541</v>
      </c>
      <c r="H895" s="22"/>
      <c r="I895" t="s">
        <v>2401</v>
      </c>
      <c r="K895" s="24">
        <f t="shared" si="15"/>
        <v>62322.439999999995</v>
      </c>
    </row>
    <row r="896" spans="1:11" hidden="1" x14ac:dyDescent="0.3">
      <c r="A896" s="21">
        <v>45205</v>
      </c>
      <c r="B896" t="s">
        <v>1599</v>
      </c>
      <c r="C896" s="22" t="s">
        <v>1536</v>
      </c>
      <c r="D896" s="23">
        <v>50</v>
      </c>
      <c r="E896" s="23">
        <v>0</v>
      </c>
      <c r="F896" s="23">
        <v>17866.150000000001</v>
      </c>
      <c r="G896" s="22" t="s">
        <v>2537</v>
      </c>
      <c r="H896" s="22"/>
      <c r="I896" t="s">
        <v>2401</v>
      </c>
      <c r="K896" s="24">
        <f t="shared" si="15"/>
        <v>0</v>
      </c>
    </row>
    <row r="897" spans="1:11" hidden="1" x14ac:dyDescent="0.3">
      <c r="A897" s="21">
        <v>45205</v>
      </c>
      <c r="B897" t="s">
        <v>1600</v>
      </c>
      <c r="C897" s="22" t="s">
        <v>1536</v>
      </c>
      <c r="D897" s="23">
        <v>30</v>
      </c>
      <c r="E897" s="23">
        <v>0</v>
      </c>
      <c r="F897" s="23">
        <v>17836.150000000001</v>
      </c>
      <c r="G897" s="22" t="s">
        <v>2408</v>
      </c>
      <c r="H897" s="22"/>
      <c r="I897" t="s">
        <v>2401</v>
      </c>
      <c r="K897" s="24">
        <f t="shared" si="15"/>
        <v>0</v>
      </c>
    </row>
    <row r="898" spans="1:11" hidden="1" x14ac:dyDescent="0.3">
      <c r="A898" s="21">
        <v>45205</v>
      </c>
      <c r="B898" t="s">
        <v>2545</v>
      </c>
      <c r="C898" s="22" t="s">
        <v>2546</v>
      </c>
      <c r="D898" s="23">
        <v>0</v>
      </c>
      <c r="E898" s="23">
        <v>4526</v>
      </c>
      <c r="F898" s="23">
        <v>89273.96</v>
      </c>
      <c r="G898" s="22" t="s">
        <v>2544</v>
      </c>
      <c r="H898" s="22"/>
      <c r="I898" t="s">
        <v>2400</v>
      </c>
      <c r="K898" s="24">
        <f t="shared" si="15"/>
        <v>-66911.81</v>
      </c>
    </row>
    <row r="899" spans="1:11" hidden="1" x14ac:dyDescent="0.3">
      <c r="A899" s="21">
        <v>45206</v>
      </c>
      <c r="B899" t="s">
        <v>600</v>
      </c>
      <c r="C899" s="22"/>
      <c r="D899" s="23">
        <v>0</v>
      </c>
      <c r="E899" s="23">
        <v>1880</v>
      </c>
      <c r="F899" s="23">
        <v>82128.59</v>
      </c>
      <c r="G899" s="22" t="s">
        <v>2407</v>
      </c>
      <c r="H899" s="22"/>
      <c r="I899" t="s">
        <v>2403</v>
      </c>
      <c r="K899" s="24">
        <f t="shared" si="15"/>
        <v>9025.3700000000099</v>
      </c>
    </row>
    <row r="900" spans="1:11" hidden="1" x14ac:dyDescent="0.3">
      <c r="A900" s="21">
        <v>45206</v>
      </c>
      <c r="B900" t="s">
        <v>1601</v>
      </c>
      <c r="C900" s="22" t="s">
        <v>1536</v>
      </c>
      <c r="D900" s="23">
        <v>50</v>
      </c>
      <c r="E900" s="23">
        <v>0</v>
      </c>
      <c r="F900" s="23">
        <v>17786.150000000001</v>
      </c>
      <c r="G900" s="22" t="s">
        <v>2408</v>
      </c>
      <c r="H900" s="22"/>
      <c r="I900" t="s">
        <v>2401</v>
      </c>
      <c r="K900" s="24">
        <f t="shared" si="15"/>
        <v>64292.439999999995</v>
      </c>
    </row>
    <row r="901" spans="1:11" hidden="1" x14ac:dyDescent="0.3">
      <c r="A901" s="21">
        <v>45206</v>
      </c>
      <c r="B901" t="s">
        <v>1602</v>
      </c>
      <c r="C901" s="22" t="s">
        <v>1536</v>
      </c>
      <c r="D901" s="23">
        <v>10</v>
      </c>
      <c r="E901" s="23">
        <v>0</v>
      </c>
      <c r="F901" s="23">
        <v>17776.150000000001</v>
      </c>
      <c r="G901" s="22" t="s">
        <v>2541</v>
      </c>
      <c r="H901" s="22"/>
      <c r="I901" t="s">
        <v>2401</v>
      </c>
      <c r="K901" s="24">
        <f t="shared" si="15"/>
        <v>0</v>
      </c>
    </row>
    <row r="902" spans="1:11" hidden="1" x14ac:dyDescent="0.3">
      <c r="A902" s="21">
        <v>45206</v>
      </c>
      <c r="B902" t="s">
        <v>1603</v>
      </c>
      <c r="C902" s="22" t="s">
        <v>1536</v>
      </c>
      <c r="D902" s="23">
        <v>50</v>
      </c>
      <c r="E902" s="23">
        <v>0</v>
      </c>
      <c r="F902" s="23">
        <v>17726.150000000001</v>
      </c>
      <c r="G902" s="22" t="s">
        <v>2537</v>
      </c>
      <c r="H902" s="22"/>
      <c r="I902" t="s">
        <v>2401</v>
      </c>
      <c r="K902" s="24">
        <f t="shared" ref="K902:K965" si="16">F901-D902+E902-F902</f>
        <v>0</v>
      </c>
    </row>
    <row r="903" spans="1:11" hidden="1" x14ac:dyDescent="0.3">
      <c r="A903" s="21">
        <v>45206</v>
      </c>
      <c r="B903" t="s">
        <v>1604</v>
      </c>
      <c r="C903" s="22" t="s">
        <v>1536</v>
      </c>
      <c r="D903" s="23">
        <v>136</v>
      </c>
      <c r="E903" s="23">
        <v>0</v>
      </c>
      <c r="F903" s="23">
        <v>17590.150000000001</v>
      </c>
      <c r="G903" s="22" t="s">
        <v>2399</v>
      </c>
      <c r="H903" s="22"/>
      <c r="I903" t="s">
        <v>2401</v>
      </c>
      <c r="K903" s="24">
        <f t="shared" si="16"/>
        <v>0</v>
      </c>
    </row>
    <row r="904" spans="1:11" hidden="1" x14ac:dyDescent="0.3">
      <c r="A904" s="21">
        <v>45206</v>
      </c>
      <c r="B904" t="s">
        <v>1605</v>
      </c>
      <c r="C904" s="22" t="s">
        <v>1536</v>
      </c>
      <c r="D904" s="23">
        <v>70</v>
      </c>
      <c r="E904" s="23">
        <v>0</v>
      </c>
      <c r="F904" s="23">
        <v>17520.150000000001</v>
      </c>
      <c r="G904" s="22" t="s">
        <v>2408</v>
      </c>
      <c r="H904" s="22"/>
      <c r="I904" t="s">
        <v>2401</v>
      </c>
      <c r="K904" s="24">
        <f t="shared" si="16"/>
        <v>0</v>
      </c>
    </row>
    <row r="905" spans="1:11" hidden="1" x14ac:dyDescent="0.3">
      <c r="A905" s="21">
        <v>45206</v>
      </c>
      <c r="B905" t="s">
        <v>1606</v>
      </c>
      <c r="C905" s="22" t="s">
        <v>1536</v>
      </c>
      <c r="D905" s="23">
        <v>20</v>
      </c>
      <c r="E905" s="23">
        <v>0</v>
      </c>
      <c r="F905" s="23">
        <v>17500.150000000001</v>
      </c>
      <c r="G905" s="22" t="s">
        <v>2408</v>
      </c>
      <c r="H905" s="22"/>
      <c r="I905" t="s">
        <v>2401</v>
      </c>
      <c r="K905" s="24">
        <f t="shared" si="16"/>
        <v>0</v>
      </c>
    </row>
    <row r="906" spans="1:11" hidden="1" x14ac:dyDescent="0.3">
      <c r="A906" s="21">
        <v>45207</v>
      </c>
      <c r="B906" t="s">
        <v>1607</v>
      </c>
      <c r="C906" s="22" t="s">
        <v>1536</v>
      </c>
      <c r="D906" s="23">
        <v>20</v>
      </c>
      <c r="E906" s="23">
        <v>0</v>
      </c>
      <c r="F906" s="23">
        <v>17480.150000000001</v>
      </c>
      <c r="G906" s="22" t="s">
        <v>2408</v>
      </c>
      <c r="H906" s="22"/>
      <c r="I906" t="s">
        <v>2401</v>
      </c>
      <c r="K906" s="24">
        <f t="shared" si="16"/>
        <v>0</v>
      </c>
    </row>
    <row r="907" spans="1:11" hidden="1" x14ac:dyDescent="0.3">
      <c r="A907" s="21">
        <v>45207</v>
      </c>
      <c r="B907" t="s">
        <v>1608</v>
      </c>
      <c r="C907" s="22" t="s">
        <v>1536</v>
      </c>
      <c r="D907" s="23">
        <v>50</v>
      </c>
      <c r="E907" s="23">
        <v>0</v>
      </c>
      <c r="F907" s="23">
        <v>17430.150000000001</v>
      </c>
      <c r="G907" s="22" t="s">
        <v>2408</v>
      </c>
      <c r="H907" s="22"/>
      <c r="I907" t="s">
        <v>2401</v>
      </c>
      <c r="K907" s="24">
        <f t="shared" si="16"/>
        <v>0</v>
      </c>
    </row>
    <row r="908" spans="1:11" hidden="1" x14ac:dyDescent="0.3">
      <c r="A908" s="21">
        <v>45207</v>
      </c>
      <c r="B908" t="s">
        <v>1609</v>
      </c>
      <c r="C908" s="22" t="s">
        <v>1536</v>
      </c>
      <c r="D908" s="23">
        <v>264.85000000000002</v>
      </c>
      <c r="E908" s="23">
        <v>0</v>
      </c>
      <c r="F908" s="23">
        <v>17165.3</v>
      </c>
      <c r="G908" s="22" t="s">
        <v>2399</v>
      </c>
      <c r="H908" s="22"/>
      <c r="I908" t="s">
        <v>2401</v>
      </c>
      <c r="K908" s="24">
        <f t="shared" si="16"/>
        <v>0</v>
      </c>
    </row>
    <row r="909" spans="1:11" hidden="1" x14ac:dyDescent="0.3">
      <c r="A909" s="21">
        <v>45207</v>
      </c>
      <c r="B909" t="s">
        <v>1610</v>
      </c>
      <c r="C909" s="22" t="s">
        <v>1536</v>
      </c>
      <c r="D909" s="23">
        <v>10</v>
      </c>
      <c r="E909" s="23">
        <v>0</v>
      </c>
      <c r="F909" s="23">
        <v>17155.3</v>
      </c>
      <c r="G909" s="22" t="s">
        <v>2541</v>
      </c>
      <c r="H909" s="22"/>
      <c r="I909" t="s">
        <v>2401</v>
      </c>
      <c r="K909" s="24">
        <f t="shared" si="16"/>
        <v>0</v>
      </c>
    </row>
    <row r="910" spans="1:11" hidden="1" x14ac:dyDescent="0.3">
      <c r="A910" s="21">
        <v>45207</v>
      </c>
      <c r="B910" t="s">
        <v>1611</v>
      </c>
      <c r="C910" s="22" t="s">
        <v>1536</v>
      </c>
      <c r="D910" s="23">
        <v>50</v>
      </c>
      <c r="E910" s="23">
        <v>0</v>
      </c>
      <c r="F910" s="23">
        <v>17105.3</v>
      </c>
      <c r="G910" s="22" t="s">
        <v>2537</v>
      </c>
      <c r="H910" s="22"/>
      <c r="I910" t="s">
        <v>2401</v>
      </c>
      <c r="K910" s="24">
        <f t="shared" si="16"/>
        <v>0</v>
      </c>
    </row>
    <row r="911" spans="1:11" hidden="1" x14ac:dyDescent="0.3">
      <c r="A911" s="21">
        <v>45207</v>
      </c>
      <c r="B911" t="s">
        <v>1612</v>
      </c>
      <c r="C911" s="22" t="s">
        <v>1536</v>
      </c>
      <c r="D911" s="23">
        <v>336</v>
      </c>
      <c r="E911" s="23">
        <v>0</v>
      </c>
      <c r="F911" s="23">
        <v>16769.3</v>
      </c>
      <c r="G911" s="22" t="s">
        <v>2399</v>
      </c>
      <c r="H911" s="22"/>
      <c r="I911" t="s">
        <v>2401</v>
      </c>
      <c r="K911" s="24">
        <f t="shared" si="16"/>
        <v>0</v>
      </c>
    </row>
    <row r="912" spans="1:11" hidden="1" x14ac:dyDescent="0.3">
      <c r="A912" s="21">
        <v>45207</v>
      </c>
      <c r="B912" t="s">
        <v>1613</v>
      </c>
      <c r="C912" s="22" t="s">
        <v>1536</v>
      </c>
      <c r="D912" s="23">
        <v>50</v>
      </c>
      <c r="E912" s="23">
        <v>0</v>
      </c>
      <c r="F912" s="23">
        <v>16719.3</v>
      </c>
      <c r="G912" s="22" t="s">
        <v>2408</v>
      </c>
      <c r="H912" s="22"/>
      <c r="I912" t="s">
        <v>2401</v>
      </c>
      <c r="K912" s="24">
        <f t="shared" si="16"/>
        <v>0</v>
      </c>
    </row>
    <row r="913" spans="1:11" hidden="1" x14ac:dyDescent="0.3">
      <c r="A913" s="21">
        <v>45208</v>
      </c>
      <c r="B913" t="s">
        <v>133</v>
      </c>
      <c r="C913" s="22"/>
      <c r="D913" s="23">
        <v>187.95</v>
      </c>
      <c r="E913" s="23">
        <v>0</v>
      </c>
      <c r="F913" s="23">
        <v>81940.639999999999</v>
      </c>
      <c r="G913" s="22" t="s">
        <v>2406</v>
      </c>
      <c r="H913" s="22"/>
      <c r="I913" t="s">
        <v>2403</v>
      </c>
      <c r="K913" s="24">
        <f t="shared" si="16"/>
        <v>-65409.29</v>
      </c>
    </row>
    <row r="914" spans="1:11" hidden="1" x14ac:dyDescent="0.3">
      <c r="A914" s="21">
        <v>45208</v>
      </c>
      <c r="B914" t="s">
        <v>133</v>
      </c>
      <c r="C914" s="22"/>
      <c r="D914" s="23">
        <v>5614.82</v>
      </c>
      <c r="E914" s="23">
        <v>0</v>
      </c>
      <c r="F914" s="23">
        <v>76325.820000000007</v>
      </c>
      <c r="G914" s="22" t="s">
        <v>2406</v>
      </c>
      <c r="H914" s="22"/>
      <c r="I914" t="s">
        <v>2403</v>
      </c>
      <c r="K914" s="24">
        <f t="shared" si="16"/>
        <v>0</v>
      </c>
    </row>
    <row r="915" spans="1:11" hidden="1" x14ac:dyDescent="0.3">
      <c r="A915" s="21">
        <v>45208</v>
      </c>
      <c r="B915" t="s">
        <v>1614</v>
      </c>
      <c r="C915" s="22" t="s">
        <v>1536</v>
      </c>
      <c r="D915" s="23">
        <v>122</v>
      </c>
      <c r="E915" s="23">
        <v>0</v>
      </c>
      <c r="F915" s="23">
        <v>16597.3</v>
      </c>
      <c r="G915" s="22" t="s">
        <v>2399</v>
      </c>
      <c r="H915" s="22"/>
      <c r="I915" t="s">
        <v>2401</v>
      </c>
      <c r="K915" s="24">
        <f t="shared" si="16"/>
        <v>59606.520000000004</v>
      </c>
    </row>
    <row r="916" spans="1:11" hidden="1" x14ac:dyDescent="0.3">
      <c r="A916" s="21">
        <v>45208</v>
      </c>
      <c r="B916" t="s">
        <v>1615</v>
      </c>
      <c r="C916" s="22" t="s">
        <v>1536</v>
      </c>
      <c r="D916" s="23">
        <v>10</v>
      </c>
      <c r="E916" s="23">
        <v>0</v>
      </c>
      <c r="F916" s="23">
        <v>16587.3</v>
      </c>
      <c r="G916" s="22" t="s">
        <v>2541</v>
      </c>
      <c r="H916" s="22"/>
      <c r="I916" t="s">
        <v>2401</v>
      </c>
      <c r="K916" s="24">
        <f t="shared" si="16"/>
        <v>0</v>
      </c>
    </row>
    <row r="917" spans="1:11" hidden="1" x14ac:dyDescent="0.3">
      <c r="A917" s="21">
        <v>45208</v>
      </c>
      <c r="B917" t="s">
        <v>1616</v>
      </c>
      <c r="C917" s="22" t="s">
        <v>1536</v>
      </c>
      <c r="D917" s="23">
        <v>50</v>
      </c>
      <c r="E917" s="23">
        <v>0</v>
      </c>
      <c r="F917" s="23">
        <v>16537.3</v>
      </c>
      <c r="G917" s="22" t="s">
        <v>2537</v>
      </c>
      <c r="H917" s="22"/>
      <c r="I917" t="s">
        <v>2401</v>
      </c>
      <c r="K917" s="24">
        <f t="shared" si="16"/>
        <v>0</v>
      </c>
    </row>
    <row r="918" spans="1:11" hidden="1" x14ac:dyDescent="0.3">
      <c r="A918" s="21">
        <v>45208</v>
      </c>
      <c r="B918" t="s">
        <v>1617</v>
      </c>
      <c r="C918" s="22" t="s">
        <v>1536</v>
      </c>
      <c r="D918" s="23">
        <v>30</v>
      </c>
      <c r="E918" s="23">
        <v>0</v>
      </c>
      <c r="F918" s="23">
        <v>16507.3</v>
      </c>
      <c r="G918" s="22" t="s">
        <v>2408</v>
      </c>
      <c r="H918" s="22"/>
      <c r="I918" t="s">
        <v>2401</v>
      </c>
      <c r="K918" s="24">
        <f t="shared" si="16"/>
        <v>0</v>
      </c>
    </row>
    <row r="919" spans="1:11" hidden="1" x14ac:dyDescent="0.3">
      <c r="A919" s="21">
        <v>45208</v>
      </c>
      <c r="B919" t="s">
        <v>1618</v>
      </c>
      <c r="C919" s="22" t="s">
        <v>1536</v>
      </c>
      <c r="D919" s="23">
        <v>20</v>
      </c>
      <c r="E919" s="23">
        <v>0</v>
      </c>
      <c r="F919" s="23">
        <v>16487.3</v>
      </c>
      <c r="G919" s="22" t="s">
        <v>2408</v>
      </c>
      <c r="H919" s="22"/>
      <c r="I919" t="s">
        <v>2401</v>
      </c>
      <c r="K919" s="24">
        <f t="shared" si="16"/>
        <v>0</v>
      </c>
    </row>
    <row r="920" spans="1:11" hidden="1" x14ac:dyDescent="0.3">
      <c r="A920" s="21">
        <v>45208</v>
      </c>
      <c r="B920" t="s">
        <v>1619</v>
      </c>
      <c r="C920" s="22" t="s">
        <v>1536</v>
      </c>
      <c r="D920" s="23">
        <v>983.95</v>
      </c>
      <c r="E920" s="23">
        <v>0</v>
      </c>
      <c r="F920" s="23">
        <v>15503.35</v>
      </c>
      <c r="G920" s="22" t="s">
        <v>2399</v>
      </c>
      <c r="H920" s="22"/>
      <c r="I920" t="s">
        <v>2401</v>
      </c>
      <c r="K920" s="24">
        <f t="shared" si="16"/>
        <v>0</v>
      </c>
    </row>
    <row r="921" spans="1:11" hidden="1" x14ac:dyDescent="0.3">
      <c r="A921" s="21">
        <v>45208</v>
      </c>
      <c r="B921" t="s">
        <v>1620</v>
      </c>
      <c r="C921" s="22" t="s">
        <v>1536</v>
      </c>
      <c r="D921" s="23">
        <v>97.15</v>
      </c>
      <c r="E921" s="23">
        <v>0</v>
      </c>
      <c r="F921" s="23">
        <v>15406.2</v>
      </c>
      <c r="G921" s="22" t="s">
        <v>2408</v>
      </c>
      <c r="H921" s="22"/>
      <c r="I921" t="s">
        <v>2401</v>
      </c>
      <c r="K921" s="24">
        <f t="shared" si="16"/>
        <v>0</v>
      </c>
    </row>
    <row r="922" spans="1:11" hidden="1" x14ac:dyDescent="0.3">
      <c r="A922" s="21">
        <v>45208</v>
      </c>
      <c r="B922" t="s">
        <v>1621</v>
      </c>
      <c r="C922" s="22" t="s">
        <v>1536</v>
      </c>
      <c r="D922" s="23">
        <v>70</v>
      </c>
      <c r="E922" s="23">
        <v>0</v>
      </c>
      <c r="F922" s="23">
        <v>15336.2</v>
      </c>
      <c r="G922" s="22" t="s">
        <v>2408</v>
      </c>
      <c r="H922" s="22"/>
      <c r="I922" t="s">
        <v>2401</v>
      </c>
      <c r="K922" s="24">
        <f t="shared" si="16"/>
        <v>0</v>
      </c>
    </row>
    <row r="923" spans="1:11" hidden="1" x14ac:dyDescent="0.3">
      <c r="A923" s="21">
        <v>45208</v>
      </c>
      <c r="B923" t="s">
        <v>2547</v>
      </c>
      <c r="C923" s="22" t="s">
        <v>1191</v>
      </c>
      <c r="D923" s="23">
        <v>10000</v>
      </c>
      <c r="E923" s="23">
        <v>0</v>
      </c>
      <c r="F923" s="23">
        <v>79273.960000000006</v>
      </c>
      <c r="G923" s="22" t="s">
        <v>2399</v>
      </c>
      <c r="H923" s="22"/>
      <c r="I923" t="s">
        <v>2400</v>
      </c>
      <c r="K923" s="24">
        <f t="shared" si="16"/>
        <v>-73937.760000000009</v>
      </c>
    </row>
    <row r="924" spans="1:11" hidden="1" x14ac:dyDescent="0.3">
      <c r="A924" s="21">
        <v>45208</v>
      </c>
      <c r="B924" t="s">
        <v>2548</v>
      </c>
      <c r="C924" s="22" t="s">
        <v>2549</v>
      </c>
      <c r="D924" s="23">
        <v>0</v>
      </c>
      <c r="E924" s="23">
        <v>10000</v>
      </c>
      <c r="F924" s="23">
        <v>89273.96</v>
      </c>
      <c r="G924" s="22" t="s">
        <v>2399</v>
      </c>
      <c r="H924" s="22"/>
      <c r="I924" t="s">
        <v>2400</v>
      </c>
      <c r="K924" s="24">
        <f t="shared" si="16"/>
        <v>0</v>
      </c>
    </row>
    <row r="925" spans="1:11" hidden="1" x14ac:dyDescent="0.3">
      <c r="A925" s="21">
        <v>45208</v>
      </c>
      <c r="B925" t="s">
        <v>2550</v>
      </c>
      <c r="C925" s="22" t="s">
        <v>2551</v>
      </c>
      <c r="D925" s="23">
        <v>0</v>
      </c>
      <c r="E925" s="23">
        <v>1</v>
      </c>
      <c r="F925" s="23">
        <v>89274.96</v>
      </c>
      <c r="G925" s="22" t="s">
        <v>2646</v>
      </c>
      <c r="H925" s="22"/>
      <c r="I925" t="s">
        <v>2400</v>
      </c>
      <c r="K925" s="24">
        <f t="shared" si="16"/>
        <v>0</v>
      </c>
    </row>
    <row r="926" spans="1:11" hidden="1" x14ac:dyDescent="0.3">
      <c r="A926" s="21">
        <v>45208</v>
      </c>
      <c r="B926" t="s">
        <v>2552</v>
      </c>
      <c r="C926" s="22" t="s">
        <v>1191</v>
      </c>
      <c r="D926" s="23">
        <v>10000</v>
      </c>
      <c r="E926" s="23">
        <v>0</v>
      </c>
      <c r="F926" s="23">
        <v>79274.960000000006</v>
      </c>
      <c r="G926" s="22" t="s">
        <v>2399</v>
      </c>
      <c r="H926" s="22"/>
      <c r="I926" t="s">
        <v>2400</v>
      </c>
      <c r="K926" s="24">
        <f t="shared" si="16"/>
        <v>0</v>
      </c>
    </row>
    <row r="927" spans="1:11" hidden="1" x14ac:dyDescent="0.3">
      <c r="A927" s="21">
        <v>45208</v>
      </c>
      <c r="B927" t="s">
        <v>2553</v>
      </c>
      <c r="C927" s="22" t="s">
        <v>2554</v>
      </c>
      <c r="D927" s="23">
        <v>0</v>
      </c>
      <c r="E927" s="23">
        <v>6.75</v>
      </c>
      <c r="F927" s="23">
        <v>79281.710000000006</v>
      </c>
      <c r="G927" s="22" t="s">
        <v>2646</v>
      </c>
      <c r="H927" s="22"/>
      <c r="I927" t="s">
        <v>2400</v>
      </c>
      <c r="K927" s="24">
        <f t="shared" si="16"/>
        <v>0</v>
      </c>
    </row>
    <row r="928" spans="1:11" hidden="1" x14ac:dyDescent="0.3">
      <c r="A928" s="21">
        <v>45209</v>
      </c>
      <c r="B928" t="s">
        <v>133</v>
      </c>
      <c r="C928" s="22"/>
      <c r="D928" s="23">
        <v>59.88</v>
      </c>
      <c r="E928" s="23">
        <v>0</v>
      </c>
      <c r="F928" s="23">
        <v>76265.94</v>
      </c>
      <c r="G928" s="22" t="s">
        <v>2406</v>
      </c>
      <c r="H928" s="22"/>
      <c r="I928" t="s">
        <v>2403</v>
      </c>
      <c r="K928" s="24">
        <f t="shared" si="16"/>
        <v>2955.8899999999994</v>
      </c>
    </row>
    <row r="929" spans="1:11" hidden="1" x14ac:dyDescent="0.3">
      <c r="A929" s="21">
        <v>45209</v>
      </c>
      <c r="B929" t="s">
        <v>1622</v>
      </c>
      <c r="C929" s="22" t="s">
        <v>1536</v>
      </c>
      <c r="D929" s="23">
        <v>182.5</v>
      </c>
      <c r="E929" s="23">
        <v>0</v>
      </c>
      <c r="F929" s="23">
        <v>15153.7</v>
      </c>
      <c r="G929" s="22" t="s">
        <v>2399</v>
      </c>
      <c r="H929" s="22"/>
      <c r="I929" t="s">
        <v>2401</v>
      </c>
      <c r="K929" s="24">
        <f t="shared" si="16"/>
        <v>60929.740000000005</v>
      </c>
    </row>
    <row r="930" spans="1:11" hidden="1" x14ac:dyDescent="0.3">
      <c r="A930" s="21">
        <v>45209</v>
      </c>
      <c r="B930" t="s">
        <v>1623</v>
      </c>
      <c r="C930" s="22" t="s">
        <v>1536</v>
      </c>
      <c r="D930" s="23">
        <v>75</v>
      </c>
      <c r="E930" s="23">
        <v>0</v>
      </c>
      <c r="F930" s="23">
        <v>15078.7</v>
      </c>
      <c r="G930" s="22" t="s">
        <v>2408</v>
      </c>
      <c r="H930" s="22"/>
      <c r="I930" t="s">
        <v>2401</v>
      </c>
      <c r="K930" s="24">
        <f t="shared" si="16"/>
        <v>0</v>
      </c>
    </row>
    <row r="931" spans="1:11" hidden="1" x14ac:dyDescent="0.3">
      <c r="A931" s="21">
        <v>45209</v>
      </c>
      <c r="B931" t="s">
        <v>1624</v>
      </c>
      <c r="C931" s="22" t="s">
        <v>1536</v>
      </c>
      <c r="D931" s="23">
        <v>10</v>
      </c>
      <c r="E931" s="23">
        <v>0</v>
      </c>
      <c r="F931" s="23">
        <v>15068.7</v>
      </c>
      <c r="G931" s="22" t="s">
        <v>2541</v>
      </c>
      <c r="H931" s="22"/>
      <c r="I931" t="s">
        <v>2401</v>
      </c>
      <c r="K931" s="24">
        <f t="shared" si="16"/>
        <v>0</v>
      </c>
    </row>
    <row r="932" spans="1:11" hidden="1" x14ac:dyDescent="0.3">
      <c r="A932" s="21">
        <v>45209</v>
      </c>
      <c r="B932" t="s">
        <v>1625</v>
      </c>
      <c r="C932" s="22" t="s">
        <v>1536</v>
      </c>
      <c r="D932" s="23">
        <v>50</v>
      </c>
      <c r="E932" s="23">
        <v>0</v>
      </c>
      <c r="F932" s="23">
        <v>15018.7</v>
      </c>
      <c r="G932" s="22" t="s">
        <v>2537</v>
      </c>
      <c r="H932" s="22"/>
      <c r="I932" t="s">
        <v>2401</v>
      </c>
      <c r="K932" s="24">
        <f t="shared" si="16"/>
        <v>0</v>
      </c>
    </row>
    <row r="933" spans="1:11" hidden="1" x14ac:dyDescent="0.3">
      <c r="A933" s="21">
        <v>45209</v>
      </c>
      <c r="B933" t="s">
        <v>1626</v>
      </c>
      <c r="C933" s="22" t="s">
        <v>1536</v>
      </c>
      <c r="D933" s="23">
        <v>1700</v>
      </c>
      <c r="E933" s="23">
        <v>0</v>
      </c>
      <c r="F933" s="23">
        <v>13318.7</v>
      </c>
      <c r="G933" s="22" t="s">
        <v>2399</v>
      </c>
      <c r="H933" s="22"/>
      <c r="I933" t="s">
        <v>2401</v>
      </c>
      <c r="K933" s="24">
        <f t="shared" si="16"/>
        <v>0</v>
      </c>
    </row>
    <row r="934" spans="1:11" hidden="1" x14ac:dyDescent="0.3">
      <c r="A934" s="21">
        <v>45209</v>
      </c>
      <c r="B934" t="s">
        <v>1627</v>
      </c>
      <c r="C934" s="22" t="s">
        <v>1536</v>
      </c>
      <c r="D934" s="23">
        <v>18</v>
      </c>
      <c r="E934" s="23">
        <v>0</v>
      </c>
      <c r="F934" s="23">
        <v>13300.7</v>
      </c>
      <c r="G934" s="22" t="s">
        <v>2408</v>
      </c>
      <c r="H934" s="22"/>
      <c r="I934" t="s">
        <v>2401</v>
      </c>
      <c r="K934" s="24">
        <f t="shared" si="16"/>
        <v>0</v>
      </c>
    </row>
    <row r="935" spans="1:11" hidden="1" x14ac:dyDescent="0.3">
      <c r="A935" s="21">
        <v>45209</v>
      </c>
      <c r="B935" t="s">
        <v>1628</v>
      </c>
      <c r="C935" s="22" t="s">
        <v>1536</v>
      </c>
      <c r="D935" s="23">
        <v>20</v>
      </c>
      <c r="E935" s="23">
        <v>0</v>
      </c>
      <c r="F935" s="23">
        <v>13280.7</v>
      </c>
      <c r="G935" s="22" t="s">
        <v>2408</v>
      </c>
      <c r="H935" s="22"/>
      <c r="I935" t="s">
        <v>2401</v>
      </c>
      <c r="K935" s="24">
        <f t="shared" si="16"/>
        <v>0</v>
      </c>
    </row>
    <row r="936" spans="1:11" hidden="1" x14ac:dyDescent="0.3">
      <c r="A936" s="21">
        <v>45210</v>
      </c>
      <c r="B936" t="s">
        <v>496</v>
      </c>
      <c r="C936" s="22"/>
      <c r="D936" s="23">
        <v>0</v>
      </c>
      <c r="E936" s="23">
        <v>349.91</v>
      </c>
      <c r="F936" s="23">
        <v>76615.850000000006</v>
      </c>
      <c r="G936" s="22" t="s">
        <v>2406</v>
      </c>
      <c r="H936" s="22"/>
      <c r="I936" t="s">
        <v>2403</v>
      </c>
      <c r="K936" s="24">
        <f t="shared" si="16"/>
        <v>-62985.240000000005</v>
      </c>
    </row>
    <row r="937" spans="1:11" hidden="1" x14ac:dyDescent="0.3">
      <c r="A937" s="21">
        <v>45210</v>
      </c>
      <c r="B937" t="s">
        <v>154</v>
      </c>
      <c r="C937" s="22"/>
      <c r="D937" s="23">
        <v>3000</v>
      </c>
      <c r="E937" s="23">
        <v>0</v>
      </c>
      <c r="F937" s="23">
        <v>73615.850000000006</v>
      </c>
      <c r="G937" s="22" t="s">
        <v>2418</v>
      </c>
      <c r="H937" s="22"/>
      <c r="I937" t="s">
        <v>2403</v>
      </c>
      <c r="K937" s="24">
        <f t="shared" si="16"/>
        <v>0</v>
      </c>
    </row>
    <row r="938" spans="1:11" hidden="1" x14ac:dyDescent="0.3">
      <c r="A938" s="21">
        <v>45210</v>
      </c>
      <c r="B938" t="s">
        <v>133</v>
      </c>
      <c r="C938" s="22"/>
      <c r="D938" s="23">
        <v>69.08</v>
      </c>
      <c r="E938" s="23">
        <v>0</v>
      </c>
      <c r="F938" s="23">
        <v>73546.77</v>
      </c>
      <c r="G938" s="22" t="s">
        <v>2406</v>
      </c>
      <c r="H938" s="22"/>
      <c r="I938" t="s">
        <v>2403</v>
      </c>
      <c r="K938" s="24">
        <f t="shared" si="16"/>
        <v>0</v>
      </c>
    </row>
    <row r="939" spans="1:11" hidden="1" x14ac:dyDescent="0.3">
      <c r="A939" s="21">
        <v>45210</v>
      </c>
      <c r="B939" t="s">
        <v>1629</v>
      </c>
      <c r="C939" s="22" t="s">
        <v>1536</v>
      </c>
      <c r="D939" s="23">
        <v>75</v>
      </c>
      <c r="E939" s="23">
        <v>0</v>
      </c>
      <c r="F939" s="23">
        <v>13205.7</v>
      </c>
      <c r="G939" s="22" t="s">
        <v>2408</v>
      </c>
      <c r="H939" s="22"/>
      <c r="I939" t="s">
        <v>2401</v>
      </c>
      <c r="K939" s="24">
        <f t="shared" si="16"/>
        <v>60266.070000000007</v>
      </c>
    </row>
    <row r="940" spans="1:11" hidden="1" x14ac:dyDescent="0.3">
      <c r="A940" s="21">
        <v>45210</v>
      </c>
      <c r="B940" t="s">
        <v>1630</v>
      </c>
      <c r="C940" s="22" t="s">
        <v>1536</v>
      </c>
      <c r="D940" s="23">
        <v>10</v>
      </c>
      <c r="E940" s="23">
        <v>0</v>
      </c>
      <c r="F940" s="23">
        <v>13195.7</v>
      </c>
      <c r="G940" s="22" t="s">
        <v>2541</v>
      </c>
      <c r="H940" s="22"/>
      <c r="I940" t="s">
        <v>2401</v>
      </c>
      <c r="K940" s="24">
        <f t="shared" si="16"/>
        <v>0</v>
      </c>
    </row>
    <row r="941" spans="1:11" hidden="1" x14ac:dyDescent="0.3">
      <c r="A941" s="21">
        <v>45210</v>
      </c>
      <c r="B941" t="s">
        <v>1631</v>
      </c>
      <c r="C941" s="22" t="s">
        <v>1536</v>
      </c>
      <c r="D941" s="23">
        <v>1000</v>
      </c>
      <c r="E941" s="23">
        <v>0</v>
      </c>
      <c r="F941" s="23">
        <v>12195.7</v>
      </c>
      <c r="G941" s="22" t="s">
        <v>2536</v>
      </c>
      <c r="H941" s="22"/>
      <c r="I941" t="s">
        <v>2401</v>
      </c>
      <c r="K941" s="24">
        <f t="shared" si="16"/>
        <v>0</v>
      </c>
    </row>
    <row r="942" spans="1:11" hidden="1" x14ac:dyDescent="0.3">
      <c r="A942" s="21">
        <v>45210</v>
      </c>
      <c r="B942" t="s">
        <v>1632</v>
      </c>
      <c r="C942" s="22" t="s">
        <v>1536</v>
      </c>
      <c r="D942" s="23">
        <v>50</v>
      </c>
      <c r="E942" s="23">
        <v>0</v>
      </c>
      <c r="F942" s="23">
        <v>12145.7</v>
      </c>
      <c r="G942" s="22" t="s">
        <v>2537</v>
      </c>
      <c r="H942" s="22"/>
      <c r="I942" t="s">
        <v>2401</v>
      </c>
      <c r="K942" s="24">
        <f t="shared" si="16"/>
        <v>0</v>
      </c>
    </row>
    <row r="943" spans="1:11" hidden="1" x14ac:dyDescent="0.3">
      <c r="A943" s="21">
        <v>45210</v>
      </c>
      <c r="B943" t="s">
        <v>1633</v>
      </c>
      <c r="C943" s="22" t="s">
        <v>1536</v>
      </c>
      <c r="D943" s="23">
        <v>0</v>
      </c>
      <c r="E943" s="23">
        <v>1001</v>
      </c>
      <c r="F943" s="23">
        <v>13146.7</v>
      </c>
      <c r="G943" s="22" t="s">
        <v>2538</v>
      </c>
      <c r="H943" s="22"/>
      <c r="I943" t="s">
        <v>2401</v>
      </c>
      <c r="K943" s="24">
        <f t="shared" si="16"/>
        <v>0</v>
      </c>
    </row>
    <row r="944" spans="1:11" hidden="1" x14ac:dyDescent="0.3">
      <c r="A944" s="21">
        <v>45210</v>
      </c>
      <c r="B944" t="s">
        <v>1634</v>
      </c>
      <c r="C944" s="22" t="s">
        <v>1536</v>
      </c>
      <c r="D944" s="23">
        <v>0</v>
      </c>
      <c r="E944" s="23">
        <v>450</v>
      </c>
      <c r="F944" s="23">
        <v>13596.7</v>
      </c>
      <c r="G944" s="22" t="s">
        <v>2537</v>
      </c>
      <c r="H944" s="22"/>
      <c r="I944" t="s">
        <v>2401</v>
      </c>
      <c r="K944" s="24">
        <f t="shared" si="16"/>
        <v>0</v>
      </c>
    </row>
    <row r="945" spans="1:11" hidden="1" x14ac:dyDescent="0.3">
      <c r="A945" s="21">
        <v>45210</v>
      </c>
      <c r="B945" t="s">
        <v>1635</v>
      </c>
      <c r="C945" s="22" t="s">
        <v>1536</v>
      </c>
      <c r="D945" s="23">
        <v>0</v>
      </c>
      <c r="E945" s="23">
        <v>2000</v>
      </c>
      <c r="F945" s="23">
        <v>15596.7</v>
      </c>
      <c r="G945" s="22" t="s">
        <v>2536</v>
      </c>
      <c r="H945" s="22"/>
      <c r="I945" t="s">
        <v>2401</v>
      </c>
      <c r="K945" s="24">
        <f t="shared" si="16"/>
        <v>0</v>
      </c>
    </row>
    <row r="946" spans="1:11" hidden="1" x14ac:dyDescent="0.3">
      <c r="A946" s="21">
        <v>45210</v>
      </c>
      <c r="B946" t="s">
        <v>1636</v>
      </c>
      <c r="C946" s="22" t="s">
        <v>1536</v>
      </c>
      <c r="D946" s="23">
        <v>0</v>
      </c>
      <c r="E946" s="23">
        <v>200</v>
      </c>
      <c r="F946" s="23">
        <v>15796.7</v>
      </c>
      <c r="G946" s="22" t="s">
        <v>2555</v>
      </c>
      <c r="H946" s="22"/>
      <c r="I946" t="s">
        <v>2401</v>
      </c>
      <c r="K946" s="24">
        <f t="shared" si="16"/>
        <v>0</v>
      </c>
    </row>
    <row r="947" spans="1:11" hidden="1" x14ac:dyDescent="0.3">
      <c r="A947" s="21">
        <v>45211</v>
      </c>
      <c r="B947" t="s">
        <v>496</v>
      </c>
      <c r="C947" s="22"/>
      <c r="D947" s="23">
        <v>0</v>
      </c>
      <c r="E947" s="23">
        <v>184.48</v>
      </c>
      <c r="F947" s="23">
        <v>73731.25</v>
      </c>
      <c r="G947" s="22" t="s">
        <v>2406</v>
      </c>
      <c r="H947" s="22"/>
      <c r="I947" t="s">
        <v>2403</v>
      </c>
      <c r="K947" s="24">
        <f t="shared" si="16"/>
        <v>-57750.07</v>
      </c>
    </row>
    <row r="948" spans="1:11" hidden="1" x14ac:dyDescent="0.3">
      <c r="A948" s="21">
        <v>45211</v>
      </c>
      <c r="B948" t="s">
        <v>133</v>
      </c>
      <c r="C948" s="22"/>
      <c r="D948" s="23">
        <v>69.25</v>
      </c>
      <c r="E948" s="23">
        <v>0</v>
      </c>
      <c r="F948" s="23">
        <v>73662</v>
      </c>
      <c r="G948" s="22" t="s">
        <v>2406</v>
      </c>
      <c r="H948" s="22"/>
      <c r="I948" t="s">
        <v>2403</v>
      </c>
      <c r="K948" s="24">
        <f t="shared" si="16"/>
        <v>0</v>
      </c>
    </row>
    <row r="949" spans="1:11" hidden="1" x14ac:dyDescent="0.3">
      <c r="A949" s="21">
        <v>45211</v>
      </c>
      <c r="B949" t="s">
        <v>610</v>
      </c>
      <c r="C949" s="22"/>
      <c r="D949" s="23">
        <v>1144.5999999999999</v>
      </c>
      <c r="E949" s="23">
        <v>0</v>
      </c>
      <c r="F949" s="23">
        <v>72517.399999999994</v>
      </c>
      <c r="G949" s="22" t="s">
        <v>2410</v>
      </c>
      <c r="H949" s="22"/>
      <c r="I949" t="s">
        <v>2403</v>
      </c>
      <c r="K949" s="24">
        <f t="shared" si="16"/>
        <v>0</v>
      </c>
    </row>
    <row r="950" spans="1:11" hidden="1" x14ac:dyDescent="0.3">
      <c r="A950" s="21">
        <v>45211</v>
      </c>
      <c r="B950" t="s">
        <v>611</v>
      </c>
      <c r="C950" s="22"/>
      <c r="D950" s="23">
        <v>0</v>
      </c>
      <c r="E950" s="23">
        <v>90</v>
      </c>
      <c r="F950" s="23">
        <v>72607.399999999994</v>
      </c>
      <c r="G950" s="22" t="s">
        <v>2409</v>
      </c>
      <c r="H950" s="22"/>
      <c r="I950" t="s">
        <v>2403</v>
      </c>
      <c r="K950" s="24">
        <f t="shared" si="16"/>
        <v>0</v>
      </c>
    </row>
    <row r="951" spans="1:11" hidden="1" x14ac:dyDescent="0.3">
      <c r="A951" s="21">
        <v>45211</v>
      </c>
      <c r="B951" t="s">
        <v>133</v>
      </c>
      <c r="C951" s="22"/>
      <c r="D951" s="23">
        <v>7309.53</v>
      </c>
      <c r="E951" s="23">
        <v>0</v>
      </c>
      <c r="F951" s="23">
        <v>65297.87</v>
      </c>
      <c r="G951" s="22" t="s">
        <v>2406</v>
      </c>
      <c r="H951" s="22"/>
      <c r="I951" t="s">
        <v>2403</v>
      </c>
      <c r="K951" s="24">
        <f t="shared" si="16"/>
        <v>0</v>
      </c>
    </row>
    <row r="952" spans="1:11" hidden="1" x14ac:dyDescent="0.3">
      <c r="A952" s="21">
        <v>45211</v>
      </c>
      <c r="B952" t="s">
        <v>1637</v>
      </c>
      <c r="C952" s="22" t="s">
        <v>1536</v>
      </c>
      <c r="D952" s="23">
        <v>10</v>
      </c>
      <c r="E952" s="23">
        <v>0</v>
      </c>
      <c r="F952" s="23">
        <v>15786.7</v>
      </c>
      <c r="G952" s="22" t="s">
        <v>2541</v>
      </c>
      <c r="H952" s="22"/>
      <c r="I952" t="s">
        <v>2401</v>
      </c>
      <c r="K952" s="24">
        <f t="shared" si="16"/>
        <v>49501.17</v>
      </c>
    </row>
    <row r="953" spans="1:11" hidden="1" x14ac:dyDescent="0.3">
      <c r="A953" s="21">
        <v>45211</v>
      </c>
      <c r="B953" t="s">
        <v>1638</v>
      </c>
      <c r="C953" s="22" t="s">
        <v>1536</v>
      </c>
      <c r="D953" s="23">
        <v>10</v>
      </c>
      <c r="E953" s="23">
        <v>0</v>
      </c>
      <c r="F953" s="23">
        <v>15776.7</v>
      </c>
      <c r="G953" s="22" t="s">
        <v>2408</v>
      </c>
      <c r="H953" s="22"/>
      <c r="I953" t="s">
        <v>2401</v>
      </c>
      <c r="K953" s="24">
        <f t="shared" si="16"/>
        <v>0</v>
      </c>
    </row>
    <row r="954" spans="1:11" hidden="1" x14ac:dyDescent="0.3">
      <c r="A954" s="21">
        <v>45211</v>
      </c>
      <c r="B954" t="s">
        <v>2556</v>
      </c>
      <c r="C954" s="22" t="s">
        <v>2557</v>
      </c>
      <c r="D954" s="23">
        <v>5000</v>
      </c>
      <c r="E954" s="23">
        <v>0</v>
      </c>
      <c r="F954" s="23">
        <v>74281.710000000006</v>
      </c>
      <c r="G954" s="22" t="s">
        <v>2558</v>
      </c>
      <c r="H954" s="22"/>
      <c r="I954" t="s">
        <v>2400</v>
      </c>
      <c r="K954" s="24">
        <f t="shared" si="16"/>
        <v>-63505.010000000009</v>
      </c>
    </row>
    <row r="955" spans="1:11" x14ac:dyDescent="0.3">
      <c r="A955" s="21">
        <v>45211</v>
      </c>
      <c r="B955" t="s">
        <v>2559</v>
      </c>
      <c r="C955" s="22"/>
      <c r="D955" s="23">
        <v>4000</v>
      </c>
      <c r="E955" s="23">
        <v>0</v>
      </c>
      <c r="F955" s="23">
        <v>70281.710000000006</v>
      </c>
      <c r="G955" s="22" t="s">
        <v>2412</v>
      </c>
      <c r="H955" s="22"/>
      <c r="I955" t="s">
        <v>2400</v>
      </c>
      <c r="K955" s="24">
        <f t="shared" si="16"/>
        <v>0</v>
      </c>
    </row>
    <row r="956" spans="1:11" hidden="1" x14ac:dyDescent="0.3">
      <c r="A956" s="21">
        <v>45211</v>
      </c>
      <c r="B956" t="s">
        <v>2560</v>
      </c>
      <c r="C956" s="22" t="s">
        <v>2561</v>
      </c>
      <c r="D956" s="23">
        <v>0</v>
      </c>
      <c r="E956" s="23">
        <v>10000</v>
      </c>
      <c r="F956" s="23">
        <v>80281.710000000006</v>
      </c>
      <c r="G956" s="22" t="s">
        <v>2646</v>
      </c>
      <c r="H956" s="22"/>
      <c r="I956" t="s">
        <v>2400</v>
      </c>
      <c r="K956" s="24">
        <f t="shared" si="16"/>
        <v>0</v>
      </c>
    </row>
    <row r="957" spans="1:11" hidden="1" x14ac:dyDescent="0.3">
      <c r="A957" s="21">
        <v>45211</v>
      </c>
      <c r="B957" t="s">
        <v>2562</v>
      </c>
      <c r="C957" s="22" t="s">
        <v>1152</v>
      </c>
      <c r="D957" s="23">
        <v>1959</v>
      </c>
      <c r="E957" s="23">
        <v>0</v>
      </c>
      <c r="F957" s="23">
        <v>78322.710000000006</v>
      </c>
      <c r="G957" s="22" t="s">
        <v>2399</v>
      </c>
      <c r="H957" s="22"/>
      <c r="I957" t="s">
        <v>2400</v>
      </c>
      <c r="K957" s="24">
        <f t="shared" si="16"/>
        <v>0</v>
      </c>
    </row>
    <row r="958" spans="1:11" hidden="1" x14ac:dyDescent="0.3">
      <c r="A958" s="21">
        <v>45212</v>
      </c>
      <c r="B958" t="s">
        <v>496</v>
      </c>
      <c r="C958" s="22"/>
      <c r="D958" s="23">
        <v>0</v>
      </c>
      <c r="E958" s="23">
        <v>20649.04</v>
      </c>
      <c r="F958" s="23">
        <v>85946.91</v>
      </c>
      <c r="G958" s="22" t="s">
        <v>2406</v>
      </c>
      <c r="H958" s="22"/>
      <c r="I958" t="s">
        <v>2403</v>
      </c>
      <c r="K958" s="24">
        <f t="shared" si="16"/>
        <v>13024.839999999997</v>
      </c>
    </row>
    <row r="959" spans="1:11" hidden="1" x14ac:dyDescent="0.3">
      <c r="A959" s="21">
        <v>45212</v>
      </c>
      <c r="B959" t="s">
        <v>133</v>
      </c>
      <c r="C959" s="22"/>
      <c r="D959" s="23">
        <v>65.739999999999995</v>
      </c>
      <c r="E959" s="23">
        <v>0</v>
      </c>
      <c r="F959" s="23">
        <v>85881.17</v>
      </c>
      <c r="G959" s="22" t="s">
        <v>2406</v>
      </c>
      <c r="H959" s="22"/>
      <c r="I959" t="s">
        <v>2403</v>
      </c>
      <c r="K959" s="24">
        <f t="shared" si="16"/>
        <v>0</v>
      </c>
    </row>
    <row r="960" spans="1:11" hidden="1" x14ac:dyDescent="0.3">
      <c r="A960" s="21">
        <v>45212</v>
      </c>
      <c r="B960" t="s">
        <v>133</v>
      </c>
      <c r="C960" s="22"/>
      <c r="D960" s="23">
        <v>6551.64</v>
      </c>
      <c r="E960" s="23">
        <v>0</v>
      </c>
      <c r="F960" s="23">
        <v>79329.53</v>
      </c>
      <c r="G960" s="22" t="s">
        <v>2406</v>
      </c>
      <c r="H960" s="22"/>
      <c r="I960" t="s">
        <v>2403</v>
      </c>
      <c r="K960" s="24">
        <f t="shared" si="16"/>
        <v>0</v>
      </c>
    </row>
    <row r="961" spans="1:11" hidden="1" x14ac:dyDescent="0.3">
      <c r="A961" s="21">
        <v>45212</v>
      </c>
      <c r="B961" t="s">
        <v>133</v>
      </c>
      <c r="C961" s="22"/>
      <c r="D961" s="23">
        <v>647.80999999999995</v>
      </c>
      <c r="E961" s="23">
        <v>0</v>
      </c>
      <c r="F961" s="23">
        <v>78681.72</v>
      </c>
      <c r="G961" s="22" t="s">
        <v>2406</v>
      </c>
      <c r="H961" s="22"/>
      <c r="I961" t="s">
        <v>2403</v>
      </c>
      <c r="K961" s="24">
        <f t="shared" si="16"/>
        <v>0</v>
      </c>
    </row>
    <row r="962" spans="1:11" hidden="1" x14ac:dyDescent="0.3">
      <c r="A962" s="21">
        <v>45212</v>
      </c>
      <c r="B962" t="s">
        <v>1639</v>
      </c>
      <c r="C962" s="22" t="s">
        <v>1536</v>
      </c>
      <c r="D962" s="23">
        <v>100</v>
      </c>
      <c r="E962" s="23">
        <v>0</v>
      </c>
      <c r="F962" s="23">
        <v>15676.7</v>
      </c>
      <c r="G962" s="22" t="s">
        <v>2399</v>
      </c>
      <c r="H962" s="22"/>
      <c r="I962" t="s">
        <v>2401</v>
      </c>
      <c r="K962" s="24">
        <f t="shared" si="16"/>
        <v>62905.020000000004</v>
      </c>
    </row>
    <row r="963" spans="1:11" hidden="1" x14ac:dyDescent="0.3">
      <c r="A963" s="21">
        <v>45212</v>
      </c>
      <c r="B963" t="s">
        <v>1640</v>
      </c>
      <c r="C963" s="22" t="s">
        <v>1536</v>
      </c>
      <c r="D963" s="23">
        <v>10</v>
      </c>
      <c r="E963" s="23">
        <v>0</v>
      </c>
      <c r="F963" s="23">
        <v>15666.7</v>
      </c>
      <c r="G963" s="22" t="s">
        <v>2541</v>
      </c>
      <c r="H963" s="22"/>
      <c r="I963" t="s">
        <v>2401</v>
      </c>
      <c r="K963" s="24">
        <f t="shared" si="16"/>
        <v>0</v>
      </c>
    </row>
    <row r="964" spans="1:11" hidden="1" x14ac:dyDescent="0.3">
      <c r="A964" s="21">
        <v>45212</v>
      </c>
      <c r="B964" t="s">
        <v>1641</v>
      </c>
      <c r="C964" s="22" t="s">
        <v>1536</v>
      </c>
      <c r="D964" s="23">
        <v>149</v>
      </c>
      <c r="E964" s="23">
        <v>0</v>
      </c>
      <c r="F964" s="23">
        <v>15517.7</v>
      </c>
      <c r="G964" s="22" t="s">
        <v>2399</v>
      </c>
      <c r="H964" s="22"/>
      <c r="I964" t="s">
        <v>2401</v>
      </c>
      <c r="K964" s="24">
        <f t="shared" si="16"/>
        <v>0</v>
      </c>
    </row>
    <row r="965" spans="1:11" hidden="1" x14ac:dyDescent="0.3">
      <c r="A965" s="21">
        <v>45212</v>
      </c>
      <c r="B965" t="s">
        <v>1642</v>
      </c>
      <c r="C965" s="22" t="s">
        <v>1536</v>
      </c>
      <c r="D965" s="23">
        <v>75</v>
      </c>
      <c r="E965" s="23">
        <v>0</v>
      </c>
      <c r="F965" s="23">
        <v>15442.7</v>
      </c>
      <c r="G965" s="22" t="s">
        <v>2408</v>
      </c>
      <c r="H965" s="22"/>
      <c r="I965" t="s">
        <v>2401</v>
      </c>
      <c r="K965" s="24">
        <f t="shared" si="16"/>
        <v>0</v>
      </c>
    </row>
    <row r="966" spans="1:11" hidden="1" x14ac:dyDescent="0.3">
      <c r="A966" s="21">
        <v>45213</v>
      </c>
      <c r="B966" t="s">
        <v>1643</v>
      </c>
      <c r="C966" s="22" t="s">
        <v>1536</v>
      </c>
      <c r="D966" s="23">
        <v>10</v>
      </c>
      <c r="E966" s="23">
        <v>0</v>
      </c>
      <c r="F966" s="23">
        <v>15432.7</v>
      </c>
      <c r="G966" s="22" t="s">
        <v>2541</v>
      </c>
      <c r="H966" s="22"/>
      <c r="I966" t="s">
        <v>2401</v>
      </c>
      <c r="K966" s="24">
        <f t="shared" ref="K966:K1029" si="17">F965-D966+E966-F966</f>
        <v>0</v>
      </c>
    </row>
    <row r="967" spans="1:11" hidden="1" x14ac:dyDescent="0.3">
      <c r="A967" s="21">
        <v>45213</v>
      </c>
      <c r="B967" t="s">
        <v>1644</v>
      </c>
      <c r="C967" s="22" t="s">
        <v>1536</v>
      </c>
      <c r="D967" s="23">
        <v>0</v>
      </c>
      <c r="E967" s="23">
        <v>21.89</v>
      </c>
      <c r="F967" s="23">
        <v>15454.59</v>
      </c>
      <c r="G967" s="22" t="s">
        <v>2399</v>
      </c>
      <c r="H967" s="22"/>
      <c r="I967" t="s">
        <v>2401</v>
      </c>
      <c r="K967" s="24">
        <f t="shared" si="17"/>
        <v>0</v>
      </c>
    </row>
    <row r="968" spans="1:11" hidden="1" x14ac:dyDescent="0.3">
      <c r="A968" s="21">
        <v>45214</v>
      </c>
      <c r="B968" t="s">
        <v>1645</v>
      </c>
      <c r="C968" s="22" t="s">
        <v>1536</v>
      </c>
      <c r="D968" s="23">
        <v>0</v>
      </c>
      <c r="E968" s="23">
        <v>1</v>
      </c>
      <c r="F968" s="23">
        <v>15455.59</v>
      </c>
      <c r="G968" s="22" t="s">
        <v>2399</v>
      </c>
      <c r="H968" s="22"/>
      <c r="I968" t="s">
        <v>2401</v>
      </c>
      <c r="K968" s="24">
        <f t="shared" si="17"/>
        <v>0</v>
      </c>
    </row>
    <row r="969" spans="1:11" hidden="1" x14ac:dyDescent="0.3">
      <c r="A969" s="21">
        <v>45214</v>
      </c>
      <c r="B969" t="s">
        <v>1646</v>
      </c>
      <c r="C969" s="22" t="s">
        <v>1536</v>
      </c>
      <c r="D969" s="23">
        <v>10</v>
      </c>
      <c r="E969" s="23">
        <v>0</v>
      </c>
      <c r="F969" s="23">
        <v>15445.59</v>
      </c>
      <c r="G969" s="22" t="s">
        <v>2541</v>
      </c>
      <c r="H969" s="22"/>
      <c r="I969" t="s">
        <v>2401</v>
      </c>
      <c r="K969" s="24">
        <f t="shared" si="17"/>
        <v>0</v>
      </c>
    </row>
    <row r="970" spans="1:11" hidden="1" x14ac:dyDescent="0.3">
      <c r="A970" s="21">
        <v>45214</v>
      </c>
      <c r="B970" t="s">
        <v>1647</v>
      </c>
      <c r="C970" s="22" t="s">
        <v>1536</v>
      </c>
      <c r="D970" s="23">
        <v>118</v>
      </c>
      <c r="E970" s="23">
        <v>0</v>
      </c>
      <c r="F970" s="23">
        <v>15327.59</v>
      </c>
      <c r="G970" s="22" t="s">
        <v>2399</v>
      </c>
      <c r="H970" s="22"/>
      <c r="I970" t="s">
        <v>2401</v>
      </c>
      <c r="K970" s="24">
        <f t="shared" si="17"/>
        <v>0</v>
      </c>
    </row>
    <row r="971" spans="1:11" hidden="1" x14ac:dyDescent="0.3">
      <c r="A971" s="21">
        <v>45214</v>
      </c>
      <c r="B971" t="s">
        <v>1648</v>
      </c>
      <c r="C971" s="22" t="s">
        <v>1536</v>
      </c>
      <c r="D971" s="23">
        <v>0</v>
      </c>
      <c r="E971" s="23">
        <v>100</v>
      </c>
      <c r="F971" s="23">
        <v>15427.59</v>
      </c>
      <c r="G971" s="22" t="s">
        <v>2399</v>
      </c>
      <c r="H971" s="22"/>
      <c r="I971" t="s">
        <v>2401</v>
      </c>
      <c r="K971" s="24">
        <f t="shared" si="17"/>
        <v>0</v>
      </c>
    </row>
    <row r="972" spans="1:11" hidden="1" x14ac:dyDescent="0.3">
      <c r="A972" s="21">
        <v>45214</v>
      </c>
      <c r="B972" t="s">
        <v>1649</v>
      </c>
      <c r="C972" s="22" t="s">
        <v>1536</v>
      </c>
      <c r="D972" s="23">
        <v>1</v>
      </c>
      <c r="E972" s="23">
        <v>0</v>
      </c>
      <c r="F972" s="23">
        <v>15426.59</v>
      </c>
      <c r="G972" s="22" t="s">
        <v>2408</v>
      </c>
      <c r="H972" s="22"/>
      <c r="I972" t="s">
        <v>2401</v>
      </c>
      <c r="K972" s="24">
        <f t="shared" si="17"/>
        <v>0</v>
      </c>
    </row>
    <row r="973" spans="1:11" hidden="1" x14ac:dyDescent="0.3">
      <c r="A973" s="21">
        <v>45214</v>
      </c>
      <c r="B973" t="s">
        <v>1650</v>
      </c>
      <c r="C973" s="22" t="s">
        <v>1536</v>
      </c>
      <c r="D973" s="23">
        <v>0</v>
      </c>
      <c r="E973" s="23">
        <v>1</v>
      </c>
      <c r="F973" s="23">
        <v>15427.59</v>
      </c>
      <c r="G973" s="22" t="s">
        <v>2399</v>
      </c>
      <c r="H973" s="22"/>
      <c r="I973" t="s">
        <v>2401</v>
      </c>
      <c r="K973" s="24">
        <f t="shared" si="17"/>
        <v>0</v>
      </c>
    </row>
    <row r="974" spans="1:11" hidden="1" x14ac:dyDescent="0.3">
      <c r="A974" s="21">
        <v>45214</v>
      </c>
      <c r="B974" t="s">
        <v>1651</v>
      </c>
      <c r="C974" s="22" t="s">
        <v>1536</v>
      </c>
      <c r="D974" s="23">
        <v>102</v>
      </c>
      <c r="E974" s="23">
        <v>0</v>
      </c>
      <c r="F974" s="23">
        <v>15325.59</v>
      </c>
      <c r="G974" s="22" t="s">
        <v>2399</v>
      </c>
      <c r="H974" s="22"/>
      <c r="I974" t="s">
        <v>2401</v>
      </c>
      <c r="K974" s="24">
        <f t="shared" si="17"/>
        <v>0</v>
      </c>
    </row>
    <row r="975" spans="1:11" hidden="1" x14ac:dyDescent="0.3">
      <c r="A975" s="21">
        <v>45214</v>
      </c>
      <c r="B975" t="s">
        <v>2563</v>
      </c>
      <c r="C975" s="22" t="s">
        <v>1143</v>
      </c>
      <c r="D975" s="23">
        <v>1</v>
      </c>
      <c r="E975" s="23">
        <v>0</v>
      </c>
      <c r="F975" s="23">
        <v>78321.710000000006</v>
      </c>
      <c r="G975" s="22" t="s">
        <v>2399</v>
      </c>
      <c r="H975" s="22"/>
      <c r="I975" t="s">
        <v>2400</v>
      </c>
      <c r="K975" s="24">
        <f t="shared" si="17"/>
        <v>-62997.12000000001</v>
      </c>
    </row>
    <row r="976" spans="1:11" hidden="1" x14ac:dyDescent="0.3">
      <c r="A976" s="21">
        <v>45214</v>
      </c>
      <c r="B976" t="s">
        <v>2564</v>
      </c>
      <c r="C976" s="22" t="s">
        <v>1208</v>
      </c>
      <c r="D976" s="23">
        <v>0</v>
      </c>
      <c r="E976" s="23">
        <v>1</v>
      </c>
      <c r="F976" s="23">
        <v>78322.710000000006</v>
      </c>
      <c r="G976" s="22" t="s">
        <v>2399</v>
      </c>
      <c r="H976" s="22"/>
      <c r="I976" t="s">
        <v>2400</v>
      </c>
      <c r="K976" s="24">
        <f t="shared" si="17"/>
        <v>0</v>
      </c>
    </row>
    <row r="977" spans="1:11" hidden="1" x14ac:dyDescent="0.3">
      <c r="A977" s="21">
        <v>45214</v>
      </c>
      <c r="B977" t="s">
        <v>2565</v>
      </c>
      <c r="C977" s="22" t="s">
        <v>1143</v>
      </c>
      <c r="D977" s="23">
        <v>1</v>
      </c>
      <c r="E977" s="23">
        <v>0</v>
      </c>
      <c r="F977" s="23">
        <v>78321.710000000006</v>
      </c>
      <c r="G977" s="22" t="s">
        <v>2399</v>
      </c>
      <c r="H977" s="22"/>
      <c r="I977" t="s">
        <v>2400</v>
      </c>
      <c r="K977" s="24">
        <f t="shared" si="17"/>
        <v>0</v>
      </c>
    </row>
    <row r="978" spans="1:11" hidden="1" x14ac:dyDescent="0.3">
      <c r="A978" s="21">
        <v>45214</v>
      </c>
      <c r="B978" t="s">
        <v>2566</v>
      </c>
      <c r="C978" s="22" t="s">
        <v>1208</v>
      </c>
      <c r="D978" s="23">
        <v>0</v>
      </c>
      <c r="E978" s="23">
        <v>100</v>
      </c>
      <c r="F978" s="23">
        <v>78421.710000000006</v>
      </c>
      <c r="G978" s="22" t="s">
        <v>2399</v>
      </c>
      <c r="H978" s="22"/>
      <c r="I978" t="s">
        <v>2400</v>
      </c>
      <c r="K978" s="24">
        <f t="shared" si="17"/>
        <v>0</v>
      </c>
    </row>
    <row r="979" spans="1:11" hidden="1" x14ac:dyDescent="0.3">
      <c r="A979" s="21">
        <v>45214</v>
      </c>
      <c r="B979" t="s">
        <v>2567</v>
      </c>
      <c r="C979" s="22" t="s">
        <v>1143</v>
      </c>
      <c r="D979" s="23">
        <v>100</v>
      </c>
      <c r="E979" s="23">
        <v>0</v>
      </c>
      <c r="F979" s="23">
        <v>78321.710000000006</v>
      </c>
      <c r="G979" s="22" t="s">
        <v>2399</v>
      </c>
      <c r="H979" s="22"/>
      <c r="I979" t="s">
        <v>2400</v>
      </c>
      <c r="K979" s="24">
        <f t="shared" si="17"/>
        <v>0</v>
      </c>
    </row>
    <row r="980" spans="1:11" hidden="1" x14ac:dyDescent="0.3">
      <c r="A980" s="21">
        <v>45214</v>
      </c>
      <c r="B980" t="s">
        <v>2568</v>
      </c>
      <c r="C980" s="22" t="s">
        <v>1143</v>
      </c>
      <c r="D980" s="23">
        <v>2299</v>
      </c>
      <c r="E980" s="23">
        <v>0</v>
      </c>
      <c r="F980" s="23">
        <v>76022.710000000006</v>
      </c>
      <c r="G980" s="22" t="s">
        <v>2399</v>
      </c>
      <c r="H980" s="22"/>
      <c r="I980" t="s">
        <v>2400</v>
      </c>
      <c r="K980" s="24">
        <f t="shared" si="17"/>
        <v>0</v>
      </c>
    </row>
    <row r="981" spans="1:11" hidden="1" x14ac:dyDescent="0.3">
      <c r="A981" s="21">
        <v>45215</v>
      </c>
      <c r="B981" t="s">
        <v>133</v>
      </c>
      <c r="C981" s="22"/>
      <c r="D981" s="23">
        <v>227.46</v>
      </c>
      <c r="E981" s="23">
        <v>0</v>
      </c>
      <c r="F981" s="23">
        <v>78454.259999999995</v>
      </c>
      <c r="G981" s="22" t="s">
        <v>2406</v>
      </c>
      <c r="H981" s="22"/>
      <c r="I981" t="s">
        <v>2403</v>
      </c>
      <c r="K981" s="24">
        <f t="shared" si="17"/>
        <v>-2659.0099999999948</v>
      </c>
    </row>
    <row r="982" spans="1:11" hidden="1" x14ac:dyDescent="0.3">
      <c r="A982" s="21">
        <v>45215</v>
      </c>
      <c r="B982" t="s">
        <v>619</v>
      </c>
      <c r="C982" s="22"/>
      <c r="D982" s="23">
        <v>0</v>
      </c>
      <c r="E982" s="23">
        <v>30</v>
      </c>
      <c r="F982" s="23">
        <v>78484.259999999995</v>
      </c>
      <c r="G982" s="22" t="s">
        <v>2409</v>
      </c>
      <c r="H982" s="22"/>
      <c r="I982" t="s">
        <v>2403</v>
      </c>
      <c r="K982" s="24">
        <f t="shared" si="17"/>
        <v>0</v>
      </c>
    </row>
    <row r="983" spans="1:11" hidden="1" x14ac:dyDescent="0.3">
      <c r="A983" s="21">
        <v>45215</v>
      </c>
      <c r="B983" t="s">
        <v>133</v>
      </c>
      <c r="C983" s="22"/>
      <c r="D983" s="23">
        <v>319.22000000000003</v>
      </c>
      <c r="E983" s="23">
        <v>0</v>
      </c>
      <c r="F983" s="23">
        <v>78165.039999999994</v>
      </c>
      <c r="G983" s="22" t="s">
        <v>2406</v>
      </c>
      <c r="H983" s="22"/>
      <c r="I983" t="s">
        <v>2403</v>
      </c>
      <c r="K983" s="24">
        <f t="shared" si="17"/>
        <v>0</v>
      </c>
    </row>
    <row r="984" spans="1:11" hidden="1" x14ac:dyDescent="0.3">
      <c r="A984" s="21">
        <v>45215</v>
      </c>
      <c r="B984" t="s">
        <v>1652</v>
      </c>
      <c r="C984" s="22" t="s">
        <v>1536</v>
      </c>
      <c r="D984" s="23">
        <v>274</v>
      </c>
      <c r="E984" s="23">
        <v>0</v>
      </c>
      <c r="F984" s="23">
        <v>15051.59</v>
      </c>
      <c r="G984" s="22" t="s">
        <v>2399</v>
      </c>
      <c r="H984" s="22"/>
      <c r="I984" t="s">
        <v>2401</v>
      </c>
      <c r="K984" s="24">
        <f t="shared" si="17"/>
        <v>62839.45</v>
      </c>
    </row>
    <row r="985" spans="1:11" hidden="1" x14ac:dyDescent="0.3">
      <c r="A985" s="21">
        <v>45215</v>
      </c>
      <c r="B985" t="s">
        <v>1653</v>
      </c>
      <c r="C985" s="22" t="s">
        <v>1536</v>
      </c>
      <c r="D985" s="23">
        <v>10</v>
      </c>
      <c r="E985" s="23">
        <v>0</v>
      </c>
      <c r="F985" s="23">
        <v>15041.59</v>
      </c>
      <c r="G985" s="22" t="s">
        <v>2541</v>
      </c>
      <c r="H985" s="22"/>
      <c r="I985" t="s">
        <v>2401</v>
      </c>
      <c r="K985" s="24">
        <f t="shared" si="17"/>
        <v>0</v>
      </c>
    </row>
    <row r="986" spans="1:11" hidden="1" x14ac:dyDescent="0.3">
      <c r="A986" s="21">
        <v>45215</v>
      </c>
      <c r="B986" t="s">
        <v>2569</v>
      </c>
      <c r="C986" s="22" t="s">
        <v>1332</v>
      </c>
      <c r="D986" s="23">
        <v>0</v>
      </c>
      <c r="E986" s="23">
        <v>135</v>
      </c>
      <c r="F986" s="23">
        <v>76157.710000000006</v>
      </c>
      <c r="G986" s="22" t="s">
        <v>2399</v>
      </c>
      <c r="H986" s="22"/>
      <c r="I986" t="s">
        <v>2400</v>
      </c>
      <c r="K986" s="24">
        <f t="shared" si="17"/>
        <v>-60981.12000000001</v>
      </c>
    </row>
    <row r="987" spans="1:11" hidden="1" x14ac:dyDescent="0.3">
      <c r="A987" s="21">
        <v>45215</v>
      </c>
      <c r="B987" t="s">
        <v>2570</v>
      </c>
      <c r="C987" s="22" t="s">
        <v>1191</v>
      </c>
      <c r="D987" s="23">
        <v>81</v>
      </c>
      <c r="E987" s="23">
        <v>0</v>
      </c>
      <c r="F987" s="23">
        <v>76076.710000000006</v>
      </c>
      <c r="G987" s="22" t="s">
        <v>2399</v>
      </c>
      <c r="H987" s="22"/>
      <c r="I987" t="s">
        <v>2400</v>
      </c>
      <c r="K987" s="24">
        <f t="shared" si="17"/>
        <v>0</v>
      </c>
    </row>
    <row r="988" spans="1:11" hidden="1" x14ac:dyDescent="0.3">
      <c r="A988" s="21">
        <v>45216</v>
      </c>
      <c r="B988" t="s">
        <v>133</v>
      </c>
      <c r="C988" s="22"/>
      <c r="D988" s="23">
        <v>75.66</v>
      </c>
      <c r="E988" s="23">
        <v>0</v>
      </c>
      <c r="F988" s="23">
        <v>78089.38</v>
      </c>
      <c r="G988" s="22" t="s">
        <v>2406</v>
      </c>
      <c r="H988" s="22"/>
      <c r="I988" t="s">
        <v>2403</v>
      </c>
      <c r="K988" s="24">
        <f t="shared" si="17"/>
        <v>-2088.3300000000017</v>
      </c>
    </row>
    <row r="989" spans="1:11" hidden="1" x14ac:dyDescent="0.3">
      <c r="A989" s="21">
        <v>45216</v>
      </c>
      <c r="B989" t="s">
        <v>133</v>
      </c>
      <c r="C989" s="22"/>
      <c r="D989" s="23">
        <v>26216.46</v>
      </c>
      <c r="E989" s="23">
        <v>0</v>
      </c>
      <c r="F989" s="23">
        <v>51872.92</v>
      </c>
      <c r="G989" s="22" t="s">
        <v>2406</v>
      </c>
      <c r="H989" s="22"/>
      <c r="I989" t="s">
        <v>2403</v>
      </c>
      <c r="K989" s="24">
        <f t="shared" si="17"/>
        <v>0</v>
      </c>
    </row>
    <row r="990" spans="1:11" hidden="1" x14ac:dyDescent="0.3">
      <c r="A990" s="21">
        <v>45216</v>
      </c>
      <c r="B990" t="s">
        <v>1654</v>
      </c>
      <c r="C990" s="22" t="s">
        <v>1536</v>
      </c>
      <c r="D990" s="23">
        <v>10</v>
      </c>
      <c r="E990" s="23">
        <v>0</v>
      </c>
      <c r="F990" s="23">
        <v>15031.59</v>
      </c>
      <c r="G990" s="22" t="s">
        <v>2541</v>
      </c>
      <c r="H990" s="22"/>
      <c r="I990" t="s">
        <v>2401</v>
      </c>
      <c r="K990" s="24">
        <f t="shared" si="17"/>
        <v>36831.33</v>
      </c>
    </row>
    <row r="991" spans="1:11" hidden="1" x14ac:dyDescent="0.3">
      <c r="A991" s="21">
        <v>45217</v>
      </c>
      <c r="B991" t="s">
        <v>496</v>
      </c>
      <c r="C991" s="22"/>
      <c r="D991" s="23">
        <v>0</v>
      </c>
      <c r="E991" s="23">
        <v>60857.97</v>
      </c>
      <c r="F991" s="23">
        <v>112730.89</v>
      </c>
      <c r="G991" s="22" t="s">
        <v>2406</v>
      </c>
      <c r="H991" s="22"/>
      <c r="I991" t="s">
        <v>2403</v>
      </c>
      <c r="K991" s="24">
        <f t="shared" si="17"/>
        <v>-36841.33</v>
      </c>
    </row>
    <row r="992" spans="1:11" hidden="1" x14ac:dyDescent="0.3">
      <c r="A992" s="21">
        <v>45217</v>
      </c>
      <c r="B992" t="s">
        <v>133</v>
      </c>
      <c r="C992" s="22"/>
      <c r="D992" s="23">
        <v>62.73</v>
      </c>
      <c r="E992" s="23">
        <v>0</v>
      </c>
      <c r="F992" s="23">
        <v>112668.16</v>
      </c>
      <c r="G992" s="22" t="s">
        <v>2406</v>
      </c>
      <c r="H992" s="22"/>
      <c r="I992" t="s">
        <v>2403</v>
      </c>
      <c r="K992" s="24">
        <f t="shared" si="17"/>
        <v>0</v>
      </c>
    </row>
    <row r="993" spans="1:11" hidden="1" x14ac:dyDescent="0.3">
      <c r="A993" s="21">
        <v>45217</v>
      </c>
      <c r="B993" t="s">
        <v>133</v>
      </c>
      <c r="C993" s="22"/>
      <c r="D993" s="23">
        <v>2873.28</v>
      </c>
      <c r="E993" s="23">
        <v>0</v>
      </c>
      <c r="F993" s="23">
        <v>109794.88</v>
      </c>
      <c r="G993" s="22" t="s">
        <v>2406</v>
      </c>
      <c r="H993" s="22"/>
      <c r="I993" t="s">
        <v>2403</v>
      </c>
      <c r="K993" s="24">
        <f t="shared" si="17"/>
        <v>0</v>
      </c>
    </row>
    <row r="994" spans="1:11" hidden="1" x14ac:dyDescent="0.3">
      <c r="A994" s="21">
        <v>45217</v>
      </c>
      <c r="B994" t="s">
        <v>1655</v>
      </c>
      <c r="C994" s="22" t="s">
        <v>1536</v>
      </c>
      <c r="D994" s="23">
        <v>10</v>
      </c>
      <c r="E994" s="23">
        <v>0</v>
      </c>
      <c r="F994" s="23">
        <v>15021.59</v>
      </c>
      <c r="G994" s="22" t="s">
        <v>2541</v>
      </c>
      <c r="H994" s="22"/>
      <c r="I994" t="s">
        <v>2401</v>
      </c>
      <c r="K994" s="24">
        <f t="shared" si="17"/>
        <v>94763.290000000008</v>
      </c>
    </row>
    <row r="995" spans="1:11" hidden="1" x14ac:dyDescent="0.3">
      <c r="A995" s="21">
        <v>45217</v>
      </c>
      <c r="B995" t="s">
        <v>1656</v>
      </c>
      <c r="C995" s="22" t="s">
        <v>1536</v>
      </c>
      <c r="D995" s="23">
        <v>1</v>
      </c>
      <c r="E995" s="23">
        <v>0</v>
      </c>
      <c r="F995" s="23">
        <v>15020.59</v>
      </c>
      <c r="G995" s="22" t="s">
        <v>2408</v>
      </c>
      <c r="H995" s="22"/>
      <c r="I995" t="s">
        <v>2401</v>
      </c>
      <c r="K995" s="24">
        <f t="shared" si="17"/>
        <v>0</v>
      </c>
    </row>
    <row r="996" spans="1:11" hidden="1" x14ac:dyDescent="0.3">
      <c r="A996" s="21">
        <v>45217</v>
      </c>
      <c r="B996" t="s">
        <v>1657</v>
      </c>
      <c r="C996" s="22" t="s">
        <v>1536</v>
      </c>
      <c r="D996" s="23">
        <v>82</v>
      </c>
      <c r="E996" s="23">
        <v>0</v>
      </c>
      <c r="F996" s="23">
        <v>14938.59</v>
      </c>
      <c r="G996" s="22" t="s">
        <v>2408</v>
      </c>
      <c r="H996" s="22"/>
      <c r="I996" t="s">
        <v>2401</v>
      </c>
      <c r="K996" s="24">
        <f t="shared" si="17"/>
        <v>0</v>
      </c>
    </row>
    <row r="997" spans="1:11" hidden="1" x14ac:dyDescent="0.3">
      <c r="A997" s="21">
        <v>45217</v>
      </c>
      <c r="B997" t="s">
        <v>2571</v>
      </c>
      <c r="C997" s="22" t="s">
        <v>1148</v>
      </c>
      <c r="D997" s="23">
        <v>118</v>
      </c>
      <c r="E997" s="23">
        <v>0</v>
      </c>
      <c r="F997" s="23">
        <v>75958.710000000006</v>
      </c>
      <c r="G997" s="22" t="s">
        <v>2399</v>
      </c>
      <c r="H997" s="22"/>
      <c r="I997" t="s">
        <v>2400</v>
      </c>
      <c r="K997" s="24">
        <f t="shared" si="17"/>
        <v>-61138.12000000001</v>
      </c>
    </row>
    <row r="998" spans="1:11" hidden="1" x14ac:dyDescent="0.3">
      <c r="A998" s="21">
        <v>45218</v>
      </c>
      <c r="B998" t="s">
        <v>133</v>
      </c>
      <c r="C998" s="22"/>
      <c r="D998" s="23">
        <v>61.32</v>
      </c>
      <c r="E998" s="23">
        <v>0</v>
      </c>
      <c r="F998" s="23">
        <v>109733.56</v>
      </c>
      <c r="G998" s="22" t="s">
        <v>2406</v>
      </c>
      <c r="H998" s="22"/>
      <c r="I998" t="s">
        <v>2403</v>
      </c>
      <c r="K998" s="24">
        <f t="shared" si="17"/>
        <v>-33836.17</v>
      </c>
    </row>
    <row r="999" spans="1:11" hidden="1" x14ac:dyDescent="0.3">
      <c r="A999" s="21">
        <v>45218</v>
      </c>
      <c r="B999" t="s">
        <v>133</v>
      </c>
      <c r="C999" s="22"/>
      <c r="D999" s="23">
        <v>31771.79</v>
      </c>
      <c r="E999" s="23">
        <v>0</v>
      </c>
      <c r="F999" s="23">
        <v>77961.77</v>
      </c>
      <c r="G999" s="22" t="s">
        <v>2406</v>
      </c>
      <c r="H999" s="22"/>
      <c r="I999" t="s">
        <v>2403</v>
      </c>
      <c r="K999" s="24">
        <f t="shared" si="17"/>
        <v>0</v>
      </c>
    </row>
    <row r="1000" spans="1:11" hidden="1" x14ac:dyDescent="0.3">
      <c r="A1000" s="21">
        <v>45218</v>
      </c>
      <c r="B1000" t="s">
        <v>1658</v>
      </c>
      <c r="C1000" s="22" t="s">
        <v>1536</v>
      </c>
      <c r="D1000" s="23">
        <v>10</v>
      </c>
      <c r="E1000" s="23">
        <v>0</v>
      </c>
      <c r="F1000" s="23">
        <v>14928.59</v>
      </c>
      <c r="G1000" s="22" t="s">
        <v>2541</v>
      </c>
      <c r="H1000" s="22"/>
      <c r="I1000" t="s">
        <v>2401</v>
      </c>
      <c r="K1000" s="24">
        <f t="shared" si="17"/>
        <v>63023.180000000008</v>
      </c>
    </row>
    <row r="1001" spans="1:11" hidden="1" x14ac:dyDescent="0.3">
      <c r="A1001" s="21">
        <v>45218</v>
      </c>
      <c r="B1001" t="s">
        <v>1659</v>
      </c>
      <c r="C1001" s="22" t="s">
        <v>1536</v>
      </c>
      <c r="D1001" s="23">
        <v>30</v>
      </c>
      <c r="E1001" s="23">
        <v>0</v>
      </c>
      <c r="F1001" s="23">
        <v>14898.59</v>
      </c>
      <c r="G1001" s="22" t="s">
        <v>2408</v>
      </c>
      <c r="H1001" s="22"/>
      <c r="I1001" t="s">
        <v>2401</v>
      </c>
      <c r="K1001" s="24">
        <f t="shared" si="17"/>
        <v>0</v>
      </c>
    </row>
    <row r="1002" spans="1:11" hidden="1" x14ac:dyDescent="0.3">
      <c r="A1002" s="21">
        <v>45218</v>
      </c>
      <c r="B1002" t="s">
        <v>2572</v>
      </c>
      <c r="C1002" s="22" t="s">
        <v>1152</v>
      </c>
      <c r="D1002" s="23">
        <v>36</v>
      </c>
      <c r="E1002" s="23">
        <v>0</v>
      </c>
      <c r="F1002" s="23">
        <v>75922.710000000006</v>
      </c>
      <c r="G1002" s="22" t="s">
        <v>2399</v>
      </c>
      <c r="H1002" s="22"/>
      <c r="I1002" t="s">
        <v>2400</v>
      </c>
      <c r="K1002" s="24">
        <f t="shared" si="17"/>
        <v>-61060.12000000001</v>
      </c>
    </row>
    <row r="1003" spans="1:11" hidden="1" x14ac:dyDescent="0.3">
      <c r="A1003" s="21">
        <v>45218</v>
      </c>
      <c r="B1003" t="s">
        <v>2573</v>
      </c>
      <c r="C1003" s="22"/>
      <c r="D1003" s="23">
        <v>147.5</v>
      </c>
      <c r="E1003" s="23">
        <v>0</v>
      </c>
      <c r="F1003" s="23">
        <v>75775.210000000006</v>
      </c>
      <c r="G1003" s="22" t="s">
        <v>2415</v>
      </c>
      <c r="H1003" s="22"/>
      <c r="I1003" t="s">
        <v>2400</v>
      </c>
      <c r="K1003" s="24">
        <f t="shared" si="17"/>
        <v>0</v>
      </c>
    </row>
    <row r="1004" spans="1:11" hidden="1" x14ac:dyDescent="0.3">
      <c r="A1004" s="21">
        <v>45219</v>
      </c>
      <c r="B1004" t="s">
        <v>496</v>
      </c>
      <c r="C1004" s="22"/>
      <c r="D1004" s="23">
        <v>0</v>
      </c>
      <c r="E1004" s="23">
        <v>1460.8</v>
      </c>
      <c r="F1004" s="23">
        <v>79422.570000000007</v>
      </c>
      <c r="G1004" s="22" t="s">
        <v>2406</v>
      </c>
      <c r="H1004" s="22"/>
      <c r="I1004" t="s">
        <v>2403</v>
      </c>
      <c r="K1004" s="24">
        <f t="shared" si="17"/>
        <v>-2186.5599999999977</v>
      </c>
    </row>
    <row r="1005" spans="1:11" hidden="1" x14ac:dyDescent="0.3">
      <c r="A1005" s="21">
        <v>45219</v>
      </c>
      <c r="B1005" t="s">
        <v>133</v>
      </c>
      <c r="C1005" s="22"/>
      <c r="D1005" s="23">
        <v>49.6</v>
      </c>
      <c r="E1005" s="23">
        <v>0</v>
      </c>
      <c r="F1005" s="23">
        <v>79372.97</v>
      </c>
      <c r="G1005" s="22" t="s">
        <v>2406</v>
      </c>
      <c r="H1005" s="22"/>
      <c r="I1005" t="s">
        <v>2403</v>
      </c>
      <c r="K1005" s="24">
        <f t="shared" si="17"/>
        <v>0</v>
      </c>
    </row>
    <row r="1006" spans="1:11" hidden="1" x14ac:dyDescent="0.3">
      <c r="A1006" s="21">
        <v>45219</v>
      </c>
      <c r="B1006" t="s">
        <v>133</v>
      </c>
      <c r="C1006" s="22"/>
      <c r="D1006" s="23">
        <v>17985.04</v>
      </c>
      <c r="E1006" s="23">
        <v>0</v>
      </c>
      <c r="F1006" s="23">
        <v>61387.93</v>
      </c>
      <c r="G1006" s="22" t="s">
        <v>2406</v>
      </c>
      <c r="H1006" s="22"/>
      <c r="I1006" t="s">
        <v>2403</v>
      </c>
      <c r="K1006" s="24">
        <f t="shared" si="17"/>
        <v>0</v>
      </c>
    </row>
    <row r="1007" spans="1:11" hidden="1" x14ac:dyDescent="0.3">
      <c r="A1007" s="21">
        <v>45219</v>
      </c>
      <c r="B1007" t="s">
        <v>133</v>
      </c>
      <c r="C1007" s="22"/>
      <c r="D1007" s="23">
        <v>9016.77</v>
      </c>
      <c r="E1007" s="23">
        <v>0</v>
      </c>
      <c r="F1007" s="23">
        <v>52371.16</v>
      </c>
      <c r="G1007" s="22" t="s">
        <v>2406</v>
      </c>
      <c r="H1007" s="22"/>
      <c r="I1007" t="s">
        <v>2403</v>
      </c>
      <c r="K1007" s="24">
        <f t="shared" si="17"/>
        <v>0</v>
      </c>
    </row>
    <row r="1008" spans="1:11" hidden="1" x14ac:dyDescent="0.3">
      <c r="A1008" s="21">
        <v>45220</v>
      </c>
      <c r="B1008" t="s">
        <v>1660</v>
      </c>
      <c r="C1008" s="22" t="s">
        <v>1536</v>
      </c>
      <c r="D1008" s="23">
        <v>100</v>
      </c>
      <c r="E1008" s="23">
        <v>0</v>
      </c>
      <c r="F1008" s="23">
        <v>14798.59</v>
      </c>
      <c r="G1008" s="22" t="s">
        <v>2541</v>
      </c>
      <c r="H1008" s="22"/>
      <c r="I1008" t="s">
        <v>2401</v>
      </c>
      <c r="K1008" s="24">
        <f t="shared" si="17"/>
        <v>37472.570000000007</v>
      </c>
    </row>
    <row r="1009" spans="1:11" hidden="1" x14ac:dyDescent="0.3">
      <c r="A1009" s="21">
        <v>45220</v>
      </c>
      <c r="B1009" t="s">
        <v>1661</v>
      </c>
      <c r="C1009" s="22" t="s">
        <v>1536</v>
      </c>
      <c r="D1009" s="23">
        <v>1000</v>
      </c>
      <c r="E1009" s="23">
        <v>0</v>
      </c>
      <c r="F1009" s="23">
        <v>13798.59</v>
      </c>
      <c r="G1009" s="22" t="s">
        <v>2574</v>
      </c>
      <c r="H1009" s="22"/>
      <c r="I1009" t="s">
        <v>2401</v>
      </c>
      <c r="K1009" s="24">
        <f t="shared" si="17"/>
        <v>0</v>
      </c>
    </row>
    <row r="1010" spans="1:11" hidden="1" x14ac:dyDescent="0.3">
      <c r="A1010" s="21">
        <v>45220</v>
      </c>
      <c r="B1010" t="s">
        <v>1662</v>
      </c>
      <c r="C1010" s="22" t="s">
        <v>1536</v>
      </c>
      <c r="D1010" s="23">
        <v>1000</v>
      </c>
      <c r="E1010" s="23">
        <v>0</v>
      </c>
      <c r="F1010" s="23">
        <v>12798.59</v>
      </c>
      <c r="G1010" s="22" t="s">
        <v>2575</v>
      </c>
      <c r="H1010" s="22"/>
      <c r="I1010" t="s">
        <v>2401</v>
      </c>
      <c r="K1010" s="24">
        <f t="shared" si="17"/>
        <v>0</v>
      </c>
    </row>
    <row r="1011" spans="1:11" hidden="1" x14ac:dyDescent="0.3">
      <c r="A1011" s="21">
        <v>45220</v>
      </c>
      <c r="B1011" t="s">
        <v>2576</v>
      </c>
      <c r="C1011" s="22" t="s">
        <v>1154</v>
      </c>
      <c r="D1011" s="23">
        <v>5000</v>
      </c>
      <c r="E1011" s="23">
        <v>0</v>
      </c>
      <c r="F1011" s="23">
        <v>70775.210000000006</v>
      </c>
      <c r="G1011" s="22" t="s">
        <v>2538</v>
      </c>
      <c r="H1011" s="22"/>
      <c r="I1011" t="s">
        <v>2400</v>
      </c>
      <c r="K1011" s="24">
        <f t="shared" si="17"/>
        <v>-62976.62000000001</v>
      </c>
    </row>
    <row r="1012" spans="1:11" hidden="1" x14ac:dyDescent="0.3">
      <c r="A1012" s="21">
        <v>45221</v>
      </c>
      <c r="B1012" t="s">
        <v>44</v>
      </c>
      <c r="C1012" s="22"/>
      <c r="D1012" s="23">
        <v>1.18</v>
      </c>
      <c r="E1012" s="23">
        <v>0</v>
      </c>
      <c r="F1012" s="23">
        <v>46512.39</v>
      </c>
      <c r="G1012" s="22" t="s">
        <v>2415</v>
      </c>
      <c r="H1012" s="22"/>
      <c r="I1012" t="s">
        <v>2404</v>
      </c>
      <c r="K1012" s="24">
        <f t="shared" si="17"/>
        <v>24261.640000000014</v>
      </c>
    </row>
    <row r="1013" spans="1:11" hidden="1" x14ac:dyDescent="0.3">
      <c r="A1013" s="21">
        <v>45221</v>
      </c>
      <c r="B1013" t="s">
        <v>633</v>
      </c>
      <c r="C1013" s="22"/>
      <c r="D1013" s="23">
        <v>0</v>
      </c>
      <c r="E1013" s="23">
        <v>30000</v>
      </c>
      <c r="F1013" s="23">
        <v>82371.16</v>
      </c>
      <c r="G1013" s="22" t="s">
        <v>2577</v>
      </c>
      <c r="H1013" s="22"/>
      <c r="I1013" t="s">
        <v>2403</v>
      </c>
      <c r="K1013" s="24">
        <f t="shared" si="17"/>
        <v>-5858.7700000000041</v>
      </c>
    </row>
    <row r="1014" spans="1:11" hidden="1" x14ac:dyDescent="0.3">
      <c r="A1014" s="21">
        <v>45221</v>
      </c>
      <c r="B1014" t="s">
        <v>1663</v>
      </c>
      <c r="C1014" s="22" t="s">
        <v>1536</v>
      </c>
      <c r="D1014" s="23">
        <v>100</v>
      </c>
      <c r="E1014" s="23">
        <v>0</v>
      </c>
      <c r="F1014" s="23">
        <v>12698.59</v>
      </c>
      <c r="G1014" s="22" t="s">
        <v>2541</v>
      </c>
      <c r="H1014" s="22"/>
      <c r="I1014" t="s">
        <v>2401</v>
      </c>
      <c r="K1014" s="24">
        <f t="shared" si="17"/>
        <v>69572.570000000007</v>
      </c>
    </row>
    <row r="1015" spans="1:11" hidden="1" x14ac:dyDescent="0.3">
      <c r="A1015" s="21">
        <v>45222</v>
      </c>
      <c r="B1015" t="s">
        <v>133</v>
      </c>
      <c r="C1015" s="22"/>
      <c r="D1015" s="23">
        <v>263.10000000000002</v>
      </c>
      <c r="E1015" s="23">
        <v>0</v>
      </c>
      <c r="F1015" s="23">
        <v>82108.06</v>
      </c>
      <c r="G1015" s="22" t="s">
        <v>2406</v>
      </c>
      <c r="H1015" s="22"/>
      <c r="I1015" t="s">
        <v>2403</v>
      </c>
      <c r="K1015" s="24">
        <f t="shared" si="17"/>
        <v>-69672.569999999992</v>
      </c>
    </row>
    <row r="1016" spans="1:11" hidden="1" x14ac:dyDescent="0.3">
      <c r="A1016" s="21">
        <v>45222</v>
      </c>
      <c r="B1016" t="s">
        <v>133</v>
      </c>
      <c r="C1016" s="22"/>
      <c r="D1016" s="23">
        <v>21590.34</v>
      </c>
      <c r="E1016" s="23">
        <v>0</v>
      </c>
      <c r="F1016" s="23">
        <v>60517.72</v>
      </c>
      <c r="G1016" s="22" t="s">
        <v>2406</v>
      </c>
      <c r="H1016" s="22"/>
      <c r="I1016" t="s">
        <v>2403</v>
      </c>
      <c r="K1016" s="24">
        <f t="shared" si="17"/>
        <v>0</v>
      </c>
    </row>
    <row r="1017" spans="1:11" hidden="1" x14ac:dyDescent="0.3">
      <c r="A1017" s="21">
        <v>45222</v>
      </c>
      <c r="B1017" t="s">
        <v>1664</v>
      </c>
      <c r="C1017" s="22" t="s">
        <v>1536</v>
      </c>
      <c r="D1017" s="23">
        <v>100</v>
      </c>
      <c r="E1017" s="23">
        <v>0</v>
      </c>
      <c r="F1017" s="23">
        <v>12598.59</v>
      </c>
      <c r="G1017" s="22" t="s">
        <v>2541</v>
      </c>
      <c r="H1017" s="22"/>
      <c r="I1017" t="s">
        <v>2401</v>
      </c>
      <c r="K1017" s="24">
        <f t="shared" si="17"/>
        <v>47819.130000000005</v>
      </c>
    </row>
    <row r="1018" spans="1:11" hidden="1" x14ac:dyDescent="0.3">
      <c r="A1018" s="21">
        <v>45222</v>
      </c>
      <c r="B1018" t="s">
        <v>1665</v>
      </c>
      <c r="C1018" s="22" t="s">
        <v>1536</v>
      </c>
      <c r="D1018" s="23">
        <v>366.8</v>
      </c>
      <c r="E1018" s="23">
        <v>0</v>
      </c>
      <c r="F1018" s="23">
        <v>12231.79</v>
      </c>
      <c r="G1018" s="22" t="s">
        <v>2399</v>
      </c>
      <c r="H1018" s="22"/>
      <c r="I1018" t="s">
        <v>2401</v>
      </c>
      <c r="K1018" s="24">
        <f t="shared" si="17"/>
        <v>0</v>
      </c>
    </row>
    <row r="1019" spans="1:11" hidden="1" x14ac:dyDescent="0.3">
      <c r="A1019" s="21">
        <v>45222</v>
      </c>
      <c r="B1019" t="s">
        <v>1666</v>
      </c>
      <c r="C1019" s="22" t="s">
        <v>1536</v>
      </c>
      <c r="D1019" s="23">
        <v>366.8</v>
      </c>
      <c r="E1019" s="23">
        <v>0</v>
      </c>
      <c r="F1019" s="23">
        <v>11864.99</v>
      </c>
      <c r="G1019" s="22" t="s">
        <v>2399</v>
      </c>
      <c r="H1019" s="22"/>
      <c r="I1019" t="s">
        <v>2401</v>
      </c>
      <c r="K1019" s="24">
        <f t="shared" si="17"/>
        <v>0</v>
      </c>
    </row>
    <row r="1020" spans="1:11" hidden="1" x14ac:dyDescent="0.3">
      <c r="A1020" s="21">
        <v>45222</v>
      </c>
      <c r="B1020" t="s">
        <v>2578</v>
      </c>
      <c r="C1020" s="22" t="s">
        <v>1191</v>
      </c>
      <c r="D1020" s="23">
        <v>10000</v>
      </c>
      <c r="E1020" s="23">
        <v>0</v>
      </c>
      <c r="F1020" s="23">
        <v>60775.21</v>
      </c>
      <c r="G1020" s="22" t="s">
        <v>2399</v>
      </c>
      <c r="H1020" s="22"/>
      <c r="I1020" t="s">
        <v>2400</v>
      </c>
      <c r="K1020" s="24">
        <f t="shared" si="17"/>
        <v>-58910.22</v>
      </c>
    </row>
    <row r="1021" spans="1:11" hidden="1" x14ac:dyDescent="0.3">
      <c r="A1021" s="21">
        <v>45222</v>
      </c>
      <c r="B1021" t="s">
        <v>2579</v>
      </c>
      <c r="C1021" s="22" t="s">
        <v>1191</v>
      </c>
      <c r="D1021" s="23">
        <v>10000</v>
      </c>
      <c r="E1021" s="23">
        <v>0</v>
      </c>
      <c r="F1021" s="23">
        <v>50775.21</v>
      </c>
      <c r="G1021" s="22" t="s">
        <v>2399</v>
      </c>
      <c r="H1021" s="22"/>
      <c r="I1021" t="s">
        <v>2400</v>
      </c>
      <c r="K1021" s="24">
        <f t="shared" si="17"/>
        <v>0</v>
      </c>
    </row>
    <row r="1022" spans="1:11" hidden="1" x14ac:dyDescent="0.3">
      <c r="A1022" s="21">
        <v>45223</v>
      </c>
      <c r="B1022" t="s">
        <v>637</v>
      </c>
      <c r="C1022" s="22"/>
      <c r="D1022" s="23">
        <v>0</v>
      </c>
      <c r="E1022" s="23">
        <v>1</v>
      </c>
      <c r="F1022" s="23">
        <v>60518.720000000001</v>
      </c>
      <c r="G1022" s="22" t="s">
        <v>2580</v>
      </c>
      <c r="H1022" s="22"/>
      <c r="I1022" t="s">
        <v>2403</v>
      </c>
      <c r="K1022" s="24">
        <f t="shared" si="17"/>
        <v>-9742.510000000002</v>
      </c>
    </row>
    <row r="1023" spans="1:11" hidden="1" x14ac:dyDescent="0.3">
      <c r="A1023" s="21">
        <v>45223</v>
      </c>
      <c r="B1023" t="s">
        <v>639</v>
      </c>
      <c r="C1023" s="22"/>
      <c r="D1023" s="23">
        <v>0</v>
      </c>
      <c r="E1023" s="23">
        <v>250000</v>
      </c>
      <c r="F1023" s="23">
        <v>310518.71999999997</v>
      </c>
      <c r="G1023" s="22" t="s">
        <v>2421</v>
      </c>
      <c r="H1023" s="22"/>
      <c r="I1023" t="s">
        <v>2403</v>
      </c>
      <c r="K1023" s="24">
        <f t="shared" si="17"/>
        <v>0</v>
      </c>
    </row>
    <row r="1024" spans="1:11" hidden="1" x14ac:dyDescent="0.3">
      <c r="A1024" s="21">
        <v>45223</v>
      </c>
      <c r="B1024" t="s">
        <v>641</v>
      </c>
      <c r="C1024" s="22"/>
      <c r="D1024" s="23">
        <v>256000</v>
      </c>
      <c r="E1024" s="23">
        <v>0</v>
      </c>
      <c r="F1024" s="23">
        <v>54518.720000000001</v>
      </c>
      <c r="G1024" s="22" t="s">
        <v>2426</v>
      </c>
      <c r="H1024" s="22"/>
      <c r="I1024" t="s">
        <v>2403</v>
      </c>
      <c r="K1024" s="24">
        <f t="shared" si="17"/>
        <v>0</v>
      </c>
    </row>
    <row r="1025" spans="1:11" hidden="1" x14ac:dyDescent="0.3">
      <c r="A1025" s="21">
        <v>45223</v>
      </c>
      <c r="B1025" t="s">
        <v>1667</v>
      </c>
      <c r="C1025" s="22" t="s">
        <v>1536</v>
      </c>
      <c r="D1025" s="23">
        <v>100</v>
      </c>
      <c r="E1025" s="23">
        <v>0</v>
      </c>
      <c r="F1025" s="23">
        <v>11764.99</v>
      </c>
      <c r="G1025" s="22" t="s">
        <v>2541</v>
      </c>
      <c r="H1025" s="22"/>
      <c r="I1025" t="s">
        <v>2401</v>
      </c>
      <c r="K1025" s="24">
        <f t="shared" si="17"/>
        <v>42653.73</v>
      </c>
    </row>
    <row r="1026" spans="1:11" hidden="1" x14ac:dyDescent="0.3">
      <c r="A1026" s="21">
        <v>45224</v>
      </c>
      <c r="B1026" t="s">
        <v>496</v>
      </c>
      <c r="C1026" s="22"/>
      <c r="D1026" s="23">
        <v>0</v>
      </c>
      <c r="E1026" s="23">
        <v>12403.87</v>
      </c>
      <c r="F1026" s="23">
        <v>66922.59</v>
      </c>
      <c r="G1026" s="22" t="s">
        <v>2406</v>
      </c>
      <c r="H1026" s="22"/>
      <c r="I1026" t="s">
        <v>2403</v>
      </c>
      <c r="K1026" s="24">
        <f t="shared" si="17"/>
        <v>-42753.729999999996</v>
      </c>
    </row>
    <row r="1027" spans="1:11" hidden="1" x14ac:dyDescent="0.3">
      <c r="A1027" s="21">
        <v>45224</v>
      </c>
      <c r="B1027" t="s">
        <v>133</v>
      </c>
      <c r="C1027" s="22"/>
      <c r="D1027" s="23">
        <v>128.96</v>
      </c>
      <c r="E1027" s="23">
        <v>0</v>
      </c>
      <c r="F1027" s="23">
        <v>66793.63</v>
      </c>
      <c r="G1027" s="22" t="s">
        <v>2406</v>
      </c>
      <c r="H1027" s="22"/>
      <c r="I1027" t="s">
        <v>2403</v>
      </c>
      <c r="K1027" s="24">
        <f t="shared" si="17"/>
        <v>0</v>
      </c>
    </row>
    <row r="1028" spans="1:11" hidden="1" x14ac:dyDescent="0.3">
      <c r="A1028" s="21">
        <v>45224</v>
      </c>
      <c r="B1028" t="s">
        <v>133</v>
      </c>
      <c r="C1028" s="22"/>
      <c r="D1028" s="23">
        <v>7555.81</v>
      </c>
      <c r="E1028" s="23">
        <v>0</v>
      </c>
      <c r="F1028" s="23">
        <v>59237.82</v>
      </c>
      <c r="G1028" s="22" t="s">
        <v>2406</v>
      </c>
      <c r="H1028" s="22"/>
      <c r="I1028" t="s">
        <v>2403</v>
      </c>
      <c r="K1028" s="24">
        <f t="shared" si="17"/>
        <v>0</v>
      </c>
    </row>
    <row r="1029" spans="1:11" hidden="1" x14ac:dyDescent="0.3">
      <c r="A1029" s="21">
        <v>45224</v>
      </c>
      <c r="B1029" t="s">
        <v>133</v>
      </c>
      <c r="C1029" s="22"/>
      <c r="D1029" s="23">
        <v>9150.0300000000007</v>
      </c>
      <c r="E1029" s="23">
        <v>0</v>
      </c>
      <c r="F1029" s="23">
        <v>50087.79</v>
      </c>
      <c r="G1029" s="22" t="s">
        <v>2406</v>
      </c>
      <c r="H1029" s="22"/>
      <c r="I1029" t="s">
        <v>2403</v>
      </c>
      <c r="K1029" s="24">
        <f t="shared" si="17"/>
        <v>0</v>
      </c>
    </row>
    <row r="1030" spans="1:11" hidden="1" x14ac:dyDescent="0.3">
      <c r="A1030" s="21">
        <v>45224</v>
      </c>
      <c r="B1030" t="s">
        <v>1668</v>
      </c>
      <c r="C1030" s="22" t="s">
        <v>1536</v>
      </c>
      <c r="D1030" s="23">
        <v>100</v>
      </c>
      <c r="E1030" s="23">
        <v>0</v>
      </c>
      <c r="F1030" s="23">
        <v>11664.99</v>
      </c>
      <c r="G1030" s="22" t="s">
        <v>2541</v>
      </c>
      <c r="H1030" s="22"/>
      <c r="I1030" t="s">
        <v>2401</v>
      </c>
      <c r="K1030" s="24">
        <f t="shared" ref="K1030:K1093" si="18">F1029-D1030+E1030-F1030</f>
        <v>38322.800000000003</v>
      </c>
    </row>
    <row r="1031" spans="1:11" hidden="1" x14ac:dyDescent="0.3">
      <c r="A1031" s="21">
        <v>45225</v>
      </c>
      <c r="B1031" t="s">
        <v>133</v>
      </c>
      <c r="C1031" s="22"/>
      <c r="D1031" s="23">
        <v>37.340000000000003</v>
      </c>
      <c r="E1031" s="23">
        <v>0</v>
      </c>
      <c r="F1031" s="23">
        <v>50050.45</v>
      </c>
      <c r="G1031" s="22" t="s">
        <v>2406</v>
      </c>
      <c r="H1031" s="22"/>
      <c r="I1031" t="s">
        <v>2403</v>
      </c>
      <c r="K1031" s="24">
        <f t="shared" si="18"/>
        <v>-38422.799999999996</v>
      </c>
    </row>
    <row r="1032" spans="1:11" hidden="1" x14ac:dyDescent="0.3">
      <c r="A1032" s="21">
        <v>45225</v>
      </c>
      <c r="B1032" t="s">
        <v>133</v>
      </c>
      <c r="C1032" s="22"/>
      <c r="D1032" s="23">
        <v>289.73</v>
      </c>
      <c r="E1032" s="23">
        <v>0</v>
      </c>
      <c r="F1032" s="23">
        <v>49760.72</v>
      </c>
      <c r="G1032" s="22" t="s">
        <v>2406</v>
      </c>
      <c r="H1032" s="22"/>
      <c r="I1032" t="s">
        <v>2403</v>
      </c>
      <c r="K1032" s="24">
        <f t="shared" si="18"/>
        <v>0</v>
      </c>
    </row>
    <row r="1033" spans="1:11" hidden="1" x14ac:dyDescent="0.3">
      <c r="A1033" s="21">
        <v>45225</v>
      </c>
      <c r="B1033" t="s">
        <v>1669</v>
      </c>
      <c r="C1033" s="22" t="s">
        <v>1536</v>
      </c>
      <c r="D1033" s="23">
        <v>100</v>
      </c>
      <c r="E1033" s="23">
        <v>0</v>
      </c>
      <c r="F1033" s="23">
        <v>11564.99</v>
      </c>
      <c r="G1033" s="22" t="s">
        <v>2541</v>
      </c>
      <c r="H1033" s="22"/>
      <c r="I1033" t="s">
        <v>2401</v>
      </c>
      <c r="K1033" s="24">
        <f t="shared" si="18"/>
        <v>38095.730000000003</v>
      </c>
    </row>
    <row r="1034" spans="1:11" hidden="1" x14ac:dyDescent="0.3">
      <c r="A1034" s="21">
        <v>45225</v>
      </c>
      <c r="B1034" t="s">
        <v>1670</v>
      </c>
      <c r="C1034" s="22" t="s">
        <v>1536</v>
      </c>
      <c r="D1034" s="23">
        <v>135</v>
      </c>
      <c r="E1034" s="23">
        <v>0</v>
      </c>
      <c r="F1034" s="23">
        <v>11429.99</v>
      </c>
      <c r="G1034" s="22" t="s">
        <v>2399</v>
      </c>
      <c r="H1034" s="22"/>
      <c r="I1034" t="s">
        <v>2401</v>
      </c>
      <c r="K1034" s="24">
        <f t="shared" si="18"/>
        <v>0</v>
      </c>
    </row>
    <row r="1035" spans="1:11" hidden="1" x14ac:dyDescent="0.3">
      <c r="A1035" s="21">
        <v>45225</v>
      </c>
      <c r="B1035" t="s">
        <v>1671</v>
      </c>
      <c r="C1035" s="22" t="s">
        <v>1536</v>
      </c>
      <c r="D1035" s="23">
        <v>30</v>
      </c>
      <c r="E1035" s="23">
        <v>0</v>
      </c>
      <c r="F1035" s="23">
        <v>11399.99</v>
      </c>
      <c r="G1035" s="22" t="s">
        <v>2408</v>
      </c>
      <c r="H1035" s="22"/>
      <c r="I1035" t="s">
        <v>2401</v>
      </c>
      <c r="K1035" s="24">
        <f t="shared" si="18"/>
        <v>0</v>
      </c>
    </row>
    <row r="1036" spans="1:11" hidden="1" x14ac:dyDescent="0.3">
      <c r="A1036" s="21">
        <v>45225</v>
      </c>
      <c r="B1036" t="s">
        <v>1672</v>
      </c>
      <c r="C1036" s="22" t="s">
        <v>1536</v>
      </c>
      <c r="D1036" s="23">
        <v>1296</v>
      </c>
      <c r="E1036" s="23">
        <v>0</v>
      </c>
      <c r="F1036" s="23">
        <v>10103.99</v>
      </c>
      <c r="G1036" s="22" t="s">
        <v>2399</v>
      </c>
      <c r="H1036" s="22"/>
      <c r="I1036" t="s">
        <v>2401</v>
      </c>
      <c r="K1036" s="24">
        <f t="shared" si="18"/>
        <v>0</v>
      </c>
    </row>
    <row r="1037" spans="1:11" hidden="1" x14ac:dyDescent="0.3">
      <c r="A1037" s="21">
        <v>45226</v>
      </c>
      <c r="B1037" t="s">
        <v>133</v>
      </c>
      <c r="C1037" s="22"/>
      <c r="D1037" s="23">
        <v>43.52</v>
      </c>
      <c r="E1037" s="23">
        <v>0</v>
      </c>
      <c r="F1037" s="23">
        <v>49717.2</v>
      </c>
      <c r="G1037" s="22" t="s">
        <v>2406</v>
      </c>
      <c r="H1037" s="22"/>
      <c r="I1037" t="s">
        <v>2403</v>
      </c>
      <c r="K1037" s="24">
        <f t="shared" si="18"/>
        <v>-39656.729999999996</v>
      </c>
    </row>
    <row r="1038" spans="1:11" hidden="1" x14ac:dyDescent="0.3">
      <c r="A1038" s="21">
        <v>45226</v>
      </c>
      <c r="B1038" t="s">
        <v>133</v>
      </c>
      <c r="C1038" s="22"/>
      <c r="D1038" s="23">
        <v>7392.07</v>
      </c>
      <c r="E1038" s="23">
        <v>0</v>
      </c>
      <c r="F1038" s="23">
        <v>42325.13</v>
      </c>
      <c r="G1038" s="22" t="s">
        <v>2406</v>
      </c>
      <c r="H1038" s="22"/>
      <c r="I1038" t="s">
        <v>2403</v>
      </c>
      <c r="K1038" s="24">
        <f t="shared" si="18"/>
        <v>0</v>
      </c>
    </row>
    <row r="1039" spans="1:11" hidden="1" x14ac:dyDescent="0.3">
      <c r="A1039" s="21">
        <v>45226</v>
      </c>
      <c r="B1039" t="s">
        <v>1673</v>
      </c>
      <c r="C1039" s="22" t="s">
        <v>1536</v>
      </c>
      <c r="D1039" s="23">
        <v>100</v>
      </c>
      <c r="E1039" s="23">
        <v>0</v>
      </c>
      <c r="F1039" s="23">
        <v>10003.99</v>
      </c>
      <c r="G1039" s="22" t="s">
        <v>2541</v>
      </c>
      <c r="H1039" s="22"/>
      <c r="I1039" t="s">
        <v>2401</v>
      </c>
      <c r="K1039" s="24">
        <f t="shared" si="18"/>
        <v>32221.14</v>
      </c>
    </row>
    <row r="1040" spans="1:11" hidden="1" x14ac:dyDescent="0.3">
      <c r="A1040" s="21">
        <v>45226</v>
      </c>
      <c r="B1040" t="s">
        <v>1673</v>
      </c>
      <c r="C1040" s="22" t="s">
        <v>1536</v>
      </c>
      <c r="D1040" s="23">
        <v>0</v>
      </c>
      <c r="E1040" s="23">
        <v>100</v>
      </c>
      <c r="F1040" s="23">
        <v>10103.99</v>
      </c>
      <c r="G1040" s="22" t="s">
        <v>2541</v>
      </c>
      <c r="H1040" s="22"/>
      <c r="I1040" t="s">
        <v>2401</v>
      </c>
      <c r="K1040" s="24">
        <f t="shared" si="18"/>
        <v>0</v>
      </c>
    </row>
    <row r="1041" spans="1:11" hidden="1" x14ac:dyDescent="0.3">
      <c r="A1041" s="21">
        <v>45226</v>
      </c>
      <c r="B1041" t="s">
        <v>1674</v>
      </c>
      <c r="C1041" s="22" t="s">
        <v>1536</v>
      </c>
      <c r="D1041" s="23">
        <v>100</v>
      </c>
      <c r="E1041" s="23">
        <v>0</v>
      </c>
      <c r="F1041" s="23">
        <v>10003.99</v>
      </c>
      <c r="G1041" s="22" t="s">
        <v>2541</v>
      </c>
      <c r="H1041" s="22"/>
      <c r="I1041" t="s">
        <v>2401</v>
      </c>
      <c r="K1041" s="24">
        <f t="shared" si="18"/>
        <v>0</v>
      </c>
    </row>
    <row r="1042" spans="1:11" hidden="1" x14ac:dyDescent="0.3">
      <c r="A1042" s="21">
        <v>45226</v>
      </c>
      <c r="B1042" t="s">
        <v>1675</v>
      </c>
      <c r="C1042" s="22" t="s">
        <v>1536</v>
      </c>
      <c r="D1042" s="23">
        <v>0</v>
      </c>
      <c r="E1042" s="23">
        <v>9166.66</v>
      </c>
      <c r="F1042" s="23">
        <v>19170.650000000001</v>
      </c>
      <c r="G1042" s="22" t="s">
        <v>2534</v>
      </c>
      <c r="H1042" s="22"/>
      <c r="I1042" t="s">
        <v>2401</v>
      </c>
      <c r="K1042" s="24">
        <f t="shared" si="18"/>
        <v>0</v>
      </c>
    </row>
    <row r="1043" spans="1:11" hidden="1" x14ac:dyDescent="0.3">
      <c r="A1043" s="21">
        <v>45226</v>
      </c>
      <c r="B1043" t="s">
        <v>1676</v>
      </c>
      <c r="C1043" s="22" t="s">
        <v>1536</v>
      </c>
      <c r="D1043" s="23">
        <v>126</v>
      </c>
      <c r="E1043" s="23">
        <v>0</v>
      </c>
      <c r="F1043" s="23">
        <v>19044.650000000001</v>
      </c>
      <c r="G1043" s="22" t="s">
        <v>2399</v>
      </c>
      <c r="H1043" s="22"/>
      <c r="I1043" t="s">
        <v>2401</v>
      </c>
      <c r="K1043" s="24">
        <f t="shared" si="18"/>
        <v>0</v>
      </c>
    </row>
    <row r="1044" spans="1:11" hidden="1" x14ac:dyDescent="0.3">
      <c r="A1044" s="21">
        <v>45227</v>
      </c>
      <c r="B1044" t="s">
        <v>1677</v>
      </c>
      <c r="C1044" s="22" t="s">
        <v>1536</v>
      </c>
      <c r="D1044" s="23">
        <v>100</v>
      </c>
      <c r="E1044" s="23">
        <v>0</v>
      </c>
      <c r="F1044" s="23">
        <v>18944.650000000001</v>
      </c>
      <c r="G1044" s="22" t="s">
        <v>2541</v>
      </c>
      <c r="H1044" s="22"/>
      <c r="I1044" t="s">
        <v>2401</v>
      </c>
      <c r="K1044" s="24">
        <f t="shared" si="18"/>
        <v>0</v>
      </c>
    </row>
    <row r="1045" spans="1:11" hidden="1" x14ac:dyDescent="0.3">
      <c r="A1045" s="21">
        <v>45227</v>
      </c>
      <c r="B1045" t="s">
        <v>1678</v>
      </c>
      <c r="C1045" s="22" t="s">
        <v>1536</v>
      </c>
      <c r="D1045" s="23">
        <v>199</v>
      </c>
      <c r="E1045" s="23">
        <v>0</v>
      </c>
      <c r="F1045" s="23">
        <v>18745.650000000001</v>
      </c>
      <c r="G1045" s="22" t="s">
        <v>2399</v>
      </c>
      <c r="H1045" s="22"/>
      <c r="I1045" t="s">
        <v>2401</v>
      </c>
      <c r="K1045" s="24">
        <f t="shared" si="18"/>
        <v>0</v>
      </c>
    </row>
    <row r="1046" spans="1:11" hidden="1" x14ac:dyDescent="0.3">
      <c r="A1046" s="21">
        <v>45228</v>
      </c>
      <c r="B1046" t="s">
        <v>1679</v>
      </c>
      <c r="C1046" s="22" t="s">
        <v>1536</v>
      </c>
      <c r="D1046" s="23">
        <v>100</v>
      </c>
      <c r="E1046" s="23">
        <v>0</v>
      </c>
      <c r="F1046" s="23">
        <v>18645.650000000001</v>
      </c>
      <c r="G1046" s="22" t="s">
        <v>2541</v>
      </c>
      <c r="H1046" s="22"/>
      <c r="I1046" t="s">
        <v>2401</v>
      </c>
      <c r="K1046" s="24">
        <f t="shared" si="18"/>
        <v>0</v>
      </c>
    </row>
    <row r="1047" spans="1:11" hidden="1" x14ac:dyDescent="0.3">
      <c r="A1047" s="21">
        <v>45228</v>
      </c>
      <c r="B1047" t="s">
        <v>1680</v>
      </c>
      <c r="C1047" s="22" t="s">
        <v>1536</v>
      </c>
      <c r="D1047" s="23">
        <v>121</v>
      </c>
      <c r="E1047" s="23">
        <v>0</v>
      </c>
      <c r="F1047" s="23">
        <v>18524.650000000001</v>
      </c>
      <c r="G1047" s="22" t="s">
        <v>2399</v>
      </c>
      <c r="H1047" s="22"/>
      <c r="I1047" t="s">
        <v>2401</v>
      </c>
      <c r="K1047" s="24">
        <f t="shared" si="18"/>
        <v>0</v>
      </c>
    </row>
    <row r="1048" spans="1:11" hidden="1" x14ac:dyDescent="0.3">
      <c r="A1048" s="21">
        <v>45228</v>
      </c>
      <c r="B1048" t="s">
        <v>1681</v>
      </c>
      <c r="C1048" s="22" t="s">
        <v>1536</v>
      </c>
      <c r="D1048" s="23">
        <v>99</v>
      </c>
      <c r="E1048" s="23">
        <v>0</v>
      </c>
      <c r="F1048" s="23">
        <v>18425.650000000001</v>
      </c>
      <c r="G1048" s="22" t="s">
        <v>2408</v>
      </c>
      <c r="H1048" s="22"/>
      <c r="I1048" t="s">
        <v>2401</v>
      </c>
      <c r="K1048" s="24">
        <f t="shared" si="18"/>
        <v>0</v>
      </c>
    </row>
    <row r="1049" spans="1:11" hidden="1" x14ac:dyDescent="0.3">
      <c r="A1049" s="21">
        <v>45229</v>
      </c>
      <c r="B1049" t="s">
        <v>496</v>
      </c>
      <c r="C1049" s="22"/>
      <c r="D1049" s="23">
        <v>0</v>
      </c>
      <c r="E1049" s="23">
        <v>1729.24</v>
      </c>
      <c r="F1049" s="23">
        <v>44054.37</v>
      </c>
      <c r="G1049" s="22" t="s">
        <v>2406</v>
      </c>
      <c r="H1049" s="22"/>
      <c r="I1049" t="s">
        <v>2403</v>
      </c>
      <c r="K1049" s="24">
        <f t="shared" si="18"/>
        <v>-23899.48</v>
      </c>
    </row>
    <row r="1050" spans="1:11" hidden="1" x14ac:dyDescent="0.3">
      <c r="A1050" s="21">
        <v>45229</v>
      </c>
      <c r="B1050" t="s">
        <v>652</v>
      </c>
      <c r="C1050" s="22"/>
      <c r="D1050" s="23">
        <v>5000</v>
      </c>
      <c r="E1050" s="23">
        <v>0</v>
      </c>
      <c r="F1050" s="23">
        <v>39054.370000000003</v>
      </c>
      <c r="G1050" s="22" t="s">
        <v>2442</v>
      </c>
      <c r="H1050" s="22"/>
      <c r="I1050" t="s">
        <v>2403</v>
      </c>
      <c r="K1050" s="24">
        <f t="shared" si="18"/>
        <v>0</v>
      </c>
    </row>
    <row r="1051" spans="1:11" hidden="1" x14ac:dyDescent="0.3">
      <c r="A1051" s="21">
        <v>45229</v>
      </c>
      <c r="B1051" t="s">
        <v>652</v>
      </c>
      <c r="C1051" s="22"/>
      <c r="D1051" s="23">
        <v>5000</v>
      </c>
      <c r="E1051" s="23">
        <v>0</v>
      </c>
      <c r="F1051" s="23">
        <v>34054.370000000003</v>
      </c>
      <c r="G1051" s="22" t="s">
        <v>2442</v>
      </c>
      <c r="H1051" s="22"/>
      <c r="I1051" t="s">
        <v>2403</v>
      </c>
      <c r="K1051" s="24">
        <f t="shared" si="18"/>
        <v>0</v>
      </c>
    </row>
    <row r="1052" spans="1:11" hidden="1" x14ac:dyDescent="0.3">
      <c r="A1052" s="21">
        <v>45229</v>
      </c>
      <c r="B1052" t="s">
        <v>133</v>
      </c>
      <c r="C1052" s="22"/>
      <c r="D1052" s="23">
        <v>130.56</v>
      </c>
      <c r="E1052" s="23">
        <v>0</v>
      </c>
      <c r="F1052" s="23">
        <v>33923.81</v>
      </c>
      <c r="G1052" s="22" t="s">
        <v>2406</v>
      </c>
      <c r="H1052" s="22"/>
      <c r="I1052" t="s">
        <v>2403</v>
      </c>
      <c r="K1052" s="24">
        <f t="shared" si="18"/>
        <v>0</v>
      </c>
    </row>
    <row r="1053" spans="1:11" hidden="1" x14ac:dyDescent="0.3">
      <c r="A1053" s="21">
        <v>45229</v>
      </c>
      <c r="B1053" t="s">
        <v>133</v>
      </c>
      <c r="C1053" s="22"/>
      <c r="D1053" s="23">
        <v>6269.96</v>
      </c>
      <c r="E1053" s="23">
        <v>0</v>
      </c>
      <c r="F1053" s="23">
        <v>27653.85</v>
      </c>
      <c r="G1053" s="22" t="s">
        <v>2406</v>
      </c>
      <c r="H1053" s="22"/>
      <c r="I1053" t="s">
        <v>2403</v>
      </c>
      <c r="K1053" s="24">
        <f t="shared" si="18"/>
        <v>0</v>
      </c>
    </row>
    <row r="1054" spans="1:11" hidden="1" x14ac:dyDescent="0.3">
      <c r="A1054" s="21">
        <v>45229</v>
      </c>
      <c r="B1054" t="s">
        <v>1682</v>
      </c>
      <c r="C1054" s="22" t="s">
        <v>1536</v>
      </c>
      <c r="D1054" s="23">
        <v>100</v>
      </c>
      <c r="E1054" s="23">
        <v>0</v>
      </c>
      <c r="F1054" s="23">
        <v>18325.650000000001</v>
      </c>
      <c r="G1054" s="22" t="s">
        <v>2541</v>
      </c>
      <c r="H1054" s="22"/>
      <c r="I1054" t="s">
        <v>2401</v>
      </c>
      <c r="K1054" s="24">
        <f t="shared" si="18"/>
        <v>9228.1999999999971</v>
      </c>
    </row>
    <row r="1055" spans="1:11" hidden="1" x14ac:dyDescent="0.3">
      <c r="A1055" s="21">
        <v>45229</v>
      </c>
      <c r="B1055" t="s">
        <v>1683</v>
      </c>
      <c r="C1055" s="22" t="s">
        <v>1536</v>
      </c>
      <c r="D1055" s="23">
        <v>624</v>
      </c>
      <c r="E1055" s="23">
        <v>0</v>
      </c>
      <c r="F1055" s="23">
        <v>17701.650000000001</v>
      </c>
      <c r="G1055" s="22" t="s">
        <v>2399</v>
      </c>
      <c r="H1055" s="22"/>
      <c r="I1055" t="s">
        <v>2401</v>
      </c>
      <c r="K1055" s="24">
        <f t="shared" si="18"/>
        <v>0</v>
      </c>
    </row>
    <row r="1056" spans="1:11" hidden="1" x14ac:dyDescent="0.3">
      <c r="A1056" s="21">
        <v>45230</v>
      </c>
      <c r="B1056" t="s">
        <v>496</v>
      </c>
      <c r="C1056" s="22"/>
      <c r="D1056" s="23">
        <v>0</v>
      </c>
      <c r="E1056" s="23">
        <v>12214.38</v>
      </c>
      <c r="F1056" s="23">
        <v>39868.230000000003</v>
      </c>
      <c r="G1056" s="22" t="s">
        <v>2406</v>
      </c>
      <c r="H1056" s="22"/>
      <c r="I1056" t="s">
        <v>2403</v>
      </c>
      <c r="K1056" s="24">
        <f t="shared" si="18"/>
        <v>-9952.2000000000044</v>
      </c>
    </row>
    <row r="1057" spans="1:11" hidden="1" x14ac:dyDescent="0.3">
      <c r="A1057" s="21">
        <v>45230</v>
      </c>
      <c r="B1057" t="s">
        <v>133</v>
      </c>
      <c r="C1057" s="22"/>
      <c r="D1057" s="23">
        <v>41.91</v>
      </c>
      <c r="E1057" s="23">
        <v>0</v>
      </c>
      <c r="F1057" s="23">
        <v>39826.32</v>
      </c>
      <c r="G1057" s="22" t="s">
        <v>2406</v>
      </c>
      <c r="H1057" s="22"/>
      <c r="I1057" t="s">
        <v>2403</v>
      </c>
      <c r="K1057" s="24">
        <f t="shared" si="18"/>
        <v>0</v>
      </c>
    </row>
    <row r="1058" spans="1:11" hidden="1" x14ac:dyDescent="0.3">
      <c r="A1058" s="21">
        <v>45230</v>
      </c>
      <c r="B1058" t="s">
        <v>133</v>
      </c>
      <c r="C1058" s="22"/>
      <c r="D1058" s="23">
        <v>2122.5500000000002</v>
      </c>
      <c r="E1058" s="23">
        <v>0</v>
      </c>
      <c r="F1058" s="23">
        <v>37703.769999999997</v>
      </c>
      <c r="G1058" s="22" t="s">
        <v>2406</v>
      </c>
      <c r="H1058" s="22"/>
      <c r="I1058" t="s">
        <v>2403</v>
      </c>
      <c r="K1058" s="24">
        <f t="shared" si="18"/>
        <v>0</v>
      </c>
    </row>
    <row r="1059" spans="1:11" hidden="1" x14ac:dyDescent="0.3">
      <c r="A1059" s="21">
        <v>45230</v>
      </c>
      <c r="B1059" t="s">
        <v>1684</v>
      </c>
      <c r="C1059" s="22" t="s">
        <v>1536</v>
      </c>
      <c r="D1059" s="23">
        <v>100</v>
      </c>
      <c r="E1059" s="23">
        <v>0</v>
      </c>
      <c r="F1059" s="23">
        <v>17601.650000000001</v>
      </c>
      <c r="G1059" s="22" t="s">
        <v>2541</v>
      </c>
      <c r="H1059" s="22"/>
      <c r="I1059" t="s">
        <v>2401</v>
      </c>
      <c r="K1059" s="24">
        <f t="shared" si="18"/>
        <v>20002.119999999995</v>
      </c>
    </row>
    <row r="1060" spans="1:11" hidden="1" x14ac:dyDescent="0.3">
      <c r="A1060" s="21">
        <v>45230</v>
      </c>
      <c r="B1060" t="s">
        <v>1685</v>
      </c>
      <c r="C1060" s="22" t="s">
        <v>1536</v>
      </c>
      <c r="D1060" s="23">
        <v>613</v>
      </c>
      <c r="E1060" s="23">
        <v>0</v>
      </c>
      <c r="F1060" s="23">
        <v>16988.650000000001</v>
      </c>
      <c r="G1060" s="22" t="s">
        <v>2419</v>
      </c>
      <c r="H1060" s="22"/>
      <c r="I1060" t="s">
        <v>2401</v>
      </c>
      <c r="K1060" s="24">
        <f t="shared" si="18"/>
        <v>0</v>
      </c>
    </row>
    <row r="1061" spans="1:11" hidden="1" x14ac:dyDescent="0.3">
      <c r="A1061" s="21">
        <v>45230</v>
      </c>
      <c r="B1061" t="s">
        <v>1686</v>
      </c>
      <c r="C1061" s="22" t="s">
        <v>1536</v>
      </c>
      <c r="D1061" s="23">
        <v>0</v>
      </c>
      <c r="E1061" s="23">
        <v>34112</v>
      </c>
      <c r="F1061" s="23">
        <v>51100.65</v>
      </c>
      <c r="G1061" s="22" t="s">
        <v>2581</v>
      </c>
      <c r="H1061" s="22"/>
      <c r="I1061" t="s">
        <v>2401</v>
      </c>
      <c r="K1061" s="24">
        <f t="shared" si="18"/>
        <v>0</v>
      </c>
    </row>
    <row r="1062" spans="1:11" hidden="1" x14ac:dyDescent="0.3">
      <c r="A1062" s="21">
        <v>45231</v>
      </c>
      <c r="B1062" t="s">
        <v>496</v>
      </c>
      <c r="C1062" s="22"/>
      <c r="D1062" s="23">
        <v>0</v>
      </c>
      <c r="E1062" s="23">
        <v>18367.21</v>
      </c>
      <c r="F1062" s="23">
        <v>56070.98</v>
      </c>
      <c r="G1062" s="22" t="s">
        <v>2406</v>
      </c>
      <c r="H1062" s="22"/>
      <c r="I1062" t="s">
        <v>2403</v>
      </c>
      <c r="K1062" s="24">
        <f t="shared" si="18"/>
        <v>13396.879999999997</v>
      </c>
    </row>
    <row r="1063" spans="1:11" hidden="1" x14ac:dyDescent="0.3">
      <c r="A1063" s="21">
        <v>45231</v>
      </c>
      <c r="B1063" t="s">
        <v>133</v>
      </c>
      <c r="C1063" s="22"/>
      <c r="D1063" s="23">
        <v>47.48</v>
      </c>
      <c r="E1063" s="23">
        <v>0</v>
      </c>
      <c r="F1063" s="23">
        <v>56023.5</v>
      </c>
      <c r="G1063" s="22" t="s">
        <v>2406</v>
      </c>
      <c r="H1063" s="22"/>
      <c r="I1063" t="s">
        <v>2403</v>
      </c>
      <c r="K1063" s="24">
        <f t="shared" si="18"/>
        <v>0</v>
      </c>
    </row>
    <row r="1064" spans="1:11" hidden="1" x14ac:dyDescent="0.3">
      <c r="A1064" s="21">
        <v>45231</v>
      </c>
      <c r="B1064" t="s">
        <v>133</v>
      </c>
      <c r="C1064" s="22"/>
      <c r="D1064" s="23">
        <v>29121.75</v>
      </c>
      <c r="E1064" s="23">
        <v>0</v>
      </c>
      <c r="F1064" s="23">
        <v>26901.75</v>
      </c>
      <c r="G1064" s="22" t="s">
        <v>2406</v>
      </c>
      <c r="H1064" s="22"/>
      <c r="I1064" t="s">
        <v>2403</v>
      </c>
      <c r="K1064" s="24">
        <f t="shared" si="18"/>
        <v>0</v>
      </c>
    </row>
    <row r="1065" spans="1:11" hidden="1" x14ac:dyDescent="0.3">
      <c r="A1065" s="21">
        <v>45231</v>
      </c>
      <c r="B1065" t="s">
        <v>1687</v>
      </c>
      <c r="C1065" s="22" t="s">
        <v>1536</v>
      </c>
      <c r="D1065" s="23">
        <v>100</v>
      </c>
      <c r="E1065" s="23">
        <v>0</v>
      </c>
      <c r="F1065" s="23">
        <v>51000.65</v>
      </c>
      <c r="G1065" s="22" t="s">
        <v>2541</v>
      </c>
      <c r="H1065" s="22"/>
      <c r="I1065" t="s">
        <v>2401</v>
      </c>
      <c r="K1065" s="24">
        <f t="shared" si="18"/>
        <v>-24198.9</v>
      </c>
    </row>
    <row r="1066" spans="1:11" hidden="1" x14ac:dyDescent="0.3">
      <c r="A1066" s="21">
        <v>45231</v>
      </c>
      <c r="B1066" t="s">
        <v>1688</v>
      </c>
      <c r="C1066" s="22" t="s">
        <v>1536</v>
      </c>
      <c r="D1066" s="23">
        <v>35</v>
      </c>
      <c r="E1066" s="23">
        <v>0</v>
      </c>
      <c r="F1066" s="23">
        <v>50965.65</v>
      </c>
      <c r="G1066" s="22" t="s">
        <v>2408</v>
      </c>
      <c r="H1066" s="22"/>
      <c r="I1066" t="s">
        <v>2401</v>
      </c>
      <c r="K1066" s="24">
        <f t="shared" si="18"/>
        <v>0</v>
      </c>
    </row>
    <row r="1067" spans="1:11" hidden="1" x14ac:dyDescent="0.3">
      <c r="A1067" s="21">
        <v>45231</v>
      </c>
      <c r="B1067" t="s">
        <v>1689</v>
      </c>
      <c r="C1067" s="22" t="s">
        <v>1536</v>
      </c>
      <c r="D1067" s="23">
        <v>15</v>
      </c>
      <c r="E1067" s="23">
        <v>0</v>
      </c>
      <c r="F1067" s="23">
        <v>50950.65</v>
      </c>
      <c r="G1067" s="22" t="s">
        <v>2408</v>
      </c>
      <c r="H1067" s="22"/>
      <c r="I1067" t="s">
        <v>2401</v>
      </c>
      <c r="K1067" s="24">
        <f t="shared" si="18"/>
        <v>0</v>
      </c>
    </row>
    <row r="1068" spans="1:11" hidden="1" x14ac:dyDescent="0.3">
      <c r="A1068" s="21">
        <v>45231</v>
      </c>
      <c r="B1068" t="s">
        <v>1690</v>
      </c>
      <c r="C1068" s="22" t="s">
        <v>1536</v>
      </c>
      <c r="D1068" s="23">
        <v>150</v>
      </c>
      <c r="E1068" s="23">
        <v>0</v>
      </c>
      <c r="F1068" s="23">
        <v>50800.65</v>
      </c>
      <c r="G1068" s="22" t="s">
        <v>2399</v>
      </c>
      <c r="H1068" s="22"/>
      <c r="I1068" t="s">
        <v>2401</v>
      </c>
      <c r="K1068" s="24">
        <f t="shared" si="18"/>
        <v>0</v>
      </c>
    </row>
    <row r="1069" spans="1:11" hidden="1" x14ac:dyDescent="0.3">
      <c r="A1069" s="21">
        <v>45231</v>
      </c>
      <c r="B1069" t="s">
        <v>1691</v>
      </c>
      <c r="C1069" s="22" t="s">
        <v>1536</v>
      </c>
      <c r="D1069" s="23">
        <v>20</v>
      </c>
      <c r="E1069" s="23">
        <v>0</v>
      </c>
      <c r="F1069" s="23">
        <v>50780.65</v>
      </c>
      <c r="G1069" s="22" t="s">
        <v>2408</v>
      </c>
      <c r="H1069" s="22"/>
      <c r="I1069" t="s">
        <v>2401</v>
      </c>
      <c r="K1069" s="24">
        <f t="shared" si="18"/>
        <v>0</v>
      </c>
    </row>
    <row r="1070" spans="1:11" hidden="1" x14ac:dyDescent="0.3">
      <c r="A1070" s="21">
        <v>45232</v>
      </c>
      <c r="B1070" t="s">
        <v>133</v>
      </c>
      <c r="C1070" s="22"/>
      <c r="D1070" s="23">
        <v>39.53</v>
      </c>
      <c r="E1070" s="23">
        <v>0</v>
      </c>
      <c r="F1070" s="23">
        <v>26862.22</v>
      </c>
      <c r="G1070" s="22" t="s">
        <v>2406</v>
      </c>
      <c r="H1070" s="22"/>
      <c r="I1070" t="s">
        <v>2403</v>
      </c>
      <c r="K1070" s="24">
        <f t="shared" si="18"/>
        <v>23878.9</v>
      </c>
    </row>
    <row r="1071" spans="1:11" hidden="1" x14ac:dyDescent="0.3">
      <c r="A1071" s="21">
        <v>45232</v>
      </c>
      <c r="B1071" t="s">
        <v>133</v>
      </c>
      <c r="C1071" s="22"/>
      <c r="D1071" s="23">
        <v>5685.38</v>
      </c>
      <c r="E1071" s="23">
        <v>0</v>
      </c>
      <c r="F1071" s="23">
        <v>21176.84</v>
      </c>
      <c r="G1071" s="22" t="s">
        <v>2406</v>
      </c>
      <c r="H1071" s="22"/>
      <c r="I1071" t="s">
        <v>2403</v>
      </c>
      <c r="K1071" s="24">
        <f t="shared" si="18"/>
        <v>0</v>
      </c>
    </row>
    <row r="1072" spans="1:11" hidden="1" x14ac:dyDescent="0.3">
      <c r="A1072" s="21">
        <v>45232</v>
      </c>
      <c r="B1072" t="s">
        <v>1692</v>
      </c>
      <c r="C1072" s="22" t="s">
        <v>1536</v>
      </c>
      <c r="D1072" s="23">
        <v>100</v>
      </c>
      <c r="E1072" s="23">
        <v>0</v>
      </c>
      <c r="F1072" s="23">
        <v>50680.65</v>
      </c>
      <c r="G1072" s="22" t="s">
        <v>2541</v>
      </c>
      <c r="H1072" s="22"/>
      <c r="I1072" t="s">
        <v>2401</v>
      </c>
      <c r="K1072" s="24">
        <f t="shared" si="18"/>
        <v>-29603.81</v>
      </c>
    </row>
    <row r="1073" spans="1:11" hidden="1" x14ac:dyDescent="0.3">
      <c r="A1073" s="21">
        <v>45232</v>
      </c>
      <c r="B1073" t="s">
        <v>1693</v>
      </c>
      <c r="C1073" s="22" t="s">
        <v>1536</v>
      </c>
      <c r="D1073" s="23">
        <v>40</v>
      </c>
      <c r="E1073" s="23">
        <v>0</v>
      </c>
      <c r="F1073" s="23">
        <v>50640.65</v>
      </c>
      <c r="G1073" s="22" t="s">
        <v>2408</v>
      </c>
      <c r="H1073" s="22"/>
      <c r="I1073" t="s">
        <v>2401</v>
      </c>
      <c r="K1073" s="24">
        <f t="shared" si="18"/>
        <v>0</v>
      </c>
    </row>
    <row r="1074" spans="1:11" hidden="1" x14ac:dyDescent="0.3">
      <c r="A1074" s="21">
        <v>45232</v>
      </c>
      <c r="B1074" t="s">
        <v>1694</v>
      </c>
      <c r="C1074" s="22" t="s">
        <v>1536</v>
      </c>
      <c r="D1074" s="23">
        <v>90</v>
      </c>
      <c r="E1074" s="23">
        <v>0</v>
      </c>
      <c r="F1074" s="23">
        <v>50550.65</v>
      </c>
      <c r="G1074" s="22" t="s">
        <v>2408</v>
      </c>
      <c r="H1074" s="22"/>
      <c r="I1074" t="s">
        <v>2401</v>
      </c>
      <c r="K1074" s="24">
        <f t="shared" si="18"/>
        <v>0</v>
      </c>
    </row>
    <row r="1075" spans="1:11" hidden="1" x14ac:dyDescent="0.3">
      <c r="A1075" s="21">
        <v>45232</v>
      </c>
      <c r="B1075" t="s">
        <v>1695</v>
      </c>
      <c r="C1075" s="22" t="s">
        <v>1536</v>
      </c>
      <c r="D1075" s="23">
        <v>25</v>
      </c>
      <c r="E1075" s="23">
        <v>0</v>
      </c>
      <c r="F1075" s="23">
        <v>50525.65</v>
      </c>
      <c r="G1075" s="22" t="s">
        <v>2408</v>
      </c>
      <c r="H1075" s="22"/>
      <c r="I1075" t="s">
        <v>2401</v>
      </c>
      <c r="K1075" s="24">
        <f t="shared" si="18"/>
        <v>0</v>
      </c>
    </row>
    <row r="1076" spans="1:11" hidden="1" x14ac:dyDescent="0.3">
      <c r="A1076" s="21">
        <v>45232</v>
      </c>
      <c r="B1076" t="s">
        <v>1696</v>
      </c>
      <c r="C1076" s="22" t="s">
        <v>1536</v>
      </c>
      <c r="D1076" s="23">
        <v>0</v>
      </c>
      <c r="E1076" s="23">
        <v>1</v>
      </c>
      <c r="F1076" s="23">
        <v>50526.65</v>
      </c>
      <c r="G1076" s="22" t="s">
        <v>2580</v>
      </c>
      <c r="H1076" s="22"/>
      <c r="I1076" t="s">
        <v>2401</v>
      </c>
      <c r="K1076" s="24">
        <f t="shared" si="18"/>
        <v>0</v>
      </c>
    </row>
    <row r="1077" spans="1:11" hidden="1" x14ac:dyDescent="0.3">
      <c r="A1077" s="21">
        <v>45232</v>
      </c>
      <c r="B1077" t="s">
        <v>2542</v>
      </c>
      <c r="C1077" s="22" t="s">
        <v>2582</v>
      </c>
      <c r="D1077" s="23">
        <v>0</v>
      </c>
      <c r="E1077" s="23">
        <v>25000</v>
      </c>
      <c r="F1077" s="23">
        <v>75775.210000000006</v>
      </c>
      <c r="G1077" s="22" t="s">
        <v>2544</v>
      </c>
      <c r="H1077" s="22"/>
      <c r="I1077" t="s">
        <v>2400</v>
      </c>
      <c r="K1077" s="24">
        <f t="shared" si="18"/>
        <v>-248.56000000001222</v>
      </c>
    </row>
    <row r="1078" spans="1:11" hidden="1" x14ac:dyDescent="0.3">
      <c r="A1078" s="21">
        <v>45233</v>
      </c>
      <c r="B1078" t="s">
        <v>496</v>
      </c>
      <c r="C1078" s="22"/>
      <c r="D1078" s="23">
        <v>0</v>
      </c>
      <c r="E1078" s="23">
        <v>2837.4</v>
      </c>
      <c r="F1078" s="23">
        <v>24014.240000000002</v>
      </c>
      <c r="G1078" s="22" t="s">
        <v>2406</v>
      </c>
      <c r="H1078" s="22"/>
      <c r="I1078" t="s">
        <v>2403</v>
      </c>
      <c r="K1078" s="24">
        <f t="shared" si="18"/>
        <v>54598.369999999995</v>
      </c>
    </row>
    <row r="1079" spans="1:11" hidden="1" x14ac:dyDescent="0.3">
      <c r="A1079" s="21">
        <v>45233</v>
      </c>
      <c r="B1079" t="s">
        <v>133</v>
      </c>
      <c r="C1079" s="22"/>
      <c r="D1079" s="23">
        <v>68.67</v>
      </c>
      <c r="E1079" s="23">
        <v>0</v>
      </c>
      <c r="F1079" s="23">
        <v>23945.57</v>
      </c>
      <c r="G1079" s="22" t="s">
        <v>2406</v>
      </c>
      <c r="H1079" s="22"/>
      <c r="I1079" t="s">
        <v>2403</v>
      </c>
      <c r="K1079" s="24">
        <f t="shared" si="18"/>
        <v>0</v>
      </c>
    </row>
    <row r="1080" spans="1:11" hidden="1" x14ac:dyDescent="0.3">
      <c r="A1080" s="21">
        <v>45233</v>
      </c>
      <c r="B1080" t="s">
        <v>496</v>
      </c>
      <c r="C1080" s="22"/>
      <c r="D1080" s="23">
        <v>0</v>
      </c>
      <c r="E1080" s="23">
        <v>14987.68</v>
      </c>
      <c r="F1080" s="23">
        <v>38933.25</v>
      </c>
      <c r="G1080" s="22" t="s">
        <v>2406</v>
      </c>
      <c r="H1080" s="22"/>
      <c r="I1080" t="s">
        <v>2403</v>
      </c>
      <c r="K1080" s="24">
        <f t="shared" si="18"/>
        <v>0</v>
      </c>
    </row>
    <row r="1081" spans="1:11" hidden="1" x14ac:dyDescent="0.3">
      <c r="A1081" s="21">
        <v>45233</v>
      </c>
      <c r="B1081" t="s">
        <v>1697</v>
      </c>
      <c r="C1081" s="22" t="s">
        <v>1536</v>
      </c>
      <c r="D1081" s="23">
        <v>100</v>
      </c>
      <c r="E1081" s="23">
        <v>0</v>
      </c>
      <c r="F1081" s="23">
        <v>50426.65</v>
      </c>
      <c r="G1081" s="22" t="s">
        <v>2541</v>
      </c>
      <c r="H1081" s="22"/>
      <c r="I1081" t="s">
        <v>2401</v>
      </c>
      <c r="K1081" s="24">
        <f t="shared" si="18"/>
        <v>-11593.400000000001</v>
      </c>
    </row>
    <row r="1082" spans="1:11" hidden="1" x14ac:dyDescent="0.3">
      <c r="A1082" s="21">
        <v>45233</v>
      </c>
      <c r="B1082" t="s">
        <v>1698</v>
      </c>
      <c r="C1082" s="22" t="s">
        <v>1536</v>
      </c>
      <c r="D1082" s="23">
        <v>35</v>
      </c>
      <c r="E1082" s="23">
        <v>0</v>
      </c>
      <c r="F1082" s="23">
        <v>50391.65</v>
      </c>
      <c r="G1082" s="22" t="s">
        <v>2408</v>
      </c>
      <c r="H1082" s="22"/>
      <c r="I1082" t="s">
        <v>2401</v>
      </c>
      <c r="K1082" s="24">
        <f t="shared" si="18"/>
        <v>0</v>
      </c>
    </row>
    <row r="1083" spans="1:11" hidden="1" x14ac:dyDescent="0.3">
      <c r="A1083" s="21">
        <v>45233</v>
      </c>
      <c r="B1083" t="s">
        <v>1699</v>
      </c>
      <c r="C1083" s="22" t="s">
        <v>1536</v>
      </c>
      <c r="D1083" s="23">
        <v>15</v>
      </c>
      <c r="E1083" s="23">
        <v>0</v>
      </c>
      <c r="F1083" s="23">
        <v>50376.65</v>
      </c>
      <c r="G1083" s="22" t="s">
        <v>2408</v>
      </c>
      <c r="H1083" s="22"/>
      <c r="I1083" t="s">
        <v>2401</v>
      </c>
      <c r="K1083" s="24">
        <f t="shared" si="18"/>
        <v>0</v>
      </c>
    </row>
    <row r="1084" spans="1:11" hidden="1" x14ac:dyDescent="0.3">
      <c r="A1084" s="21">
        <v>45233</v>
      </c>
      <c r="B1084" t="s">
        <v>1700</v>
      </c>
      <c r="C1084" s="22" t="s">
        <v>1536</v>
      </c>
      <c r="D1084" s="23">
        <v>26.02</v>
      </c>
      <c r="E1084" s="23">
        <v>0</v>
      </c>
      <c r="F1084" s="23">
        <v>50350.63</v>
      </c>
      <c r="G1084" s="22" t="s">
        <v>2408</v>
      </c>
      <c r="H1084" s="22"/>
      <c r="I1084" t="s">
        <v>2401</v>
      </c>
      <c r="K1084" s="24">
        <f t="shared" si="18"/>
        <v>0</v>
      </c>
    </row>
    <row r="1085" spans="1:11" hidden="1" x14ac:dyDescent="0.3">
      <c r="A1085" s="21">
        <v>45233</v>
      </c>
      <c r="B1085" t="s">
        <v>1701</v>
      </c>
      <c r="C1085" s="22" t="s">
        <v>1536</v>
      </c>
      <c r="D1085" s="23">
        <v>1799</v>
      </c>
      <c r="E1085" s="23">
        <v>0</v>
      </c>
      <c r="F1085" s="23">
        <v>48551.63</v>
      </c>
      <c r="G1085" s="22" t="s">
        <v>2399</v>
      </c>
      <c r="H1085" s="22"/>
      <c r="I1085" t="s">
        <v>2401</v>
      </c>
      <c r="K1085" s="24">
        <f t="shared" si="18"/>
        <v>0</v>
      </c>
    </row>
    <row r="1086" spans="1:11" hidden="1" x14ac:dyDescent="0.3">
      <c r="A1086" s="21">
        <v>45233</v>
      </c>
      <c r="B1086" t="s">
        <v>1702</v>
      </c>
      <c r="C1086" s="22" t="s">
        <v>1536</v>
      </c>
      <c r="D1086" s="23">
        <v>20</v>
      </c>
      <c r="E1086" s="23">
        <v>0</v>
      </c>
      <c r="F1086" s="23">
        <v>48531.63</v>
      </c>
      <c r="G1086" s="22" t="s">
        <v>2408</v>
      </c>
      <c r="H1086" s="22"/>
      <c r="I1086" t="s">
        <v>2401</v>
      </c>
      <c r="K1086" s="24">
        <f t="shared" si="18"/>
        <v>0</v>
      </c>
    </row>
    <row r="1087" spans="1:11" hidden="1" x14ac:dyDescent="0.3">
      <c r="A1087" s="21">
        <v>45233</v>
      </c>
      <c r="B1087" t="s">
        <v>1703</v>
      </c>
      <c r="C1087" s="22" t="s">
        <v>1536</v>
      </c>
      <c r="D1087" s="23">
        <v>30</v>
      </c>
      <c r="E1087" s="23">
        <v>0</v>
      </c>
      <c r="F1087" s="23">
        <v>48501.63</v>
      </c>
      <c r="G1087" s="22" t="s">
        <v>2408</v>
      </c>
      <c r="H1087" s="22"/>
      <c r="I1087" t="s">
        <v>2401</v>
      </c>
      <c r="K1087" s="24">
        <f t="shared" si="18"/>
        <v>0</v>
      </c>
    </row>
    <row r="1088" spans="1:11" hidden="1" x14ac:dyDescent="0.3">
      <c r="A1088" s="21">
        <v>45233</v>
      </c>
      <c r="B1088" t="s">
        <v>1704</v>
      </c>
      <c r="C1088" s="22" t="s">
        <v>1536</v>
      </c>
      <c r="D1088" s="23">
        <v>70</v>
      </c>
      <c r="E1088" s="23">
        <v>0</v>
      </c>
      <c r="F1088" s="23">
        <v>48431.63</v>
      </c>
      <c r="G1088" s="22" t="s">
        <v>2408</v>
      </c>
      <c r="H1088" s="22"/>
      <c r="I1088" t="s">
        <v>2401</v>
      </c>
      <c r="K1088" s="24">
        <f t="shared" si="18"/>
        <v>0</v>
      </c>
    </row>
    <row r="1089" spans="1:11" hidden="1" x14ac:dyDescent="0.3">
      <c r="A1089" s="21">
        <v>45233</v>
      </c>
      <c r="B1089" t="s">
        <v>1705</v>
      </c>
      <c r="C1089" s="22" t="s">
        <v>1536</v>
      </c>
      <c r="D1089" s="23">
        <v>25</v>
      </c>
      <c r="E1089" s="23">
        <v>0</v>
      </c>
      <c r="F1089" s="23">
        <v>48406.63</v>
      </c>
      <c r="G1089" s="22" t="s">
        <v>2408</v>
      </c>
      <c r="H1089" s="22"/>
      <c r="I1089" t="s">
        <v>2401</v>
      </c>
      <c r="K1089" s="24">
        <f t="shared" si="18"/>
        <v>0</v>
      </c>
    </row>
    <row r="1090" spans="1:11" hidden="1" x14ac:dyDescent="0.3">
      <c r="A1090" s="21">
        <v>45233</v>
      </c>
      <c r="B1090" t="s">
        <v>1706</v>
      </c>
      <c r="C1090" s="22" t="s">
        <v>1536</v>
      </c>
      <c r="D1090" s="23">
        <v>299</v>
      </c>
      <c r="E1090" s="23">
        <v>0</v>
      </c>
      <c r="F1090" s="23">
        <v>48107.63</v>
      </c>
      <c r="G1090" s="22" t="s">
        <v>2399</v>
      </c>
      <c r="H1090" s="22"/>
      <c r="I1090" t="s">
        <v>2401</v>
      </c>
      <c r="K1090" s="24">
        <f t="shared" si="18"/>
        <v>0</v>
      </c>
    </row>
    <row r="1091" spans="1:11" hidden="1" x14ac:dyDescent="0.3">
      <c r="A1091" s="21">
        <v>45234</v>
      </c>
      <c r="B1091" t="s">
        <v>1707</v>
      </c>
      <c r="C1091" s="22" t="s">
        <v>1536</v>
      </c>
      <c r="D1091" s="23">
        <v>100</v>
      </c>
      <c r="E1091" s="23">
        <v>0</v>
      </c>
      <c r="F1091" s="23">
        <v>48007.63</v>
      </c>
      <c r="G1091" s="22" t="s">
        <v>2541</v>
      </c>
      <c r="H1091" s="22"/>
      <c r="I1091" t="s">
        <v>2401</v>
      </c>
      <c r="K1091" s="24">
        <f t="shared" si="18"/>
        <v>0</v>
      </c>
    </row>
    <row r="1092" spans="1:11" hidden="1" x14ac:dyDescent="0.3">
      <c r="A1092" s="21">
        <v>45234</v>
      </c>
      <c r="B1092" t="s">
        <v>1708</v>
      </c>
      <c r="C1092" s="22" t="s">
        <v>1536</v>
      </c>
      <c r="D1092" s="23">
        <v>70</v>
      </c>
      <c r="E1092" s="23">
        <v>0</v>
      </c>
      <c r="F1092" s="23">
        <v>47937.63</v>
      </c>
      <c r="G1092" s="22" t="s">
        <v>2408</v>
      </c>
      <c r="H1092" s="22"/>
      <c r="I1092" t="s">
        <v>2401</v>
      </c>
      <c r="K1092" s="24">
        <f t="shared" si="18"/>
        <v>0</v>
      </c>
    </row>
    <row r="1093" spans="1:11" hidden="1" x14ac:dyDescent="0.3">
      <c r="A1093" s="21">
        <v>45234</v>
      </c>
      <c r="B1093" t="s">
        <v>1709</v>
      </c>
      <c r="C1093" s="22" t="s">
        <v>1536</v>
      </c>
      <c r="D1093" s="23">
        <v>50</v>
      </c>
      <c r="E1093" s="23">
        <v>0</v>
      </c>
      <c r="F1093" s="23">
        <v>47887.63</v>
      </c>
      <c r="G1093" s="22" t="s">
        <v>2541</v>
      </c>
      <c r="H1093" s="22"/>
      <c r="I1093" t="s">
        <v>2401</v>
      </c>
      <c r="K1093" s="24">
        <f t="shared" si="18"/>
        <v>0</v>
      </c>
    </row>
    <row r="1094" spans="1:11" hidden="1" x14ac:dyDescent="0.3">
      <c r="A1094" s="21">
        <v>45234</v>
      </c>
      <c r="B1094" t="s">
        <v>1710</v>
      </c>
      <c r="C1094" s="22" t="s">
        <v>1536</v>
      </c>
      <c r="D1094" s="23">
        <v>279</v>
      </c>
      <c r="E1094" s="23">
        <v>0</v>
      </c>
      <c r="F1094" s="23">
        <v>47608.63</v>
      </c>
      <c r="G1094" s="22" t="s">
        <v>2399</v>
      </c>
      <c r="H1094" s="22"/>
      <c r="I1094" t="s">
        <v>2401</v>
      </c>
      <c r="K1094" s="24">
        <f t="shared" ref="K1094:K1157" si="19">F1093-D1094+E1094-F1094</f>
        <v>0</v>
      </c>
    </row>
    <row r="1095" spans="1:11" hidden="1" x14ac:dyDescent="0.3">
      <c r="A1095" s="21">
        <v>45234</v>
      </c>
      <c r="B1095" t="s">
        <v>1711</v>
      </c>
      <c r="C1095" s="22" t="s">
        <v>1536</v>
      </c>
      <c r="D1095" s="23">
        <v>45</v>
      </c>
      <c r="E1095" s="23">
        <v>0</v>
      </c>
      <c r="F1095" s="23">
        <v>47563.63</v>
      </c>
      <c r="G1095" s="22" t="s">
        <v>2408</v>
      </c>
      <c r="H1095" s="22"/>
      <c r="I1095" t="s">
        <v>2401</v>
      </c>
      <c r="K1095" s="24">
        <f t="shared" si="19"/>
        <v>0</v>
      </c>
    </row>
    <row r="1096" spans="1:11" hidden="1" x14ac:dyDescent="0.3">
      <c r="A1096" s="21">
        <v>45234</v>
      </c>
      <c r="B1096" t="s">
        <v>1712</v>
      </c>
      <c r="C1096" s="22" t="s">
        <v>1536</v>
      </c>
      <c r="D1096" s="23">
        <v>255</v>
      </c>
      <c r="E1096" s="23">
        <v>0</v>
      </c>
      <c r="F1096" s="23">
        <v>47308.63</v>
      </c>
      <c r="G1096" s="22" t="s">
        <v>2399</v>
      </c>
      <c r="H1096" s="22"/>
      <c r="I1096" t="s">
        <v>2401</v>
      </c>
      <c r="K1096" s="24">
        <f t="shared" si="19"/>
        <v>0</v>
      </c>
    </row>
    <row r="1097" spans="1:11" hidden="1" x14ac:dyDescent="0.3">
      <c r="A1097" s="21">
        <v>45234</v>
      </c>
      <c r="B1097" t="s">
        <v>1713</v>
      </c>
      <c r="C1097" s="22" t="s">
        <v>1536</v>
      </c>
      <c r="D1097" s="23">
        <v>50</v>
      </c>
      <c r="E1097" s="23">
        <v>0</v>
      </c>
      <c r="F1097" s="23">
        <v>47258.63</v>
      </c>
      <c r="G1097" s="22" t="s">
        <v>2408</v>
      </c>
      <c r="H1097" s="22"/>
      <c r="I1097" t="s">
        <v>2401</v>
      </c>
      <c r="K1097" s="24">
        <f t="shared" si="19"/>
        <v>0</v>
      </c>
    </row>
    <row r="1098" spans="1:11" hidden="1" x14ac:dyDescent="0.3">
      <c r="A1098" s="21">
        <v>45234</v>
      </c>
      <c r="B1098" t="s">
        <v>1714</v>
      </c>
      <c r="C1098" s="22" t="s">
        <v>1536</v>
      </c>
      <c r="D1098" s="23">
        <v>239</v>
      </c>
      <c r="E1098" s="23">
        <v>0</v>
      </c>
      <c r="F1098" s="23">
        <v>47019.63</v>
      </c>
      <c r="G1098" s="22" t="s">
        <v>2399</v>
      </c>
      <c r="H1098" s="22"/>
      <c r="I1098" t="s">
        <v>2401</v>
      </c>
      <c r="K1098" s="24">
        <f t="shared" si="19"/>
        <v>0</v>
      </c>
    </row>
    <row r="1099" spans="1:11" hidden="1" x14ac:dyDescent="0.3">
      <c r="A1099" s="21">
        <v>45235</v>
      </c>
      <c r="B1099" t="s">
        <v>45</v>
      </c>
      <c r="C1099" s="22"/>
      <c r="D1099" s="23">
        <v>30000</v>
      </c>
      <c r="E1099" s="23">
        <v>0</v>
      </c>
      <c r="F1099" s="23">
        <v>16512.39</v>
      </c>
      <c r="G1099" s="22" t="s">
        <v>2402</v>
      </c>
      <c r="H1099" s="22"/>
      <c r="I1099" t="s">
        <v>2404</v>
      </c>
      <c r="K1099" s="24">
        <f t="shared" si="19"/>
        <v>507.23999999999796</v>
      </c>
    </row>
    <row r="1100" spans="1:11" hidden="1" x14ac:dyDescent="0.3">
      <c r="A1100" s="21">
        <v>45235</v>
      </c>
      <c r="B1100" t="s">
        <v>668</v>
      </c>
      <c r="C1100" s="22"/>
      <c r="D1100" s="23">
        <v>0</v>
      </c>
      <c r="E1100" s="23">
        <v>30000</v>
      </c>
      <c r="F1100" s="23">
        <v>68933.25</v>
      </c>
      <c r="G1100" s="22" t="s">
        <v>2402</v>
      </c>
      <c r="H1100" s="22"/>
      <c r="I1100" t="s">
        <v>2403</v>
      </c>
      <c r="K1100" s="24">
        <f t="shared" si="19"/>
        <v>-22420.86</v>
      </c>
    </row>
    <row r="1101" spans="1:11" hidden="1" x14ac:dyDescent="0.3">
      <c r="A1101" s="21">
        <v>45235</v>
      </c>
      <c r="B1101" t="s">
        <v>1715</v>
      </c>
      <c r="C1101" s="22" t="s">
        <v>1536</v>
      </c>
      <c r="D1101" s="23">
        <v>100</v>
      </c>
      <c r="E1101" s="23">
        <v>0</v>
      </c>
      <c r="F1101" s="23">
        <v>46919.63</v>
      </c>
      <c r="G1101" s="22" t="s">
        <v>2541</v>
      </c>
      <c r="H1101" s="22"/>
      <c r="I1101" t="s">
        <v>2401</v>
      </c>
      <c r="K1101" s="24">
        <f t="shared" si="19"/>
        <v>21913.620000000003</v>
      </c>
    </row>
    <row r="1102" spans="1:11" hidden="1" x14ac:dyDescent="0.3">
      <c r="A1102" s="21">
        <v>45235</v>
      </c>
      <c r="B1102" t="s">
        <v>1716</v>
      </c>
      <c r="C1102" s="22" t="s">
        <v>1536</v>
      </c>
      <c r="D1102" s="23">
        <v>30</v>
      </c>
      <c r="E1102" s="23">
        <v>0</v>
      </c>
      <c r="F1102" s="23">
        <v>46889.63</v>
      </c>
      <c r="G1102" s="22" t="s">
        <v>2408</v>
      </c>
      <c r="H1102" s="22"/>
      <c r="I1102" t="s">
        <v>2401</v>
      </c>
      <c r="K1102" s="24">
        <f t="shared" si="19"/>
        <v>0</v>
      </c>
    </row>
    <row r="1103" spans="1:11" hidden="1" x14ac:dyDescent="0.3">
      <c r="A1103" s="21">
        <v>45236</v>
      </c>
      <c r="B1103" t="s">
        <v>496</v>
      </c>
      <c r="C1103" s="22"/>
      <c r="D1103" s="23">
        <v>0</v>
      </c>
      <c r="E1103" s="23">
        <v>1324.43</v>
      </c>
      <c r="F1103" s="23">
        <v>70257.679999999993</v>
      </c>
      <c r="G1103" s="22" t="s">
        <v>2406</v>
      </c>
      <c r="H1103" s="22"/>
      <c r="I1103" t="s">
        <v>2403</v>
      </c>
      <c r="K1103" s="24">
        <f t="shared" si="19"/>
        <v>-22043.619999999995</v>
      </c>
    </row>
    <row r="1104" spans="1:11" hidden="1" x14ac:dyDescent="0.3">
      <c r="A1104" s="21">
        <v>45236</v>
      </c>
      <c r="B1104" t="s">
        <v>496</v>
      </c>
      <c r="C1104" s="22"/>
      <c r="D1104" s="23">
        <v>0</v>
      </c>
      <c r="E1104" s="23">
        <v>9526.77</v>
      </c>
      <c r="F1104" s="23">
        <v>79784.45</v>
      </c>
      <c r="G1104" s="22" t="s">
        <v>2406</v>
      </c>
      <c r="H1104" s="22"/>
      <c r="I1104" t="s">
        <v>2403</v>
      </c>
      <c r="K1104" s="24">
        <f t="shared" si="19"/>
        <v>0</v>
      </c>
    </row>
    <row r="1105" spans="1:11" hidden="1" x14ac:dyDescent="0.3">
      <c r="A1105" s="21">
        <v>45236</v>
      </c>
      <c r="B1105" t="s">
        <v>133</v>
      </c>
      <c r="C1105" s="22"/>
      <c r="D1105" s="23">
        <v>225.45</v>
      </c>
      <c r="E1105" s="23">
        <v>0</v>
      </c>
      <c r="F1105" s="23">
        <v>79559</v>
      </c>
      <c r="G1105" s="22" t="s">
        <v>2406</v>
      </c>
      <c r="H1105" s="22"/>
      <c r="I1105" t="s">
        <v>2403</v>
      </c>
      <c r="K1105" s="24">
        <f t="shared" si="19"/>
        <v>0</v>
      </c>
    </row>
    <row r="1106" spans="1:11" hidden="1" x14ac:dyDescent="0.3">
      <c r="A1106" s="21">
        <v>45236</v>
      </c>
      <c r="B1106" t="s">
        <v>673</v>
      </c>
      <c r="C1106" s="22"/>
      <c r="D1106" s="23">
        <v>0</v>
      </c>
      <c r="E1106" s="23">
        <v>660</v>
      </c>
      <c r="F1106" s="23">
        <v>80219</v>
      </c>
      <c r="G1106" s="22" t="s">
        <v>2409</v>
      </c>
      <c r="H1106" s="22"/>
      <c r="I1106" t="s">
        <v>2403</v>
      </c>
      <c r="K1106" s="24">
        <f t="shared" si="19"/>
        <v>0</v>
      </c>
    </row>
    <row r="1107" spans="1:11" hidden="1" x14ac:dyDescent="0.3">
      <c r="A1107" s="21">
        <v>45236</v>
      </c>
      <c r="B1107" t="s">
        <v>675</v>
      </c>
      <c r="C1107" s="22"/>
      <c r="D1107" s="23">
        <v>0</v>
      </c>
      <c r="E1107" s="23">
        <v>450</v>
      </c>
      <c r="F1107" s="23">
        <v>80669</v>
      </c>
      <c r="G1107" s="22" t="s">
        <v>2409</v>
      </c>
      <c r="H1107" s="22"/>
      <c r="I1107" t="s">
        <v>2403</v>
      </c>
      <c r="K1107" s="24">
        <f t="shared" si="19"/>
        <v>0</v>
      </c>
    </row>
    <row r="1108" spans="1:11" hidden="1" x14ac:dyDescent="0.3">
      <c r="A1108" s="21">
        <v>45236</v>
      </c>
      <c r="B1108" t="s">
        <v>133</v>
      </c>
      <c r="C1108" s="22"/>
      <c r="D1108" s="23">
        <v>42899.1</v>
      </c>
      <c r="E1108" s="23">
        <v>0</v>
      </c>
      <c r="F1108" s="23">
        <v>37769.9</v>
      </c>
      <c r="G1108" s="22" t="s">
        <v>2406</v>
      </c>
      <c r="H1108" s="22"/>
      <c r="I1108" t="s">
        <v>2403</v>
      </c>
      <c r="K1108" s="24">
        <f t="shared" si="19"/>
        <v>0</v>
      </c>
    </row>
    <row r="1109" spans="1:11" hidden="1" x14ac:dyDescent="0.3">
      <c r="A1109" s="21">
        <v>45236</v>
      </c>
      <c r="B1109" t="s">
        <v>1717</v>
      </c>
      <c r="C1109" s="22" t="s">
        <v>1536</v>
      </c>
      <c r="D1109" s="23">
        <v>100</v>
      </c>
      <c r="E1109" s="23">
        <v>0</v>
      </c>
      <c r="F1109" s="23">
        <v>46789.63</v>
      </c>
      <c r="G1109" s="22" t="s">
        <v>2541</v>
      </c>
      <c r="H1109" s="22"/>
      <c r="I1109" t="s">
        <v>2401</v>
      </c>
      <c r="K1109" s="24">
        <f t="shared" si="19"/>
        <v>-9119.7299999999959</v>
      </c>
    </row>
    <row r="1110" spans="1:11" hidden="1" x14ac:dyDescent="0.3">
      <c r="A1110" s="21">
        <v>45237</v>
      </c>
      <c r="B1110" t="s">
        <v>496</v>
      </c>
      <c r="C1110" s="22"/>
      <c r="D1110" s="23">
        <v>0</v>
      </c>
      <c r="E1110" s="23">
        <v>6342.6</v>
      </c>
      <c r="F1110" s="23">
        <v>44112.5</v>
      </c>
      <c r="G1110" s="22" t="s">
        <v>2406</v>
      </c>
      <c r="H1110" s="22"/>
      <c r="I1110" t="s">
        <v>2403</v>
      </c>
      <c r="K1110" s="24">
        <f t="shared" si="19"/>
        <v>9019.7299999999959</v>
      </c>
    </row>
    <row r="1111" spans="1:11" hidden="1" x14ac:dyDescent="0.3">
      <c r="A1111" s="21">
        <v>45237</v>
      </c>
      <c r="B1111" t="s">
        <v>133</v>
      </c>
      <c r="C1111" s="22"/>
      <c r="D1111" s="23">
        <v>60.78</v>
      </c>
      <c r="E1111" s="23">
        <v>0</v>
      </c>
      <c r="F1111" s="23">
        <v>44051.72</v>
      </c>
      <c r="G1111" s="22" t="s">
        <v>2406</v>
      </c>
      <c r="H1111" s="22"/>
      <c r="I1111" t="s">
        <v>2403</v>
      </c>
      <c r="K1111" s="24">
        <f t="shared" si="19"/>
        <v>0</v>
      </c>
    </row>
    <row r="1112" spans="1:11" hidden="1" x14ac:dyDescent="0.3">
      <c r="A1112" s="21">
        <v>45237</v>
      </c>
      <c r="B1112" t="s">
        <v>680</v>
      </c>
      <c r="C1112" s="22"/>
      <c r="D1112" s="23">
        <v>0</v>
      </c>
      <c r="E1112" s="23">
        <v>189</v>
      </c>
      <c r="F1112" s="23">
        <v>44240.72</v>
      </c>
      <c r="G1112" s="22" t="s">
        <v>2409</v>
      </c>
      <c r="H1112" s="22"/>
      <c r="I1112" t="s">
        <v>2403</v>
      </c>
      <c r="K1112" s="24">
        <f t="shared" si="19"/>
        <v>0</v>
      </c>
    </row>
    <row r="1113" spans="1:11" hidden="1" x14ac:dyDescent="0.3">
      <c r="A1113" s="21">
        <v>45237</v>
      </c>
      <c r="B1113" t="s">
        <v>133</v>
      </c>
      <c r="C1113" s="22"/>
      <c r="D1113" s="23">
        <v>8223.7199999999993</v>
      </c>
      <c r="E1113" s="23">
        <v>0</v>
      </c>
      <c r="F1113" s="23">
        <v>36017</v>
      </c>
      <c r="G1113" s="22" t="s">
        <v>2406</v>
      </c>
      <c r="H1113" s="22"/>
      <c r="I1113" t="s">
        <v>2403</v>
      </c>
      <c r="K1113" s="24">
        <f t="shared" si="19"/>
        <v>0</v>
      </c>
    </row>
    <row r="1114" spans="1:11" hidden="1" x14ac:dyDescent="0.3">
      <c r="A1114" s="21">
        <v>45237</v>
      </c>
      <c r="B1114" t="s">
        <v>683</v>
      </c>
      <c r="C1114" s="22"/>
      <c r="D1114" s="23">
        <v>0</v>
      </c>
      <c r="E1114" s="23">
        <v>1880</v>
      </c>
      <c r="F1114" s="23">
        <v>37897</v>
      </c>
      <c r="G1114" s="22" t="s">
        <v>2407</v>
      </c>
      <c r="H1114" s="22"/>
      <c r="I1114" t="s">
        <v>2403</v>
      </c>
      <c r="K1114" s="24">
        <f t="shared" si="19"/>
        <v>0</v>
      </c>
    </row>
    <row r="1115" spans="1:11" hidden="1" x14ac:dyDescent="0.3">
      <c r="A1115" s="21">
        <v>45237</v>
      </c>
      <c r="B1115" t="s">
        <v>133</v>
      </c>
      <c r="C1115" s="22"/>
      <c r="D1115" s="23">
        <v>414.74</v>
      </c>
      <c r="E1115" s="23">
        <v>0</v>
      </c>
      <c r="F1115" s="23">
        <v>37482.26</v>
      </c>
      <c r="G1115" s="22" t="s">
        <v>2406</v>
      </c>
      <c r="H1115" s="22"/>
      <c r="I1115" t="s">
        <v>2403</v>
      </c>
      <c r="K1115" s="24">
        <f t="shared" si="19"/>
        <v>0</v>
      </c>
    </row>
    <row r="1116" spans="1:11" hidden="1" x14ac:dyDescent="0.3">
      <c r="A1116" s="21">
        <v>45237</v>
      </c>
      <c r="B1116" t="s">
        <v>1718</v>
      </c>
      <c r="C1116" s="22" t="s">
        <v>1536</v>
      </c>
      <c r="D1116" s="23">
        <v>100</v>
      </c>
      <c r="E1116" s="23">
        <v>0</v>
      </c>
      <c r="F1116" s="23">
        <v>46689.63</v>
      </c>
      <c r="G1116" s="22" t="s">
        <v>2541</v>
      </c>
      <c r="H1116" s="22"/>
      <c r="I1116" t="s">
        <v>2401</v>
      </c>
      <c r="K1116" s="24">
        <f t="shared" si="19"/>
        <v>-9307.3699999999953</v>
      </c>
    </row>
    <row r="1117" spans="1:11" hidden="1" x14ac:dyDescent="0.3">
      <c r="A1117" s="21">
        <v>45237</v>
      </c>
      <c r="B1117" t="s">
        <v>1719</v>
      </c>
      <c r="C1117" s="22" t="s">
        <v>1536</v>
      </c>
      <c r="D1117" s="23">
        <v>28</v>
      </c>
      <c r="E1117" s="23">
        <v>0</v>
      </c>
      <c r="F1117" s="23">
        <v>46661.63</v>
      </c>
      <c r="G1117" s="22" t="s">
        <v>2408</v>
      </c>
      <c r="H1117" s="22"/>
      <c r="I1117" t="s">
        <v>2401</v>
      </c>
      <c r="K1117" s="24">
        <f t="shared" si="19"/>
        <v>0</v>
      </c>
    </row>
    <row r="1118" spans="1:11" hidden="1" x14ac:dyDescent="0.3">
      <c r="A1118" s="21">
        <v>45237</v>
      </c>
      <c r="B1118" t="s">
        <v>1720</v>
      </c>
      <c r="C1118" s="22" t="s">
        <v>1536</v>
      </c>
      <c r="D1118" s="23">
        <v>24</v>
      </c>
      <c r="E1118" s="23">
        <v>0</v>
      </c>
      <c r="F1118" s="23">
        <v>46637.63</v>
      </c>
      <c r="G1118" s="22" t="s">
        <v>2408</v>
      </c>
      <c r="H1118" s="22"/>
      <c r="I1118" t="s">
        <v>2401</v>
      </c>
      <c r="K1118" s="24">
        <f t="shared" si="19"/>
        <v>0</v>
      </c>
    </row>
    <row r="1119" spans="1:11" hidden="1" x14ac:dyDescent="0.3">
      <c r="A1119" s="21">
        <v>45237</v>
      </c>
      <c r="B1119" t="s">
        <v>1721</v>
      </c>
      <c r="C1119" s="22" t="s">
        <v>1536</v>
      </c>
      <c r="D1119" s="23">
        <v>20</v>
      </c>
      <c r="E1119" s="23">
        <v>0</v>
      </c>
      <c r="F1119" s="23">
        <v>46617.63</v>
      </c>
      <c r="G1119" s="22" t="s">
        <v>2408</v>
      </c>
      <c r="H1119" s="22"/>
      <c r="I1119" t="s">
        <v>2401</v>
      </c>
      <c r="K1119" s="24">
        <f t="shared" si="19"/>
        <v>0</v>
      </c>
    </row>
    <row r="1120" spans="1:11" hidden="1" x14ac:dyDescent="0.3">
      <c r="A1120" s="21">
        <v>45238</v>
      </c>
      <c r="B1120" t="s">
        <v>133</v>
      </c>
      <c r="C1120" s="22"/>
      <c r="D1120" s="23">
        <v>56.74</v>
      </c>
      <c r="E1120" s="23">
        <v>0</v>
      </c>
      <c r="F1120" s="23">
        <v>37425.519999999997</v>
      </c>
      <c r="G1120" s="22" t="s">
        <v>2406</v>
      </c>
      <c r="H1120" s="22"/>
      <c r="I1120" t="s">
        <v>2403</v>
      </c>
      <c r="K1120" s="24">
        <f t="shared" si="19"/>
        <v>9135.3700000000026</v>
      </c>
    </row>
    <row r="1121" spans="1:11" hidden="1" x14ac:dyDescent="0.3">
      <c r="A1121" s="21">
        <v>45238</v>
      </c>
      <c r="B1121" t="s">
        <v>133</v>
      </c>
      <c r="C1121" s="22"/>
      <c r="D1121" s="23">
        <v>17091.830000000002</v>
      </c>
      <c r="E1121" s="23">
        <v>0</v>
      </c>
      <c r="F1121" s="23">
        <v>20333.689999999999</v>
      </c>
      <c r="G1121" s="22" t="s">
        <v>2406</v>
      </c>
      <c r="H1121" s="22"/>
      <c r="I1121" t="s">
        <v>2403</v>
      </c>
      <c r="K1121" s="24">
        <f t="shared" si="19"/>
        <v>0</v>
      </c>
    </row>
    <row r="1122" spans="1:11" hidden="1" x14ac:dyDescent="0.3">
      <c r="A1122" s="21">
        <v>45238</v>
      </c>
      <c r="B1122" t="s">
        <v>1722</v>
      </c>
      <c r="C1122" s="22" t="s">
        <v>1536</v>
      </c>
      <c r="D1122" s="23">
        <v>100</v>
      </c>
      <c r="E1122" s="23">
        <v>0</v>
      </c>
      <c r="F1122" s="23">
        <v>46517.63</v>
      </c>
      <c r="G1122" s="22" t="s">
        <v>2541</v>
      </c>
      <c r="H1122" s="22"/>
      <c r="I1122" t="s">
        <v>2401</v>
      </c>
      <c r="K1122" s="24">
        <f t="shared" si="19"/>
        <v>-26283.94</v>
      </c>
    </row>
    <row r="1123" spans="1:11" hidden="1" x14ac:dyDescent="0.3">
      <c r="A1123" s="21">
        <v>45238</v>
      </c>
      <c r="B1123" t="s">
        <v>1723</v>
      </c>
      <c r="C1123" s="22" t="s">
        <v>1536</v>
      </c>
      <c r="D1123" s="23">
        <v>35</v>
      </c>
      <c r="E1123" s="23">
        <v>0</v>
      </c>
      <c r="F1123" s="23">
        <v>46482.63</v>
      </c>
      <c r="G1123" s="22" t="s">
        <v>2408</v>
      </c>
      <c r="H1123" s="22"/>
      <c r="I1123" t="s">
        <v>2401</v>
      </c>
      <c r="K1123" s="24">
        <f t="shared" si="19"/>
        <v>0</v>
      </c>
    </row>
    <row r="1124" spans="1:11" hidden="1" x14ac:dyDescent="0.3">
      <c r="A1124" s="21">
        <v>45238</v>
      </c>
      <c r="B1124" t="s">
        <v>1724</v>
      </c>
      <c r="C1124" s="22" t="s">
        <v>1536</v>
      </c>
      <c r="D1124" s="23">
        <v>20</v>
      </c>
      <c r="E1124" s="23">
        <v>0</v>
      </c>
      <c r="F1124" s="23">
        <v>46462.63</v>
      </c>
      <c r="G1124" s="22" t="s">
        <v>2408</v>
      </c>
      <c r="H1124" s="22"/>
      <c r="I1124" t="s">
        <v>2401</v>
      </c>
      <c r="K1124" s="24">
        <f t="shared" si="19"/>
        <v>0</v>
      </c>
    </row>
    <row r="1125" spans="1:11" hidden="1" x14ac:dyDescent="0.3">
      <c r="A1125" s="21">
        <v>45238</v>
      </c>
      <c r="B1125" t="s">
        <v>1725</v>
      </c>
      <c r="C1125" s="22" t="s">
        <v>1536</v>
      </c>
      <c r="D1125" s="23">
        <v>23</v>
      </c>
      <c r="E1125" s="23">
        <v>0</v>
      </c>
      <c r="F1125" s="23">
        <v>46439.63</v>
      </c>
      <c r="G1125" s="22" t="s">
        <v>2408</v>
      </c>
      <c r="H1125" s="22"/>
      <c r="I1125" t="s">
        <v>2401</v>
      </c>
      <c r="K1125" s="24">
        <f t="shared" si="19"/>
        <v>0</v>
      </c>
    </row>
    <row r="1126" spans="1:11" hidden="1" x14ac:dyDescent="0.3">
      <c r="A1126" s="21">
        <v>45238</v>
      </c>
      <c r="B1126" t="s">
        <v>1726</v>
      </c>
      <c r="C1126" s="22" t="s">
        <v>1536</v>
      </c>
      <c r="D1126" s="23">
        <v>50</v>
      </c>
      <c r="E1126" s="23">
        <v>0</v>
      </c>
      <c r="F1126" s="23">
        <v>46389.63</v>
      </c>
      <c r="G1126" s="22" t="s">
        <v>2408</v>
      </c>
      <c r="H1126" s="22"/>
      <c r="I1126" t="s">
        <v>2401</v>
      </c>
      <c r="K1126" s="24">
        <f t="shared" si="19"/>
        <v>0</v>
      </c>
    </row>
    <row r="1127" spans="1:11" hidden="1" x14ac:dyDescent="0.3">
      <c r="A1127" s="21">
        <v>45238</v>
      </c>
      <c r="B1127" t="s">
        <v>1727</v>
      </c>
      <c r="C1127" s="22" t="s">
        <v>1536</v>
      </c>
      <c r="D1127" s="23">
        <v>50</v>
      </c>
      <c r="E1127" s="23">
        <v>0</v>
      </c>
      <c r="F1127" s="23">
        <v>46339.63</v>
      </c>
      <c r="G1127" s="22" t="s">
        <v>2408</v>
      </c>
      <c r="H1127" s="22"/>
      <c r="I1127" t="s">
        <v>2401</v>
      </c>
      <c r="K1127" s="24">
        <f t="shared" si="19"/>
        <v>0</v>
      </c>
    </row>
    <row r="1128" spans="1:11" hidden="1" x14ac:dyDescent="0.3">
      <c r="A1128" s="21">
        <v>45238</v>
      </c>
      <c r="B1128" t="s">
        <v>1728</v>
      </c>
      <c r="C1128" s="22" t="s">
        <v>1536</v>
      </c>
      <c r="D1128" s="23">
        <v>336</v>
      </c>
      <c r="E1128" s="23">
        <v>0</v>
      </c>
      <c r="F1128" s="23">
        <v>46003.63</v>
      </c>
      <c r="G1128" s="22" t="s">
        <v>2399</v>
      </c>
      <c r="H1128" s="22"/>
      <c r="I1128" t="s">
        <v>2401</v>
      </c>
      <c r="K1128" s="24">
        <f t="shared" si="19"/>
        <v>0</v>
      </c>
    </row>
    <row r="1129" spans="1:11" hidden="1" x14ac:dyDescent="0.3">
      <c r="A1129" s="21">
        <v>45239</v>
      </c>
      <c r="B1129" t="s">
        <v>496</v>
      </c>
      <c r="C1129" s="22"/>
      <c r="D1129" s="23">
        <v>0</v>
      </c>
      <c r="E1129" s="23">
        <v>13493.54</v>
      </c>
      <c r="F1129" s="23">
        <v>33827.230000000003</v>
      </c>
      <c r="G1129" s="22" t="s">
        <v>2406</v>
      </c>
      <c r="H1129" s="22"/>
      <c r="I1129" t="s">
        <v>2403</v>
      </c>
      <c r="K1129" s="24">
        <f t="shared" si="19"/>
        <v>25669.939999999995</v>
      </c>
    </row>
    <row r="1130" spans="1:11" hidden="1" x14ac:dyDescent="0.3">
      <c r="A1130" s="21">
        <v>45239</v>
      </c>
      <c r="B1130" t="s">
        <v>133</v>
      </c>
      <c r="C1130" s="22"/>
      <c r="D1130" s="23">
        <v>50.65</v>
      </c>
      <c r="E1130" s="23">
        <v>0</v>
      </c>
      <c r="F1130" s="23">
        <v>33776.58</v>
      </c>
      <c r="G1130" s="22" t="s">
        <v>2406</v>
      </c>
      <c r="H1130" s="22"/>
      <c r="I1130" t="s">
        <v>2403</v>
      </c>
      <c r="K1130" s="24">
        <f t="shared" si="19"/>
        <v>0</v>
      </c>
    </row>
    <row r="1131" spans="1:11" hidden="1" x14ac:dyDescent="0.3">
      <c r="A1131" s="21">
        <v>45239</v>
      </c>
      <c r="B1131" t="s">
        <v>133</v>
      </c>
      <c r="C1131" s="22"/>
      <c r="D1131" s="23">
        <v>1653.99</v>
      </c>
      <c r="E1131" s="23">
        <v>0</v>
      </c>
      <c r="F1131" s="23">
        <v>32122.59</v>
      </c>
      <c r="G1131" s="22" t="s">
        <v>2406</v>
      </c>
      <c r="H1131" s="22"/>
      <c r="I1131" t="s">
        <v>2403</v>
      </c>
      <c r="K1131" s="24">
        <f t="shared" si="19"/>
        <v>0</v>
      </c>
    </row>
    <row r="1132" spans="1:11" hidden="1" x14ac:dyDescent="0.3">
      <c r="A1132" s="21">
        <v>45239</v>
      </c>
      <c r="B1132" t="s">
        <v>1729</v>
      </c>
      <c r="C1132" s="22" t="s">
        <v>1536</v>
      </c>
      <c r="D1132" s="23">
        <v>100</v>
      </c>
      <c r="E1132" s="23">
        <v>0</v>
      </c>
      <c r="F1132" s="23">
        <v>45903.63</v>
      </c>
      <c r="G1132" s="22" t="s">
        <v>2541</v>
      </c>
      <c r="H1132" s="22"/>
      <c r="I1132" t="s">
        <v>2401</v>
      </c>
      <c r="K1132" s="24">
        <f t="shared" si="19"/>
        <v>-13881.039999999997</v>
      </c>
    </row>
    <row r="1133" spans="1:11" hidden="1" x14ac:dyDescent="0.3">
      <c r="A1133" s="21">
        <v>45239</v>
      </c>
      <c r="B1133" t="s">
        <v>1730</v>
      </c>
      <c r="C1133" s="22" t="s">
        <v>1536</v>
      </c>
      <c r="D1133" s="23">
        <v>100</v>
      </c>
      <c r="E1133" s="23">
        <v>0</v>
      </c>
      <c r="F1133" s="23">
        <v>45803.63</v>
      </c>
      <c r="G1133" s="22" t="s">
        <v>2399</v>
      </c>
      <c r="H1133" s="22"/>
      <c r="I1133" t="s">
        <v>2401</v>
      </c>
      <c r="K1133" s="24">
        <f t="shared" si="19"/>
        <v>0</v>
      </c>
    </row>
    <row r="1134" spans="1:11" hidden="1" x14ac:dyDescent="0.3">
      <c r="A1134" s="21">
        <v>45239</v>
      </c>
      <c r="B1134" t="s">
        <v>1731</v>
      </c>
      <c r="C1134" s="22" t="s">
        <v>1536</v>
      </c>
      <c r="D1134" s="23">
        <v>202</v>
      </c>
      <c r="E1134" s="23">
        <v>0</v>
      </c>
      <c r="F1134" s="23">
        <v>45601.63</v>
      </c>
      <c r="G1134" s="22" t="s">
        <v>2399</v>
      </c>
      <c r="H1134" s="22"/>
      <c r="I1134" t="s">
        <v>2401</v>
      </c>
      <c r="K1134" s="24">
        <f t="shared" si="19"/>
        <v>0</v>
      </c>
    </row>
    <row r="1135" spans="1:11" hidden="1" x14ac:dyDescent="0.3">
      <c r="A1135" s="21">
        <v>45239</v>
      </c>
      <c r="B1135" t="s">
        <v>1732</v>
      </c>
      <c r="C1135" s="22" t="s">
        <v>1536</v>
      </c>
      <c r="D1135" s="23">
        <v>983.95</v>
      </c>
      <c r="E1135" s="23">
        <v>0</v>
      </c>
      <c r="F1135" s="23">
        <v>44617.68</v>
      </c>
      <c r="G1135" s="22" t="s">
        <v>2399</v>
      </c>
      <c r="H1135" s="22"/>
      <c r="I1135" t="s">
        <v>2401</v>
      </c>
      <c r="K1135" s="24">
        <f t="shared" si="19"/>
        <v>0</v>
      </c>
    </row>
    <row r="1136" spans="1:11" hidden="1" x14ac:dyDescent="0.3">
      <c r="A1136" s="21">
        <v>45239</v>
      </c>
      <c r="B1136" t="s">
        <v>1733</v>
      </c>
      <c r="C1136" s="22" t="s">
        <v>1536</v>
      </c>
      <c r="D1136" s="23">
        <v>340</v>
      </c>
      <c r="E1136" s="23">
        <v>0</v>
      </c>
      <c r="F1136" s="23">
        <v>44277.68</v>
      </c>
      <c r="G1136" s="22" t="s">
        <v>2399</v>
      </c>
      <c r="H1136" s="22"/>
      <c r="I1136" t="s">
        <v>2401</v>
      </c>
      <c r="K1136" s="24">
        <f t="shared" si="19"/>
        <v>0</v>
      </c>
    </row>
    <row r="1137" spans="1:11" hidden="1" x14ac:dyDescent="0.3">
      <c r="A1137" s="21">
        <v>45239</v>
      </c>
      <c r="B1137" t="s">
        <v>1276</v>
      </c>
      <c r="C1137" s="22" t="s">
        <v>2583</v>
      </c>
      <c r="D1137" s="23">
        <v>1016.9</v>
      </c>
      <c r="E1137" s="23">
        <v>0</v>
      </c>
      <c r="F1137" s="23">
        <v>74758.31</v>
      </c>
      <c r="G1137" s="22" t="s">
        <v>2419</v>
      </c>
      <c r="H1137" s="22"/>
      <c r="I1137" t="s">
        <v>2400</v>
      </c>
      <c r="K1137" s="24">
        <f t="shared" si="19"/>
        <v>-31497.53</v>
      </c>
    </row>
    <row r="1138" spans="1:11" hidden="1" x14ac:dyDescent="0.3">
      <c r="A1138" s="21">
        <v>45240</v>
      </c>
      <c r="B1138" t="s">
        <v>496</v>
      </c>
      <c r="C1138" s="22"/>
      <c r="D1138" s="23">
        <v>0</v>
      </c>
      <c r="E1138" s="23">
        <v>21125.9</v>
      </c>
      <c r="F1138" s="23">
        <v>53248.49</v>
      </c>
      <c r="G1138" s="22" t="s">
        <v>2406</v>
      </c>
      <c r="H1138" s="22"/>
      <c r="I1138" t="s">
        <v>2403</v>
      </c>
      <c r="K1138" s="24">
        <f t="shared" si="19"/>
        <v>42635.719999999994</v>
      </c>
    </row>
    <row r="1139" spans="1:11" hidden="1" x14ac:dyDescent="0.3">
      <c r="A1139" s="21">
        <v>45240</v>
      </c>
      <c r="B1139" t="s">
        <v>692</v>
      </c>
      <c r="C1139" s="22"/>
      <c r="D1139" s="23">
        <v>295</v>
      </c>
      <c r="E1139" s="23">
        <v>0</v>
      </c>
      <c r="F1139" s="23">
        <v>52953.49</v>
      </c>
      <c r="G1139" s="22" t="s">
        <v>2415</v>
      </c>
      <c r="H1139" s="22"/>
      <c r="I1139" t="s">
        <v>2403</v>
      </c>
      <c r="K1139" s="24">
        <f t="shared" si="19"/>
        <v>0</v>
      </c>
    </row>
    <row r="1140" spans="1:11" hidden="1" x14ac:dyDescent="0.3">
      <c r="A1140" s="21">
        <v>45240</v>
      </c>
      <c r="B1140" t="s">
        <v>694</v>
      </c>
      <c r="C1140" s="22"/>
      <c r="D1140" s="23">
        <v>12.28</v>
      </c>
      <c r="E1140" s="23">
        <v>0</v>
      </c>
      <c r="F1140" s="23">
        <v>52941.21</v>
      </c>
      <c r="G1140" s="22" t="s">
        <v>2415</v>
      </c>
      <c r="H1140" s="22"/>
      <c r="I1140" t="s">
        <v>2403</v>
      </c>
      <c r="K1140" s="24">
        <f t="shared" si="19"/>
        <v>0</v>
      </c>
    </row>
    <row r="1141" spans="1:11" hidden="1" x14ac:dyDescent="0.3">
      <c r="A1141" s="21">
        <v>45240</v>
      </c>
      <c r="B1141" t="s">
        <v>133</v>
      </c>
      <c r="C1141" s="22"/>
      <c r="D1141" s="23">
        <v>63.78</v>
      </c>
      <c r="E1141" s="23">
        <v>0</v>
      </c>
      <c r="F1141" s="23">
        <v>52877.43</v>
      </c>
      <c r="G1141" s="22" t="s">
        <v>2406</v>
      </c>
      <c r="H1141" s="22"/>
      <c r="I1141" t="s">
        <v>2403</v>
      </c>
      <c r="K1141" s="24">
        <f t="shared" si="19"/>
        <v>0</v>
      </c>
    </row>
    <row r="1142" spans="1:11" hidden="1" x14ac:dyDescent="0.3">
      <c r="A1142" s="21">
        <v>45240</v>
      </c>
      <c r="B1142" t="s">
        <v>133</v>
      </c>
      <c r="C1142" s="22"/>
      <c r="D1142" s="23">
        <v>464.7</v>
      </c>
      <c r="E1142" s="23">
        <v>0</v>
      </c>
      <c r="F1142" s="23">
        <v>52412.73</v>
      </c>
      <c r="G1142" s="22" t="s">
        <v>2406</v>
      </c>
      <c r="H1142" s="22"/>
      <c r="I1142" t="s">
        <v>2403</v>
      </c>
      <c r="K1142" s="24">
        <f t="shared" si="19"/>
        <v>0</v>
      </c>
    </row>
    <row r="1143" spans="1:11" hidden="1" x14ac:dyDescent="0.3">
      <c r="A1143" s="21">
        <v>45240</v>
      </c>
      <c r="B1143" t="s">
        <v>1734</v>
      </c>
      <c r="C1143" s="22" t="s">
        <v>1536</v>
      </c>
      <c r="D1143" s="23">
        <v>100</v>
      </c>
      <c r="E1143" s="23">
        <v>0</v>
      </c>
      <c r="F1143" s="23">
        <v>44177.68</v>
      </c>
      <c r="G1143" s="22" t="s">
        <v>2541</v>
      </c>
      <c r="H1143" s="22"/>
      <c r="I1143" t="s">
        <v>2401</v>
      </c>
      <c r="K1143" s="24">
        <f t="shared" si="19"/>
        <v>8135.0500000000029</v>
      </c>
    </row>
    <row r="1144" spans="1:11" hidden="1" x14ac:dyDescent="0.3">
      <c r="A1144" s="21">
        <v>45240</v>
      </c>
      <c r="B1144" t="s">
        <v>1735</v>
      </c>
      <c r="C1144" s="22" t="s">
        <v>1536</v>
      </c>
      <c r="D1144" s="23">
        <v>102.15</v>
      </c>
      <c r="E1144" s="23">
        <v>0</v>
      </c>
      <c r="F1144" s="23">
        <v>44075.53</v>
      </c>
      <c r="G1144" s="22" t="s">
        <v>2399</v>
      </c>
      <c r="H1144" s="22"/>
      <c r="I1144" t="s">
        <v>2401</v>
      </c>
      <c r="K1144" s="24">
        <f t="shared" si="19"/>
        <v>0</v>
      </c>
    </row>
    <row r="1145" spans="1:11" hidden="1" x14ac:dyDescent="0.3">
      <c r="A1145" s="21">
        <v>45240</v>
      </c>
      <c r="B1145" t="s">
        <v>2584</v>
      </c>
      <c r="C1145" s="22" t="s">
        <v>2585</v>
      </c>
      <c r="D1145" s="23">
        <v>0</v>
      </c>
      <c r="E1145" s="23">
        <v>16</v>
      </c>
      <c r="F1145" s="23">
        <v>74774.31</v>
      </c>
      <c r="G1145" s="22" t="s">
        <v>2409</v>
      </c>
      <c r="H1145" s="22"/>
      <c r="I1145" t="s">
        <v>2400</v>
      </c>
      <c r="K1145" s="24">
        <f t="shared" si="19"/>
        <v>-30682.78</v>
      </c>
    </row>
    <row r="1146" spans="1:11" hidden="1" x14ac:dyDescent="0.3">
      <c r="A1146" s="21">
        <v>45240</v>
      </c>
      <c r="B1146" t="s">
        <v>2586</v>
      </c>
      <c r="C1146" s="22" t="s">
        <v>1172</v>
      </c>
      <c r="D1146" s="23">
        <v>20</v>
      </c>
      <c r="E1146" s="23">
        <v>0</v>
      </c>
      <c r="F1146" s="23">
        <v>74754.31</v>
      </c>
      <c r="G1146" s="22" t="s">
        <v>2399</v>
      </c>
      <c r="H1146" s="22"/>
      <c r="I1146" t="s">
        <v>2400</v>
      </c>
      <c r="K1146" s="24">
        <f t="shared" si="19"/>
        <v>0</v>
      </c>
    </row>
    <row r="1147" spans="1:11" hidden="1" x14ac:dyDescent="0.3">
      <c r="A1147" s="21">
        <v>45241</v>
      </c>
      <c r="B1147" t="s">
        <v>1736</v>
      </c>
      <c r="C1147" s="22" t="s">
        <v>1536</v>
      </c>
      <c r="D1147" s="23">
        <v>100</v>
      </c>
      <c r="E1147" s="23">
        <v>0</v>
      </c>
      <c r="F1147" s="23">
        <v>43975.53</v>
      </c>
      <c r="G1147" s="22" t="s">
        <v>2541</v>
      </c>
      <c r="H1147" s="22"/>
      <c r="I1147" t="s">
        <v>2401</v>
      </c>
      <c r="K1147" s="24">
        <f t="shared" si="19"/>
        <v>30678.78</v>
      </c>
    </row>
    <row r="1148" spans="1:11" hidden="1" x14ac:dyDescent="0.3">
      <c r="A1148" s="21">
        <v>45241</v>
      </c>
      <c r="B1148" t="s">
        <v>1737</v>
      </c>
      <c r="C1148" s="22" t="s">
        <v>1536</v>
      </c>
      <c r="D1148" s="23">
        <v>72.150000000000006</v>
      </c>
      <c r="E1148" s="23">
        <v>0</v>
      </c>
      <c r="F1148" s="23">
        <v>43903.38</v>
      </c>
      <c r="G1148" s="22" t="s">
        <v>2408</v>
      </c>
      <c r="H1148" s="22"/>
      <c r="I1148" t="s">
        <v>2401</v>
      </c>
      <c r="K1148" s="24">
        <f t="shared" si="19"/>
        <v>0</v>
      </c>
    </row>
    <row r="1149" spans="1:11" hidden="1" x14ac:dyDescent="0.3">
      <c r="A1149" s="21">
        <v>45241</v>
      </c>
      <c r="B1149" t="s">
        <v>2587</v>
      </c>
      <c r="C1149" s="22" t="s">
        <v>1154</v>
      </c>
      <c r="D1149" s="23">
        <v>72.150000000000006</v>
      </c>
      <c r="E1149" s="23">
        <v>0</v>
      </c>
      <c r="F1149" s="23">
        <v>74682.16</v>
      </c>
      <c r="G1149" s="22" t="s">
        <v>2399</v>
      </c>
      <c r="H1149" s="22"/>
      <c r="I1149" t="s">
        <v>2400</v>
      </c>
      <c r="K1149" s="24">
        <f t="shared" si="19"/>
        <v>-30850.930000000008</v>
      </c>
    </row>
    <row r="1150" spans="1:11" hidden="1" x14ac:dyDescent="0.3">
      <c r="A1150" s="21">
        <v>45242</v>
      </c>
      <c r="B1150" t="s">
        <v>1738</v>
      </c>
      <c r="C1150" s="22" t="s">
        <v>1536</v>
      </c>
      <c r="D1150" s="23">
        <v>0</v>
      </c>
      <c r="E1150" s="23">
        <v>295</v>
      </c>
      <c r="F1150" s="23">
        <v>44198.38</v>
      </c>
      <c r="G1150" s="22" t="s">
        <v>2399</v>
      </c>
      <c r="H1150" s="22"/>
      <c r="I1150" t="s">
        <v>2401</v>
      </c>
      <c r="K1150" s="24">
        <f t="shared" si="19"/>
        <v>30778.780000000006</v>
      </c>
    </row>
    <row r="1151" spans="1:11" hidden="1" x14ac:dyDescent="0.3">
      <c r="A1151" s="21">
        <v>45242</v>
      </c>
      <c r="B1151" t="s">
        <v>1739</v>
      </c>
      <c r="C1151" s="22" t="s">
        <v>1536</v>
      </c>
      <c r="D1151" s="23">
        <v>100</v>
      </c>
      <c r="E1151" s="23">
        <v>0</v>
      </c>
      <c r="F1151" s="23">
        <v>44098.38</v>
      </c>
      <c r="G1151" s="22" t="s">
        <v>2541</v>
      </c>
      <c r="H1151" s="22"/>
      <c r="I1151" t="s">
        <v>2401</v>
      </c>
      <c r="K1151" s="24">
        <f t="shared" si="19"/>
        <v>0</v>
      </c>
    </row>
    <row r="1152" spans="1:11" hidden="1" x14ac:dyDescent="0.3">
      <c r="A1152" s="21">
        <v>45243</v>
      </c>
      <c r="B1152" t="s">
        <v>133</v>
      </c>
      <c r="C1152" s="22"/>
      <c r="D1152" s="23">
        <v>5332.47</v>
      </c>
      <c r="E1152" s="23">
        <v>0</v>
      </c>
      <c r="F1152" s="23">
        <v>47080.26</v>
      </c>
      <c r="G1152" s="22" t="s">
        <v>2406</v>
      </c>
      <c r="H1152" s="22"/>
      <c r="I1152" t="s">
        <v>2403</v>
      </c>
      <c r="K1152" s="24">
        <f t="shared" si="19"/>
        <v>-8314.3500000000058</v>
      </c>
    </row>
    <row r="1153" spans="1:11" hidden="1" x14ac:dyDescent="0.3">
      <c r="A1153" s="21">
        <v>45243</v>
      </c>
      <c r="B1153" t="s">
        <v>496</v>
      </c>
      <c r="C1153" s="22"/>
      <c r="D1153" s="23">
        <v>0</v>
      </c>
      <c r="E1153" s="23">
        <v>1693.79</v>
      </c>
      <c r="F1153" s="23">
        <v>48774.05</v>
      </c>
      <c r="G1153" s="22" t="s">
        <v>2406</v>
      </c>
      <c r="H1153" s="22"/>
      <c r="I1153" t="s">
        <v>2403</v>
      </c>
      <c r="K1153" s="24">
        <f t="shared" si="19"/>
        <v>0</v>
      </c>
    </row>
    <row r="1154" spans="1:11" hidden="1" x14ac:dyDescent="0.3">
      <c r="A1154" s="21">
        <v>45243</v>
      </c>
      <c r="B1154" t="s">
        <v>133</v>
      </c>
      <c r="C1154" s="22"/>
      <c r="D1154" s="23">
        <v>730.22</v>
      </c>
      <c r="E1154" s="23">
        <v>0</v>
      </c>
      <c r="F1154" s="23">
        <v>48043.83</v>
      </c>
      <c r="G1154" s="22" t="s">
        <v>2406</v>
      </c>
      <c r="H1154" s="22"/>
      <c r="I1154" t="s">
        <v>2403</v>
      </c>
      <c r="K1154" s="24">
        <f t="shared" si="19"/>
        <v>0</v>
      </c>
    </row>
    <row r="1155" spans="1:11" hidden="1" x14ac:dyDescent="0.3">
      <c r="A1155" s="21">
        <v>45243</v>
      </c>
      <c r="B1155" t="s">
        <v>1740</v>
      </c>
      <c r="C1155" s="22" t="s">
        <v>1536</v>
      </c>
      <c r="D1155" s="23">
        <v>100</v>
      </c>
      <c r="E1155" s="23">
        <v>0</v>
      </c>
      <c r="F1155" s="23">
        <v>43998.38</v>
      </c>
      <c r="G1155" s="22" t="s">
        <v>2541</v>
      </c>
      <c r="H1155" s="22"/>
      <c r="I1155" t="s">
        <v>2401</v>
      </c>
      <c r="K1155" s="24">
        <f t="shared" si="19"/>
        <v>3945.4500000000044</v>
      </c>
    </row>
    <row r="1156" spans="1:11" hidden="1" x14ac:dyDescent="0.3">
      <c r="A1156" s="21">
        <v>45243</v>
      </c>
      <c r="B1156" t="s">
        <v>1741</v>
      </c>
      <c r="C1156" s="22" t="s">
        <v>1536</v>
      </c>
      <c r="D1156" s="23">
        <v>60</v>
      </c>
      <c r="E1156" s="23">
        <v>0</v>
      </c>
      <c r="F1156" s="23">
        <v>43938.38</v>
      </c>
      <c r="G1156" s="22" t="s">
        <v>2408</v>
      </c>
      <c r="H1156" s="22"/>
      <c r="I1156" t="s">
        <v>2401</v>
      </c>
      <c r="K1156" s="24">
        <f t="shared" si="19"/>
        <v>0</v>
      </c>
    </row>
    <row r="1157" spans="1:11" hidden="1" x14ac:dyDescent="0.3">
      <c r="A1157" s="21">
        <v>45243</v>
      </c>
      <c r="B1157" t="s">
        <v>1742</v>
      </c>
      <c r="C1157" s="22" t="s">
        <v>1536</v>
      </c>
      <c r="D1157" s="23">
        <v>40</v>
      </c>
      <c r="E1157" s="23">
        <v>0</v>
      </c>
      <c r="F1157" s="23">
        <v>43898.38</v>
      </c>
      <c r="G1157" s="22" t="s">
        <v>2408</v>
      </c>
      <c r="H1157" s="22"/>
      <c r="I1157" t="s">
        <v>2401</v>
      </c>
      <c r="K1157" s="24">
        <f t="shared" si="19"/>
        <v>0</v>
      </c>
    </row>
    <row r="1158" spans="1:11" hidden="1" x14ac:dyDescent="0.3">
      <c r="A1158" s="21">
        <v>45243</v>
      </c>
      <c r="B1158" t="s">
        <v>1743</v>
      </c>
      <c r="C1158" s="22" t="s">
        <v>1536</v>
      </c>
      <c r="D1158" s="23">
        <v>15</v>
      </c>
      <c r="E1158" s="23">
        <v>0</v>
      </c>
      <c r="F1158" s="23">
        <v>43883.38</v>
      </c>
      <c r="G1158" s="22" t="s">
        <v>2408</v>
      </c>
      <c r="H1158" s="22"/>
      <c r="I1158" t="s">
        <v>2401</v>
      </c>
      <c r="K1158" s="24">
        <f t="shared" ref="K1158:K1221" si="20">F1157-D1158+E1158-F1158</f>
        <v>0</v>
      </c>
    </row>
    <row r="1159" spans="1:11" hidden="1" x14ac:dyDescent="0.3">
      <c r="A1159" s="21">
        <v>45243</v>
      </c>
      <c r="B1159" t="s">
        <v>2588</v>
      </c>
      <c r="C1159" s="22" t="s">
        <v>1332</v>
      </c>
      <c r="D1159" s="23">
        <v>0</v>
      </c>
      <c r="E1159" s="23">
        <v>72.150000000000006</v>
      </c>
      <c r="F1159" s="23">
        <v>74754.31</v>
      </c>
      <c r="G1159" s="22" t="s">
        <v>2399</v>
      </c>
      <c r="H1159" s="22"/>
      <c r="I1159" t="s">
        <v>2400</v>
      </c>
      <c r="K1159" s="24">
        <f t="shared" si="20"/>
        <v>-30798.78</v>
      </c>
    </row>
    <row r="1160" spans="1:11" hidden="1" x14ac:dyDescent="0.3">
      <c r="A1160" s="21">
        <v>45244</v>
      </c>
      <c r="B1160" t="s">
        <v>701</v>
      </c>
      <c r="C1160" s="22"/>
      <c r="D1160" s="23">
        <v>30000</v>
      </c>
      <c r="E1160" s="23">
        <v>0</v>
      </c>
      <c r="F1160" s="23">
        <v>18043.830000000002</v>
      </c>
      <c r="G1160" s="22" t="s">
        <v>2510</v>
      </c>
      <c r="H1160" s="22"/>
      <c r="I1160" t="s">
        <v>2403</v>
      </c>
      <c r="K1160" s="24">
        <f t="shared" si="20"/>
        <v>26710.479999999996</v>
      </c>
    </row>
    <row r="1161" spans="1:11" hidden="1" x14ac:dyDescent="0.3">
      <c r="A1161" s="21">
        <v>45244</v>
      </c>
      <c r="B1161" t="s">
        <v>1744</v>
      </c>
      <c r="C1161" s="22" t="s">
        <v>1536</v>
      </c>
      <c r="D1161" s="23">
        <v>100</v>
      </c>
      <c r="E1161" s="23">
        <v>0</v>
      </c>
      <c r="F1161" s="23">
        <v>43783.38</v>
      </c>
      <c r="G1161" s="22" t="s">
        <v>2541</v>
      </c>
      <c r="H1161" s="22"/>
      <c r="I1161" t="s">
        <v>2401</v>
      </c>
      <c r="K1161" s="24">
        <f t="shared" si="20"/>
        <v>-25839.549999999996</v>
      </c>
    </row>
    <row r="1162" spans="1:11" hidden="1" x14ac:dyDescent="0.3">
      <c r="A1162" s="21">
        <v>45244</v>
      </c>
      <c r="B1162" t="s">
        <v>1745</v>
      </c>
      <c r="C1162" s="22" t="s">
        <v>1536</v>
      </c>
      <c r="D1162" s="23">
        <v>106.42</v>
      </c>
      <c r="E1162" s="23">
        <v>0</v>
      </c>
      <c r="F1162" s="23">
        <v>43676.959999999999</v>
      </c>
      <c r="G1162" s="22" t="s">
        <v>2399</v>
      </c>
      <c r="H1162" s="22"/>
      <c r="I1162" t="s">
        <v>2401</v>
      </c>
      <c r="K1162" s="24">
        <f t="shared" si="20"/>
        <v>0</v>
      </c>
    </row>
    <row r="1163" spans="1:11" hidden="1" x14ac:dyDescent="0.3">
      <c r="A1163" s="21">
        <v>45244</v>
      </c>
      <c r="B1163" t="s">
        <v>1746</v>
      </c>
      <c r="C1163" s="22" t="s">
        <v>1536</v>
      </c>
      <c r="D1163" s="23">
        <v>40</v>
      </c>
      <c r="E1163" s="23">
        <v>0</v>
      </c>
      <c r="F1163" s="23">
        <v>43636.959999999999</v>
      </c>
      <c r="G1163" s="22" t="s">
        <v>2408</v>
      </c>
      <c r="H1163" s="22"/>
      <c r="I1163" t="s">
        <v>2401</v>
      </c>
      <c r="K1163" s="24">
        <f t="shared" si="20"/>
        <v>0</v>
      </c>
    </row>
    <row r="1164" spans="1:11" hidden="1" x14ac:dyDescent="0.3">
      <c r="A1164" s="21">
        <v>45244</v>
      </c>
      <c r="B1164" t="s">
        <v>1747</v>
      </c>
      <c r="C1164" s="22" t="s">
        <v>1536</v>
      </c>
      <c r="D1164" s="23">
        <v>20</v>
      </c>
      <c r="E1164" s="23">
        <v>0</v>
      </c>
      <c r="F1164" s="23">
        <v>43616.959999999999</v>
      </c>
      <c r="G1164" s="22" t="s">
        <v>2408</v>
      </c>
      <c r="H1164" s="22"/>
      <c r="I1164" t="s">
        <v>2401</v>
      </c>
      <c r="K1164" s="24">
        <f t="shared" si="20"/>
        <v>0</v>
      </c>
    </row>
    <row r="1165" spans="1:11" hidden="1" x14ac:dyDescent="0.3">
      <c r="A1165" s="21">
        <v>45245</v>
      </c>
      <c r="B1165" t="s">
        <v>496</v>
      </c>
      <c r="C1165" s="22"/>
      <c r="D1165" s="23">
        <v>0</v>
      </c>
      <c r="E1165" s="23">
        <v>16142.02</v>
      </c>
      <c r="F1165" s="23">
        <v>34185.85</v>
      </c>
      <c r="G1165" s="22" t="s">
        <v>2406</v>
      </c>
      <c r="H1165" s="22"/>
      <c r="I1165" t="s">
        <v>2403</v>
      </c>
      <c r="K1165" s="24">
        <f t="shared" si="20"/>
        <v>25573.129999999997</v>
      </c>
    </row>
    <row r="1166" spans="1:11" hidden="1" x14ac:dyDescent="0.3">
      <c r="A1166" s="21">
        <v>45245</v>
      </c>
      <c r="B1166" t="s">
        <v>133</v>
      </c>
      <c r="C1166" s="22"/>
      <c r="D1166" s="23">
        <v>128.06</v>
      </c>
      <c r="E1166" s="23">
        <v>0</v>
      </c>
      <c r="F1166" s="23">
        <v>34057.79</v>
      </c>
      <c r="G1166" s="22" t="s">
        <v>2406</v>
      </c>
      <c r="H1166" s="22"/>
      <c r="I1166" t="s">
        <v>2403</v>
      </c>
      <c r="K1166" s="24">
        <f t="shared" si="20"/>
        <v>0</v>
      </c>
    </row>
    <row r="1167" spans="1:11" hidden="1" x14ac:dyDescent="0.3">
      <c r="A1167" s="21">
        <v>45245</v>
      </c>
      <c r="B1167" t="s">
        <v>705</v>
      </c>
      <c r="C1167" s="22"/>
      <c r="D1167" s="23">
        <v>2147.6</v>
      </c>
      <c r="E1167" s="23">
        <v>0</v>
      </c>
      <c r="F1167" s="23">
        <v>31910.19</v>
      </c>
      <c r="G1167" s="22" t="s">
        <v>2410</v>
      </c>
      <c r="H1167" s="22"/>
      <c r="I1167" t="s">
        <v>2403</v>
      </c>
      <c r="K1167" s="24">
        <f t="shared" si="20"/>
        <v>0</v>
      </c>
    </row>
    <row r="1168" spans="1:11" hidden="1" x14ac:dyDescent="0.3">
      <c r="A1168" s="21">
        <v>45245</v>
      </c>
      <c r="B1168" t="s">
        <v>133</v>
      </c>
      <c r="C1168" s="22"/>
      <c r="D1168" s="23">
        <v>4344.3900000000003</v>
      </c>
      <c r="E1168" s="23">
        <v>0</v>
      </c>
      <c r="F1168" s="23">
        <v>27565.8</v>
      </c>
      <c r="G1168" s="22" t="s">
        <v>2406</v>
      </c>
      <c r="H1168" s="22"/>
      <c r="I1168" t="s">
        <v>2403</v>
      </c>
      <c r="K1168" s="24">
        <f t="shared" si="20"/>
        <v>0</v>
      </c>
    </row>
    <row r="1169" spans="1:11" hidden="1" x14ac:dyDescent="0.3">
      <c r="A1169" s="21">
        <v>45245</v>
      </c>
      <c r="B1169" t="s">
        <v>1748</v>
      </c>
      <c r="C1169" s="22" t="s">
        <v>1536</v>
      </c>
      <c r="D1169" s="23">
        <v>100</v>
      </c>
      <c r="E1169" s="23">
        <v>0</v>
      </c>
      <c r="F1169" s="23">
        <v>43516.959999999999</v>
      </c>
      <c r="G1169" s="22" t="s">
        <v>2541</v>
      </c>
      <c r="H1169" s="22"/>
      <c r="I1169" t="s">
        <v>2401</v>
      </c>
      <c r="K1169" s="24">
        <f t="shared" si="20"/>
        <v>-16051.16</v>
      </c>
    </row>
    <row r="1170" spans="1:11" hidden="1" x14ac:dyDescent="0.3">
      <c r="A1170" s="21">
        <v>45245</v>
      </c>
      <c r="B1170" t="s">
        <v>1749</v>
      </c>
      <c r="C1170" s="22" t="s">
        <v>1536</v>
      </c>
      <c r="D1170" s="23">
        <v>30</v>
      </c>
      <c r="E1170" s="23">
        <v>0</v>
      </c>
      <c r="F1170" s="23">
        <v>43486.96</v>
      </c>
      <c r="G1170" s="22" t="s">
        <v>2408</v>
      </c>
      <c r="H1170" s="22"/>
      <c r="I1170" t="s">
        <v>2401</v>
      </c>
      <c r="K1170" s="24">
        <f t="shared" si="20"/>
        <v>0</v>
      </c>
    </row>
    <row r="1171" spans="1:11" hidden="1" x14ac:dyDescent="0.3">
      <c r="A1171" s="21">
        <v>45245</v>
      </c>
      <c r="B1171" t="s">
        <v>1750</v>
      </c>
      <c r="C1171" s="22" t="s">
        <v>1536</v>
      </c>
      <c r="D1171" s="23">
        <v>275.39</v>
      </c>
      <c r="E1171" s="23">
        <v>0</v>
      </c>
      <c r="F1171" s="23">
        <v>43211.57</v>
      </c>
      <c r="G1171" s="22" t="s">
        <v>2399</v>
      </c>
      <c r="H1171" s="22"/>
      <c r="I1171" t="s">
        <v>2401</v>
      </c>
      <c r="K1171" s="24">
        <f t="shared" si="20"/>
        <v>0</v>
      </c>
    </row>
    <row r="1172" spans="1:11" hidden="1" x14ac:dyDescent="0.3">
      <c r="A1172" s="21">
        <v>45245</v>
      </c>
      <c r="B1172" t="s">
        <v>2589</v>
      </c>
      <c r="C1172" s="22" t="s">
        <v>1148</v>
      </c>
      <c r="D1172" s="23">
        <v>20000</v>
      </c>
      <c r="E1172" s="23">
        <v>0</v>
      </c>
      <c r="F1172" s="23">
        <v>54754.31</v>
      </c>
      <c r="G1172" s="22" t="s">
        <v>2399</v>
      </c>
      <c r="H1172" s="22"/>
      <c r="I1172" t="s">
        <v>2400</v>
      </c>
      <c r="K1172" s="24">
        <f t="shared" si="20"/>
        <v>-31542.739999999998</v>
      </c>
    </row>
    <row r="1173" spans="1:11" hidden="1" x14ac:dyDescent="0.3">
      <c r="A1173" s="21">
        <v>45246</v>
      </c>
      <c r="B1173" t="s">
        <v>133</v>
      </c>
      <c r="C1173" s="22"/>
      <c r="D1173" s="23">
        <v>62.48</v>
      </c>
      <c r="E1173" s="23">
        <v>0</v>
      </c>
      <c r="F1173" s="23">
        <v>27503.32</v>
      </c>
      <c r="G1173" s="22" t="s">
        <v>2406</v>
      </c>
      <c r="H1173" s="22"/>
      <c r="I1173" t="s">
        <v>2403</v>
      </c>
      <c r="K1173" s="24">
        <f t="shared" si="20"/>
        <v>27188.509999999995</v>
      </c>
    </row>
    <row r="1174" spans="1:11" hidden="1" x14ac:dyDescent="0.3">
      <c r="A1174" s="21">
        <v>45246</v>
      </c>
      <c r="B1174" t="s">
        <v>708</v>
      </c>
      <c r="C1174" s="22"/>
      <c r="D1174" s="23">
        <v>0</v>
      </c>
      <c r="E1174" s="23">
        <v>30000</v>
      </c>
      <c r="F1174" s="23">
        <v>57503.32</v>
      </c>
      <c r="G1174" s="22" t="s">
        <v>2577</v>
      </c>
      <c r="H1174" s="22"/>
      <c r="I1174" t="s">
        <v>2403</v>
      </c>
      <c r="K1174" s="24">
        <f t="shared" si="20"/>
        <v>0</v>
      </c>
    </row>
    <row r="1175" spans="1:11" hidden="1" x14ac:dyDescent="0.3">
      <c r="A1175" s="21">
        <v>45246</v>
      </c>
      <c r="B1175" t="s">
        <v>1751</v>
      </c>
      <c r="C1175" s="22" t="s">
        <v>1536</v>
      </c>
      <c r="D1175" s="23">
        <v>100</v>
      </c>
      <c r="E1175" s="23">
        <v>0</v>
      </c>
      <c r="F1175" s="23">
        <v>43111.57</v>
      </c>
      <c r="G1175" s="22" t="s">
        <v>2541</v>
      </c>
      <c r="H1175" s="22"/>
      <c r="I1175" t="s">
        <v>2401</v>
      </c>
      <c r="K1175" s="24">
        <f t="shared" si="20"/>
        <v>14291.75</v>
      </c>
    </row>
    <row r="1176" spans="1:11" hidden="1" x14ac:dyDescent="0.3">
      <c r="A1176" s="21">
        <v>45246</v>
      </c>
      <c r="B1176" t="s">
        <v>1752</v>
      </c>
      <c r="C1176" s="22" t="s">
        <v>1536</v>
      </c>
      <c r="D1176" s="23">
        <v>35</v>
      </c>
      <c r="E1176" s="23">
        <v>0</v>
      </c>
      <c r="F1176" s="23">
        <v>43076.57</v>
      </c>
      <c r="G1176" s="22" t="s">
        <v>2408</v>
      </c>
      <c r="H1176" s="22"/>
      <c r="I1176" t="s">
        <v>2401</v>
      </c>
      <c r="K1176" s="24">
        <f t="shared" si="20"/>
        <v>0</v>
      </c>
    </row>
    <row r="1177" spans="1:11" hidden="1" x14ac:dyDescent="0.3">
      <c r="A1177" s="21">
        <v>45246</v>
      </c>
      <c r="B1177" t="s">
        <v>1753</v>
      </c>
      <c r="C1177" s="22" t="s">
        <v>1536</v>
      </c>
      <c r="D1177" s="23">
        <v>16</v>
      </c>
      <c r="E1177" s="23">
        <v>0</v>
      </c>
      <c r="F1177" s="23">
        <v>43060.57</v>
      </c>
      <c r="G1177" s="22" t="s">
        <v>2408</v>
      </c>
      <c r="H1177" s="22"/>
      <c r="I1177" t="s">
        <v>2401</v>
      </c>
      <c r="K1177" s="24">
        <f t="shared" si="20"/>
        <v>0</v>
      </c>
    </row>
    <row r="1178" spans="1:11" hidden="1" x14ac:dyDescent="0.3">
      <c r="A1178" s="21">
        <v>45246</v>
      </c>
      <c r="B1178" t="s">
        <v>1754</v>
      </c>
      <c r="C1178" s="22" t="s">
        <v>1536</v>
      </c>
      <c r="D1178" s="23">
        <v>10</v>
      </c>
      <c r="E1178" s="23">
        <v>0</v>
      </c>
      <c r="F1178" s="23">
        <v>43050.57</v>
      </c>
      <c r="G1178" s="22" t="s">
        <v>2408</v>
      </c>
      <c r="H1178" s="22"/>
      <c r="I1178" t="s">
        <v>2401</v>
      </c>
      <c r="K1178" s="24">
        <f t="shared" si="20"/>
        <v>0</v>
      </c>
    </row>
    <row r="1179" spans="1:11" hidden="1" x14ac:dyDescent="0.3">
      <c r="A1179" s="21">
        <v>45246</v>
      </c>
      <c r="B1179" t="s">
        <v>1755</v>
      </c>
      <c r="C1179" s="22" t="s">
        <v>1536</v>
      </c>
      <c r="D1179" s="23">
        <v>40</v>
      </c>
      <c r="E1179" s="23">
        <v>0</v>
      </c>
      <c r="F1179" s="23">
        <v>43010.57</v>
      </c>
      <c r="G1179" s="22" t="s">
        <v>2408</v>
      </c>
      <c r="H1179" s="22"/>
      <c r="I1179" t="s">
        <v>2401</v>
      </c>
      <c r="K1179" s="24">
        <f t="shared" si="20"/>
        <v>0</v>
      </c>
    </row>
    <row r="1180" spans="1:11" hidden="1" x14ac:dyDescent="0.3">
      <c r="A1180" s="21">
        <v>45246</v>
      </c>
      <c r="B1180" t="s">
        <v>1756</v>
      </c>
      <c r="C1180" s="22" t="s">
        <v>1536</v>
      </c>
      <c r="D1180" s="23">
        <v>30</v>
      </c>
      <c r="E1180" s="23">
        <v>0</v>
      </c>
      <c r="F1180" s="23">
        <v>42980.57</v>
      </c>
      <c r="G1180" s="22" t="s">
        <v>2408</v>
      </c>
      <c r="H1180" s="22"/>
      <c r="I1180" t="s">
        <v>2401</v>
      </c>
      <c r="K1180" s="24">
        <f t="shared" si="20"/>
        <v>0</v>
      </c>
    </row>
    <row r="1181" spans="1:11" hidden="1" x14ac:dyDescent="0.3">
      <c r="A1181" s="21">
        <v>45247</v>
      </c>
      <c r="B1181" t="s">
        <v>496</v>
      </c>
      <c r="C1181" s="22"/>
      <c r="D1181" s="23">
        <v>0</v>
      </c>
      <c r="E1181" s="23">
        <v>487.28</v>
      </c>
      <c r="F1181" s="23">
        <v>57990.6</v>
      </c>
      <c r="G1181" s="22" t="s">
        <v>2406</v>
      </c>
      <c r="H1181" s="22"/>
      <c r="I1181" t="s">
        <v>2403</v>
      </c>
      <c r="K1181" s="24">
        <f t="shared" si="20"/>
        <v>-14522.75</v>
      </c>
    </row>
    <row r="1182" spans="1:11" hidden="1" x14ac:dyDescent="0.3">
      <c r="A1182" s="21">
        <v>45247</v>
      </c>
      <c r="B1182" t="s">
        <v>496</v>
      </c>
      <c r="C1182" s="22"/>
      <c r="D1182" s="23">
        <v>0</v>
      </c>
      <c r="E1182" s="23">
        <v>14895.95</v>
      </c>
      <c r="F1182" s="23">
        <v>72886.55</v>
      </c>
      <c r="G1182" s="22" t="s">
        <v>2406</v>
      </c>
      <c r="H1182" s="22"/>
      <c r="I1182" t="s">
        <v>2403</v>
      </c>
      <c r="K1182" s="24">
        <f t="shared" si="20"/>
        <v>0</v>
      </c>
    </row>
    <row r="1183" spans="1:11" hidden="1" x14ac:dyDescent="0.3">
      <c r="A1183" s="21">
        <v>45247</v>
      </c>
      <c r="B1183" t="s">
        <v>133</v>
      </c>
      <c r="C1183" s="22"/>
      <c r="D1183" s="23">
        <v>67.790000000000006</v>
      </c>
      <c r="E1183" s="23">
        <v>0</v>
      </c>
      <c r="F1183" s="23">
        <v>72818.759999999995</v>
      </c>
      <c r="G1183" s="22" t="s">
        <v>2406</v>
      </c>
      <c r="H1183" s="22"/>
      <c r="I1183" t="s">
        <v>2403</v>
      </c>
      <c r="K1183" s="24">
        <f t="shared" si="20"/>
        <v>0</v>
      </c>
    </row>
    <row r="1184" spans="1:11" hidden="1" x14ac:dyDescent="0.3">
      <c r="A1184" s="21">
        <v>45247</v>
      </c>
      <c r="B1184" t="s">
        <v>133</v>
      </c>
      <c r="C1184" s="22"/>
      <c r="D1184" s="23">
        <v>32348.32</v>
      </c>
      <c r="E1184" s="23">
        <v>0</v>
      </c>
      <c r="F1184" s="23">
        <v>40470.44</v>
      </c>
      <c r="G1184" s="22" t="s">
        <v>2406</v>
      </c>
      <c r="H1184" s="22"/>
      <c r="I1184" t="s">
        <v>2403</v>
      </c>
      <c r="K1184" s="24">
        <f t="shared" si="20"/>
        <v>0</v>
      </c>
    </row>
    <row r="1185" spans="1:11" hidden="1" x14ac:dyDescent="0.3">
      <c r="A1185" s="21">
        <v>45247</v>
      </c>
      <c r="B1185" t="s">
        <v>1757</v>
      </c>
      <c r="C1185" s="22" t="s">
        <v>1536</v>
      </c>
      <c r="D1185" s="23">
        <v>100</v>
      </c>
      <c r="E1185" s="23">
        <v>0</v>
      </c>
      <c r="F1185" s="23">
        <v>42880.57</v>
      </c>
      <c r="G1185" s="22" t="s">
        <v>2541</v>
      </c>
      <c r="H1185" s="22"/>
      <c r="I1185" t="s">
        <v>2401</v>
      </c>
      <c r="K1185" s="24">
        <f t="shared" si="20"/>
        <v>-2510.1299999999974</v>
      </c>
    </row>
    <row r="1186" spans="1:11" hidden="1" x14ac:dyDescent="0.3">
      <c r="A1186" s="21">
        <v>45247</v>
      </c>
      <c r="B1186" t="s">
        <v>1758</v>
      </c>
      <c r="C1186" s="22" t="s">
        <v>1536</v>
      </c>
      <c r="D1186" s="23">
        <v>35</v>
      </c>
      <c r="E1186" s="23">
        <v>0</v>
      </c>
      <c r="F1186" s="23">
        <v>42845.57</v>
      </c>
      <c r="G1186" s="22" t="s">
        <v>2408</v>
      </c>
      <c r="H1186" s="22"/>
      <c r="I1186" t="s">
        <v>2401</v>
      </c>
      <c r="K1186" s="24">
        <f t="shared" si="20"/>
        <v>0</v>
      </c>
    </row>
    <row r="1187" spans="1:11" hidden="1" x14ac:dyDescent="0.3">
      <c r="A1187" s="21">
        <v>45247</v>
      </c>
      <c r="B1187" t="s">
        <v>1759</v>
      </c>
      <c r="C1187" s="22" t="s">
        <v>1536</v>
      </c>
      <c r="D1187" s="23">
        <v>26</v>
      </c>
      <c r="E1187" s="23">
        <v>0</v>
      </c>
      <c r="F1187" s="23">
        <v>42819.57</v>
      </c>
      <c r="G1187" s="22" t="s">
        <v>2408</v>
      </c>
      <c r="H1187" s="22"/>
      <c r="I1187" t="s">
        <v>2401</v>
      </c>
      <c r="K1187" s="24">
        <f t="shared" si="20"/>
        <v>0</v>
      </c>
    </row>
    <row r="1188" spans="1:11" hidden="1" x14ac:dyDescent="0.3">
      <c r="A1188" s="21">
        <v>45247</v>
      </c>
      <c r="B1188" t="s">
        <v>1760</v>
      </c>
      <c r="C1188" s="22" t="s">
        <v>1536</v>
      </c>
      <c r="D1188" s="23">
        <v>30</v>
      </c>
      <c r="E1188" s="23">
        <v>0</v>
      </c>
      <c r="F1188" s="23">
        <v>42789.57</v>
      </c>
      <c r="G1188" s="22" t="s">
        <v>2408</v>
      </c>
      <c r="H1188" s="22"/>
      <c r="I1188" t="s">
        <v>2401</v>
      </c>
      <c r="K1188" s="24">
        <f t="shared" si="20"/>
        <v>0</v>
      </c>
    </row>
    <row r="1189" spans="1:11" hidden="1" x14ac:dyDescent="0.3">
      <c r="A1189" s="21">
        <v>45247</v>
      </c>
      <c r="B1189" t="s">
        <v>1761</v>
      </c>
      <c r="C1189" s="22" t="s">
        <v>1536</v>
      </c>
      <c r="D1189" s="23">
        <v>20</v>
      </c>
      <c r="E1189" s="23">
        <v>0</v>
      </c>
      <c r="F1189" s="23">
        <v>42769.57</v>
      </c>
      <c r="G1189" s="22" t="s">
        <v>2408</v>
      </c>
      <c r="H1189" s="22"/>
      <c r="I1189" t="s">
        <v>2401</v>
      </c>
      <c r="K1189" s="24">
        <f t="shared" si="20"/>
        <v>0</v>
      </c>
    </row>
    <row r="1190" spans="1:11" hidden="1" x14ac:dyDescent="0.3">
      <c r="A1190" s="21">
        <v>45247</v>
      </c>
      <c r="B1190" t="s">
        <v>1762</v>
      </c>
      <c r="C1190" s="22" t="s">
        <v>1536</v>
      </c>
      <c r="D1190" s="23">
        <v>269.99</v>
      </c>
      <c r="E1190" s="23">
        <v>0</v>
      </c>
      <c r="F1190" s="23">
        <v>42499.58</v>
      </c>
      <c r="G1190" s="22" t="s">
        <v>2399</v>
      </c>
      <c r="H1190" s="22"/>
      <c r="I1190" t="s">
        <v>2401</v>
      </c>
      <c r="K1190" s="24">
        <f t="shared" si="20"/>
        <v>0</v>
      </c>
    </row>
    <row r="1191" spans="1:11" hidden="1" x14ac:dyDescent="0.3">
      <c r="A1191" s="21">
        <v>45247</v>
      </c>
      <c r="B1191" t="s">
        <v>2590</v>
      </c>
      <c r="C1191" s="22" t="s">
        <v>1184</v>
      </c>
      <c r="D1191" s="23">
        <v>0</v>
      </c>
      <c r="E1191" s="23">
        <v>1016</v>
      </c>
      <c r="F1191" s="23">
        <v>55770.31</v>
      </c>
      <c r="G1191" s="22" t="s">
        <v>2399</v>
      </c>
      <c r="H1191" s="22"/>
      <c r="I1191" t="s">
        <v>2400</v>
      </c>
      <c r="K1191" s="24">
        <f t="shared" si="20"/>
        <v>-12254.729999999996</v>
      </c>
    </row>
    <row r="1192" spans="1:11" hidden="1" x14ac:dyDescent="0.3">
      <c r="A1192" s="21">
        <v>45248</v>
      </c>
      <c r="B1192" t="s">
        <v>1763</v>
      </c>
      <c r="C1192" s="22" t="s">
        <v>1536</v>
      </c>
      <c r="D1192" s="23">
        <v>100</v>
      </c>
      <c r="E1192" s="23">
        <v>0</v>
      </c>
      <c r="F1192" s="23">
        <v>42399.58</v>
      </c>
      <c r="G1192" s="22" t="s">
        <v>2541</v>
      </c>
      <c r="H1192" s="22"/>
      <c r="I1192" t="s">
        <v>2401</v>
      </c>
      <c r="K1192" s="24">
        <f t="shared" si="20"/>
        <v>13270.729999999996</v>
      </c>
    </row>
    <row r="1193" spans="1:11" hidden="1" x14ac:dyDescent="0.3">
      <c r="A1193" s="21">
        <v>45248</v>
      </c>
      <c r="B1193" t="s">
        <v>1764</v>
      </c>
      <c r="C1193" s="22" t="s">
        <v>1536</v>
      </c>
      <c r="D1193" s="23">
        <v>75</v>
      </c>
      <c r="E1193" s="23">
        <v>0</v>
      </c>
      <c r="F1193" s="23">
        <v>42324.58</v>
      </c>
      <c r="G1193" s="22" t="s">
        <v>2408</v>
      </c>
      <c r="H1193" s="22"/>
      <c r="I1193" t="s">
        <v>2401</v>
      </c>
      <c r="K1193" s="24">
        <f t="shared" si="20"/>
        <v>0</v>
      </c>
    </row>
    <row r="1194" spans="1:11" hidden="1" x14ac:dyDescent="0.3">
      <c r="A1194" s="21">
        <v>45248</v>
      </c>
      <c r="B1194" t="s">
        <v>1765</v>
      </c>
      <c r="C1194" s="22" t="s">
        <v>1536</v>
      </c>
      <c r="D1194" s="23">
        <v>25</v>
      </c>
      <c r="E1194" s="23">
        <v>0</v>
      </c>
      <c r="F1194" s="23">
        <v>42299.58</v>
      </c>
      <c r="G1194" s="22" t="s">
        <v>2408</v>
      </c>
      <c r="H1194" s="22"/>
      <c r="I1194" t="s">
        <v>2401</v>
      </c>
      <c r="K1194" s="24">
        <f t="shared" si="20"/>
        <v>0</v>
      </c>
    </row>
    <row r="1195" spans="1:11" hidden="1" x14ac:dyDescent="0.3">
      <c r="A1195" s="21">
        <v>45248</v>
      </c>
      <c r="B1195" t="s">
        <v>1766</v>
      </c>
      <c r="C1195" s="22" t="s">
        <v>1536</v>
      </c>
      <c r="D1195" s="23">
        <v>299</v>
      </c>
      <c r="E1195" s="23">
        <v>0</v>
      </c>
      <c r="F1195" s="23">
        <v>42000.58</v>
      </c>
      <c r="G1195" s="22" t="s">
        <v>2399</v>
      </c>
      <c r="H1195" s="22"/>
      <c r="I1195" t="s">
        <v>2401</v>
      </c>
      <c r="K1195" s="24">
        <f t="shared" si="20"/>
        <v>0</v>
      </c>
    </row>
    <row r="1196" spans="1:11" hidden="1" x14ac:dyDescent="0.3">
      <c r="A1196" s="21">
        <v>45248</v>
      </c>
      <c r="B1196" t="s">
        <v>1767</v>
      </c>
      <c r="C1196" s="22" t="s">
        <v>1536</v>
      </c>
      <c r="D1196" s="23">
        <v>99.01</v>
      </c>
      <c r="E1196" s="23">
        <v>0</v>
      </c>
      <c r="F1196" s="23">
        <v>41901.57</v>
      </c>
      <c r="G1196" s="22" t="s">
        <v>2408</v>
      </c>
      <c r="H1196" s="22"/>
      <c r="I1196" t="s">
        <v>2401</v>
      </c>
      <c r="K1196" s="24">
        <f t="shared" si="20"/>
        <v>0</v>
      </c>
    </row>
    <row r="1197" spans="1:11" hidden="1" x14ac:dyDescent="0.3">
      <c r="A1197" s="21">
        <v>45248</v>
      </c>
      <c r="B1197" t="s">
        <v>1768</v>
      </c>
      <c r="C1197" s="22" t="s">
        <v>1536</v>
      </c>
      <c r="D1197" s="23">
        <v>332</v>
      </c>
      <c r="E1197" s="23">
        <v>0</v>
      </c>
      <c r="F1197" s="23">
        <v>41569.57</v>
      </c>
      <c r="G1197" s="22" t="s">
        <v>2399</v>
      </c>
      <c r="H1197" s="22"/>
      <c r="I1197" t="s">
        <v>2401</v>
      </c>
      <c r="K1197" s="24">
        <f t="shared" si="20"/>
        <v>0</v>
      </c>
    </row>
    <row r="1198" spans="1:11" hidden="1" x14ac:dyDescent="0.3">
      <c r="A1198" s="21">
        <v>45248</v>
      </c>
      <c r="B1198" t="s">
        <v>1769</v>
      </c>
      <c r="C1198" s="22" t="s">
        <v>1536</v>
      </c>
      <c r="D1198" s="23">
        <v>30</v>
      </c>
      <c r="E1198" s="23">
        <v>0</v>
      </c>
      <c r="F1198" s="23">
        <v>41539.57</v>
      </c>
      <c r="G1198" s="22" t="s">
        <v>2408</v>
      </c>
      <c r="H1198" s="22"/>
      <c r="I1198" t="s">
        <v>2401</v>
      </c>
      <c r="K1198" s="24">
        <f t="shared" si="20"/>
        <v>0</v>
      </c>
    </row>
    <row r="1199" spans="1:11" hidden="1" x14ac:dyDescent="0.3">
      <c r="A1199" s="21">
        <v>45248</v>
      </c>
      <c r="B1199" t="s">
        <v>1770</v>
      </c>
      <c r="C1199" s="22" t="s">
        <v>1536</v>
      </c>
      <c r="D1199" s="23">
        <v>60</v>
      </c>
      <c r="E1199" s="23">
        <v>0</v>
      </c>
      <c r="F1199" s="23">
        <v>41479.57</v>
      </c>
      <c r="G1199" s="22" t="s">
        <v>2408</v>
      </c>
      <c r="H1199" s="22"/>
      <c r="I1199" t="s">
        <v>2401</v>
      </c>
      <c r="K1199" s="24">
        <f t="shared" si="20"/>
        <v>0</v>
      </c>
    </row>
    <row r="1200" spans="1:11" hidden="1" x14ac:dyDescent="0.3">
      <c r="A1200" s="21">
        <v>45248</v>
      </c>
      <c r="B1200" t="s">
        <v>1771</v>
      </c>
      <c r="C1200" s="22" t="s">
        <v>1536</v>
      </c>
      <c r="D1200" s="23">
        <v>20</v>
      </c>
      <c r="E1200" s="23">
        <v>0</v>
      </c>
      <c r="F1200" s="23">
        <v>41459.57</v>
      </c>
      <c r="G1200" s="22" t="s">
        <v>2408</v>
      </c>
      <c r="H1200" s="22"/>
      <c r="I1200" t="s">
        <v>2401</v>
      </c>
      <c r="K1200" s="24">
        <f t="shared" si="20"/>
        <v>0</v>
      </c>
    </row>
    <row r="1201" spans="1:11" hidden="1" x14ac:dyDescent="0.3">
      <c r="A1201" s="21">
        <v>45248</v>
      </c>
      <c r="B1201" t="s">
        <v>1772</v>
      </c>
      <c r="C1201" s="22" t="s">
        <v>1536</v>
      </c>
      <c r="D1201" s="23">
        <v>20</v>
      </c>
      <c r="E1201" s="23">
        <v>0</v>
      </c>
      <c r="F1201" s="23">
        <v>41439.57</v>
      </c>
      <c r="G1201" s="22" t="s">
        <v>2408</v>
      </c>
      <c r="H1201" s="22"/>
      <c r="I1201" t="s">
        <v>2401</v>
      </c>
      <c r="K1201" s="24">
        <f t="shared" si="20"/>
        <v>0</v>
      </c>
    </row>
    <row r="1202" spans="1:11" hidden="1" x14ac:dyDescent="0.3">
      <c r="A1202" s="21">
        <v>45249</v>
      </c>
      <c r="B1202" t="s">
        <v>1773</v>
      </c>
      <c r="C1202" s="22" t="s">
        <v>1536</v>
      </c>
      <c r="D1202" s="23">
        <v>100</v>
      </c>
      <c r="E1202" s="23">
        <v>0</v>
      </c>
      <c r="F1202" s="23">
        <v>41339.57</v>
      </c>
      <c r="G1202" s="22" t="s">
        <v>2541</v>
      </c>
      <c r="H1202" s="22"/>
      <c r="I1202" t="s">
        <v>2401</v>
      </c>
      <c r="K1202" s="24">
        <f t="shared" si="20"/>
        <v>0</v>
      </c>
    </row>
    <row r="1203" spans="1:11" hidden="1" x14ac:dyDescent="0.3">
      <c r="A1203" s="21">
        <v>45249</v>
      </c>
      <c r="B1203" t="s">
        <v>1774</v>
      </c>
      <c r="C1203" s="22" t="s">
        <v>1536</v>
      </c>
      <c r="D1203" s="23">
        <v>30</v>
      </c>
      <c r="E1203" s="23">
        <v>0</v>
      </c>
      <c r="F1203" s="23">
        <v>41309.57</v>
      </c>
      <c r="G1203" s="22" t="s">
        <v>2408</v>
      </c>
      <c r="H1203" s="22"/>
      <c r="I1203" t="s">
        <v>2401</v>
      </c>
      <c r="K1203" s="24">
        <f t="shared" si="20"/>
        <v>0</v>
      </c>
    </row>
    <row r="1204" spans="1:11" hidden="1" x14ac:dyDescent="0.3">
      <c r="A1204" s="21">
        <v>45249</v>
      </c>
      <c r="B1204" t="s">
        <v>1775</v>
      </c>
      <c r="C1204" s="22" t="s">
        <v>1536</v>
      </c>
      <c r="D1204" s="23">
        <v>15</v>
      </c>
      <c r="E1204" s="23">
        <v>0</v>
      </c>
      <c r="F1204" s="23">
        <v>41294.57</v>
      </c>
      <c r="G1204" s="22" t="s">
        <v>2408</v>
      </c>
      <c r="H1204" s="22"/>
      <c r="I1204" t="s">
        <v>2401</v>
      </c>
      <c r="K1204" s="24">
        <f t="shared" si="20"/>
        <v>0</v>
      </c>
    </row>
    <row r="1205" spans="1:11" hidden="1" x14ac:dyDescent="0.3">
      <c r="A1205" s="21">
        <v>45250</v>
      </c>
      <c r="B1205" t="s">
        <v>133</v>
      </c>
      <c r="C1205" s="22"/>
      <c r="D1205" s="23">
        <v>169.32</v>
      </c>
      <c r="E1205" s="23">
        <v>0</v>
      </c>
      <c r="F1205" s="23">
        <v>40301.120000000003</v>
      </c>
      <c r="G1205" s="22" t="s">
        <v>2406</v>
      </c>
      <c r="H1205" s="22"/>
      <c r="I1205" t="s">
        <v>2403</v>
      </c>
      <c r="K1205" s="24">
        <f t="shared" si="20"/>
        <v>824.12999999999738</v>
      </c>
    </row>
    <row r="1206" spans="1:11" hidden="1" x14ac:dyDescent="0.3">
      <c r="A1206" s="21">
        <v>45250</v>
      </c>
      <c r="B1206" t="s">
        <v>1776</v>
      </c>
      <c r="C1206" s="22" t="s">
        <v>1536</v>
      </c>
      <c r="D1206" s="23">
        <v>100</v>
      </c>
      <c r="E1206" s="23">
        <v>0</v>
      </c>
      <c r="F1206" s="23">
        <v>41194.57</v>
      </c>
      <c r="G1206" s="22" t="s">
        <v>2541</v>
      </c>
      <c r="H1206" s="22"/>
      <c r="I1206" t="s">
        <v>2401</v>
      </c>
      <c r="K1206" s="24">
        <f t="shared" si="20"/>
        <v>-993.44999999999709</v>
      </c>
    </row>
    <row r="1207" spans="1:11" hidden="1" x14ac:dyDescent="0.3">
      <c r="A1207" s="21">
        <v>45250</v>
      </c>
      <c r="B1207" t="s">
        <v>1777</v>
      </c>
      <c r="C1207" s="22" t="s">
        <v>1536</v>
      </c>
      <c r="D1207" s="23">
        <v>30</v>
      </c>
      <c r="E1207" s="23">
        <v>0</v>
      </c>
      <c r="F1207" s="23">
        <v>41164.57</v>
      </c>
      <c r="G1207" s="22" t="s">
        <v>2408</v>
      </c>
      <c r="H1207" s="22"/>
      <c r="I1207" t="s">
        <v>2401</v>
      </c>
      <c r="K1207" s="24">
        <f t="shared" si="20"/>
        <v>0</v>
      </c>
    </row>
    <row r="1208" spans="1:11" hidden="1" x14ac:dyDescent="0.3">
      <c r="A1208" s="21">
        <v>45250</v>
      </c>
      <c r="B1208" t="s">
        <v>1778</v>
      </c>
      <c r="C1208" s="22" t="s">
        <v>1536</v>
      </c>
      <c r="D1208" s="23">
        <v>20</v>
      </c>
      <c r="E1208" s="23">
        <v>0</v>
      </c>
      <c r="F1208" s="23">
        <v>41144.57</v>
      </c>
      <c r="G1208" s="22" t="s">
        <v>2408</v>
      </c>
      <c r="H1208" s="22"/>
      <c r="I1208" t="s">
        <v>2401</v>
      </c>
      <c r="K1208" s="24">
        <f t="shared" si="20"/>
        <v>0</v>
      </c>
    </row>
    <row r="1209" spans="1:11" hidden="1" x14ac:dyDescent="0.3">
      <c r="A1209" s="21">
        <v>45250</v>
      </c>
      <c r="B1209" t="s">
        <v>1779</v>
      </c>
      <c r="C1209" s="22" t="s">
        <v>1536</v>
      </c>
      <c r="D1209" s="23">
        <v>90</v>
      </c>
      <c r="E1209" s="23">
        <v>0</v>
      </c>
      <c r="F1209" s="23">
        <v>41054.57</v>
      </c>
      <c r="G1209" s="22" t="s">
        <v>2408</v>
      </c>
      <c r="H1209" s="22"/>
      <c r="I1209" t="s">
        <v>2401</v>
      </c>
      <c r="K1209" s="24">
        <f t="shared" si="20"/>
        <v>0</v>
      </c>
    </row>
    <row r="1210" spans="1:11" hidden="1" x14ac:dyDescent="0.3">
      <c r="A1210" s="21">
        <v>45250</v>
      </c>
      <c r="B1210" t="s">
        <v>1780</v>
      </c>
      <c r="C1210" s="22" t="s">
        <v>1536</v>
      </c>
      <c r="D1210" s="23">
        <v>40</v>
      </c>
      <c r="E1210" s="23">
        <v>0</v>
      </c>
      <c r="F1210" s="23">
        <v>41014.57</v>
      </c>
      <c r="G1210" s="22" t="s">
        <v>2408</v>
      </c>
      <c r="H1210" s="22"/>
      <c r="I1210" t="s">
        <v>2401</v>
      </c>
      <c r="K1210" s="24">
        <f t="shared" si="20"/>
        <v>0</v>
      </c>
    </row>
    <row r="1211" spans="1:11" hidden="1" x14ac:dyDescent="0.3">
      <c r="A1211" s="21">
        <v>45251</v>
      </c>
      <c r="B1211" t="s">
        <v>496</v>
      </c>
      <c r="C1211" s="22"/>
      <c r="D1211" s="23">
        <v>0</v>
      </c>
      <c r="E1211" s="23">
        <v>235.17</v>
      </c>
      <c r="F1211" s="23">
        <v>40536.29</v>
      </c>
      <c r="G1211" s="22" t="s">
        <v>2406</v>
      </c>
      <c r="H1211" s="22"/>
      <c r="I1211" t="s">
        <v>2403</v>
      </c>
      <c r="K1211" s="24">
        <f t="shared" si="20"/>
        <v>713.44999999999709</v>
      </c>
    </row>
    <row r="1212" spans="1:11" hidden="1" x14ac:dyDescent="0.3">
      <c r="A1212" s="21">
        <v>45251</v>
      </c>
      <c r="B1212" t="s">
        <v>496</v>
      </c>
      <c r="C1212" s="22"/>
      <c r="D1212" s="23">
        <v>0</v>
      </c>
      <c r="E1212" s="23">
        <v>33194.83</v>
      </c>
      <c r="F1212" s="23">
        <v>73731.12</v>
      </c>
      <c r="G1212" s="22" t="s">
        <v>2406</v>
      </c>
      <c r="H1212" s="22"/>
      <c r="I1212" t="s">
        <v>2403</v>
      </c>
      <c r="K1212" s="24">
        <f t="shared" si="20"/>
        <v>0</v>
      </c>
    </row>
    <row r="1213" spans="1:11" hidden="1" x14ac:dyDescent="0.3">
      <c r="A1213" s="21">
        <v>45251</v>
      </c>
      <c r="B1213" t="s">
        <v>133</v>
      </c>
      <c r="C1213" s="22"/>
      <c r="D1213" s="23">
        <v>73.680000000000007</v>
      </c>
      <c r="E1213" s="23">
        <v>0</v>
      </c>
      <c r="F1213" s="23">
        <v>73657.440000000002</v>
      </c>
      <c r="G1213" s="22" t="s">
        <v>2406</v>
      </c>
      <c r="H1213" s="22"/>
      <c r="I1213" t="s">
        <v>2403</v>
      </c>
      <c r="K1213" s="24">
        <f t="shared" si="20"/>
        <v>0</v>
      </c>
    </row>
    <row r="1214" spans="1:11" hidden="1" x14ac:dyDescent="0.3">
      <c r="A1214" s="21">
        <v>45251</v>
      </c>
      <c r="B1214" t="s">
        <v>1781</v>
      </c>
      <c r="C1214" s="22" t="s">
        <v>1536</v>
      </c>
      <c r="D1214" s="23">
        <v>100</v>
      </c>
      <c r="E1214" s="23">
        <v>0</v>
      </c>
      <c r="F1214" s="23">
        <v>40914.57</v>
      </c>
      <c r="G1214" s="22" t="s">
        <v>2541</v>
      </c>
      <c r="H1214" s="22"/>
      <c r="I1214" t="s">
        <v>2401</v>
      </c>
      <c r="K1214" s="24">
        <f t="shared" si="20"/>
        <v>32642.870000000003</v>
      </c>
    </row>
    <row r="1215" spans="1:11" hidden="1" x14ac:dyDescent="0.3">
      <c r="A1215" s="21">
        <v>45251</v>
      </c>
      <c r="B1215" t="s">
        <v>1782</v>
      </c>
      <c r="C1215" s="22" t="s">
        <v>1536</v>
      </c>
      <c r="D1215" s="23">
        <v>1000</v>
      </c>
      <c r="E1215" s="23">
        <v>0</v>
      </c>
      <c r="F1215" s="23">
        <v>39914.57</v>
      </c>
      <c r="G1215" s="22" t="s">
        <v>2574</v>
      </c>
      <c r="H1215" s="22"/>
      <c r="I1215" t="s">
        <v>2401</v>
      </c>
      <c r="K1215" s="24">
        <f t="shared" si="20"/>
        <v>0</v>
      </c>
    </row>
    <row r="1216" spans="1:11" hidden="1" x14ac:dyDescent="0.3">
      <c r="A1216" s="21">
        <v>45251</v>
      </c>
      <c r="B1216" t="s">
        <v>1783</v>
      </c>
      <c r="C1216" s="22" t="s">
        <v>1536</v>
      </c>
      <c r="D1216" s="23">
        <v>35</v>
      </c>
      <c r="E1216" s="23">
        <v>0</v>
      </c>
      <c r="F1216" s="23">
        <v>39879.57</v>
      </c>
      <c r="G1216" s="22" t="s">
        <v>2408</v>
      </c>
      <c r="H1216" s="22"/>
      <c r="I1216" t="s">
        <v>2401</v>
      </c>
      <c r="K1216" s="24">
        <f t="shared" si="20"/>
        <v>0</v>
      </c>
    </row>
    <row r="1217" spans="1:11" hidden="1" x14ac:dyDescent="0.3">
      <c r="A1217" s="21">
        <v>45251</v>
      </c>
      <c r="B1217" t="s">
        <v>1784</v>
      </c>
      <c r="C1217" s="22" t="s">
        <v>1536</v>
      </c>
      <c r="D1217" s="23">
        <v>10</v>
      </c>
      <c r="E1217" s="23">
        <v>0</v>
      </c>
      <c r="F1217" s="23">
        <v>39869.57</v>
      </c>
      <c r="G1217" s="22" t="s">
        <v>2408</v>
      </c>
      <c r="H1217" s="22"/>
      <c r="I1217" t="s">
        <v>2401</v>
      </c>
      <c r="K1217" s="24">
        <f t="shared" si="20"/>
        <v>0</v>
      </c>
    </row>
    <row r="1218" spans="1:11" hidden="1" x14ac:dyDescent="0.3">
      <c r="A1218" s="21">
        <v>45251</v>
      </c>
      <c r="B1218" t="s">
        <v>1785</v>
      </c>
      <c r="C1218" s="22" t="s">
        <v>1536</v>
      </c>
      <c r="D1218" s="23">
        <v>1000</v>
      </c>
      <c r="E1218" s="23">
        <v>0</v>
      </c>
      <c r="F1218" s="23">
        <v>38869.57</v>
      </c>
      <c r="G1218" s="22" t="s">
        <v>2575</v>
      </c>
      <c r="H1218" s="22"/>
      <c r="I1218" t="s">
        <v>2401</v>
      </c>
      <c r="K1218" s="24">
        <f t="shared" si="20"/>
        <v>0</v>
      </c>
    </row>
    <row r="1219" spans="1:11" hidden="1" x14ac:dyDescent="0.3">
      <c r="A1219" s="21">
        <v>45251</v>
      </c>
      <c r="B1219" t="s">
        <v>1786</v>
      </c>
      <c r="C1219" s="22" t="s">
        <v>1536</v>
      </c>
      <c r="D1219" s="23">
        <v>70</v>
      </c>
      <c r="E1219" s="23">
        <v>0</v>
      </c>
      <c r="F1219" s="23">
        <v>38799.57</v>
      </c>
      <c r="G1219" s="22" t="s">
        <v>2408</v>
      </c>
      <c r="H1219" s="22"/>
      <c r="I1219" t="s">
        <v>2401</v>
      </c>
      <c r="K1219" s="24">
        <f t="shared" si="20"/>
        <v>0</v>
      </c>
    </row>
    <row r="1220" spans="1:11" hidden="1" x14ac:dyDescent="0.3">
      <c r="A1220" s="21">
        <v>45251</v>
      </c>
      <c r="B1220" t="s">
        <v>1787</v>
      </c>
      <c r="C1220" s="22" t="s">
        <v>1536</v>
      </c>
      <c r="D1220" s="23">
        <v>10</v>
      </c>
      <c r="E1220" s="23">
        <v>0</v>
      </c>
      <c r="F1220" s="23">
        <v>38789.57</v>
      </c>
      <c r="G1220" s="22" t="s">
        <v>2408</v>
      </c>
      <c r="H1220" s="22"/>
      <c r="I1220" t="s">
        <v>2401</v>
      </c>
      <c r="K1220" s="24">
        <f t="shared" si="20"/>
        <v>0</v>
      </c>
    </row>
    <row r="1221" spans="1:11" hidden="1" x14ac:dyDescent="0.3">
      <c r="A1221" s="21">
        <v>45251</v>
      </c>
      <c r="B1221" t="s">
        <v>1788</v>
      </c>
      <c r="C1221" s="22" t="s">
        <v>1536</v>
      </c>
      <c r="D1221" s="23">
        <v>329</v>
      </c>
      <c r="E1221" s="23">
        <v>0</v>
      </c>
      <c r="F1221" s="23">
        <v>38460.57</v>
      </c>
      <c r="G1221" s="22" t="s">
        <v>2399</v>
      </c>
      <c r="H1221" s="22"/>
      <c r="I1221" t="s">
        <v>2401</v>
      </c>
      <c r="K1221" s="24">
        <f t="shared" si="20"/>
        <v>0</v>
      </c>
    </row>
    <row r="1222" spans="1:11" hidden="1" x14ac:dyDescent="0.3">
      <c r="A1222" s="21">
        <v>45251</v>
      </c>
      <c r="B1222" t="s">
        <v>1789</v>
      </c>
      <c r="C1222" s="22" t="s">
        <v>1536</v>
      </c>
      <c r="D1222" s="23">
        <v>80</v>
      </c>
      <c r="E1222" s="23">
        <v>0</v>
      </c>
      <c r="F1222" s="23">
        <v>38380.57</v>
      </c>
      <c r="G1222" s="22" t="s">
        <v>2408</v>
      </c>
      <c r="H1222" s="22"/>
      <c r="I1222" t="s">
        <v>2401</v>
      </c>
      <c r="K1222" s="24">
        <f t="shared" ref="K1222:K1285" si="21">F1221-D1222+E1222-F1222</f>
        <v>0</v>
      </c>
    </row>
    <row r="1223" spans="1:11" hidden="1" x14ac:dyDescent="0.3">
      <c r="A1223" s="21">
        <v>45251</v>
      </c>
      <c r="B1223" t="s">
        <v>2591</v>
      </c>
      <c r="C1223" s="22" t="s">
        <v>1161</v>
      </c>
      <c r="D1223" s="23">
        <v>85</v>
      </c>
      <c r="E1223" s="23">
        <v>0</v>
      </c>
      <c r="F1223" s="23">
        <v>55685.31</v>
      </c>
      <c r="G1223" s="22" t="s">
        <v>2399</v>
      </c>
      <c r="H1223" s="22"/>
      <c r="I1223" t="s">
        <v>2400</v>
      </c>
      <c r="K1223" s="24">
        <f t="shared" si="21"/>
        <v>-17389.739999999998</v>
      </c>
    </row>
    <row r="1224" spans="1:11" hidden="1" x14ac:dyDescent="0.3">
      <c r="A1224" s="21">
        <v>45252</v>
      </c>
      <c r="B1224" t="s">
        <v>496</v>
      </c>
      <c r="C1224" s="22"/>
      <c r="D1224" s="23">
        <v>0</v>
      </c>
      <c r="E1224" s="23">
        <v>147.43</v>
      </c>
      <c r="F1224" s="23">
        <v>73804.87</v>
      </c>
      <c r="G1224" s="22" t="s">
        <v>2406</v>
      </c>
      <c r="H1224" s="22"/>
      <c r="I1224" t="s">
        <v>2403</v>
      </c>
      <c r="K1224" s="24">
        <f t="shared" si="21"/>
        <v>-17972.129999999997</v>
      </c>
    </row>
    <row r="1225" spans="1:11" hidden="1" x14ac:dyDescent="0.3">
      <c r="A1225" s="21">
        <v>45252</v>
      </c>
      <c r="B1225" t="s">
        <v>496</v>
      </c>
      <c r="C1225" s="22"/>
      <c r="D1225" s="23">
        <v>0</v>
      </c>
      <c r="E1225" s="23">
        <v>14746.87</v>
      </c>
      <c r="F1225" s="23">
        <v>88551.74</v>
      </c>
      <c r="G1225" s="22" t="s">
        <v>2406</v>
      </c>
      <c r="H1225" s="22"/>
      <c r="I1225" t="s">
        <v>2403</v>
      </c>
      <c r="K1225" s="24">
        <f t="shared" si="21"/>
        <v>0</v>
      </c>
    </row>
    <row r="1226" spans="1:11" hidden="1" x14ac:dyDescent="0.3">
      <c r="A1226" s="21">
        <v>45252</v>
      </c>
      <c r="B1226" t="s">
        <v>133</v>
      </c>
      <c r="C1226" s="22"/>
      <c r="D1226" s="23">
        <v>73.77</v>
      </c>
      <c r="E1226" s="23">
        <v>0</v>
      </c>
      <c r="F1226" s="23">
        <v>88477.97</v>
      </c>
      <c r="G1226" s="22" t="s">
        <v>2406</v>
      </c>
      <c r="H1226" s="22"/>
      <c r="I1226" t="s">
        <v>2403</v>
      </c>
      <c r="K1226" s="24">
        <f t="shared" si="21"/>
        <v>0</v>
      </c>
    </row>
    <row r="1227" spans="1:11" hidden="1" x14ac:dyDescent="0.3">
      <c r="A1227" s="21">
        <v>45252</v>
      </c>
      <c r="B1227" t="s">
        <v>133</v>
      </c>
      <c r="C1227" s="22"/>
      <c r="D1227" s="23">
        <v>9623.81</v>
      </c>
      <c r="E1227" s="23">
        <v>0</v>
      </c>
      <c r="F1227" s="23">
        <v>78854.16</v>
      </c>
      <c r="G1227" s="22" t="s">
        <v>2406</v>
      </c>
      <c r="H1227" s="22"/>
      <c r="I1227" t="s">
        <v>2403</v>
      </c>
      <c r="K1227" s="24">
        <f t="shared" si="21"/>
        <v>0</v>
      </c>
    </row>
    <row r="1228" spans="1:11" hidden="1" x14ac:dyDescent="0.3">
      <c r="A1228" s="21">
        <v>45252</v>
      </c>
      <c r="B1228" t="s">
        <v>133</v>
      </c>
      <c r="C1228" s="22"/>
      <c r="D1228" s="23">
        <v>10582.64</v>
      </c>
      <c r="E1228" s="23">
        <v>0</v>
      </c>
      <c r="F1228" s="23">
        <v>68271.520000000004</v>
      </c>
      <c r="G1228" s="22" t="s">
        <v>2406</v>
      </c>
      <c r="H1228" s="22"/>
      <c r="I1228" t="s">
        <v>2403</v>
      </c>
      <c r="K1228" s="24">
        <f t="shared" si="21"/>
        <v>0</v>
      </c>
    </row>
    <row r="1229" spans="1:11" hidden="1" x14ac:dyDescent="0.3">
      <c r="A1229" s="21">
        <v>45252</v>
      </c>
      <c r="B1229" t="s">
        <v>1790</v>
      </c>
      <c r="C1229" s="22" t="s">
        <v>1536</v>
      </c>
      <c r="D1229" s="23">
        <v>100</v>
      </c>
      <c r="E1229" s="23">
        <v>0</v>
      </c>
      <c r="F1229" s="23">
        <v>38280.57</v>
      </c>
      <c r="G1229" s="22" t="s">
        <v>2541</v>
      </c>
      <c r="H1229" s="22"/>
      <c r="I1229" t="s">
        <v>2401</v>
      </c>
      <c r="K1229" s="24">
        <f t="shared" si="21"/>
        <v>29890.950000000004</v>
      </c>
    </row>
    <row r="1230" spans="1:11" hidden="1" x14ac:dyDescent="0.3">
      <c r="A1230" s="21">
        <v>45252</v>
      </c>
      <c r="B1230" t="s">
        <v>1791</v>
      </c>
      <c r="C1230" s="22" t="s">
        <v>1536</v>
      </c>
      <c r="D1230" s="23">
        <v>35</v>
      </c>
      <c r="E1230" s="23">
        <v>0</v>
      </c>
      <c r="F1230" s="23">
        <v>38245.57</v>
      </c>
      <c r="G1230" s="22" t="s">
        <v>2408</v>
      </c>
      <c r="H1230" s="22"/>
      <c r="I1230" t="s">
        <v>2401</v>
      </c>
      <c r="K1230" s="24">
        <f t="shared" si="21"/>
        <v>0</v>
      </c>
    </row>
    <row r="1231" spans="1:11" hidden="1" x14ac:dyDescent="0.3">
      <c r="A1231" s="21">
        <v>45252</v>
      </c>
      <c r="B1231" t="s">
        <v>1792</v>
      </c>
      <c r="C1231" s="22" t="s">
        <v>1536</v>
      </c>
      <c r="D1231" s="23">
        <v>10</v>
      </c>
      <c r="E1231" s="23">
        <v>0</v>
      </c>
      <c r="F1231" s="23">
        <v>38235.57</v>
      </c>
      <c r="G1231" s="22" t="s">
        <v>2408</v>
      </c>
      <c r="H1231" s="22"/>
      <c r="I1231" t="s">
        <v>2401</v>
      </c>
      <c r="K1231" s="24">
        <f t="shared" si="21"/>
        <v>0</v>
      </c>
    </row>
    <row r="1232" spans="1:11" hidden="1" x14ac:dyDescent="0.3">
      <c r="A1232" s="21">
        <v>45252</v>
      </c>
      <c r="B1232" t="s">
        <v>1793</v>
      </c>
      <c r="C1232" s="22" t="s">
        <v>1536</v>
      </c>
      <c r="D1232" s="23">
        <v>26</v>
      </c>
      <c r="E1232" s="23">
        <v>0</v>
      </c>
      <c r="F1232" s="23">
        <v>38209.57</v>
      </c>
      <c r="G1232" s="22" t="s">
        <v>2408</v>
      </c>
      <c r="H1232" s="22"/>
      <c r="I1232" t="s">
        <v>2401</v>
      </c>
      <c r="K1232" s="24">
        <f t="shared" si="21"/>
        <v>0</v>
      </c>
    </row>
    <row r="1233" spans="1:11" hidden="1" x14ac:dyDescent="0.3">
      <c r="A1233" s="21">
        <v>45252</v>
      </c>
      <c r="B1233" t="s">
        <v>1794</v>
      </c>
      <c r="C1233" s="22" t="s">
        <v>1536</v>
      </c>
      <c r="D1233" s="23">
        <v>30</v>
      </c>
      <c r="E1233" s="23">
        <v>0</v>
      </c>
      <c r="F1233" s="23">
        <v>38179.57</v>
      </c>
      <c r="G1233" s="22" t="s">
        <v>2408</v>
      </c>
      <c r="H1233" s="22"/>
      <c r="I1233" t="s">
        <v>2401</v>
      </c>
      <c r="K1233" s="24">
        <f t="shared" si="21"/>
        <v>0</v>
      </c>
    </row>
    <row r="1234" spans="1:11" hidden="1" x14ac:dyDescent="0.3">
      <c r="A1234" s="21">
        <v>45252</v>
      </c>
      <c r="B1234" t="s">
        <v>1795</v>
      </c>
      <c r="C1234" s="22" t="s">
        <v>1536</v>
      </c>
      <c r="D1234" s="23">
        <v>70</v>
      </c>
      <c r="E1234" s="23">
        <v>0</v>
      </c>
      <c r="F1234" s="23">
        <v>38109.57</v>
      </c>
      <c r="G1234" s="22" t="s">
        <v>2408</v>
      </c>
      <c r="H1234" s="22"/>
      <c r="I1234" t="s">
        <v>2401</v>
      </c>
      <c r="K1234" s="24">
        <f t="shared" si="21"/>
        <v>0</v>
      </c>
    </row>
    <row r="1235" spans="1:11" hidden="1" x14ac:dyDescent="0.3">
      <c r="A1235" s="21">
        <v>45252</v>
      </c>
      <c r="B1235" t="s">
        <v>1796</v>
      </c>
      <c r="C1235" s="22" t="s">
        <v>1536</v>
      </c>
      <c r="D1235" s="23">
        <v>236</v>
      </c>
      <c r="E1235" s="23">
        <v>0</v>
      </c>
      <c r="F1235" s="23">
        <v>37873.57</v>
      </c>
      <c r="G1235" s="22" t="s">
        <v>2399</v>
      </c>
      <c r="H1235" s="22"/>
      <c r="I1235" t="s">
        <v>2401</v>
      </c>
      <c r="K1235" s="24">
        <f t="shared" si="21"/>
        <v>0</v>
      </c>
    </row>
    <row r="1236" spans="1:11" hidden="1" x14ac:dyDescent="0.3">
      <c r="A1236" s="21">
        <v>45253</v>
      </c>
      <c r="B1236" t="s">
        <v>133</v>
      </c>
      <c r="C1236" s="22"/>
      <c r="D1236" s="23">
        <v>70.05</v>
      </c>
      <c r="E1236" s="23">
        <v>0</v>
      </c>
      <c r="F1236" s="23">
        <v>68201.47</v>
      </c>
      <c r="G1236" s="22" t="s">
        <v>2406</v>
      </c>
      <c r="H1236" s="22"/>
      <c r="I1236" t="s">
        <v>2403</v>
      </c>
      <c r="K1236" s="24">
        <f t="shared" si="21"/>
        <v>-30397.950000000004</v>
      </c>
    </row>
    <row r="1237" spans="1:11" hidden="1" x14ac:dyDescent="0.3">
      <c r="A1237" s="21">
        <v>45253</v>
      </c>
      <c r="B1237" t="s">
        <v>724</v>
      </c>
      <c r="C1237" s="22"/>
      <c r="D1237" s="23">
        <v>0</v>
      </c>
      <c r="E1237" s="23">
        <v>100</v>
      </c>
      <c r="F1237" s="23">
        <v>68301.47</v>
      </c>
      <c r="G1237" s="22" t="s">
        <v>2409</v>
      </c>
      <c r="H1237" s="22"/>
      <c r="I1237" t="s">
        <v>2403</v>
      </c>
      <c r="K1237" s="24">
        <f t="shared" si="21"/>
        <v>0</v>
      </c>
    </row>
    <row r="1238" spans="1:11" hidden="1" x14ac:dyDescent="0.3">
      <c r="A1238" s="21">
        <v>45253</v>
      </c>
      <c r="B1238" t="s">
        <v>133</v>
      </c>
      <c r="C1238" s="22"/>
      <c r="D1238" s="23">
        <v>1</v>
      </c>
      <c r="E1238" s="23">
        <v>0</v>
      </c>
      <c r="F1238" s="23">
        <v>68300.47</v>
      </c>
      <c r="G1238" s="22" t="s">
        <v>2406</v>
      </c>
      <c r="H1238" s="22"/>
      <c r="I1238" t="s">
        <v>2403</v>
      </c>
      <c r="K1238" s="24">
        <f t="shared" si="21"/>
        <v>0</v>
      </c>
    </row>
    <row r="1239" spans="1:11" hidden="1" x14ac:dyDescent="0.3">
      <c r="A1239" s="21">
        <v>45253</v>
      </c>
      <c r="B1239" t="s">
        <v>133</v>
      </c>
      <c r="C1239" s="22"/>
      <c r="D1239" s="23">
        <v>656.5</v>
      </c>
      <c r="E1239" s="23">
        <v>0</v>
      </c>
      <c r="F1239" s="23">
        <v>67643.97</v>
      </c>
      <c r="G1239" s="22" t="s">
        <v>2406</v>
      </c>
      <c r="H1239" s="22"/>
      <c r="I1239" t="s">
        <v>2403</v>
      </c>
      <c r="K1239" s="24">
        <f t="shared" si="21"/>
        <v>0</v>
      </c>
    </row>
    <row r="1240" spans="1:11" hidden="1" x14ac:dyDescent="0.3">
      <c r="A1240" s="21">
        <v>45253</v>
      </c>
      <c r="B1240" t="s">
        <v>1797</v>
      </c>
      <c r="C1240" s="22" t="s">
        <v>1536</v>
      </c>
      <c r="D1240" s="23">
        <v>100</v>
      </c>
      <c r="E1240" s="23">
        <v>0</v>
      </c>
      <c r="F1240" s="23">
        <v>37773.57</v>
      </c>
      <c r="G1240" s="22" t="s">
        <v>2541</v>
      </c>
      <c r="H1240" s="22"/>
      <c r="I1240" t="s">
        <v>2401</v>
      </c>
      <c r="K1240" s="24">
        <f t="shared" si="21"/>
        <v>29770.400000000001</v>
      </c>
    </row>
    <row r="1241" spans="1:11" hidden="1" x14ac:dyDescent="0.3">
      <c r="A1241" s="21">
        <v>45253</v>
      </c>
      <c r="B1241" t="s">
        <v>1798</v>
      </c>
      <c r="C1241" s="22" t="s">
        <v>1536</v>
      </c>
      <c r="D1241" s="23">
        <v>35</v>
      </c>
      <c r="E1241" s="23">
        <v>0</v>
      </c>
      <c r="F1241" s="23">
        <v>37738.57</v>
      </c>
      <c r="G1241" s="22" t="s">
        <v>2408</v>
      </c>
      <c r="H1241" s="22"/>
      <c r="I1241" t="s">
        <v>2401</v>
      </c>
      <c r="K1241" s="24">
        <f t="shared" si="21"/>
        <v>0</v>
      </c>
    </row>
    <row r="1242" spans="1:11" hidden="1" x14ac:dyDescent="0.3">
      <c r="A1242" s="21">
        <v>45253</v>
      </c>
      <c r="B1242" t="s">
        <v>1799</v>
      </c>
      <c r="C1242" s="22" t="s">
        <v>1536</v>
      </c>
      <c r="D1242" s="23">
        <v>10</v>
      </c>
      <c r="E1242" s="23">
        <v>0</v>
      </c>
      <c r="F1242" s="23">
        <v>37728.57</v>
      </c>
      <c r="G1242" s="22" t="s">
        <v>2408</v>
      </c>
      <c r="H1242" s="22"/>
      <c r="I1242" t="s">
        <v>2401</v>
      </c>
      <c r="K1242" s="24">
        <f t="shared" si="21"/>
        <v>0</v>
      </c>
    </row>
    <row r="1243" spans="1:11" hidden="1" x14ac:dyDescent="0.3">
      <c r="A1243" s="21">
        <v>45253</v>
      </c>
      <c r="B1243" t="s">
        <v>1800</v>
      </c>
      <c r="C1243" s="22" t="s">
        <v>1536</v>
      </c>
      <c r="D1243" s="23">
        <v>26.02</v>
      </c>
      <c r="E1243" s="23">
        <v>0</v>
      </c>
      <c r="F1243" s="23">
        <v>37702.550000000003</v>
      </c>
      <c r="G1243" s="22" t="s">
        <v>2408</v>
      </c>
      <c r="H1243" s="22"/>
      <c r="I1243" t="s">
        <v>2401</v>
      </c>
      <c r="K1243" s="24">
        <f t="shared" si="21"/>
        <v>0</v>
      </c>
    </row>
    <row r="1244" spans="1:11" hidden="1" x14ac:dyDescent="0.3">
      <c r="A1244" s="21">
        <v>45253</v>
      </c>
      <c r="B1244" t="s">
        <v>1801</v>
      </c>
      <c r="C1244" s="22" t="s">
        <v>1536</v>
      </c>
      <c r="D1244" s="23">
        <v>30</v>
      </c>
      <c r="E1244" s="23">
        <v>0</v>
      </c>
      <c r="F1244" s="23">
        <v>37672.550000000003</v>
      </c>
      <c r="G1244" s="22" t="s">
        <v>2408</v>
      </c>
      <c r="H1244" s="22"/>
      <c r="I1244" t="s">
        <v>2401</v>
      </c>
      <c r="K1244" s="24">
        <f t="shared" si="21"/>
        <v>0</v>
      </c>
    </row>
    <row r="1245" spans="1:11" hidden="1" x14ac:dyDescent="0.3">
      <c r="A1245" s="21">
        <v>45253</v>
      </c>
      <c r="B1245" t="s">
        <v>1802</v>
      </c>
      <c r="C1245" s="22" t="s">
        <v>1536</v>
      </c>
      <c r="D1245" s="23">
        <v>20</v>
      </c>
      <c r="E1245" s="23">
        <v>0</v>
      </c>
      <c r="F1245" s="23">
        <v>37652.550000000003</v>
      </c>
      <c r="G1245" s="22" t="s">
        <v>2408</v>
      </c>
      <c r="H1245" s="22"/>
      <c r="I1245" t="s">
        <v>2401</v>
      </c>
      <c r="K1245" s="24">
        <f t="shared" si="21"/>
        <v>0</v>
      </c>
    </row>
    <row r="1246" spans="1:11" hidden="1" x14ac:dyDescent="0.3">
      <c r="A1246" s="21">
        <v>45253</v>
      </c>
      <c r="B1246" t="s">
        <v>1803</v>
      </c>
      <c r="C1246" s="22" t="s">
        <v>1536</v>
      </c>
      <c r="D1246" s="23">
        <v>255</v>
      </c>
      <c r="E1246" s="23">
        <v>0</v>
      </c>
      <c r="F1246" s="23">
        <v>37397.550000000003</v>
      </c>
      <c r="G1246" s="22" t="s">
        <v>2399</v>
      </c>
      <c r="H1246" s="22"/>
      <c r="I1246" t="s">
        <v>2401</v>
      </c>
      <c r="K1246" s="24">
        <f t="shared" si="21"/>
        <v>0</v>
      </c>
    </row>
    <row r="1247" spans="1:11" hidden="1" x14ac:dyDescent="0.3">
      <c r="A1247" s="21">
        <v>45253</v>
      </c>
      <c r="B1247" t="s">
        <v>2439</v>
      </c>
      <c r="C1247" s="22"/>
      <c r="D1247" s="23">
        <v>0</v>
      </c>
      <c r="E1247" s="23">
        <v>6</v>
      </c>
      <c r="F1247" s="23">
        <v>55691.31</v>
      </c>
      <c r="G1247" s="22" t="s">
        <v>2409</v>
      </c>
      <c r="H1247" s="22"/>
      <c r="I1247" t="s">
        <v>2400</v>
      </c>
      <c r="K1247" s="24">
        <f t="shared" si="21"/>
        <v>-18287.759999999995</v>
      </c>
    </row>
    <row r="1248" spans="1:11" hidden="1" x14ac:dyDescent="0.3">
      <c r="A1248" s="21">
        <v>45254</v>
      </c>
      <c r="B1248" t="s">
        <v>133</v>
      </c>
      <c r="C1248" s="22"/>
      <c r="D1248" s="23">
        <v>82.93</v>
      </c>
      <c r="E1248" s="23">
        <v>0</v>
      </c>
      <c r="F1248" s="23">
        <v>67561.039999999994</v>
      </c>
      <c r="G1248" s="22" t="s">
        <v>2406</v>
      </c>
      <c r="H1248" s="22"/>
      <c r="I1248" t="s">
        <v>2403</v>
      </c>
      <c r="K1248" s="24">
        <f t="shared" si="21"/>
        <v>-11952.659999999996</v>
      </c>
    </row>
    <row r="1249" spans="1:11" hidden="1" x14ac:dyDescent="0.3">
      <c r="A1249" s="21">
        <v>45254</v>
      </c>
      <c r="B1249" t="s">
        <v>729</v>
      </c>
      <c r="C1249" s="22"/>
      <c r="D1249" s="23">
        <v>0</v>
      </c>
      <c r="E1249" s="23">
        <v>300</v>
      </c>
      <c r="F1249" s="23">
        <v>67861.039999999994</v>
      </c>
      <c r="G1249" s="22" t="s">
        <v>2409</v>
      </c>
      <c r="H1249" s="22"/>
      <c r="I1249" t="s">
        <v>2403</v>
      </c>
      <c r="K1249" s="24">
        <f t="shared" si="21"/>
        <v>0</v>
      </c>
    </row>
    <row r="1250" spans="1:11" hidden="1" x14ac:dyDescent="0.3">
      <c r="A1250" s="21">
        <v>45254</v>
      </c>
      <c r="B1250" t="s">
        <v>496</v>
      </c>
      <c r="C1250" s="22"/>
      <c r="D1250" s="23">
        <v>0</v>
      </c>
      <c r="E1250" s="23">
        <v>2668.78</v>
      </c>
      <c r="F1250" s="23">
        <v>70529.820000000007</v>
      </c>
      <c r="G1250" s="22" t="s">
        <v>2406</v>
      </c>
      <c r="H1250" s="22"/>
      <c r="I1250" t="s">
        <v>2403</v>
      </c>
      <c r="K1250" s="24">
        <f t="shared" si="21"/>
        <v>0</v>
      </c>
    </row>
    <row r="1251" spans="1:11" hidden="1" x14ac:dyDescent="0.3">
      <c r="A1251" s="21">
        <v>45254</v>
      </c>
      <c r="B1251" t="s">
        <v>1804</v>
      </c>
      <c r="C1251" s="22" t="s">
        <v>1536</v>
      </c>
      <c r="D1251" s="23">
        <v>100</v>
      </c>
      <c r="E1251" s="23">
        <v>0</v>
      </c>
      <c r="F1251" s="23">
        <v>37297.550000000003</v>
      </c>
      <c r="G1251" s="22" t="s">
        <v>2541</v>
      </c>
      <c r="H1251" s="22"/>
      <c r="I1251" t="s">
        <v>2401</v>
      </c>
      <c r="K1251" s="24">
        <f t="shared" si="21"/>
        <v>33132.270000000004</v>
      </c>
    </row>
    <row r="1252" spans="1:11" hidden="1" x14ac:dyDescent="0.3">
      <c r="A1252" s="21">
        <v>45254</v>
      </c>
      <c r="B1252" t="s">
        <v>1805</v>
      </c>
      <c r="C1252" s="22" t="s">
        <v>1536</v>
      </c>
      <c r="D1252" s="23">
        <v>45</v>
      </c>
      <c r="E1252" s="23">
        <v>0</v>
      </c>
      <c r="F1252" s="23">
        <v>37252.550000000003</v>
      </c>
      <c r="G1252" s="22" t="s">
        <v>2408</v>
      </c>
      <c r="H1252" s="22"/>
      <c r="I1252" t="s">
        <v>2401</v>
      </c>
      <c r="K1252" s="24">
        <f t="shared" si="21"/>
        <v>0</v>
      </c>
    </row>
    <row r="1253" spans="1:11" hidden="1" x14ac:dyDescent="0.3">
      <c r="A1253" s="21">
        <v>45254</v>
      </c>
      <c r="B1253" t="s">
        <v>1806</v>
      </c>
      <c r="C1253" s="22" t="s">
        <v>1536</v>
      </c>
      <c r="D1253" s="23">
        <v>20</v>
      </c>
      <c r="E1253" s="23">
        <v>0</v>
      </c>
      <c r="F1253" s="23">
        <v>37232.550000000003</v>
      </c>
      <c r="G1253" s="22" t="s">
        <v>2408</v>
      </c>
      <c r="H1253" s="22"/>
      <c r="I1253" t="s">
        <v>2401</v>
      </c>
      <c r="K1253" s="24">
        <f t="shared" si="21"/>
        <v>0</v>
      </c>
    </row>
    <row r="1254" spans="1:11" hidden="1" x14ac:dyDescent="0.3">
      <c r="A1254" s="21">
        <v>45254</v>
      </c>
      <c r="B1254" t="s">
        <v>1807</v>
      </c>
      <c r="C1254" s="22" t="s">
        <v>1536</v>
      </c>
      <c r="D1254" s="23">
        <v>210</v>
      </c>
      <c r="E1254" s="23">
        <v>0</v>
      </c>
      <c r="F1254" s="23">
        <v>37022.550000000003</v>
      </c>
      <c r="G1254" s="22" t="s">
        <v>2399</v>
      </c>
      <c r="H1254" s="22"/>
      <c r="I1254" t="s">
        <v>2401</v>
      </c>
      <c r="K1254" s="24">
        <f t="shared" si="21"/>
        <v>0</v>
      </c>
    </row>
    <row r="1255" spans="1:11" hidden="1" x14ac:dyDescent="0.3">
      <c r="A1255" s="21">
        <v>45254</v>
      </c>
      <c r="B1255" t="s">
        <v>1808</v>
      </c>
      <c r="C1255" s="22" t="s">
        <v>1536</v>
      </c>
      <c r="D1255" s="23">
        <v>207</v>
      </c>
      <c r="E1255" s="23">
        <v>0</v>
      </c>
      <c r="F1255" s="23">
        <v>36815.550000000003</v>
      </c>
      <c r="G1255" s="22" t="s">
        <v>2399</v>
      </c>
      <c r="H1255" s="22"/>
      <c r="I1255" t="s">
        <v>2401</v>
      </c>
      <c r="K1255" s="24">
        <f t="shared" si="21"/>
        <v>0</v>
      </c>
    </row>
    <row r="1256" spans="1:11" hidden="1" x14ac:dyDescent="0.3">
      <c r="A1256" s="21">
        <v>45254</v>
      </c>
      <c r="B1256" t="s">
        <v>1809</v>
      </c>
      <c r="C1256" s="22" t="s">
        <v>1536</v>
      </c>
      <c r="D1256" s="23">
        <v>60</v>
      </c>
      <c r="E1256" s="23">
        <v>0</v>
      </c>
      <c r="F1256" s="23">
        <v>36755.550000000003</v>
      </c>
      <c r="G1256" s="22" t="s">
        <v>2408</v>
      </c>
      <c r="H1256" s="22"/>
      <c r="I1256" t="s">
        <v>2401</v>
      </c>
      <c r="K1256" s="24">
        <f t="shared" si="21"/>
        <v>0</v>
      </c>
    </row>
    <row r="1257" spans="1:11" hidden="1" x14ac:dyDescent="0.3">
      <c r="A1257" s="21">
        <v>45255</v>
      </c>
      <c r="B1257" t="s">
        <v>1810</v>
      </c>
      <c r="C1257" s="22" t="s">
        <v>1536</v>
      </c>
      <c r="D1257" s="23">
        <v>100</v>
      </c>
      <c r="E1257" s="23">
        <v>0</v>
      </c>
      <c r="F1257" s="23">
        <v>36655.550000000003</v>
      </c>
      <c r="G1257" s="22" t="s">
        <v>2541</v>
      </c>
      <c r="H1257" s="22"/>
      <c r="I1257" t="s">
        <v>2401</v>
      </c>
      <c r="K1257" s="24">
        <f t="shared" si="21"/>
        <v>0</v>
      </c>
    </row>
    <row r="1258" spans="1:11" hidden="1" x14ac:dyDescent="0.3">
      <c r="A1258" s="21">
        <v>45255</v>
      </c>
      <c r="B1258" t="s">
        <v>1811</v>
      </c>
      <c r="C1258" s="22" t="s">
        <v>1536</v>
      </c>
      <c r="D1258" s="23">
        <v>80</v>
      </c>
      <c r="E1258" s="23">
        <v>0</v>
      </c>
      <c r="F1258" s="23">
        <v>36575.550000000003</v>
      </c>
      <c r="G1258" s="22" t="s">
        <v>2408</v>
      </c>
      <c r="H1258" s="22"/>
      <c r="I1258" t="s">
        <v>2401</v>
      </c>
      <c r="K1258" s="24">
        <f t="shared" si="21"/>
        <v>0</v>
      </c>
    </row>
    <row r="1259" spans="1:11" hidden="1" x14ac:dyDescent="0.3">
      <c r="A1259" s="21">
        <v>45255</v>
      </c>
      <c r="B1259" t="s">
        <v>1812</v>
      </c>
      <c r="C1259" s="22" t="s">
        <v>1536</v>
      </c>
      <c r="D1259" s="23">
        <v>201</v>
      </c>
      <c r="E1259" s="23">
        <v>0</v>
      </c>
      <c r="F1259" s="23">
        <v>36374.550000000003</v>
      </c>
      <c r="G1259" s="22" t="s">
        <v>2399</v>
      </c>
      <c r="H1259" s="22"/>
      <c r="I1259" t="s">
        <v>2401</v>
      </c>
      <c r="K1259" s="24">
        <f t="shared" si="21"/>
        <v>0</v>
      </c>
    </row>
    <row r="1260" spans="1:11" hidden="1" x14ac:dyDescent="0.3">
      <c r="A1260" s="21">
        <v>45255</v>
      </c>
      <c r="B1260" t="s">
        <v>1813</v>
      </c>
      <c r="C1260" s="22" t="s">
        <v>1536</v>
      </c>
      <c r="D1260" s="23">
        <v>150</v>
      </c>
      <c r="E1260" s="23">
        <v>0</v>
      </c>
      <c r="F1260" s="23">
        <v>36224.550000000003</v>
      </c>
      <c r="G1260" s="22" t="s">
        <v>2399</v>
      </c>
      <c r="H1260" s="22"/>
      <c r="I1260" t="s">
        <v>2401</v>
      </c>
      <c r="K1260" s="24">
        <f t="shared" si="21"/>
        <v>0</v>
      </c>
    </row>
    <row r="1261" spans="1:11" hidden="1" x14ac:dyDescent="0.3">
      <c r="A1261" s="21">
        <v>45255</v>
      </c>
      <c r="B1261" t="s">
        <v>1814</v>
      </c>
      <c r="C1261" s="22" t="s">
        <v>1536</v>
      </c>
      <c r="D1261" s="23">
        <v>30</v>
      </c>
      <c r="E1261" s="23">
        <v>0</v>
      </c>
      <c r="F1261" s="23">
        <v>36194.550000000003</v>
      </c>
      <c r="G1261" s="22" t="s">
        <v>2408</v>
      </c>
      <c r="H1261" s="22"/>
      <c r="I1261" t="s">
        <v>2401</v>
      </c>
      <c r="K1261" s="24">
        <f t="shared" si="21"/>
        <v>0</v>
      </c>
    </row>
    <row r="1262" spans="1:11" hidden="1" x14ac:dyDescent="0.3">
      <c r="A1262" s="21">
        <v>45256</v>
      </c>
      <c r="B1262" t="s">
        <v>1815</v>
      </c>
      <c r="C1262" s="22" t="s">
        <v>1536</v>
      </c>
      <c r="D1262" s="23">
        <v>100</v>
      </c>
      <c r="E1262" s="23">
        <v>0</v>
      </c>
      <c r="F1262" s="23">
        <v>36094.550000000003</v>
      </c>
      <c r="G1262" s="22" t="s">
        <v>2541</v>
      </c>
      <c r="H1262" s="22"/>
      <c r="I1262" t="s">
        <v>2401</v>
      </c>
      <c r="K1262" s="24">
        <f t="shared" si="21"/>
        <v>0</v>
      </c>
    </row>
    <row r="1263" spans="1:11" hidden="1" x14ac:dyDescent="0.3">
      <c r="A1263" s="21">
        <v>45256</v>
      </c>
      <c r="B1263" t="s">
        <v>1816</v>
      </c>
      <c r="C1263" s="22" t="s">
        <v>1536</v>
      </c>
      <c r="D1263" s="23">
        <v>50</v>
      </c>
      <c r="E1263" s="23">
        <v>0</v>
      </c>
      <c r="F1263" s="23">
        <v>36044.550000000003</v>
      </c>
      <c r="G1263" s="22" t="s">
        <v>2408</v>
      </c>
      <c r="H1263" s="22"/>
      <c r="I1263" t="s">
        <v>2401</v>
      </c>
      <c r="K1263" s="24">
        <f t="shared" si="21"/>
        <v>0</v>
      </c>
    </row>
    <row r="1264" spans="1:11" hidden="1" x14ac:dyDescent="0.3">
      <c r="A1264" s="21">
        <v>45256</v>
      </c>
      <c r="B1264" t="s">
        <v>1817</v>
      </c>
      <c r="C1264" s="22" t="s">
        <v>1536</v>
      </c>
      <c r="D1264" s="23">
        <v>20</v>
      </c>
      <c r="E1264" s="23">
        <v>0</v>
      </c>
      <c r="F1264" s="23">
        <v>36024.550000000003</v>
      </c>
      <c r="G1264" s="22" t="s">
        <v>2408</v>
      </c>
      <c r="H1264" s="22"/>
      <c r="I1264" t="s">
        <v>2401</v>
      </c>
      <c r="K1264" s="24">
        <f t="shared" si="21"/>
        <v>0</v>
      </c>
    </row>
    <row r="1265" spans="1:11" hidden="1" x14ac:dyDescent="0.3">
      <c r="A1265" s="21">
        <v>45256</v>
      </c>
      <c r="B1265" t="s">
        <v>1818</v>
      </c>
      <c r="C1265" s="22" t="s">
        <v>1536</v>
      </c>
      <c r="D1265" s="23">
        <v>200</v>
      </c>
      <c r="E1265" s="23">
        <v>0</v>
      </c>
      <c r="F1265" s="23">
        <v>35824.550000000003</v>
      </c>
      <c r="G1265" s="22" t="s">
        <v>2399</v>
      </c>
      <c r="H1265" s="22"/>
      <c r="I1265" t="s">
        <v>2401</v>
      </c>
      <c r="K1265" s="24">
        <f t="shared" si="21"/>
        <v>0</v>
      </c>
    </row>
    <row r="1266" spans="1:11" hidden="1" x14ac:dyDescent="0.3">
      <c r="A1266" s="21">
        <v>45256</v>
      </c>
      <c r="B1266" t="s">
        <v>1819</v>
      </c>
      <c r="C1266" s="22" t="s">
        <v>1536</v>
      </c>
      <c r="D1266" s="23">
        <v>500</v>
      </c>
      <c r="E1266" s="23">
        <v>0</v>
      </c>
      <c r="F1266" s="23">
        <v>35324.550000000003</v>
      </c>
      <c r="G1266" s="22" t="s">
        <v>2399</v>
      </c>
      <c r="H1266" s="22"/>
      <c r="I1266" t="s">
        <v>2401</v>
      </c>
      <c r="K1266" s="24">
        <f t="shared" si="21"/>
        <v>0</v>
      </c>
    </row>
    <row r="1267" spans="1:11" hidden="1" x14ac:dyDescent="0.3">
      <c r="A1267" s="21">
        <v>45256</v>
      </c>
      <c r="B1267" t="s">
        <v>1820</v>
      </c>
      <c r="C1267" s="22" t="s">
        <v>1536</v>
      </c>
      <c r="D1267" s="23">
        <v>100</v>
      </c>
      <c r="E1267" s="23">
        <v>0</v>
      </c>
      <c r="F1267" s="23">
        <v>35224.550000000003</v>
      </c>
      <c r="G1267" s="22" t="s">
        <v>2399</v>
      </c>
      <c r="H1267" s="22"/>
      <c r="I1267" t="s">
        <v>2401</v>
      </c>
      <c r="K1267" s="24">
        <f t="shared" si="21"/>
        <v>0</v>
      </c>
    </row>
    <row r="1268" spans="1:11" hidden="1" x14ac:dyDescent="0.3">
      <c r="A1268" s="21">
        <v>45256</v>
      </c>
      <c r="B1268" t="s">
        <v>1821</v>
      </c>
      <c r="C1268" s="22" t="s">
        <v>1536</v>
      </c>
      <c r="D1268" s="23">
        <v>20</v>
      </c>
      <c r="E1268" s="23">
        <v>0</v>
      </c>
      <c r="F1268" s="23">
        <v>35204.550000000003</v>
      </c>
      <c r="G1268" s="22" t="s">
        <v>2408</v>
      </c>
      <c r="H1268" s="22"/>
      <c r="I1268" t="s">
        <v>2401</v>
      </c>
      <c r="K1268" s="24">
        <f t="shared" si="21"/>
        <v>0</v>
      </c>
    </row>
    <row r="1269" spans="1:11" hidden="1" x14ac:dyDescent="0.3">
      <c r="A1269" s="21">
        <v>45257</v>
      </c>
      <c r="B1269" t="s">
        <v>1822</v>
      </c>
      <c r="C1269" s="22" t="s">
        <v>1536</v>
      </c>
      <c r="D1269" s="23">
        <v>100</v>
      </c>
      <c r="E1269" s="23">
        <v>0</v>
      </c>
      <c r="F1269" s="23">
        <v>35104.550000000003</v>
      </c>
      <c r="G1269" s="22" t="s">
        <v>2541</v>
      </c>
      <c r="H1269" s="22"/>
      <c r="I1269" t="s">
        <v>2401</v>
      </c>
      <c r="K1269" s="24">
        <f t="shared" si="21"/>
        <v>0</v>
      </c>
    </row>
    <row r="1270" spans="1:11" hidden="1" x14ac:dyDescent="0.3">
      <c r="A1270" s="21">
        <v>45257</v>
      </c>
      <c r="B1270" t="s">
        <v>1823</v>
      </c>
      <c r="C1270" s="22" t="s">
        <v>1536</v>
      </c>
      <c r="D1270" s="23">
        <v>20</v>
      </c>
      <c r="E1270" s="23">
        <v>0</v>
      </c>
      <c r="F1270" s="23">
        <v>35084.550000000003</v>
      </c>
      <c r="G1270" s="22" t="s">
        <v>2408</v>
      </c>
      <c r="H1270" s="22"/>
      <c r="I1270" t="s">
        <v>2401</v>
      </c>
      <c r="K1270" s="24">
        <f t="shared" si="21"/>
        <v>0</v>
      </c>
    </row>
    <row r="1271" spans="1:11" hidden="1" x14ac:dyDescent="0.3">
      <c r="A1271" s="21">
        <v>45257</v>
      </c>
      <c r="B1271" t="s">
        <v>1824</v>
      </c>
      <c r="C1271" s="22" t="s">
        <v>1536</v>
      </c>
      <c r="D1271" s="23">
        <v>70</v>
      </c>
      <c r="E1271" s="23">
        <v>0</v>
      </c>
      <c r="F1271" s="23">
        <v>35014.550000000003</v>
      </c>
      <c r="G1271" s="22" t="s">
        <v>2408</v>
      </c>
      <c r="H1271" s="22"/>
      <c r="I1271" t="s">
        <v>2401</v>
      </c>
      <c r="K1271" s="24">
        <f t="shared" si="21"/>
        <v>0</v>
      </c>
    </row>
    <row r="1272" spans="1:11" hidden="1" x14ac:dyDescent="0.3">
      <c r="A1272" s="21">
        <v>45257</v>
      </c>
      <c r="B1272" t="s">
        <v>1825</v>
      </c>
      <c r="C1272" s="22" t="s">
        <v>1536</v>
      </c>
      <c r="D1272" s="23">
        <v>26</v>
      </c>
      <c r="E1272" s="23">
        <v>0</v>
      </c>
      <c r="F1272" s="23">
        <v>34988.550000000003</v>
      </c>
      <c r="G1272" s="22" t="s">
        <v>2408</v>
      </c>
      <c r="H1272" s="22"/>
      <c r="I1272" t="s">
        <v>2401</v>
      </c>
      <c r="K1272" s="24">
        <f t="shared" si="21"/>
        <v>0</v>
      </c>
    </row>
    <row r="1273" spans="1:11" hidden="1" x14ac:dyDescent="0.3">
      <c r="A1273" s="21">
        <v>45257</v>
      </c>
      <c r="B1273" t="s">
        <v>1826</v>
      </c>
      <c r="C1273" s="22" t="s">
        <v>1536</v>
      </c>
      <c r="D1273" s="23">
        <v>150</v>
      </c>
      <c r="E1273" s="23">
        <v>0</v>
      </c>
      <c r="F1273" s="23">
        <v>34838.550000000003</v>
      </c>
      <c r="G1273" s="22" t="s">
        <v>2399</v>
      </c>
      <c r="H1273" s="22"/>
      <c r="I1273" t="s">
        <v>2401</v>
      </c>
      <c r="K1273" s="24">
        <f t="shared" si="21"/>
        <v>0</v>
      </c>
    </row>
    <row r="1274" spans="1:11" hidden="1" x14ac:dyDescent="0.3">
      <c r="A1274" s="21">
        <v>45257</v>
      </c>
      <c r="B1274" t="s">
        <v>1827</v>
      </c>
      <c r="C1274" s="22" t="s">
        <v>1536</v>
      </c>
      <c r="D1274" s="23">
        <v>20</v>
      </c>
      <c r="E1274" s="23">
        <v>0</v>
      </c>
      <c r="F1274" s="23">
        <v>34818.550000000003</v>
      </c>
      <c r="G1274" s="22" t="s">
        <v>2408</v>
      </c>
      <c r="H1274" s="22"/>
      <c r="I1274" t="s">
        <v>2401</v>
      </c>
      <c r="K1274" s="24">
        <f t="shared" si="21"/>
        <v>0</v>
      </c>
    </row>
    <row r="1275" spans="1:11" hidden="1" x14ac:dyDescent="0.3">
      <c r="A1275" s="21">
        <v>45257</v>
      </c>
      <c r="B1275" t="s">
        <v>1828</v>
      </c>
      <c r="C1275" s="22" t="s">
        <v>1536</v>
      </c>
      <c r="D1275" s="23">
        <v>30</v>
      </c>
      <c r="E1275" s="23">
        <v>0</v>
      </c>
      <c r="F1275" s="23">
        <v>34788.550000000003</v>
      </c>
      <c r="G1275" s="22" t="s">
        <v>2408</v>
      </c>
      <c r="H1275" s="22"/>
      <c r="I1275" t="s">
        <v>2401</v>
      </c>
      <c r="K1275" s="24">
        <f t="shared" si="21"/>
        <v>0</v>
      </c>
    </row>
    <row r="1276" spans="1:11" hidden="1" x14ac:dyDescent="0.3">
      <c r="A1276" s="21">
        <v>45257</v>
      </c>
      <c r="B1276" t="s">
        <v>1829</v>
      </c>
      <c r="C1276" s="22" t="s">
        <v>1536</v>
      </c>
      <c r="D1276" s="23">
        <v>10</v>
      </c>
      <c r="E1276" s="23">
        <v>0</v>
      </c>
      <c r="F1276" s="23">
        <v>34778.550000000003</v>
      </c>
      <c r="G1276" s="22" t="s">
        <v>2408</v>
      </c>
      <c r="H1276" s="22"/>
      <c r="I1276" t="s">
        <v>2401</v>
      </c>
      <c r="K1276" s="24">
        <f t="shared" si="21"/>
        <v>0</v>
      </c>
    </row>
    <row r="1277" spans="1:11" hidden="1" x14ac:dyDescent="0.3">
      <c r="A1277" s="21">
        <v>45257</v>
      </c>
      <c r="B1277" t="s">
        <v>2592</v>
      </c>
      <c r="C1277" s="22" t="s">
        <v>1191</v>
      </c>
      <c r="D1277" s="23">
        <v>20</v>
      </c>
      <c r="E1277" s="23">
        <v>0</v>
      </c>
      <c r="F1277" s="23">
        <v>55671.31</v>
      </c>
      <c r="G1277" s="22" t="s">
        <v>2399</v>
      </c>
      <c r="H1277" s="22"/>
      <c r="I1277" t="s">
        <v>2400</v>
      </c>
      <c r="K1277" s="24">
        <f t="shared" si="21"/>
        <v>-20912.759999999995</v>
      </c>
    </row>
    <row r="1278" spans="1:11" hidden="1" x14ac:dyDescent="0.3">
      <c r="A1278" s="21">
        <v>45258</v>
      </c>
      <c r="B1278" t="s">
        <v>652</v>
      </c>
      <c r="C1278" s="22"/>
      <c r="D1278" s="23">
        <v>5000</v>
      </c>
      <c r="E1278" s="23">
        <v>0</v>
      </c>
      <c r="F1278" s="23">
        <v>65529.82</v>
      </c>
      <c r="G1278" s="22" t="s">
        <v>2442</v>
      </c>
      <c r="H1278" s="22"/>
      <c r="I1278" t="s">
        <v>2403</v>
      </c>
      <c r="K1278" s="24">
        <f t="shared" si="21"/>
        <v>-14858.510000000002</v>
      </c>
    </row>
    <row r="1279" spans="1:11" hidden="1" x14ac:dyDescent="0.3">
      <c r="A1279" s="21">
        <v>45258</v>
      </c>
      <c r="B1279" t="s">
        <v>133</v>
      </c>
      <c r="C1279" s="22"/>
      <c r="D1279" s="23">
        <v>335.52</v>
      </c>
      <c r="E1279" s="23">
        <v>0</v>
      </c>
      <c r="F1279" s="23">
        <v>65194.3</v>
      </c>
      <c r="G1279" s="22" t="s">
        <v>2406</v>
      </c>
      <c r="H1279" s="22"/>
      <c r="I1279" t="s">
        <v>2403</v>
      </c>
      <c r="K1279" s="24">
        <f t="shared" si="21"/>
        <v>0</v>
      </c>
    </row>
    <row r="1280" spans="1:11" hidden="1" x14ac:dyDescent="0.3">
      <c r="A1280" s="21">
        <v>45258</v>
      </c>
      <c r="B1280" t="s">
        <v>1830</v>
      </c>
      <c r="C1280" s="22" t="s">
        <v>1536</v>
      </c>
      <c r="D1280" s="23">
        <v>100</v>
      </c>
      <c r="E1280" s="23">
        <v>0</v>
      </c>
      <c r="F1280" s="23">
        <v>34678.550000000003</v>
      </c>
      <c r="G1280" s="22" t="s">
        <v>2541</v>
      </c>
      <c r="H1280" s="22"/>
      <c r="I1280" t="s">
        <v>2401</v>
      </c>
      <c r="K1280" s="24">
        <f t="shared" si="21"/>
        <v>30415.75</v>
      </c>
    </row>
    <row r="1281" spans="1:11" hidden="1" x14ac:dyDescent="0.3">
      <c r="A1281" s="21">
        <v>45258</v>
      </c>
      <c r="B1281" t="s">
        <v>1831</v>
      </c>
      <c r="C1281" s="22" t="s">
        <v>1536</v>
      </c>
      <c r="D1281" s="23">
        <v>70</v>
      </c>
      <c r="E1281" s="23">
        <v>0</v>
      </c>
      <c r="F1281" s="23">
        <v>34608.550000000003</v>
      </c>
      <c r="G1281" s="22" t="s">
        <v>2408</v>
      </c>
      <c r="H1281" s="22"/>
      <c r="I1281" t="s">
        <v>2401</v>
      </c>
      <c r="K1281" s="24">
        <f t="shared" si="21"/>
        <v>0</v>
      </c>
    </row>
    <row r="1282" spans="1:11" hidden="1" x14ac:dyDescent="0.3">
      <c r="A1282" s="21">
        <v>45258</v>
      </c>
      <c r="B1282" t="s">
        <v>1832</v>
      </c>
      <c r="C1282" s="22" t="s">
        <v>1536</v>
      </c>
      <c r="D1282" s="23">
        <v>26</v>
      </c>
      <c r="E1282" s="23">
        <v>0</v>
      </c>
      <c r="F1282" s="23">
        <v>34582.550000000003</v>
      </c>
      <c r="G1282" s="22" t="s">
        <v>2408</v>
      </c>
      <c r="H1282" s="22"/>
      <c r="I1282" t="s">
        <v>2401</v>
      </c>
      <c r="K1282" s="24">
        <f t="shared" si="21"/>
        <v>0</v>
      </c>
    </row>
    <row r="1283" spans="1:11" hidden="1" x14ac:dyDescent="0.3">
      <c r="A1283" s="21">
        <v>45258</v>
      </c>
      <c r="B1283" t="s">
        <v>1833</v>
      </c>
      <c r="C1283" s="22" t="s">
        <v>1536</v>
      </c>
      <c r="D1283" s="23">
        <v>499</v>
      </c>
      <c r="E1283" s="23">
        <v>0</v>
      </c>
      <c r="F1283" s="23">
        <v>34083.550000000003</v>
      </c>
      <c r="G1283" s="22" t="s">
        <v>2399</v>
      </c>
      <c r="H1283" s="22"/>
      <c r="I1283" t="s">
        <v>2401</v>
      </c>
      <c r="K1283" s="24">
        <f t="shared" si="21"/>
        <v>0</v>
      </c>
    </row>
    <row r="1284" spans="1:11" hidden="1" x14ac:dyDescent="0.3">
      <c r="A1284" s="21">
        <v>45258</v>
      </c>
      <c r="B1284" t="s">
        <v>1834</v>
      </c>
      <c r="C1284" s="22" t="s">
        <v>1536</v>
      </c>
      <c r="D1284" s="23">
        <v>100</v>
      </c>
      <c r="E1284" s="23">
        <v>0</v>
      </c>
      <c r="F1284" s="23">
        <v>33983.550000000003</v>
      </c>
      <c r="G1284" s="22" t="s">
        <v>2399</v>
      </c>
      <c r="H1284" s="22"/>
      <c r="I1284" t="s">
        <v>2401</v>
      </c>
      <c r="K1284" s="24">
        <f t="shared" si="21"/>
        <v>0</v>
      </c>
    </row>
    <row r="1285" spans="1:11" hidden="1" x14ac:dyDescent="0.3">
      <c r="A1285" s="21">
        <v>45258</v>
      </c>
      <c r="B1285" t="s">
        <v>1835</v>
      </c>
      <c r="C1285" s="22" t="s">
        <v>1536</v>
      </c>
      <c r="D1285" s="23">
        <v>20</v>
      </c>
      <c r="E1285" s="23">
        <v>0</v>
      </c>
      <c r="F1285" s="23">
        <v>33963.550000000003</v>
      </c>
      <c r="G1285" s="22" t="s">
        <v>2408</v>
      </c>
      <c r="H1285" s="22"/>
      <c r="I1285" t="s">
        <v>2401</v>
      </c>
      <c r="K1285" s="24">
        <f t="shared" si="21"/>
        <v>0</v>
      </c>
    </row>
    <row r="1286" spans="1:11" hidden="1" x14ac:dyDescent="0.3">
      <c r="A1286" s="21">
        <v>45258</v>
      </c>
      <c r="B1286" t="s">
        <v>1836</v>
      </c>
      <c r="C1286" s="22" t="s">
        <v>1536</v>
      </c>
      <c r="D1286" s="23">
        <v>0</v>
      </c>
      <c r="E1286" s="23">
        <v>299</v>
      </c>
      <c r="F1286" s="23">
        <v>34262.550000000003</v>
      </c>
      <c r="G1286" s="22" t="s">
        <v>2399</v>
      </c>
      <c r="H1286" s="22"/>
      <c r="I1286" t="s">
        <v>2401</v>
      </c>
      <c r="K1286" s="24">
        <f t="shared" ref="K1286:K1349" si="22">F1285-D1286+E1286-F1286</f>
        <v>0</v>
      </c>
    </row>
    <row r="1287" spans="1:11" hidden="1" x14ac:dyDescent="0.3">
      <c r="A1287" s="21">
        <v>45258</v>
      </c>
      <c r="B1287" t="s">
        <v>2593</v>
      </c>
      <c r="C1287" s="22"/>
      <c r="D1287" s="23">
        <v>0</v>
      </c>
      <c r="E1287" s="23">
        <v>190</v>
      </c>
      <c r="F1287" s="23">
        <v>55861.31</v>
      </c>
      <c r="G1287" s="22" t="s">
        <v>2409</v>
      </c>
      <c r="H1287" s="22"/>
      <c r="I1287" t="s">
        <v>2400</v>
      </c>
      <c r="K1287" s="24">
        <f t="shared" si="22"/>
        <v>-21408.759999999995</v>
      </c>
    </row>
    <row r="1288" spans="1:11" hidden="1" x14ac:dyDescent="0.3">
      <c r="A1288" s="21">
        <v>45258</v>
      </c>
      <c r="B1288" t="s">
        <v>2594</v>
      </c>
      <c r="C1288" s="22"/>
      <c r="D1288" s="23">
        <v>0</v>
      </c>
      <c r="E1288" s="23">
        <v>45</v>
      </c>
      <c r="F1288" s="23">
        <v>55906.31</v>
      </c>
      <c r="G1288" s="22" t="s">
        <v>2409</v>
      </c>
      <c r="H1288" s="22"/>
      <c r="I1288" t="s">
        <v>2400</v>
      </c>
      <c r="K1288" s="24">
        <f t="shared" si="22"/>
        <v>0</v>
      </c>
    </row>
    <row r="1289" spans="1:11" hidden="1" x14ac:dyDescent="0.3">
      <c r="A1289" s="21">
        <v>45259</v>
      </c>
      <c r="B1289" t="s">
        <v>496</v>
      </c>
      <c r="C1289" s="22"/>
      <c r="D1289" s="23">
        <v>0</v>
      </c>
      <c r="E1289" s="23">
        <v>8847.2900000000009</v>
      </c>
      <c r="F1289" s="23">
        <v>74041.59</v>
      </c>
      <c r="G1289" s="22" t="s">
        <v>2406</v>
      </c>
      <c r="H1289" s="22"/>
      <c r="I1289" t="s">
        <v>2403</v>
      </c>
      <c r="K1289" s="24">
        <f t="shared" si="22"/>
        <v>-9287.989999999998</v>
      </c>
    </row>
    <row r="1290" spans="1:11" hidden="1" x14ac:dyDescent="0.3">
      <c r="A1290" s="21">
        <v>45259</v>
      </c>
      <c r="B1290" t="s">
        <v>133</v>
      </c>
      <c r="C1290" s="22"/>
      <c r="D1290" s="23">
        <v>83.88</v>
      </c>
      <c r="E1290" s="23">
        <v>0</v>
      </c>
      <c r="F1290" s="23">
        <v>73957.710000000006</v>
      </c>
      <c r="G1290" s="22" t="s">
        <v>2406</v>
      </c>
      <c r="H1290" s="22"/>
      <c r="I1290" t="s">
        <v>2403</v>
      </c>
      <c r="K1290" s="24">
        <f t="shared" si="22"/>
        <v>0</v>
      </c>
    </row>
    <row r="1291" spans="1:11" hidden="1" x14ac:dyDescent="0.3">
      <c r="A1291" s="21">
        <v>45259</v>
      </c>
      <c r="B1291" t="s">
        <v>736</v>
      </c>
      <c r="C1291" s="22"/>
      <c r="D1291" s="23">
        <v>0</v>
      </c>
      <c r="E1291" s="23">
        <v>470</v>
      </c>
      <c r="F1291" s="23">
        <v>74427.710000000006</v>
      </c>
      <c r="G1291" s="22" t="s">
        <v>2409</v>
      </c>
      <c r="H1291" s="22"/>
      <c r="I1291" t="s">
        <v>2403</v>
      </c>
      <c r="K1291" s="24">
        <f t="shared" si="22"/>
        <v>0</v>
      </c>
    </row>
    <row r="1292" spans="1:11" hidden="1" x14ac:dyDescent="0.3">
      <c r="A1292" s="21">
        <v>45259</v>
      </c>
      <c r="B1292" t="s">
        <v>738</v>
      </c>
      <c r="C1292" s="22"/>
      <c r="D1292" s="23">
        <v>15000</v>
      </c>
      <c r="E1292" s="23">
        <v>0</v>
      </c>
      <c r="F1292" s="23">
        <v>59427.71</v>
      </c>
      <c r="G1292" s="22" t="s">
        <v>2465</v>
      </c>
      <c r="H1292" s="22"/>
      <c r="I1292" t="s">
        <v>2403</v>
      </c>
      <c r="K1292" s="24">
        <f t="shared" si="22"/>
        <v>0</v>
      </c>
    </row>
    <row r="1293" spans="1:11" hidden="1" x14ac:dyDescent="0.3">
      <c r="A1293" s="21">
        <v>45259</v>
      </c>
      <c r="B1293" t="s">
        <v>1837</v>
      </c>
      <c r="C1293" s="22" t="s">
        <v>1536</v>
      </c>
      <c r="D1293" s="23">
        <v>100</v>
      </c>
      <c r="E1293" s="23">
        <v>0</v>
      </c>
      <c r="F1293" s="23">
        <v>34162.550000000003</v>
      </c>
      <c r="G1293" s="22" t="s">
        <v>2541</v>
      </c>
      <c r="H1293" s="22"/>
      <c r="I1293" t="s">
        <v>2401</v>
      </c>
      <c r="K1293" s="24">
        <f t="shared" si="22"/>
        <v>25165.159999999996</v>
      </c>
    </row>
    <row r="1294" spans="1:11" hidden="1" x14ac:dyDescent="0.3">
      <c r="A1294" s="21">
        <v>45259</v>
      </c>
      <c r="B1294" t="s">
        <v>1838</v>
      </c>
      <c r="C1294" s="22" t="s">
        <v>1536</v>
      </c>
      <c r="D1294" s="23">
        <v>35</v>
      </c>
      <c r="E1294" s="23">
        <v>0</v>
      </c>
      <c r="F1294" s="23">
        <v>34127.550000000003</v>
      </c>
      <c r="G1294" s="22" t="s">
        <v>2408</v>
      </c>
      <c r="H1294" s="22"/>
      <c r="I1294" t="s">
        <v>2401</v>
      </c>
      <c r="K1294" s="24">
        <f t="shared" si="22"/>
        <v>0</v>
      </c>
    </row>
    <row r="1295" spans="1:11" hidden="1" x14ac:dyDescent="0.3">
      <c r="A1295" s="21">
        <v>45259</v>
      </c>
      <c r="B1295" t="s">
        <v>1839</v>
      </c>
      <c r="C1295" s="22" t="s">
        <v>1536</v>
      </c>
      <c r="D1295" s="23">
        <v>10</v>
      </c>
      <c r="E1295" s="23">
        <v>0</v>
      </c>
      <c r="F1295" s="23">
        <v>34117.550000000003</v>
      </c>
      <c r="G1295" s="22" t="s">
        <v>2408</v>
      </c>
      <c r="H1295" s="22"/>
      <c r="I1295" t="s">
        <v>2401</v>
      </c>
      <c r="K1295" s="24">
        <f t="shared" si="22"/>
        <v>0</v>
      </c>
    </row>
    <row r="1296" spans="1:11" hidden="1" x14ac:dyDescent="0.3">
      <c r="A1296" s="21">
        <v>45259</v>
      </c>
      <c r="B1296" t="s">
        <v>1840</v>
      </c>
      <c r="C1296" s="22" t="s">
        <v>1536</v>
      </c>
      <c r="D1296" s="23">
        <v>26</v>
      </c>
      <c r="E1296" s="23">
        <v>0</v>
      </c>
      <c r="F1296" s="23">
        <v>34091.550000000003</v>
      </c>
      <c r="G1296" s="22" t="s">
        <v>2408</v>
      </c>
      <c r="H1296" s="22"/>
      <c r="I1296" t="s">
        <v>2401</v>
      </c>
      <c r="K1296" s="24">
        <f t="shared" si="22"/>
        <v>0</v>
      </c>
    </row>
    <row r="1297" spans="1:11" hidden="1" x14ac:dyDescent="0.3">
      <c r="A1297" s="21">
        <v>45259</v>
      </c>
      <c r="B1297" t="s">
        <v>1841</v>
      </c>
      <c r="C1297" s="22" t="s">
        <v>1536</v>
      </c>
      <c r="D1297" s="23">
        <v>27</v>
      </c>
      <c r="E1297" s="23">
        <v>0</v>
      </c>
      <c r="F1297" s="23">
        <v>34064.550000000003</v>
      </c>
      <c r="G1297" s="22" t="s">
        <v>2408</v>
      </c>
      <c r="H1297" s="22"/>
      <c r="I1297" t="s">
        <v>2401</v>
      </c>
      <c r="K1297" s="24">
        <f t="shared" si="22"/>
        <v>0</v>
      </c>
    </row>
    <row r="1298" spans="1:11" hidden="1" x14ac:dyDescent="0.3">
      <c r="A1298" s="21">
        <v>45259</v>
      </c>
      <c r="B1298" t="s">
        <v>1842</v>
      </c>
      <c r="C1298" s="22" t="s">
        <v>1536</v>
      </c>
      <c r="D1298" s="23">
        <v>120</v>
      </c>
      <c r="E1298" s="23">
        <v>0</v>
      </c>
      <c r="F1298" s="23">
        <v>33944.550000000003</v>
      </c>
      <c r="G1298" s="22" t="s">
        <v>2399</v>
      </c>
      <c r="H1298" s="22"/>
      <c r="I1298" t="s">
        <v>2401</v>
      </c>
      <c r="K1298" s="24">
        <f t="shared" si="22"/>
        <v>0</v>
      </c>
    </row>
    <row r="1299" spans="1:11" hidden="1" x14ac:dyDescent="0.3">
      <c r="A1299" s="21">
        <v>45259</v>
      </c>
      <c r="B1299" t="s">
        <v>1843</v>
      </c>
      <c r="C1299" s="22" t="s">
        <v>1536</v>
      </c>
      <c r="D1299" s="23">
        <v>20</v>
      </c>
      <c r="E1299" s="23">
        <v>0</v>
      </c>
      <c r="F1299" s="23">
        <v>33924.550000000003</v>
      </c>
      <c r="G1299" s="22" t="s">
        <v>2408</v>
      </c>
      <c r="H1299" s="22"/>
      <c r="I1299" t="s">
        <v>2401</v>
      </c>
      <c r="K1299" s="24">
        <f t="shared" si="22"/>
        <v>0</v>
      </c>
    </row>
    <row r="1300" spans="1:11" hidden="1" x14ac:dyDescent="0.3">
      <c r="A1300" s="21">
        <v>45259</v>
      </c>
      <c r="B1300" t="s">
        <v>1844</v>
      </c>
      <c r="C1300" s="22" t="s">
        <v>1536</v>
      </c>
      <c r="D1300" s="23">
        <v>20</v>
      </c>
      <c r="E1300" s="23">
        <v>0</v>
      </c>
      <c r="F1300" s="23">
        <v>33904.550000000003</v>
      </c>
      <c r="G1300" s="22" t="s">
        <v>2408</v>
      </c>
      <c r="H1300" s="22"/>
      <c r="I1300" t="s">
        <v>2401</v>
      </c>
      <c r="K1300" s="24">
        <f t="shared" si="22"/>
        <v>0</v>
      </c>
    </row>
    <row r="1301" spans="1:11" hidden="1" x14ac:dyDescent="0.3">
      <c r="A1301" s="21">
        <v>45260</v>
      </c>
      <c r="B1301" t="s">
        <v>496</v>
      </c>
      <c r="C1301" s="22"/>
      <c r="D1301" s="23">
        <v>0</v>
      </c>
      <c r="E1301" s="23">
        <v>1316.94</v>
      </c>
      <c r="F1301" s="23">
        <v>60744.65</v>
      </c>
      <c r="G1301" s="22" t="s">
        <v>2406</v>
      </c>
      <c r="H1301" s="22"/>
      <c r="I1301" t="s">
        <v>2403</v>
      </c>
      <c r="K1301" s="24">
        <f t="shared" si="22"/>
        <v>-25523.159999999996</v>
      </c>
    </row>
    <row r="1302" spans="1:11" hidden="1" x14ac:dyDescent="0.3">
      <c r="A1302" s="21">
        <v>45260</v>
      </c>
      <c r="B1302" t="s">
        <v>496</v>
      </c>
      <c r="C1302" s="22"/>
      <c r="D1302" s="23">
        <v>0</v>
      </c>
      <c r="E1302" s="23">
        <v>82752.33</v>
      </c>
      <c r="F1302" s="23">
        <v>143496.98000000001</v>
      </c>
      <c r="G1302" s="22" t="s">
        <v>2406</v>
      </c>
      <c r="H1302" s="22"/>
      <c r="I1302" t="s">
        <v>2403</v>
      </c>
      <c r="K1302" s="24">
        <f t="shared" si="22"/>
        <v>0</v>
      </c>
    </row>
    <row r="1303" spans="1:11" hidden="1" x14ac:dyDescent="0.3">
      <c r="A1303" s="21">
        <v>45260</v>
      </c>
      <c r="B1303" t="s">
        <v>652</v>
      </c>
      <c r="C1303" s="22"/>
      <c r="D1303" s="23">
        <v>5000</v>
      </c>
      <c r="E1303" s="23">
        <v>0</v>
      </c>
      <c r="F1303" s="23">
        <v>138496.98000000001</v>
      </c>
      <c r="G1303" s="22" t="s">
        <v>2442</v>
      </c>
      <c r="H1303" s="22"/>
      <c r="I1303" t="s">
        <v>2403</v>
      </c>
      <c r="K1303" s="24">
        <f t="shared" si="22"/>
        <v>0</v>
      </c>
    </row>
    <row r="1304" spans="1:11" hidden="1" x14ac:dyDescent="0.3">
      <c r="A1304" s="21">
        <v>45260</v>
      </c>
      <c r="B1304" t="s">
        <v>133</v>
      </c>
      <c r="C1304" s="22"/>
      <c r="D1304" s="23">
        <v>78.900000000000006</v>
      </c>
      <c r="E1304" s="23">
        <v>0</v>
      </c>
      <c r="F1304" s="23">
        <v>138418.07999999999</v>
      </c>
      <c r="G1304" s="22" t="s">
        <v>2406</v>
      </c>
      <c r="H1304" s="22"/>
      <c r="I1304" t="s">
        <v>2403</v>
      </c>
      <c r="K1304" s="24">
        <f t="shared" si="22"/>
        <v>0</v>
      </c>
    </row>
    <row r="1305" spans="1:11" hidden="1" x14ac:dyDescent="0.3">
      <c r="A1305" s="21">
        <v>45260</v>
      </c>
      <c r="B1305" t="s">
        <v>744</v>
      </c>
      <c r="C1305" s="22"/>
      <c r="D1305" s="23">
        <v>0</v>
      </c>
      <c r="E1305" s="23">
        <v>75</v>
      </c>
      <c r="F1305" s="23">
        <v>138493.07999999999</v>
      </c>
      <c r="G1305" s="22" t="s">
        <v>2409</v>
      </c>
      <c r="H1305" s="22"/>
      <c r="I1305" t="s">
        <v>2403</v>
      </c>
      <c r="K1305" s="24">
        <f t="shared" si="22"/>
        <v>0</v>
      </c>
    </row>
    <row r="1306" spans="1:11" hidden="1" x14ac:dyDescent="0.3">
      <c r="A1306" s="21">
        <v>45260</v>
      </c>
      <c r="B1306" t="s">
        <v>1845</v>
      </c>
      <c r="C1306" s="22" t="s">
        <v>1536</v>
      </c>
      <c r="D1306" s="23">
        <v>100</v>
      </c>
      <c r="E1306" s="23">
        <v>0</v>
      </c>
      <c r="F1306" s="23">
        <v>33804.550000000003</v>
      </c>
      <c r="G1306" s="22" t="s">
        <v>2541</v>
      </c>
      <c r="H1306" s="22"/>
      <c r="I1306" t="s">
        <v>2401</v>
      </c>
      <c r="K1306" s="24">
        <f t="shared" si="22"/>
        <v>104588.52999999998</v>
      </c>
    </row>
    <row r="1307" spans="1:11" hidden="1" x14ac:dyDescent="0.3">
      <c r="A1307" s="21">
        <v>45260</v>
      </c>
      <c r="B1307" t="s">
        <v>1846</v>
      </c>
      <c r="C1307" s="22" t="s">
        <v>1536</v>
      </c>
      <c r="D1307" s="23">
        <v>0</v>
      </c>
      <c r="E1307" s="23">
        <v>22500</v>
      </c>
      <c r="F1307" s="23">
        <v>56304.55</v>
      </c>
      <c r="G1307" s="22" t="s">
        <v>2581</v>
      </c>
      <c r="H1307" s="22"/>
      <c r="I1307" t="s">
        <v>2401</v>
      </c>
      <c r="K1307" s="24">
        <f t="shared" si="22"/>
        <v>0</v>
      </c>
    </row>
    <row r="1308" spans="1:11" hidden="1" x14ac:dyDescent="0.3">
      <c r="A1308" s="21">
        <v>45260</v>
      </c>
      <c r="B1308" t="s">
        <v>1847</v>
      </c>
      <c r="C1308" s="22" t="s">
        <v>1536</v>
      </c>
      <c r="D1308" s="23">
        <v>35</v>
      </c>
      <c r="E1308" s="23">
        <v>0</v>
      </c>
      <c r="F1308" s="23">
        <v>56269.55</v>
      </c>
      <c r="G1308" s="22" t="s">
        <v>2408</v>
      </c>
      <c r="H1308" s="22"/>
      <c r="I1308" t="s">
        <v>2401</v>
      </c>
      <c r="K1308" s="24">
        <f t="shared" si="22"/>
        <v>0</v>
      </c>
    </row>
    <row r="1309" spans="1:11" hidden="1" x14ac:dyDescent="0.3">
      <c r="A1309" s="21">
        <v>45260</v>
      </c>
      <c r="B1309" t="s">
        <v>1848</v>
      </c>
      <c r="C1309" s="22" t="s">
        <v>1536</v>
      </c>
      <c r="D1309" s="23">
        <v>10</v>
      </c>
      <c r="E1309" s="23">
        <v>0</v>
      </c>
      <c r="F1309" s="23">
        <v>56259.55</v>
      </c>
      <c r="G1309" s="22" t="s">
        <v>2408</v>
      </c>
      <c r="H1309" s="22"/>
      <c r="I1309" t="s">
        <v>2401</v>
      </c>
      <c r="K1309" s="24">
        <f t="shared" si="22"/>
        <v>0</v>
      </c>
    </row>
    <row r="1310" spans="1:11" hidden="1" x14ac:dyDescent="0.3">
      <c r="A1310" s="21">
        <v>45260</v>
      </c>
      <c r="B1310" t="s">
        <v>1849</v>
      </c>
      <c r="C1310" s="22" t="s">
        <v>1536</v>
      </c>
      <c r="D1310" s="23">
        <v>20</v>
      </c>
      <c r="E1310" s="23">
        <v>0</v>
      </c>
      <c r="F1310" s="23">
        <v>56239.55</v>
      </c>
      <c r="G1310" s="22" t="s">
        <v>2408</v>
      </c>
      <c r="H1310" s="22"/>
      <c r="I1310" t="s">
        <v>2401</v>
      </c>
      <c r="K1310" s="24">
        <f t="shared" si="22"/>
        <v>0</v>
      </c>
    </row>
    <row r="1311" spans="1:11" hidden="1" x14ac:dyDescent="0.3">
      <c r="A1311" s="21">
        <v>45260</v>
      </c>
      <c r="B1311" t="s">
        <v>1850</v>
      </c>
      <c r="C1311" s="22" t="s">
        <v>1536</v>
      </c>
      <c r="D1311" s="23">
        <v>106.33</v>
      </c>
      <c r="E1311" s="23">
        <v>0</v>
      </c>
      <c r="F1311" s="23">
        <v>56133.22</v>
      </c>
      <c r="G1311" s="22" t="s">
        <v>2399</v>
      </c>
      <c r="H1311" s="22"/>
      <c r="I1311" t="s">
        <v>2401</v>
      </c>
      <c r="K1311" s="24">
        <f t="shared" si="22"/>
        <v>0</v>
      </c>
    </row>
    <row r="1312" spans="1:11" hidden="1" x14ac:dyDescent="0.3">
      <c r="A1312" s="21">
        <v>45260</v>
      </c>
      <c r="B1312" t="s">
        <v>1851</v>
      </c>
      <c r="C1312" s="22" t="s">
        <v>1536</v>
      </c>
      <c r="D1312" s="23">
        <v>7200</v>
      </c>
      <c r="E1312" s="23">
        <v>0</v>
      </c>
      <c r="F1312" s="23">
        <v>48933.22</v>
      </c>
      <c r="G1312" s="22" t="s">
        <v>2595</v>
      </c>
      <c r="H1312" s="22"/>
      <c r="I1312" t="s">
        <v>2401</v>
      </c>
      <c r="K1312" s="24">
        <f t="shared" si="22"/>
        <v>0</v>
      </c>
    </row>
    <row r="1313" spans="1:11" hidden="1" x14ac:dyDescent="0.3">
      <c r="A1313" s="21">
        <v>45261</v>
      </c>
      <c r="B1313" t="s">
        <v>133</v>
      </c>
      <c r="C1313" s="22"/>
      <c r="D1313" s="23">
        <v>11211.63</v>
      </c>
      <c r="E1313" s="23">
        <v>0</v>
      </c>
      <c r="F1313" s="23">
        <v>127281.45</v>
      </c>
      <c r="G1313" s="22" t="s">
        <v>2406</v>
      </c>
      <c r="H1313" s="22"/>
      <c r="I1313" t="s">
        <v>2403</v>
      </c>
      <c r="K1313" s="24">
        <f t="shared" si="22"/>
        <v>-89559.859999999986</v>
      </c>
    </row>
    <row r="1314" spans="1:11" hidden="1" x14ac:dyDescent="0.3">
      <c r="A1314" s="21">
        <v>45261</v>
      </c>
      <c r="B1314" t="s">
        <v>133</v>
      </c>
      <c r="C1314" s="22"/>
      <c r="D1314" s="23">
        <v>75.38</v>
      </c>
      <c r="E1314" s="23">
        <v>0</v>
      </c>
      <c r="F1314" s="23">
        <v>127206.07</v>
      </c>
      <c r="G1314" s="22" t="s">
        <v>2406</v>
      </c>
      <c r="H1314" s="22"/>
      <c r="I1314" t="s">
        <v>2403</v>
      </c>
      <c r="K1314" s="24">
        <f t="shared" si="22"/>
        <v>0</v>
      </c>
    </row>
    <row r="1315" spans="1:11" hidden="1" x14ac:dyDescent="0.3">
      <c r="A1315" s="21">
        <v>45261</v>
      </c>
      <c r="B1315" t="s">
        <v>748</v>
      </c>
      <c r="C1315" s="22"/>
      <c r="D1315" s="23">
        <v>295</v>
      </c>
      <c r="E1315" s="23">
        <v>0</v>
      </c>
      <c r="F1315" s="23">
        <v>126911.07</v>
      </c>
      <c r="G1315" s="22" t="s">
        <v>2415</v>
      </c>
      <c r="H1315" s="22"/>
      <c r="I1315" t="s">
        <v>2403</v>
      </c>
      <c r="K1315" s="24">
        <f t="shared" si="22"/>
        <v>0</v>
      </c>
    </row>
    <row r="1316" spans="1:11" hidden="1" x14ac:dyDescent="0.3">
      <c r="A1316" s="21">
        <v>45261</v>
      </c>
      <c r="B1316" t="s">
        <v>750</v>
      </c>
      <c r="C1316" s="22"/>
      <c r="D1316" s="23">
        <v>75000</v>
      </c>
      <c r="E1316" s="23">
        <v>0</v>
      </c>
      <c r="F1316" s="23">
        <v>51911.07</v>
      </c>
      <c r="G1316" s="22" t="s">
        <v>2414</v>
      </c>
      <c r="H1316" s="22"/>
      <c r="I1316" t="s">
        <v>2403</v>
      </c>
      <c r="K1316" s="24">
        <f t="shared" si="22"/>
        <v>0</v>
      </c>
    </row>
    <row r="1317" spans="1:11" hidden="1" x14ac:dyDescent="0.3">
      <c r="A1317" s="21">
        <v>45261</v>
      </c>
      <c r="B1317" t="s">
        <v>496</v>
      </c>
      <c r="C1317" s="22"/>
      <c r="D1317" s="23">
        <v>0</v>
      </c>
      <c r="E1317" s="23">
        <v>520.55999999999995</v>
      </c>
      <c r="F1317" s="23">
        <v>52431.63</v>
      </c>
      <c r="G1317" s="22" t="s">
        <v>2406</v>
      </c>
      <c r="H1317" s="22"/>
      <c r="I1317" t="s">
        <v>2403</v>
      </c>
      <c r="K1317" s="24">
        <f t="shared" si="22"/>
        <v>0</v>
      </c>
    </row>
    <row r="1318" spans="1:11" hidden="1" x14ac:dyDescent="0.3">
      <c r="A1318" s="21">
        <v>45261</v>
      </c>
      <c r="B1318" t="s">
        <v>1852</v>
      </c>
      <c r="C1318" s="22" t="s">
        <v>1536</v>
      </c>
      <c r="D1318" s="23">
        <v>100</v>
      </c>
      <c r="E1318" s="23">
        <v>0</v>
      </c>
      <c r="F1318" s="23">
        <v>48833.22</v>
      </c>
      <c r="G1318" s="22" t="s">
        <v>2541</v>
      </c>
      <c r="H1318" s="22"/>
      <c r="I1318" t="s">
        <v>2401</v>
      </c>
      <c r="K1318" s="24">
        <f t="shared" si="22"/>
        <v>3498.4099999999962</v>
      </c>
    </row>
    <row r="1319" spans="1:11" hidden="1" x14ac:dyDescent="0.3">
      <c r="A1319" s="21">
        <v>45261</v>
      </c>
      <c r="B1319" t="s">
        <v>1853</v>
      </c>
      <c r="C1319" s="22" t="s">
        <v>1536</v>
      </c>
      <c r="D1319" s="23">
        <v>167.78</v>
      </c>
      <c r="E1319" s="23">
        <v>0</v>
      </c>
      <c r="F1319" s="23">
        <v>48665.440000000002</v>
      </c>
      <c r="G1319" s="22" t="s">
        <v>2399</v>
      </c>
      <c r="H1319" s="22"/>
      <c r="I1319" t="s">
        <v>2401</v>
      </c>
      <c r="K1319" s="24">
        <f t="shared" si="22"/>
        <v>0</v>
      </c>
    </row>
    <row r="1320" spans="1:11" hidden="1" x14ac:dyDescent="0.3">
      <c r="A1320" s="21">
        <v>45261</v>
      </c>
      <c r="B1320" t="s">
        <v>1854</v>
      </c>
      <c r="C1320" s="22" t="s">
        <v>1536</v>
      </c>
      <c r="D1320" s="23">
        <v>26.02</v>
      </c>
      <c r="E1320" s="23">
        <v>0</v>
      </c>
      <c r="F1320" s="23">
        <v>48639.42</v>
      </c>
      <c r="G1320" s="22" t="s">
        <v>2408</v>
      </c>
      <c r="H1320" s="22"/>
      <c r="I1320" t="s">
        <v>2401</v>
      </c>
      <c r="K1320" s="24">
        <f t="shared" si="22"/>
        <v>0</v>
      </c>
    </row>
    <row r="1321" spans="1:11" hidden="1" x14ac:dyDescent="0.3">
      <c r="A1321" s="21">
        <v>45261</v>
      </c>
      <c r="B1321" t="s">
        <v>1855</v>
      </c>
      <c r="C1321" s="22" t="s">
        <v>1536</v>
      </c>
      <c r="D1321" s="23">
        <v>10</v>
      </c>
      <c r="E1321" s="23">
        <v>0</v>
      </c>
      <c r="F1321" s="23">
        <v>48629.42</v>
      </c>
      <c r="G1321" s="22" t="s">
        <v>2408</v>
      </c>
      <c r="H1321" s="22"/>
      <c r="I1321" t="s">
        <v>2401</v>
      </c>
      <c r="K1321" s="24">
        <f t="shared" si="22"/>
        <v>0</v>
      </c>
    </row>
    <row r="1322" spans="1:11" hidden="1" x14ac:dyDescent="0.3">
      <c r="A1322" s="21">
        <v>45261</v>
      </c>
      <c r="B1322" t="s">
        <v>1856</v>
      </c>
      <c r="C1322" s="22" t="s">
        <v>1536</v>
      </c>
      <c r="D1322" s="23">
        <v>30</v>
      </c>
      <c r="E1322" s="23">
        <v>0</v>
      </c>
      <c r="F1322" s="23">
        <v>48599.42</v>
      </c>
      <c r="G1322" s="22" t="s">
        <v>2408</v>
      </c>
      <c r="H1322" s="22"/>
      <c r="I1322" t="s">
        <v>2401</v>
      </c>
      <c r="K1322" s="24">
        <f t="shared" si="22"/>
        <v>0</v>
      </c>
    </row>
    <row r="1323" spans="1:11" hidden="1" x14ac:dyDescent="0.3">
      <c r="A1323" s="21">
        <v>45261</v>
      </c>
      <c r="B1323" t="s">
        <v>1857</v>
      </c>
      <c r="C1323" s="22" t="s">
        <v>1536</v>
      </c>
      <c r="D1323" s="23">
        <v>60</v>
      </c>
      <c r="E1323" s="23">
        <v>0</v>
      </c>
      <c r="F1323" s="23">
        <v>48539.42</v>
      </c>
      <c r="G1323" s="22" t="s">
        <v>2408</v>
      </c>
      <c r="H1323" s="22"/>
      <c r="I1323" t="s">
        <v>2401</v>
      </c>
      <c r="K1323" s="24">
        <f t="shared" si="22"/>
        <v>0</v>
      </c>
    </row>
    <row r="1324" spans="1:11" hidden="1" x14ac:dyDescent="0.3">
      <c r="A1324" s="21">
        <v>45261</v>
      </c>
      <c r="B1324" t="s">
        <v>1858</v>
      </c>
      <c r="C1324" s="22" t="s">
        <v>1536</v>
      </c>
      <c r="D1324" s="23">
        <v>30</v>
      </c>
      <c r="E1324" s="23">
        <v>0</v>
      </c>
      <c r="F1324" s="23">
        <v>48509.42</v>
      </c>
      <c r="G1324" s="22" t="s">
        <v>2408</v>
      </c>
      <c r="H1324" s="22"/>
      <c r="I1324" t="s">
        <v>2401</v>
      </c>
      <c r="K1324" s="24">
        <f t="shared" si="22"/>
        <v>0</v>
      </c>
    </row>
    <row r="1325" spans="1:11" hidden="1" x14ac:dyDescent="0.3">
      <c r="A1325" s="21">
        <v>45261</v>
      </c>
      <c r="B1325" t="s">
        <v>1859</v>
      </c>
      <c r="C1325" s="22" t="s">
        <v>1536</v>
      </c>
      <c r="D1325" s="23">
        <v>20</v>
      </c>
      <c r="E1325" s="23">
        <v>0</v>
      </c>
      <c r="F1325" s="23">
        <v>48489.42</v>
      </c>
      <c r="G1325" s="22" t="s">
        <v>2408</v>
      </c>
      <c r="H1325" s="22"/>
      <c r="I1325" t="s">
        <v>2401</v>
      </c>
      <c r="K1325" s="24">
        <f t="shared" si="22"/>
        <v>0</v>
      </c>
    </row>
    <row r="1326" spans="1:11" hidden="1" x14ac:dyDescent="0.3">
      <c r="A1326" s="21">
        <v>45261</v>
      </c>
      <c r="B1326" t="s">
        <v>2504</v>
      </c>
      <c r="C1326" s="22"/>
      <c r="D1326" s="23">
        <v>0</v>
      </c>
      <c r="E1326" s="23">
        <v>12.5</v>
      </c>
      <c r="F1326" s="23">
        <v>55918.81</v>
      </c>
      <c r="G1326" s="22" t="s">
        <v>2409</v>
      </c>
      <c r="H1326" s="22"/>
      <c r="I1326" t="s">
        <v>2400</v>
      </c>
      <c r="K1326" s="24">
        <f t="shared" si="22"/>
        <v>-7416.8899999999994</v>
      </c>
    </row>
    <row r="1327" spans="1:11" hidden="1" x14ac:dyDescent="0.3">
      <c r="A1327" s="21">
        <v>45261</v>
      </c>
      <c r="B1327" t="s">
        <v>2596</v>
      </c>
      <c r="C1327" s="22" t="s">
        <v>2597</v>
      </c>
      <c r="D1327" s="23">
        <v>0</v>
      </c>
      <c r="E1327" s="23">
        <v>2779.21</v>
      </c>
      <c r="F1327" s="23">
        <v>58698.02</v>
      </c>
      <c r="G1327" s="22" t="s">
        <v>2646</v>
      </c>
      <c r="H1327" s="22"/>
      <c r="I1327" t="s">
        <v>2400</v>
      </c>
      <c r="K1327" s="24">
        <f t="shared" si="22"/>
        <v>0</v>
      </c>
    </row>
    <row r="1328" spans="1:11" hidden="1" x14ac:dyDescent="0.3">
      <c r="A1328" s="21">
        <v>45262</v>
      </c>
      <c r="B1328" t="s">
        <v>1860</v>
      </c>
      <c r="C1328" s="22" t="s">
        <v>1536</v>
      </c>
      <c r="D1328" s="23">
        <v>100</v>
      </c>
      <c r="E1328" s="23">
        <v>0</v>
      </c>
      <c r="F1328" s="23">
        <v>48389.42</v>
      </c>
      <c r="G1328" s="22" t="s">
        <v>2541</v>
      </c>
      <c r="H1328" s="22"/>
      <c r="I1328" t="s">
        <v>2401</v>
      </c>
      <c r="K1328" s="24">
        <f t="shared" si="22"/>
        <v>10208.599999999999</v>
      </c>
    </row>
    <row r="1329" spans="1:11" hidden="1" x14ac:dyDescent="0.3">
      <c r="A1329" s="21">
        <v>45262</v>
      </c>
      <c r="B1329" t="s">
        <v>1861</v>
      </c>
      <c r="C1329" s="22" t="s">
        <v>1536</v>
      </c>
      <c r="D1329" s="23">
        <v>15</v>
      </c>
      <c r="E1329" s="23">
        <v>0</v>
      </c>
      <c r="F1329" s="23">
        <v>48374.42</v>
      </c>
      <c r="G1329" s="22" t="s">
        <v>2408</v>
      </c>
      <c r="H1329" s="22"/>
      <c r="I1329" t="s">
        <v>2401</v>
      </c>
      <c r="K1329" s="24">
        <f t="shared" si="22"/>
        <v>0</v>
      </c>
    </row>
    <row r="1330" spans="1:11" hidden="1" x14ac:dyDescent="0.3">
      <c r="A1330" s="21">
        <v>45262</v>
      </c>
      <c r="B1330" t="s">
        <v>1862</v>
      </c>
      <c r="C1330" s="22" t="s">
        <v>1536</v>
      </c>
      <c r="D1330" s="23">
        <v>23</v>
      </c>
      <c r="E1330" s="23">
        <v>0</v>
      </c>
      <c r="F1330" s="23">
        <v>48351.42</v>
      </c>
      <c r="G1330" s="22" t="s">
        <v>2408</v>
      </c>
      <c r="H1330" s="22"/>
      <c r="I1330" t="s">
        <v>2401</v>
      </c>
      <c r="K1330" s="24">
        <f t="shared" si="22"/>
        <v>0</v>
      </c>
    </row>
    <row r="1331" spans="1:11" hidden="1" x14ac:dyDescent="0.3">
      <c r="A1331" s="21">
        <v>45262</v>
      </c>
      <c r="B1331" t="s">
        <v>1863</v>
      </c>
      <c r="C1331" s="22" t="s">
        <v>1536</v>
      </c>
      <c r="D1331" s="23">
        <v>280</v>
      </c>
      <c r="E1331" s="23">
        <v>0</v>
      </c>
      <c r="F1331" s="23">
        <v>48071.42</v>
      </c>
      <c r="G1331" s="22" t="s">
        <v>2399</v>
      </c>
      <c r="H1331" s="22"/>
      <c r="I1331" t="s">
        <v>2401</v>
      </c>
      <c r="K1331" s="24">
        <f t="shared" si="22"/>
        <v>0</v>
      </c>
    </row>
    <row r="1332" spans="1:11" hidden="1" x14ac:dyDescent="0.3">
      <c r="A1332" s="21">
        <v>45262</v>
      </c>
      <c r="B1332" t="s">
        <v>1864</v>
      </c>
      <c r="C1332" s="22" t="s">
        <v>1536</v>
      </c>
      <c r="D1332" s="23">
        <v>30</v>
      </c>
      <c r="E1332" s="23">
        <v>0</v>
      </c>
      <c r="F1332" s="23">
        <v>48041.42</v>
      </c>
      <c r="G1332" s="22" t="s">
        <v>2408</v>
      </c>
      <c r="H1332" s="22"/>
      <c r="I1332" t="s">
        <v>2401</v>
      </c>
      <c r="K1332" s="24">
        <f t="shared" si="22"/>
        <v>0</v>
      </c>
    </row>
    <row r="1333" spans="1:11" hidden="1" x14ac:dyDescent="0.3">
      <c r="A1333" s="21">
        <v>45262</v>
      </c>
      <c r="B1333" t="s">
        <v>1865</v>
      </c>
      <c r="C1333" s="22" t="s">
        <v>1536</v>
      </c>
      <c r="D1333" s="23">
        <v>70</v>
      </c>
      <c r="E1333" s="23">
        <v>0</v>
      </c>
      <c r="F1333" s="23">
        <v>47971.42</v>
      </c>
      <c r="G1333" s="22" t="s">
        <v>2408</v>
      </c>
      <c r="H1333" s="22"/>
      <c r="I1333" t="s">
        <v>2401</v>
      </c>
      <c r="K1333" s="24">
        <f t="shared" si="22"/>
        <v>0</v>
      </c>
    </row>
    <row r="1334" spans="1:11" hidden="1" x14ac:dyDescent="0.3">
      <c r="A1334" s="21">
        <v>45262</v>
      </c>
      <c r="B1334" t="s">
        <v>1866</v>
      </c>
      <c r="C1334" s="22" t="s">
        <v>1536</v>
      </c>
      <c r="D1334" s="23">
        <v>20</v>
      </c>
      <c r="E1334" s="23">
        <v>0</v>
      </c>
      <c r="F1334" s="23">
        <v>47951.42</v>
      </c>
      <c r="G1334" s="22" t="s">
        <v>2408</v>
      </c>
      <c r="H1334" s="22"/>
      <c r="I1334" t="s">
        <v>2401</v>
      </c>
      <c r="K1334" s="24">
        <f t="shared" si="22"/>
        <v>0</v>
      </c>
    </row>
    <row r="1335" spans="1:11" hidden="1" x14ac:dyDescent="0.3">
      <c r="A1335" s="21">
        <v>45262</v>
      </c>
      <c r="B1335" t="s">
        <v>1867</v>
      </c>
      <c r="C1335" s="22" t="s">
        <v>1536</v>
      </c>
      <c r="D1335" s="23">
        <v>20</v>
      </c>
      <c r="E1335" s="23">
        <v>0</v>
      </c>
      <c r="F1335" s="23">
        <v>47931.42</v>
      </c>
      <c r="G1335" s="22" t="s">
        <v>2408</v>
      </c>
      <c r="H1335" s="22"/>
      <c r="I1335" t="s">
        <v>2401</v>
      </c>
      <c r="K1335" s="24">
        <f t="shared" si="22"/>
        <v>0</v>
      </c>
    </row>
    <row r="1336" spans="1:11" hidden="1" x14ac:dyDescent="0.3">
      <c r="A1336" s="21">
        <v>45263</v>
      </c>
      <c r="B1336" t="s">
        <v>1868</v>
      </c>
      <c r="C1336" s="22" t="s">
        <v>1536</v>
      </c>
      <c r="D1336" s="23">
        <v>100</v>
      </c>
      <c r="E1336" s="23">
        <v>0</v>
      </c>
      <c r="F1336" s="23">
        <v>47831.42</v>
      </c>
      <c r="G1336" s="22" t="s">
        <v>2541</v>
      </c>
      <c r="H1336" s="22"/>
      <c r="I1336" t="s">
        <v>2401</v>
      </c>
      <c r="K1336" s="24">
        <f t="shared" si="22"/>
        <v>0</v>
      </c>
    </row>
    <row r="1337" spans="1:11" hidden="1" x14ac:dyDescent="0.3">
      <c r="A1337" s="21">
        <v>45263</v>
      </c>
      <c r="B1337" t="s">
        <v>1869</v>
      </c>
      <c r="C1337" s="22" t="s">
        <v>1536</v>
      </c>
      <c r="D1337" s="23">
        <v>70</v>
      </c>
      <c r="E1337" s="23">
        <v>0</v>
      </c>
      <c r="F1337" s="23">
        <v>47761.42</v>
      </c>
      <c r="G1337" s="22" t="s">
        <v>2408</v>
      </c>
      <c r="H1337" s="22"/>
      <c r="I1337" t="s">
        <v>2401</v>
      </c>
      <c r="K1337" s="24">
        <f t="shared" si="22"/>
        <v>0</v>
      </c>
    </row>
    <row r="1338" spans="1:11" hidden="1" x14ac:dyDescent="0.3">
      <c r="A1338" s="21">
        <v>45263</v>
      </c>
      <c r="B1338" t="s">
        <v>1870</v>
      </c>
      <c r="C1338" s="22" t="s">
        <v>1536</v>
      </c>
      <c r="D1338" s="23">
        <v>355</v>
      </c>
      <c r="E1338" s="23">
        <v>0</v>
      </c>
      <c r="F1338" s="23">
        <v>47406.42</v>
      </c>
      <c r="G1338" s="22" t="s">
        <v>2399</v>
      </c>
      <c r="H1338" s="22"/>
      <c r="I1338" t="s">
        <v>2401</v>
      </c>
      <c r="K1338" s="24">
        <f t="shared" si="22"/>
        <v>0</v>
      </c>
    </row>
    <row r="1339" spans="1:11" hidden="1" x14ac:dyDescent="0.3">
      <c r="A1339" s="21">
        <v>45263</v>
      </c>
      <c r="B1339" t="s">
        <v>2598</v>
      </c>
      <c r="C1339" s="22" t="s">
        <v>1143</v>
      </c>
      <c r="D1339" s="23">
        <v>212</v>
      </c>
      <c r="E1339" s="23">
        <v>0</v>
      </c>
      <c r="F1339" s="23">
        <v>58486.02</v>
      </c>
      <c r="G1339" s="22" t="s">
        <v>2399</v>
      </c>
      <c r="H1339" s="22"/>
      <c r="I1339" t="s">
        <v>2400</v>
      </c>
      <c r="K1339" s="24">
        <f t="shared" si="22"/>
        <v>-11291.599999999999</v>
      </c>
    </row>
    <row r="1340" spans="1:11" hidden="1" x14ac:dyDescent="0.3">
      <c r="A1340" s="21">
        <v>45263</v>
      </c>
      <c r="B1340" t="s">
        <v>2599</v>
      </c>
      <c r="C1340" s="22" t="s">
        <v>1143</v>
      </c>
      <c r="D1340" s="23">
        <v>126</v>
      </c>
      <c r="E1340" s="23">
        <v>0</v>
      </c>
      <c r="F1340" s="23">
        <v>58360.02</v>
      </c>
      <c r="G1340" s="22" t="s">
        <v>2399</v>
      </c>
      <c r="H1340" s="22"/>
      <c r="I1340" t="s">
        <v>2400</v>
      </c>
      <c r="K1340" s="24">
        <f t="shared" si="22"/>
        <v>0</v>
      </c>
    </row>
    <row r="1341" spans="1:11" hidden="1" x14ac:dyDescent="0.3">
      <c r="A1341" s="21">
        <v>45264</v>
      </c>
      <c r="B1341" t="s">
        <v>496</v>
      </c>
      <c r="C1341" s="22"/>
      <c r="D1341" s="23">
        <v>0</v>
      </c>
      <c r="E1341" s="23">
        <v>36344.18</v>
      </c>
      <c r="F1341" s="23">
        <v>88775.81</v>
      </c>
      <c r="G1341" s="22" t="s">
        <v>2406</v>
      </c>
      <c r="H1341" s="22"/>
      <c r="I1341" t="s">
        <v>2403</v>
      </c>
      <c r="K1341" s="24">
        <f t="shared" si="22"/>
        <v>5928.3899999999994</v>
      </c>
    </row>
    <row r="1342" spans="1:11" hidden="1" x14ac:dyDescent="0.3">
      <c r="A1342" s="21">
        <v>45264</v>
      </c>
      <c r="B1342" t="s">
        <v>133</v>
      </c>
      <c r="C1342" s="22"/>
      <c r="D1342" s="23">
        <v>267.60000000000002</v>
      </c>
      <c r="E1342" s="23">
        <v>0</v>
      </c>
      <c r="F1342" s="23">
        <v>88508.21</v>
      </c>
      <c r="G1342" s="22" t="s">
        <v>2406</v>
      </c>
      <c r="H1342" s="22"/>
      <c r="I1342" t="s">
        <v>2403</v>
      </c>
      <c r="K1342" s="24">
        <f t="shared" si="22"/>
        <v>0</v>
      </c>
    </row>
    <row r="1343" spans="1:11" hidden="1" x14ac:dyDescent="0.3">
      <c r="A1343" s="21">
        <v>45264</v>
      </c>
      <c r="B1343" t="s">
        <v>133</v>
      </c>
      <c r="C1343" s="22"/>
      <c r="D1343" s="23">
        <v>16222.68</v>
      </c>
      <c r="E1343" s="23">
        <v>0</v>
      </c>
      <c r="F1343" s="23">
        <v>72285.53</v>
      </c>
      <c r="G1343" s="22" t="s">
        <v>2406</v>
      </c>
      <c r="H1343" s="22"/>
      <c r="I1343" t="s">
        <v>2403</v>
      </c>
      <c r="K1343" s="24">
        <f t="shared" si="22"/>
        <v>0</v>
      </c>
    </row>
    <row r="1344" spans="1:11" hidden="1" x14ac:dyDescent="0.3">
      <c r="A1344" s="21">
        <v>45264</v>
      </c>
      <c r="B1344" t="s">
        <v>133</v>
      </c>
      <c r="C1344" s="22"/>
      <c r="D1344" s="23">
        <v>9331.7900000000009</v>
      </c>
      <c r="E1344" s="23">
        <v>0</v>
      </c>
      <c r="F1344" s="23">
        <v>62953.74</v>
      </c>
      <c r="G1344" s="22" t="s">
        <v>2406</v>
      </c>
      <c r="H1344" s="22"/>
      <c r="I1344" t="s">
        <v>2403</v>
      </c>
      <c r="K1344" s="24">
        <f t="shared" si="22"/>
        <v>0</v>
      </c>
    </row>
    <row r="1345" spans="1:11" hidden="1" x14ac:dyDescent="0.3">
      <c r="A1345" s="21">
        <v>45264</v>
      </c>
      <c r="B1345" t="s">
        <v>1871</v>
      </c>
      <c r="C1345" s="22" t="s">
        <v>1536</v>
      </c>
      <c r="D1345" s="23">
        <v>100</v>
      </c>
      <c r="E1345" s="23">
        <v>0</v>
      </c>
      <c r="F1345" s="23">
        <v>47306.42</v>
      </c>
      <c r="G1345" s="22" t="s">
        <v>2541</v>
      </c>
      <c r="H1345" s="22"/>
      <c r="I1345" t="s">
        <v>2401</v>
      </c>
      <c r="K1345" s="24">
        <f t="shared" si="22"/>
        <v>15547.32</v>
      </c>
    </row>
    <row r="1346" spans="1:11" hidden="1" x14ac:dyDescent="0.3">
      <c r="A1346" s="21">
        <v>45264</v>
      </c>
      <c r="B1346" t="s">
        <v>1872</v>
      </c>
      <c r="C1346" s="22" t="s">
        <v>1536</v>
      </c>
      <c r="D1346" s="23">
        <v>35</v>
      </c>
      <c r="E1346" s="23">
        <v>0</v>
      </c>
      <c r="F1346" s="23">
        <v>47271.42</v>
      </c>
      <c r="G1346" s="22" t="s">
        <v>2408</v>
      </c>
      <c r="H1346" s="22"/>
      <c r="I1346" t="s">
        <v>2401</v>
      </c>
      <c r="K1346" s="24">
        <f t="shared" si="22"/>
        <v>0</v>
      </c>
    </row>
    <row r="1347" spans="1:11" hidden="1" x14ac:dyDescent="0.3">
      <c r="A1347" s="21">
        <v>45264</v>
      </c>
      <c r="B1347" t="s">
        <v>1873</v>
      </c>
      <c r="C1347" s="22" t="s">
        <v>1536</v>
      </c>
      <c r="D1347" s="23">
        <v>10</v>
      </c>
      <c r="E1347" s="23">
        <v>0</v>
      </c>
      <c r="F1347" s="23">
        <v>47261.42</v>
      </c>
      <c r="G1347" s="22" t="s">
        <v>2408</v>
      </c>
      <c r="H1347" s="22"/>
      <c r="I1347" t="s">
        <v>2401</v>
      </c>
      <c r="K1347" s="24">
        <f t="shared" si="22"/>
        <v>0</v>
      </c>
    </row>
    <row r="1348" spans="1:11" hidden="1" x14ac:dyDescent="0.3">
      <c r="A1348" s="21">
        <v>45264</v>
      </c>
      <c r="B1348" t="s">
        <v>1874</v>
      </c>
      <c r="C1348" s="22" t="s">
        <v>1536</v>
      </c>
      <c r="D1348" s="23">
        <v>25</v>
      </c>
      <c r="E1348" s="23">
        <v>0</v>
      </c>
      <c r="F1348" s="23">
        <v>47236.42</v>
      </c>
      <c r="G1348" s="22" t="s">
        <v>2408</v>
      </c>
      <c r="H1348" s="22"/>
      <c r="I1348" t="s">
        <v>2401</v>
      </c>
      <c r="K1348" s="24">
        <f t="shared" si="22"/>
        <v>0</v>
      </c>
    </row>
    <row r="1349" spans="1:11" hidden="1" x14ac:dyDescent="0.3">
      <c r="A1349" s="21">
        <v>45264</v>
      </c>
      <c r="B1349" t="s">
        <v>1875</v>
      </c>
      <c r="C1349" s="22" t="s">
        <v>1536</v>
      </c>
      <c r="D1349" s="23">
        <v>60</v>
      </c>
      <c r="E1349" s="23">
        <v>0</v>
      </c>
      <c r="F1349" s="23">
        <v>47176.42</v>
      </c>
      <c r="G1349" s="22" t="s">
        <v>2408</v>
      </c>
      <c r="H1349" s="22"/>
      <c r="I1349" t="s">
        <v>2401</v>
      </c>
      <c r="K1349" s="24">
        <f t="shared" si="22"/>
        <v>0</v>
      </c>
    </row>
    <row r="1350" spans="1:11" hidden="1" x14ac:dyDescent="0.3">
      <c r="A1350" s="21">
        <v>45264</v>
      </c>
      <c r="B1350" t="s">
        <v>1876</v>
      </c>
      <c r="C1350" s="22" t="s">
        <v>1536</v>
      </c>
      <c r="D1350" s="23">
        <v>30</v>
      </c>
      <c r="E1350" s="23">
        <v>0</v>
      </c>
      <c r="F1350" s="23">
        <v>47146.42</v>
      </c>
      <c r="G1350" s="22" t="s">
        <v>2408</v>
      </c>
      <c r="H1350" s="22"/>
      <c r="I1350" t="s">
        <v>2401</v>
      </c>
      <c r="K1350" s="24">
        <f t="shared" ref="K1350:K1413" si="23">F1349-D1350+E1350-F1350</f>
        <v>0</v>
      </c>
    </row>
    <row r="1351" spans="1:11" hidden="1" x14ac:dyDescent="0.3">
      <c r="A1351" s="21">
        <v>45264</v>
      </c>
      <c r="B1351" t="s">
        <v>2600</v>
      </c>
      <c r="C1351" s="22" t="s">
        <v>1191</v>
      </c>
      <c r="D1351" s="23">
        <v>10</v>
      </c>
      <c r="E1351" s="23">
        <v>0</v>
      </c>
      <c r="F1351" s="23">
        <v>58350.02</v>
      </c>
      <c r="G1351" s="22" t="s">
        <v>2399</v>
      </c>
      <c r="H1351" s="22"/>
      <c r="I1351" t="s">
        <v>2400</v>
      </c>
      <c r="K1351" s="24">
        <f t="shared" si="23"/>
        <v>-11213.599999999999</v>
      </c>
    </row>
    <row r="1352" spans="1:11" hidden="1" x14ac:dyDescent="0.3">
      <c r="A1352" s="21">
        <v>45265</v>
      </c>
      <c r="B1352" t="s">
        <v>133</v>
      </c>
      <c r="C1352" s="22"/>
      <c r="D1352" s="23">
        <v>85.87</v>
      </c>
      <c r="E1352" s="23">
        <v>0</v>
      </c>
      <c r="F1352" s="23">
        <v>62867.87</v>
      </c>
      <c r="G1352" s="22" t="s">
        <v>2406</v>
      </c>
      <c r="H1352" s="22"/>
      <c r="I1352" t="s">
        <v>2403</v>
      </c>
      <c r="K1352" s="24">
        <f t="shared" si="23"/>
        <v>-4603.7200000000084</v>
      </c>
    </row>
    <row r="1353" spans="1:11" x14ac:dyDescent="0.3">
      <c r="A1353" s="21">
        <v>45265</v>
      </c>
      <c r="B1353" t="s">
        <v>758</v>
      </c>
      <c r="C1353" s="22"/>
      <c r="D1353" s="23">
        <v>2000</v>
      </c>
      <c r="E1353" s="23">
        <v>0</v>
      </c>
      <c r="F1353" s="23">
        <v>60867.87</v>
      </c>
      <c r="G1353" s="22" t="s">
        <v>2499</v>
      </c>
      <c r="H1353" s="22"/>
      <c r="I1353" t="s">
        <v>2403</v>
      </c>
      <c r="K1353" s="24">
        <f t="shared" si="23"/>
        <v>0</v>
      </c>
    </row>
    <row r="1354" spans="1:11" hidden="1" x14ac:dyDescent="0.3">
      <c r="A1354" s="21">
        <v>45265</v>
      </c>
      <c r="B1354" t="s">
        <v>133</v>
      </c>
      <c r="C1354" s="22"/>
      <c r="D1354" s="23">
        <v>7773.14</v>
      </c>
      <c r="E1354" s="23">
        <v>0</v>
      </c>
      <c r="F1354" s="23">
        <v>53094.73</v>
      </c>
      <c r="G1354" s="22" t="s">
        <v>2406</v>
      </c>
      <c r="H1354" s="22"/>
      <c r="I1354" t="s">
        <v>2403</v>
      </c>
      <c r="K1354" s="24">
        <f t="shared" si="23"/>
        <v>0</v>
      </c>
    </row>
    <row r="1355" spans="1:11" hidden="1" x14ac:dyDescent="0.3">
      <c r="A1355" s="21">
        <v>45265</v>
      </c>
      <c r="B1355" t="s">
        <v>1877</v>
      </c>
      <c r="C1355" s="22" t="s">
        <v>1536</v>
      </c>
      <c r="D1355" s="23">
        <v>100</v>
      </c>
      <c r="E1355" s="23">
        <v>0</v>
      </c>
      <c r="F1355" s="23">
        <v>47046.42</v>
      </c>
      <c r="G1355" s="22" t="s">
        <v>2541</v>
      </c>
      <c r="H1355" s="22"/>
      <c r="I1355" t="s">
        <v>2401</v>
      </c>
      <c r="K1355" s="24">
        <f t="shared" si="23"/>
        <v>5948.3100000000049</v>
      </c>
    </row>
    <row r="1356" spans="1:11" hidden="1" x14ac:dyDescent="0.3">
      <c r="A1356" s="21">
        <v>45265</v>
      </c>
      <c r="B1356" t="s">
        <v>1878</v>
      </c>
      <c r="C1356" s="22" t="s">
        <v>1536</v>
      </c>
      <c r="D1356" s="23">
        <v>35</v>
      </c>
      <c r="E1356" s="23">
        <v>0</v>
      </c>
      <c r="F1356" s="23">
        <v>47011.42</v>
      </c>
      <c r="G1356" s="22" t="s">
        <v>2408</v>
      </c>
      <c r="H1356" s="22"/>
      <c r="I1356" t="s">
        <v>2401</v>
      </c>
      <c r="K1356" s="24">
        <f t="shared" si="23"/>
        <v>0</v>
      </c>
    </row>
    <row r="1357" spans="1:11" hidden="1" x14ac:dyDescent="0.3">
      <c r="A1357" s="21">
        <v>45265</v>
      </c>
      <c r="B1357" t="s">
        <v>1879</v>
      </c>
      <c r="C1357" s="22" t="s">
        <v>1536</v>
      </c>
      <c r="D1357" s="23">
        <v>10</v>
      </c>
      <c r="E1357" s="23">
        <v>0</v>
      </c>
      <c r="F1357" s="23">
        <v>47001.42</v>
      </c>
      <c r="G1357" s="22" t="s">
        <v>2408</v>
      </c>
      <c r="H1357" s="22"/>
      <c r="I1357" t="s">
        <v>2401</v>
      </c>
      <c r="K1357" s="24">
        <f t="shared" si="23"/>
        <v>0</v>
      </c>
    </row>
    <row r="1358" spans="1:11" hidden="1" x14ac:dyDescent="0.3">
      <c r="A1358" s="21">
        <v>45265</v>
      </c>
      <c r="B1358" t="s">
        <v>1880</v>
      </c>
      <c r="C1358" s="22" t="s">
        <v>1536</v>
      </c>
      <c r="D1358" s="23">
        <v>29.69</v>
      </c>
      <c r="E1358" s="23">
        <v>0</v>
      </c>
      <c r="F1358" s="23">
        <v>46971.73</v>
      </c>
      <c r="G1358" s="22" t="s">
        <v>2408</v>
      </c>
      <c r="H1358" s="22"/>
      <c r="I1358" t="s">
        <v>2401</v>
      </c>
      <c r="K1358" s="24">
        <f t="shared" si="23"/>
        <v>0</v>
      </c>
    </row>
    <row r="1359" spans="1:11" hidden="1" x14ac:dyDescent="0.3">
      <c r="A1359" s="21">
        <v>45265</v>
      </c>
      <c r="B1359" t="s">
        <v>1881</v>
      </c>
      <c r="C1359" s="22" t="s">
        <v>1536</v>
      </c>
      <c r="D1359" s="23">
        <v>10</v>
      </c>
      <c r="E1359" s="23">
        <v>0</v>
      </c>
      <c r="F1359" s="23">
        <v>46961.73</v>
      </c>
      <c r="G1359" s="22" t="s">
        <v>2408</v>
      </c>
      <c r="H1359" s="22"/>
      <c r="I1359" t="s">
        <v>2401</v>
      </c>
      <c r="K1359" s="24">
        <f t="shared" si="23"/>
        <v>0</v>
      </c>
    </row>
    <row r="1360" spans="1:11" hidden="1" x14ac:dyDescent="0.3">
      <c r="A1360" s="21">
        <v>45265</v>
      </c>
      <c r="B1360" t="s">
        <v>1882</v>
      </c>
      <c r="C1360" s="22" t="s">
        <v>1536</v>
      </c>
      <c r="D1360" s="23">
        <v>90</v>
      </c>
      <c r="E1360" s="23">
        <v>0</v>
      </c>
      <c r="F1360" s="23">
        <v>46871.73</v>
      </c>
      <c r="G1360" s="22" t="s">
        <v>2408</v>
      </c>
      <c r="H1360" s="22"/>
      <c r="I1360" t="s">
        <v>2401</v>
      </c>
      <c r="K1360" s="24">
        <f t="shared" si="23"/>
        <v>0</v>
      </c>
    </row>
    <row r="1361" spans="1:11" hidden="1" x14ac:dyDescent="0.3">
      <c r="A1361" s="21">
        <v>45265</v>
      </c>
      <c r="B1361" t="s">
        <v>1883</v>
      </c>
      <c r="C1361" s="22" t="s">
        <v>1536</v>
      </c>
      <c r="D1361" s="23">
        <v>20</v>
      </c>
      <c r="E1361" s="23">
        <v>0</v>
      </c>
      <c r="F1361" s="23">
        <v>46851.73</v>
      </c>
      <c r="G1361" s="22" t="s">
        <v>2408</v>
      </c>
      <c r="H1361" s="22"/>
      <c r="I1361" t="s">
        <v>2401</v>
      </c>
      <c r="K1361" s="24">
        <f t="shared" si="23"/>
        <v>0</v>
      </c>
    </row>
    <row r="1362" spans="1:11" hidden="1" x14ac:dyDescent="0.3">
      <c r="A1362" s="21">
        <v>45266</v>
      </c>
      <c r="B1362" t="s">
        <v>496</v>
      </c>
      <c r="C1362" s="22"/>
      <c r="D1362" s="23">
        <v>0</v>
      </c>
      <c r="E1362" s="23">
        <v>46569.07</v>
      </c>
      <c r="F1362" s="23">
        <v>99663.8</v>
      </c>
      <c r="G1362" s="22" t="s">
        <v>2406</v>
      </c>
      <c r="H1362" s="22"/>
      <c r="I1362" t="s">
        <v>2403</v>
      </c>
      <c r="K1362" s="24">
        <f t="shared" si="23"/>
        <v>-6243</v>
      </c>
    </row>
    <row r="1363" spans="1:11" hidden="1" x14ac:dyDescent="0.3">
      <c r="A1363" s="21">
        <v>45266</v>
      </c>
      <c r="B1363" t="s">
        <v>133</v>
      </c>
      <c r="C1363" s="22"/>
      <c r="D1363" s="23">
        <v>94.99</v>
      </c>
      <c r="E1363" s="23">
        <v>0</v>
      </c>
      <c r="F1363" s="23">
        <v>99568.81</v>
      </c>
      <c r="G1363" s="22" t="s">
        <v>2406</v>
      </c>
      <c r="H1363" s="22"/>
      <c r="I1363" t="s">
        <v>2403</v>
      </c>
      <c r="K1363" s="24">
        <f t="shared" si="23"/>
        <v>0</v>
      </c>
    </row>
    <row r="1364" spans="1:11" hidden="1" x14ac:dyDescent="0.3">
      <c r="A1364" s="21">
        <v>45266</v>
      </c>
      <c r="B1364" t="s">
        <v>133</v>
      </c>
      <c r="C1364" s="22"/>
      <c r="D1364" s="23">
        <v>83125.399999999994</v>
      </c>
      <c r="E1364" s="23">
        <v>0</v>
      </c>
      <c r="F1364" s="23">
        <v>16443.41</v>
      </c>
      <c r="G1364" s="22" t="s">
        <v>2406</v>
      </c>
      <c r="H1364" s="22"/>
      <c r="I1364" t="s">
        <v>2403</v>
      </c>
      <c r="K1364" s="24">
        <f t="shared" si="23"/>
        <v>0</v>
      </c>
    </row>
    <row r="1365" spans="1:11" hidden="1" x14ac:dyDescent="0.3">
      <c r="A1365" s="21">
        <v>45266</v>
      </c>
      <c r="B1365" t="s">
        <v>1884</v>
      </c>
      <c r="C1365" s="22" t="s">
        <v>1536</v>
      </c>
      <c r="D1365" s="23">
        <v>100</v>
      </c>
      <c r="E1365" s="23">
        <v>0</v>
      </c>
      <c r="F1365" s="23">
        <v>46751.73</v>
      </c>
      <c r="G1365" s="22" t="s">
        <v>2541</v>
      </c>
      <c r="H1365" s="22"/>
      <c r="I1365" t="s">
        <v>2401</v>
      </c>
      <c r="K1365" s="24">
        <f t="shared" si="23"/>
        <v>-30408.320000000003</v>
      </c>
    </row>
    <row r="1366" spans="1:11" hidden="1" x14ac:dyDescent="0.3">
      <c r="A1366" s="21">
        <v>45266</v>
      </c>
      <c r="B1366" t="s">
        <v>1885</v>
      </c>
      <c r="C1366" s="22" t="s">
        <v>1536</v>
      </c>
      <c r="D1366" s="23">
        <v>35</v>
      </c>
      <c r="E1366" s="23">
        <v>0</v>
      </c>
      <c r="F1366" s="23">
        <v>46716.73</v>
      </c>
      <c r="G1366" s="22" t="s">
        <v>2408</v>
      </c>
      <c r="H1366" s="22"/>
      <c r="I1366" t="s">
        <v>2401</v>
      </c>
      <c r="K1366" s="24">
        <f t="shared" si="23"/>
        <v>0</v>
      </c>
    </row>
    <row r="1367" spans="1:11" hidden="1" x14ac:dyDescent="0.3">
      <c r="A1367" s="21">
        <v>45266</v>
      </c>
      <c r="B1367" t="s">
        <v>1886</v>
      </c>
      <c r="C1367" s="22" t="s">
        <v>1536</v>
      </c>
      <c r="D1367" s="23">
        <v>10</v>
      </c>
      <c r="E1367" s="23">
        <v>0</v>
      </c>
      <c r="F1367" s="23">
        <v>46706.73</v>
      </c>
      <c r="G1367" s="22" t="s">
        <v>2408</v>
      </c>
      <c r="H1367" s="22"/>
      <c r="I1367" t="s">
        <v>2401</v>
      </c>
      <c r="K1367" s="24">
        <f t="shared" si="23"/>
        <v>0</v>
      </c>
    </row>
    <row r="1368" spans="1:11" hidden="1" x14ac:dyDescent="0.3">
      <c r="A1368" s="21">
        <v>45266</v>
      </c>
      <c r="B1368" t="s">
        <v>1887</v>
      </c>
      <c r="C1368" s="22" t="s">
        <v>1536</v>
      </c>
      <c r="D1368" s="23">
        <v>26</v>
      </c>
      <c r="E1368" s="23">
        <v>0</v>
      </c>
      <c r="F1368" s="23">
        <v>46680.73</v>
      </c>
      <c r="G1368" s="22" t="s">
        <v>2408</v>
      </c>
      <c r="H1368" s="22"/>
      <c r="I1368" t="s">
        <v>2401</v>
      </c>
      <c r="K1368" s="24">
        <f t="shared" si="23"/>
        <v>0</v>
      </c>
    </row>
    <row r="1369" spans="1:11" hidden="1" x14ac:dyDescent="0.3">
      <c r="A1369" s="21">
        <v>45266</v>
      </c>
      <c r="B1369" t="s">
        <v>1888</v>
      </c>
      <c r="C1369" s="22" t="s">
        <v>1536</v>
      </c>
      <c r="D1369" s="23">
        <v>90</v>
      </c>
      <c r="E1369" s="23">
        <v>0</v>
      </c>
      <c r="F1369" s="23">
        <v>46590.73</v>
      </c>
      <c r="G1369" s="22" t="s">
        <v>2408</v>
      </c>
      <c r="H1369" s="22"/>
      <c r="I1369" t="s">
        <v>2401</v>
      </c>
      <c r="K1369" s="24">
        <f t="shared" si="23"/>
        <v>0</v>
      </c>
    </row>
    <row r="1370" spans="1:11" hidden="1" x14ac:dyDescent="0.3">
      <c r="A1370" s="21">
        <v>45266</v>
      </c>
      <c r="B1370" t="s">
        <v>1889</v>
      </c>
      <c r="C1370" s="22" t="s">
        <v>1536</v>
      </c>
      <c r="D1370" s="23">
        <v>20</v>
      </c>
      <c r="E1370" s="23">
        <v>0</v>
      </c>
      <c r="F1370" s="23">
        <v>46570.73</v>
      </c>
      <c r="G1370" s="22" t="s">
        <v>2408</v>
      </c>
      <c r="H1370" s="22"/>
      <c r="I1370" t="s">
        <v>2401</v>
      </c>
      <c r="K1370" s="24">
        <f t="shared" si="23"/>
        <v>0</v>
      </c>
    </row>
    <row r="1371" spans="1:11" hidden="1" x14ac:dyDescent="0.3">
      <c r="A1371" s="21">
        <v>45266</v>
      </c>
      <c r="B1371" t="s">
        <v>1890</v>
      </c>
      <c r="C1371" s="22" t="s">
        <v>1536</v>
      </c>
      <c r="D1371" s="23">
        <v>20</v>
      </c>
      <c r="E1371" s="23">
        <v>0</v>
      </c>
      <c r="F1371" s="23">
        <v>46550.73</v>
      </c>
      <c r="G1371" s="22" t="s">
        <v>2408</v>
      </c>
      <c r="H1371" s="22"/>
      <c r="I1371" t="s">
        <v>2401</v>
      </c>
      <c r="K1371" s="24">
        <f t="shared" si="23"/>
        <v>0</v>
      </c>
    </row>
    <row r="1372" spans="1:11" hidden="1" x14ac:dyDescent="0.3">
      <c r="A1372" s="21">
        <v>45266</v>
      </c>
      <c r="B1372" t="s">
        <v>1891</v>
      </c>
      <c r="C1372" s="22" t="s">
        <v>1536</v>
      </c>
      <c r="D1372" s="23">
        <v>281</v>
      </c>
      <c r="E1372" s="23">
        <v>0</v>
      </c>
      <c r="F1372" s="23">
        <v>46269.73</v>
      </c>
      <c r="G1372" s="22" t="s">
        <v>2399</v>
      </c>
      <c r="H1372" s="22"/>
      <c r="I1372" t="s">
        <v>2401</v>
      </c>
      <c r="K1372" s="24">
        <f t="shared" si="23"/>
        <v>0</v>
      </c>
    </row>
    <row r="1373" spans="1:11" hidden="1" x14ac:dyDescent="0.3">
      <c r="A1373" s="21">
        <v>45267</v>
      </c>
      <c r="B1373" t="s">
        <v>496</v>
      </c>
      <c r="C1373" s="22"/>
      <c r="D1373" s="23">
        <v>0</v>
      </c>
      <c r="E1373" s="23">
        <v>45687.85</v>
      </c>
      <c r="F1373" s="23">
        <v>62131.26</v>
      </c>
      <c r="G1373" s="22" t="s">
        <v>2406</v>
      </c>
      <c r="H1373" s="22"/>
      <c r="I1373" t="s">
        <v>2403</v>
      </c>
      <c r="K1373" s="24">
        <f t="shared" si="23"/>
        <v>29826.32</v>
      </c>
    </row>
    <row r="1374" spans="1:11" hidden="1" x14ac:dyDescent="0.3">
      <c r="A1374" s="21">
        <v>45267</v>
      </c>
      <c r="B1374" t="s">
        <v>765</v>
      </c>
      <c r="C1374" s="22"/>
      <c r="D1374" s="23">
        <v>0</v>
      </c>
      <c r="E1374" s="23">
        <v>118595.14</v>
      </c>
      <c r="F1374" s="23">
        <v>180726.39999999999</v>
      </c>
      <c r="G1374" s="22" t="s">
        <v>2601</v>
      </c>
      <c r="H1374" s="22"/>
      <c r="I1374" t="s">
        <v>2403</v>
      </c>
      <c r="K1374" s="24">
        <f t="shared" si="23"/>
        <v>0</v>
      </c>
    </row>
    <row r="1375" spans="1:11" hidden="1" x14ac:dyDescent="0.3">
      <c r="A1375" s="21">
        <v>45267</v>
      </c>
      <c r="B1375" t="s">
        <v>133</v>
      </c>
      <c r="C1375" s="22"/>
      <c r="D1375" s="23">
        <v>72.64</v>
      </c>
      <c r="E1375" s="23">
        <v>0</v>
      </c>
      <c r="F1375" s="23">
        <v>180653.76</v>
      </c>
      <c r="G1375" s="22" t="s">
        <v>2406</v>
      </c>
      <c r="H1375" s="22"/>
      <c r="I1375" t="s">
        <v>2403</v>
      </c>
      <c r="K1375" s="24">
        <f t="shared" si="23"/>
        <v>0</v>
      </c>
    </row>
    <row r="1376" spans="1:11" hidden="1" x14ac:dyDescent="0.3">
      <c r="A1376" s="21">
        <v>45267</v>
      </c>
      <c r="B1376" t="s">
        <v>768</v>
      </c>
      <c r="C1376" s="22"/>
      <c r="D1376" s="23">
        <v>120000</v>
      </c>
      <c r="E1376" s="23">
        <v>0</v>
      </c>
      <c r="F1376" s="23">
        <v>60653.760000000002</v>
      </c>
      <c r="G1376" s="22" t="s">
        <v>2602</v>
      </c>
      <c r="H1376" s="22"/>
      <c r="I1376" t="s">
        <v>2403</v>
      </c>
      <c r="K1376" s="24">
        <f t="shared" si="23"/>
        <v>0</v>
      </c>
    </row>
    <row r="1377" spans="1:11" hidden="1" x14ac:dyDescent="0.3">
      <c r="A1377" s="21">
        <v>45267</v>
      </c>
      <c r="B1377" t="s">
        <v>770</v>
      </c>
      <c r="C1377" s="22"/>
      <c r="D1377" s="23">
        <v>0</v>
      </c>
      <c r="E1377" s="23">
        <v>81</v>
      </c>
      <c r="F1377" s="23">
        <v>60734.76</v>
      </c>
      <c r="G1377" s="22" t="s">
        <v>2409</v>
      </c>
      <c r="H1377" s="22"/>
      <c r="I1377" t="s">
        <v>2403</v>
      </c>
      <c r="K1377" s="24">
        <f t="shared" si="23"/>
        <v>0</v>
      </c>
    </row>
    <row r="1378" spans="1:11" hidden="1" x14ac:dyDescent="0.3">
      <c r="A1378" s="21">
        <v>45267</v>
      </c>
      <c r="B1378" t="s">
        <v>772</v>
      </c>
      <c r="C1378" s="22"/>
      <c r="D1378" s="23">
        <v>0</v>
      </c>
      <c r="E1378" s="23">
        <v>1880</v>
      </c>
      <c r="F1378" s="23">
        <v>62614.76</v>
      </c>
      <c r="G1378" s="22" t="s">
        <v>2407</v>
      </c>
      <c r="H1378" s="22"/>
      <c r="I1378" t="s">
        <v>2403</v>
      </c>
      <c r="K1378" s="24">
        <f t="shared" si="23"/>
        <v>0</v>
      </c>
    </row>
    <row r="1379" spans="1:11" hidden="1" x14ac:dyDescent="0.3">
      <c r="A1379" s="21">
        <v>45267</v>
      </c>
      <c r="B1379" t="s">
        <v>133</v>
      </c>
      <c r="C1379" s="22"/>
      <c r="D1379" s="23">
        <v>22187.200000000001</v>
      </c>
      <c r="E1379" s="23">
        <v>0</v>
      </c>
      <c r="F1379" s="23">
        <v>40427.56</v>
      </c>
      <c r="G1379" s="22" t="s">
        <v>2406</v>
      </c>
      <c r="H1379" s="22"/>
      <c r="I1379" t="s">
        <v>2403</v>
      </c>
      <c r="K1379" s="24">
        <f t="shared" si="23"/>
        <v>0</v>
      </c>
    </row>
    <row r="1380" spans="1:11" hidden="1" x14ac:dyDescent="0.3">
      <c r="A1380" s="21">
        <v>45267</v>
      </c>
      <c r="B1380" t="s">
        <v>1892</v>
      </c>
      <c r="C1380" s="22" t="s">
        <v>1536</v>
      </c>
      <c r="D1380" s="23">
        <v>783</v>
      </c>
      <c r="E1380" s="23">
        <v>0</v>
      </c>
      <c r="F1380" s="23">
        <v>45486.73</v>
      </c>
      <c r="G1380" s="22" t="s">
        <v>2399</v>
      </c>
      <c r="H1380" s="22"/>
      <c r="I1380" t="s">
        <v>2401</v>
      </c>
      <c r="K1380" s="24">
        <f t="shared" si="23"/>
        <v>-5842.1700000000055</v>
      </c>
    </row>
    <row r="1381" spans="1:11" hidden="1" x14ac:dyDescent="0.3">
      <c r="A1381" s="21">
        <v>45267</v>
      </c>
      <c r="B1381" t="s">
        <v>1893</v>
      </c>
      <c r="C1381" s="22" t="s">
        <v>1536</v>
      </c>
      <c r="D1381" s="23">
        <v>100</v>
      </c>
      <c r="E1381" s="23">
        <v>0</v>
      </c>
      <c r="F1381" s="23">
        <v>45386.73</v>
      </c>
      <c r="G1381" s="22" t="s">
        <v>2541</v>
      </c>
      <c r="H1381" s="22"/>
      <c r="I1381" t="s">
        <v>2401</v>
      </c>
      <c r="K1381" s="24">
        <f t="shared" si="23"/>
        <v>0</v>
      </c>
    </row>
    <row r="1382" spans="1:11" hidden="1" x14ac:dyDescent="0.3">
      <c r="A1382" s="21">
        <v>45267</v>
      </c>
      <c r="B1382" t="s">
        <v>1894</v>
      </c>
      <c r="C1382" s="22" t="s">
        <v>1536</v>
      </c>
      <c r="D1382" s="23">
        <v>23</v>
      </c>
      <c r="E1382" s="23">
        <v>0</v>
      </c>
      <c r="F1382" s="23">
        <v>45363.73</v>
      </c>
      <c r="G1382" s="22" t="s">
        <v>2408</v>
      </c>
      <c r="H1382" s="22"/>
      <c r="I1382" t="s">
        <v>2401</v>
      </c>
      <c r="K1382" s="24">
        <f t="shared" si="23"/>
        <v>0</v>
      </c>
    </row>
    <row r="1383" spans="1:11" hidden="1" x14ac:dyDescent="0.3">
      <c r="A1383" s="21">
        <v>45267</v>
      </c>
      <c r="B1383" t="s">
        <v>1895</v>
      </c>
      <c r="C1383" s="22" t="s">
        <v>1536</v>
      </c>
      <c r="D1383" s="23">
        <v>80</v>
      </c>
      <c r="E1383" s="23">
        <v>0</v>
      </c>
      <c r="F1383" s="23">
        <v>45283.73</v>
      </c>
      <c r="G1383" s="22" t="s">
        <v>2408</v>
      </c>
      <c r="H1383" s="22"/>
      <c r="I1383" t="s">
        <v>2401</v>
      </c>
      <c r="K1383" s="24">
        <f t="shared" si="23"/>
        <v>0</v>
      </c>
    </row>
    <row r="1384" spans="1:11" hidden="1" x14ac:dyDescent="0.3">
      <c r="A1384" s="21">
        <v>45267</v>
      </c>
      <c r="B1384" t="s">
        <v>1896</v>
      </c>
      <c r="C1384" s="22" t="s">
        <v>1536</v>
      </c>
      <c r="D1384" s="23">
        <v>15</v>
      </c>
      <c r="E1384" s="23">
        <v>0</v>
      </c>
      <c r="F1384" s="23">
        <v>45268.73</v>
      </c>
      <c r="G1384" s="22" t="s">
        <v>2408</v>
      </c>
      <c r="H1384" s="22"/>
      <c r="I1384" t="s">
        <v>2401</v>
      </c>
      <c r="K1384" s="24">
        <f t="shared" si="23"/>
        <v>0</v>
      </c>
    </row>
    <row r="1385" spans="1:11" hidden="1" x14ac:dyDescent="0.3">
      <c r="A1385" s="21">
        <v>45268</v>
      </c>
      <c r="B1385" t="s">
        <v>133</v>
      </c>
      <c r="C1385" s="22"/>
      <c r="D1385" s="23">
        <v>101.43</v>
      </c>
      <c r="E1385" s="23">
        <v>0</v>
      </c>
      <c r="F1385" s="23">
        <v>40326.129999999997</v>
      </c>
      <c r="G1385" s="22" t="s">
        <v>2406</v>
      </c>
      <c r="H1385" s="22"/>
      <c r="I1385" t="s">
        <v>2403</v>
      </c>
      <c r="K1385" s="24">
        <f t="shared" si="23"/>
        <v>4841.1700000000055</v>
      </c>
    </row>
    <row r="1386" spans="1:11" hidden="1" x14ac:dyDescent="0.3">
      <c r="A1386" s="21">
        <v>45268</v>
      </c>
      <c r="B1386" t="s">
        <v>776</v>
      </c>
      <c r="C1386" s="22"/>
      <c r="D1386" s="23">
        <v>1101.32</v>
      </c>
      <c r="E1386" s="23">
        <v>0</v>
      </c>
      <c r="F1386" s="23">
        <v>39224.81</v>
      </c>
      <c r="G1386" s="22" t="s">
        <v>2410</v>
      </c>
      <c r="H1386" s="22"/>
      <c r="I1386" t="s">
        <v>2403</v>
      </c>
      <c r="K1386" s="24">
        <f t="shared" si="23"/>
        <v>0</v>
      </c>
    </row>
    <row r="1387" spans="1:11" hidden="1" x14ac:dyDescent="0.3">
      <c r="A1387" s="21">
        <v>45268</v>
      </c>
      <c r="B1387" t="s">
        <v>133</v>
      </c>
      <c r="C1387" s="22"/>
      <c r="D1387" s="23">
        <v>1117.75</v>
      </c>
      <c r="E1387" s="23">
        <v>0</v>
      </c>
      <c r="F1387" s="23">
        <v>38107.06</v>
      </c>
      <c r="G1387" s="22" t="s">
        <v>2406</v>
      </c>
      <c r="H1387" s="22"/>
      <c r="I1387" t="s">
        <v>2403</v>
      </c>
      <c r="K1387" s="24">
        <f t="shared" si="23"/>
        <v>0</v>
      </c>
    </row>
    <row r="1388" spans="1:11" hidden="1" x14ac:dyDescent="0.3">
      <c r="A1388" s="21">
        <v>45268</v>
      </c>
      <c r="B1388" t="s">
        <v>1897</v>
      </c>
      <c r="C1388" s="22" t="s">
        <v>1536</v>
      </c>
      <c r="D1388" s="23">
        <v>100</v>
      </c>
      <c r="E1388" s="23">
        <v>0</v>
      </c>
      <c r="F1388" s="23">
        <v>45168.73</v>
      </c>
      <c r="G1388" s="22" t="s">
        <v>2541</v>
      </c>
      <c r="H1388" s="22"/>
      <c r="I1388" t="s">
        <v>2401</v>
      </c>
      <c r="K1388" s="24">
        <f t="shared" si="23"/>
        <v>-7161.6700000000055</v>
      </c>
    </row>
    <row r="1389" spans="1:11" hidden="1" x14ac:dyDescent="0.3">
      <c r="A1389" s="21">
        <v>45268</v>
      </c>
      <c r="B1389" t="s">
        <v>1898</v>
      </c>
      <c r="C1389" s="22" t="s">
        <v>1536</v>
      </c>
      <c r="D1389" s="23">
        <v>20</v>
      </c>
      <c r="E1389" s="23">
        <v>0</v>
      </c>
      <c r="F1389" s="23">
        <v>45148.73</v>
      </c>
      <c r="G1389" s="22" t="s">
        <v>2408</v>
      </c>
      <c r="H1389" s="22"/>
      <c r="I1389" t="s">
        <v>2401</v>
      </c>
      <c r="K1389" s="24">
        <f t="shared" si="23"/>
        <v>0</v>
      </c>
    </row>
    <row r="1390" spans="1:11" hidden="1" x14ac:dyDescent="0.3">
      <c r="A1390" s="21">
        <v>45268</v>
      </c>
      <c r="B1390" t="s">
        <v>1899</v>
      </c>
      <c r="C1390" s="22" t="s">
        <v>1536</v>
      </c>
      <c r="D1390" s="23">
        <v>35</v>
      </c>
      <c r="E1390" s="23">
        <v>0</v>
      </c>
      <c r="F1390" s="23">
        <v>45113.73</v>
      </c>
      <c r="G1390" s="22" t="s">
        <v>2408</v>
      </c>
      <c r="H1390" s="22"/>
      <c r="I1390" t="s">
        <v>2401</v>
      </c>
      <c r="K1390" s="24">
        <f t="shared" si="23"/>
        <v>0</v>
      </c>
    </row>
    <row r="1391" spans="1:11" hidden="1" x14ac:dyDescent="0.3">
      <c r="A1391" s="21">
        <v>45268</v>
      </c>
      <c r="B1391" t="s">
        <v>1900</v>
      </c>
      <c r="C1391" s="22" t="s">
        <v>1536</v>
      </c>
      <c r="D1391" s="23">
        <v>23</v>
      </c>
      <c r="E1391" s="23">
        <v>0</v>
      </c>
      <c r="F1391" s="23">
        <v>45090.73</v>
      </c>
      <c r="G1391" s="22" t="s">
        <v>2408</v>
      </c>
      <c r="H1391" s="22"/>
      <c r="I1391" t="s">
        <v>2401</v>
      </c>
      <c r="K1391" s="24">
        <f t="shared" si="23"/>
        <v>0</v>
      </c>
    </row>
    <row r="1392" spans="1:11" hidden="1" x14ac:dyDescent="0.3">
      <c r="A1392" s="21">
        <v>45268</v>
      </c>
      <c r="B1392" t="s">
        <v>1901</v>
      </c>
      <c r="C1392" s="22" t="s">
        <v>1536</v>
      </c>
      <c r="D1392" s="23">
        <v>0</v>
      </c>
      <c r="E1392" s="23">
        <v>200</v>
      </c>
      <c r="F1392" s="23">
        <v>45290.73</v>
      </c>
      <c r="G1392" s="22" t="s">
        <v>2399</v>
      </c>
      <c r="H1392" s="22"/>
      <c r="I1392" t="s">
        <v>2401</v>
      </c>
      <c r="K1392" s="24">
        <f t="shared" si="23"/>
        <v>0</v>
      </c>
    </row>
    <row r="1393" spans="1:11" hidden="1" x14ac:dyDescent="0.3">
      <c r="A1393" s="21">
        <v>45268</v>
      </c>
      <c r="B1393" t="s">
        <v>1902</v>
      </c>
      <c r="C1393" s="22" t="s">
        <v>1536</v>
      </c>
      <c r="D1393" s="23">
        <v>2545</v>
      </c>
      <c r="E1393" s="23">
        <v>0</v>
      </c>
      <c r="F1393" s="23">
        <v>42745.73</v>
      </c>
      <c r="G1393" s="22" t="s">
        <v>2399</v>
      </c>
      <c r="H1393" s="22"/>
      <c r="I1393" t="s">
        <v>2401</v>
      </c>
      <c r="K1393" s="24">
        <f t="shared" si="23"/>
        <v>0</v>
      </c>
    </row>
    <row r="1394" spans="1:11" hidden="1" x14ac:dyDescent="0.3">
      <c r="A1394" s="21">
        <v>45268</v>
      </c>
      <c r="B1394" t="s">
        <v>1903</v>
      </c>
      <c r="C1394" s="22" t="s">
        <v>1536</v>
      </c>
      <c r="D1394" s="23">
        <v>26</v>
      </c>
      <c r="E1394" s="23">
        <v>0</v>
      </c>
      <c r="F1394" s="23">
        <v>42719.73</v>
      </c>
      <c r="G1394" s="22" t="s">
        <v>2408</v>
      </c>
      <c r="H1394" s="22"/>
      <c r="I1394" t="s">
        <v>2401</v>
      </c>
      <c r="K1394" s="24">
        <f t="shared" si="23"/>
        <v>0</v>
      </c>
    </row>
    <row r="1395" spans="1:11" hidden="1" x14ac:dyDescent="0.3">
      <c r="A1395" s="21">
        <v>45268</v>
      </c>
      <c r="B1395" t="s">
        <v>1904</v>
      </c>
      <c r="C1395" s="22" t="s">
        <v>1536</v>
      </c>
      <c r="D1395" s="23">
        <v>75</v>
      </c>
      <c r="E1395" s="23">
        <v>0</v>
      </c>
      <c r="F1395" s="23">
        <v>42644.73</v>
      </c>
      <c r="G1395" s="22" t="s">
        <v>2408</v>
      </c>
      <c r="H1395" s="22"/>
      <c r="I1395" t="s">
        <v>2401</v>
      </c>
      <c r="K1395" s="24">
        <f t="shared" si="23"/>
        <v>0</v>
      </c>
    </row>
    <row r="1396" spans="1:11" hidden="1" x14ac:dyDescent="0.3">
      <c r="A1396" s="21">
        <v>45268</v>
      </c>
      <c r="B1396" t="s">
        <v>1905</v>
      </c>
      <c r="C1396" s="22" t="s">
        <v>1536</v>
      </c>
      <c r="D1396" s="23">
        <v>550</v>
      </c>
      <c r="E1396" s="23">
        <v>0</v>
      </c>
      <c r="F1396" s="23">
        <v>42094.73</v>
      </c>
      <c r="G1396" s="22" t="s">
        <v>2399</v>
      </c>
      <c r="H1396" s="22"/>
      <c r="I1396" t="s">
        <v>2401</v>
      </c>
      <c r="K1396" s="24">
        <f t="shared" si="23"/>
        <v>0</v>
      </c>
    </row>
    <row r="1397" spans="1:11" hidden="1" x14ac:dyDescent="0.3">
      <c r="A1397" s="21">
        <v>45268</v>
      </c>
      <c r="B1397" t="s">
        <v>1906</v>
      </c>
      <c r="C1397" s="22" t="s">
        <v>1536</v>
      </c>
      <c r="D1397" s="23">
        <v>136</v>
      </c>
      <c r="E1397" s="23">
        <v>0</v>
      </c>
      <c r="F1397" s="23">
        <v>41958.73</v>
      </c>
      <c r="G1397" s="22" t="s">
        <v>2399</v>
      </c>
      <c r="H1397" s="22"/>
      <c r="I1397" t="s">
        <v>2401</v>
      </c>
      <c r="K1397" s="24">
        <f t="shared" si="23"/>
        <v>0</v>
      </c>
    </row>
    <row r="1398" spans="1:11" hidden="1" x14ac:dyDescent="0.3">
      <c r="A1398" s="21">
        <v>45268</v>
      </c>
      <c r="B1398" t="s">
        <v>2603</v>
      </c>
      <c r="C1398" s="22" t="s">
        <v>2604</v>
      </c>
      <c r="D1398" s="23">
        <v>0</v>
      </c>
      <c r="E1398" s="23">
        <v>122.22</v>
      </c>
      <c r="F1398" s="23">
        <v>58472.24</v>
      </c>
      <c r="G1398" s="22" t="s">
        <v>2409</v>
      </c>
      <c r="H1398" s="22"/>
      <c r="I1398" t="s">
        <v>2400</v>
      </c>
      <c r="K1398" s="24">
        <f t="shared" si="23"/>
        <v>-16391.289999999994</v>
      </c>
    </row>
    <row r="1399" spans="1:11" hidden="1" x14ac:dyDescent="0.3">
      <c r="A1399" s="21">
        <v>45269</v>
      </c>
      <c r="B1399" t="s">
        <v>1907</v>
      </c>
      <c r="C1399" s="22" t="s">
        <v>1536</v>
      </c>
      <c r="D1399" s="23">
        <v>100</v>
      </c>
      <c r="E1399" s="23">
        <v>0</v>
      </c>
      <c r="F1399" s="23">
        <v>41858.730000000003</v>
      </c>
      <c r="G1399" s="22" t="s">
        <v>2541</v>
      </c>
      <c r="H1399" s="22"/>
      <c r="I1399" t="s">
        <v>2401</v>
      </c>
      <c r="K1399" s="24">
        <f t="shared" si="23"/>
        <v>16513.509999999995</v>
      </c>
    </row>
    <row r="1400" spans="1:11" hidden="1" x14ac:dyDescent="0.3">
      <c r="A1400" s="21">
        <v>45269</v>
      </c>
      <c r="B1400" t="s">
        <v>1908</v>
      </c>
      <c r="C1400" s="22" t="s">
        <v>1536</v>
      </c>
      <c r="D1400" s="23">
        <v>284</v>
      </c>
      <c r="E1400" s="23">
        <v>0</v>
      </c>
      <c r="F1400" s="23">
        <v>41574.730000000003</v>
      </c>
      <c r="G1400" s="22" t="s">
        <v>2399</v>
      </c>
      <c r="H1400" s="22"/>
      <c r="I1400" t="s">
        <v>2401</v>
      </c>
      <c r="K1400" s="24">
        <f t="shared" si="23"/>
        <v>0</v>
      </c>
    </row>
    <row r="1401" spans="1:11" hidden="1" x14ac:dyDescent="0.3">
      <c r="A1401" s="21">
        <v>45270</v>
      </c>
      <c r="B1401" t="s">
        <v>1909</v>
      </c>
      <c r="C1401" s="22" t="s">
        <v>1536</v>
      </c>
      <c r="D1401" s="23">
        <v>100</v>
      </c>
      <c r="E1401" s="23">
        <v>0</v>
      </c>
      <c r="F1401" s="23">
        <v>41474.730000000003</v>
      </c>
      <c r="G1401" s="22" t="s">
        <v>2541</v>
      </c>
      <c r="H1401" s="22"/>
      <c r="I1401" t="s">
        <v>2401</v>
      </c>
      <c r="K1401" s="24">
        <f t="shared" si="23"/>
        <v>0</v>
      </c>
    </row>
    <row r="1402" spans="1:11" hidden="1" x14ac:dyDescent="0.3">
      <c r="A1402" s="21">
        <v>45270</v>
      </c>
      <c r="B1402" t="s">
        <v>1910</v>
      </c>
      <c r="C1402" s="22" t="s">
        <v>1536</v>
      </c>
      <c r="D1402" s="23">
        <v>15</v>
      </c>
      <c r="E1402" s="23">
        <v>0</v>
      </c>
      <c r="F1402" s="23">
        <v>41459.730000000003</v>
      </c>
      <c r="G1402" s="22" t="s">
        <v>2408</v>
      </c>
      <c r="H1402" s="22"/>
      <c r="I1402" t="s">
        <v>2401</v>
      </c>
      <c r="K1402" s="24">
        <f t="shared" si="23"/>
        <v>0</v>
      </c>
    </row>
    <row r="1403" spans="1:11" hidden="1" x14ac:dyDescent="0.3">
      <c r="A1403" s="21">
        <v>45270</v>
      </c>
      <c r="B1403" t="s">
        <v>1911</v>
      </c>
      <c r="C1403" s="22" t="s">
        <v>1536</v>
      </c>
      <c r="D1403" s="23">
        <v>61</v>
      </c>
      <c r="E1403" s="23">
        <v>0</v>
      </c>
      <c r="F1403" s="23">
        <v>41398.730000000003</v>
      </c>
      <c r="G1403" s="22" t="s">
        <v>2408</v>
      </c>
      <c r="H1403" s="22"/>
      <c r="I1403" t="s">
        <v>2401</v>
      </c>
      <c r="K1403" s="24">
        <f t="shared" si="23"/>
        <v>0</v>
      </c>
    </row>
    <row r="1404" spans="1:11" hidden="1" x14ac:dyDescent="0.3">
      <c r="A1404" s="21">
        <v>45270</v>
      </c>
      <c r="B1404" t="s">
        <v>1912</v>
      </c>
      <c r="C1404" s="22" t="s">
        <v>1536</v>
      </c>
      <c r="D1404" s="23">
        <v>44.12</v>
      </c>
      <c r="E1404" s="23">
        <v>0</v>
      </c>
      <c r="F1404" s="23">
        <v>41354.61</v>
      </c>
      <c r="G1404" s="22" t="s">
        <v>2408</v>
      </c>
      <c r="H1404" s="22"/>
      <c r="I1404" t="s">
        <v>2401</v>
      </c>
      <c r="K1404" s="24">
        <f t="shared" si="23"/>
        <v>0</v>
      </c>
    </row>
    <row r="1405" spans="1:11" hidden="1" x14ac:dyDescent="0.3">
      <c r="A1405" s="21">
        <v>45270</v>
      </c>
      <c r="B1405" t="s">
        <v>1913</v>
      </c>
      <c r="C1405" s="22" t="s">
        <v>1536</v>
      </c>
      <c r="D1405" s="23">
        <v>75</v>
      </c>
      <c r="E1405" s="23">
        <v>0</v>
      </c>
      <c r="F1405" s="23">
        <v>41279.61</v>
      </c>
      <c r="G1405" s="22" t="s">
        <v>2408</v>
      </c>
      <c r="H1405" s="22"/>
      <c r="I1405" t="s">
        <v>2401</v>
      </c>
      <c r="K1405" s="24">
        <f t="shared" si="23"/>
        <v>0</v>
      </c>
    </row>
    <row r="1406" spans="1:11" hidden="1" x14ac:dyDescent="0.3">
      <c r="A1406" s="21">
        <v>45271</v>
      </c>
      <c r="B1406" t="s">
        <v>133</v>
      </c>
      <c r="C1406" s="22"/>
      <c r="D1406" s="23">
        <v>366.69</v>
      </c>
      <c r="E1406" s="23">
        <v>0</v>
      </c>
      <c r="F1406" s="23">
        <v>37740.370000000003</v>
      </c>
      <c r="G1406" s="22" t="s">
        <v>2406</v>
      </c>
      <c r="H1406" s="22"/>
      <c r="I1406" t="s">
        <v>2403</v>
      </c>
      <c r="K1406" s="24">
        <f t="shared" si="23"/>
        <v>3172.5499999999956</v>
      </c>
    </row>
    <row r="1407" spans="1:11" hidden="1" x14ac:dyDescent="0.3">
      <c r="A1407" s="21">
        <v>45271</v>
      </c>
      <c r="B1407" t="s">
        <v>779</v>
      </c>
      <c r="C1407" s="22"/>
      <c r="D1407" s="23">
        <v>10000</v>
      </c>
      <c r="E1407" s="23">
        <v>0</v>
      </c>
      <c r="F1407" s="23">
        <v>27740.37</v>
      </c>
      <c r="G1407" s="22" t="s">
        <v>2414</v>
      </c>
      <c r="H1407" s="22"/>
      <c r="I1407" t="s">
        <v>2403</v>
      </c>
      <c r="K1407" s="24">
        <f t="shared" si="23"/>
        <v>0</v>
      </c>
    </row>
    <row r="1408" spans="1:11" hidden="1" x14ac:dyDescent="0.3">
      <c r="A1408" s="21">
        <v>45271</v>
      </c>
      <c r="B1408" t="s">
        <v>1914</v>
      </c>
      <c r="C1408" s="22" t="s">
        <v>1536</v>
      </c>
      <c r="D1408" s="23">
        <v>100</v>
      </c>
      <c r="E1408" s="23">
        <v>0</v>
      </c>
      <c r="F1408" s="23">
        <v>41179.61</v>
      </c>
      <c r="G1408" s="22" t="s">
        <v>2541</v>
      </c>
      <c r="H1408" s="22"/>
      <c r="I1408" t="s">
        <v>2401</v>
      </c>
      <c r="K1408" s="24">
        <f t="shared" si="23"/>
        <v>-13539.240000000002</v>
      </c>
    </row>
    <row r="1409" spans="1:11" hidden="1" x14ac:dyDescent="0.3">
      <c r="A1409" s="21">
        <v>45271</v>
      </c>
      <c r="B1409" t="s">
        <v>1915</v>
      </c>
      <c r="C1409" s="22" t="s">
        <v>1536</v>
      </c>
      <c r="D1409" s="23">
        <v>44.37</v>
      </c>
      <c r="E1409" s="23">
        <v>0</v>
      </c>
      <c r="F1409" s="23">
        <v>41135.24</v>
      </c>
      <c r="G1409" s="22" t="s">
        <v>2408</v>
      </c>
      <c r="H1409" s="22"/>
      <c r="I1409" t="s">
        <v>2401</v>
      </c>
      <c r="K1409" s="24">
        <f t="shared" si="23"/>
        <v>0</v>
      </c>
    </row>
    <row r="1410" spans="1:11" hidden="1" x14ac:dyDescent="0.3">
      <c r="A1410" s="21">
        <v>45272</v>
      </c>
      <c r="B1410" t="s">
        <v>496</v>
      </c>
      <c r="C1410" s="22"/>
      <c r="D1410" s="23">
        <v>0</v>
      </c>
      <c r="E1410" s="23">
        <v>1448.7</v>
      </c>
      <c r="F1410" s="23">
        <v>29189.07</v>
      </c>
      <c r="G1410" s="22" t="s">
        <v>2406</v>
      </c>
      <c r="H1410" s="22"/>
      <c r="I1410" t="s">
        <v>2403</v>
      </c>
      <c r="K1410" s="24">
        <f t="shared" si="23"/>
        <v>13394.869999999995</v>
      </c>
    </row>
    <row r="1411" spans="1:11" hidden="1" x14ac:dyDescent="0.3">
      <c r="A1411" s="21">
        <v>45272</v>
      </c>
      <c r="B1411" t="s">
        <v>496</v>
      </c>
      <c r="C1411" s="22"/>
      <c r="D1411" s="23">
        <v>0</v>
      </c>
      <c r="E1411" s="23">
        <v>24070.43</v>
      </c>
      <c r="F1411" s="23">
        <v>53259.5</v>
      </c>
      <c r="G1411" s="22" t="s">
        <v>2406</v>
      </c>
      <c r="H1411" s="22"/>
      <c r="I1411" t="s">
        <v>2403</v>
      </c>
      <c r="K1411" s="24">
        <f t="shared" si="23"/>
        <v>0</v>
      </c>
    </row>
    <row r="1412" spans="1:11" hidden="1" x14ac:dyDescent="0.3">
      <c r="A1412" s="21">
        <v>45272</v>
      </c>
      <c r="B1412" t="s">
        <v>783</v>
      </c>
      <c r="C1412" s="22"/>
      <c r="D1412" s="23">
        <v>0</v>
      </c>
      <c r="E1412" s="23">
        <v>10000</v>
      </c>
      <c r="F1412" s="23">
        <v>63259.5</v>
      </c>
      <c r="G1412" s="22" t="s">
        <v>2421</v>
      </c>
      <c r="H1412" s="22"/>
      <c r="I1412" t="s">
        <v>2403</v>
      </c>
      <c r="K1412" s="24">
        <f t="shared" si="23"/>
        <v>0</v>
      </c>
    </row>
    <row r="1413" spans="1:11" hidden="1" x14ac:dyDescent="0.3">
      <c r="A1413" s="21">
        <v>45272</v>
      </c>
      <c r="B1413" t="s">
        <v>133</v>
      </c>
      <c r="C1413" s="22"/>
      <c r="D1413" s="23">
        <v>122.23</v>
      </c>
      <c r="E1413" s="23">
        <v>0</v>
      </c>
      <c r="F1413" s="23">
        <v>63137.27</v>
      </c>
      <c r="G1413" s="22" t="s">
        <v>2406</v>
      </c>
      <c r="H1413" s="22"/>
      <c r="I1413" t="s">
        <v>2403</v>
      </c>
      <c r="K1413" s="24">
        <f t="shared" si="23"/>
        <v>0</v>
      </c>
    </row>
    <row r="1414" spans="1:11" hidden="1" x14ac:dyDescent="0.3">
      <c r="A1414" s="21">
        <v>45272</v>
      </c>
      <c r="B1414" t="s">
        <v>133</v>
      </c>
      <c r="C1414" s="22"/>
      <c r="D1414" s="23">
        <v>1555.7</v>
      </c>
      <c r="E1414" s="23">
        <v>0</v>
      </c>
      <c r="F1414" s="23">
        <v>61581.57</v>
      </c>
      <c r="G1414" s="22" t="s">
        <v>2406</v>
      </c>
      <c r="H1414" s="22"/>
      <c r="I1414" t="s">
        <v>2403</v>
      </c>
      <c r="K1414" s="24">
        <f t="shared" ref="K1414:K1477" si="24">F1413-D1414+E1414-F1414</f>
        <v>0</v>
      </c>
    </row>
    <row r="1415" spans="1:11" hidden="1" x14ac:dyDescent="0.3">
      <c r="A1415" s="21">
        <v>45272</v>
      </c>
      <c r="B1415" t="s">
        <v>1916</v>
      </c>
      <c r="C1415" s="22" t="s">
        <v>1536</v>
      </c>
      <c r="D1415" s="23">
        <v>100</v>
      </c>
      <c r="E1415" s="23">
        <v>0</v>
      </c>
      <c r="F1415" s="23">
        <v>41035.24</v>
      </c>
      <c r="G1415" s="22" t="s">
        <v>2541</v>
      </c>
      <c r="H1415" s="22"/>
      <c r="I1415" t="s">
        <v>2401</v>
      </c>
      <c r="K1415" s="24">
        <f t="shared" si="24"/>
        <v>20446.330000000002</v>
      </c>
    </row>
    <row r="1416" spans="1:11" hidden="1" x14ac:dyDescent="0.3">
      <c r="A1416" s="21">
        <v>45272</v>
      </c>
      <c r="B1416" t="s">
        <v>1917</v>
      </c>
      <c r="C1416" s="22" t="s">
        <v>1536</v>
      </c>
      <c r="D1416" s="23">
        <v>30</v>
      </c>
      <c r="E1416" s="23">
        <v>0</v>
      </c>
      <c r="F1416" s="23">
        <v>41005.24</v>
      </c>
      <c r="G1416" s="22" t="s">
        <v>2408</v>
      </c>
      <c r="H1416" s="22"/>
      <c r="I1416" t="s">
        <v>2401</v>
      </c>
      <c r="K1416" s="24">
        <f t="shared" si="24"/>
        <v>0</v>
      </c>
    </row>
    <row r="1417" spans="1:11" x14ac:dyDescent="0.3">
      <c r="A1417" s="21">
        <v>45272</v>
      </c>
      <c r="B1417" t="s">
        <v>2605</v>
      </c>
      <c r="C1417" s="22"/>
      <c r="D1417" s="23">
        <v>2500</v>
      </c>
      <c r="E1417" s="23">
        <v>0</v>
      </c>
      <c r="F1417" s="23">
        <v>55972.24</v>
      </c>
      <c r="G1417" s="22" t="s">
        <v>2412</v>
      </c>
      <c r="H1417" s="22"/>
      <c r="I1417" t="s">
        <v>2400</v>
      </c>
      <c r="K1417" s="24">
        <f t="shared" si="24"/>
        <v>-17467</v>
      </c>
    </row>
    <row r="1418" spans="1:11" hidden="1" x14ac:dyDescent="0.3">
      <c r="A1418" s="21">
        <v>45273</v>
      </c>
      <c r="B1418" t="s">
        <v>496</v>
      </c>
      <c r="C1418" s="22"/>
      <c r="D1418" s="23">
        <v>0</v>
      </c>
      <c r="E1418" s="23">
        <v>29050</v>
      </c>
      <c r="F1418" s="23">
        <v>90631.57</v>
      </c>
      <c r="G1418" s="22" t="s">
        <v>2406</v>
      </c>
      <c r="H1418" s="22"/>
      <c r="I1418" t="s">
        <v>2403</v>
      </c>
      <c r="K1418" s="24">
        <f t="shared" si="24"/>
        <v>-5609.3300000000163</v>
      </c>
    </row>
    <row r="1419" spans="1:11" hidden="1" x14ac:dyDescent="0.3">
      <c r="A1419" s="21">
        <v>45273</v>
      </c>
      <c r="B1419" t="s">
        <v>133</v>
      </c>
      <c r="C1419" s="22"/>
      <c r="D1419" s="23">
        <v>122.19</v>
      </c>
      <c r="E1419" s="23">
        <v>0</v>
      </c>
      <c r="F1419" s="23">
        <v>90509.38</v>
      </c>
      <c r="G1419" s="22" t="s">
        <v>2406</v>
      </c>
      <c r="H1419" s="22"/>
      <c r="I1419" t="s">
        <v>2403</v>
      </c>
      <c r="K1419" s="24">
        <f t="shared" si="24"/>
        <v>0</v>
      </c>
    </row>
    <row r="1420" spans="1:11" hidden="1" x14ac:dyDescent="0.3">
      <c r="A1420" s="21">
        <v>45273</v>
      </c>
      <c r="B1420" t="s">
        <v>133</v>
      </c>
      <c r="C1420" s="22"/>
      <c r="D1420" s="23">
        <v>44091.23</v>
      </c>
      <c r="E1420" s="23">
        <v>0</v>
      </c>
      <c r="F1420" s="23">
        <v>46418.15</v>
      </c>
      <c r="G1420" s="22" t="s">
        <v>2406</v>
      </c>
      <c r="H1420" s="22"/>
      <c r="I1420" t="s">
        <v>2403</v>
      </c>
      <c r="K1420" s="24">
        <f t="shared" si="24"/>
        <v>0</v>
      </c>
    </row>
    <row r="1421" spans="1:11" hidden="1" x14ac:dyDescent="0.3">
      <c r="A1421" s="21">
        <v>45273</v>
      </c>
      <c r="B1421" t="s">
        <v>1918</v>
      </c>
      <c r="C1421" s="22" t="s">
        <v>1536</v>
      </c>
      <c r="D1421" s="23">
        <v>100</v>
      </c>
      <c r="E1421" s="23">
        <v>0</v>
      </c>
      <c r="F1421" s="23">
        <v>40905.24</v>
      </c>
      <c r="G1421" s="22" t="s">
        <v>2541</v>
      </c>
      <c r="H1421" s="22"/>
      <c r="I1421" t="s">
        <v>2401</v>
      </c>
      <c r="K1421" s="24">
        <f t="shared" si="24"/>
        <v>5412.9100000000035</v>
      </c>
    </row>
    <row r="1422" spans="1:11" hidden="1" x14ac:dyDescent="0.3">
      <c r="A1422" s="21">
        <v>45274</v>
      </c>
      <c r="B1422" t="s">
        <v>790</v>
      </c>
      <c r="C1422" s="22"/>
      <c r="D1422" s="23">
        <v>0</v>
      </c>
      <c r="E1422" s="23">
        <v>100000</v>
      </c>
      <c r="F1422" s="23">
        <v>146418.15</v>
      </c>
      <c r="G1422" s="22" t="s">
        <v>2422</v>
      </c>
      <c r="H1422" s="22"/>
      <c r="I1422" t="s">
        <v>2403</v>
      </c>
      <c r="K1422" s="24">
        <f t="shared" si="24"/>
        <v>-5512.9100000000035</v>
      </c>
    </row>
    <row r="1423" spans="1:11" hidden="1" x14ac:dyDescent="0.3">
      <c r="A1423" s="21">
        <v>45274</v>
      </c>
      <c r="B1423" t="s">
        <v>133</v>
      </c>
      <c r="C1423" s="22"/>
      <c r="D1423" s="23">
        <v>106.49</v>
      </c>
      <c r="E1423" s="23">
        <v>0</v>
      </c>
      <c r="F1423" s="23">
        <v>146311.66</v>
      </c>
      <c r="G1423" s="22" t="s">
        <v>2406</v>
      </c>
      <c r="H1423" s="22"/>
      <c r="I1423" t="s">
        <v>2403</v>
      </c>
      <c r="K1423" s="24">
        <f t="shared" si="24"/>
        <v>0</v>
      </c>
    </row>
    <row r="1424" spans="1:11" hidden="1" x14ac:dyDescent="0.3">
      <c r="A1424" s="21">
        <v>45274</v>
      </c>
      <c r="B1424" t="s">
        <v>793</v>
      </c>
      <c r="C1424" s="22"/>
      <c r="D1424" s="23">
        <v>0</v>
      </c>
      <c r="E1424" s="23">
        <v>30000</v>
      </c>
      <c r="F1424" s="23">
        <v>176311.66</v>
      </c>
      <c r="G1424" s="22" t="s">
        <v>2422</v>
      </c>
      <c r="H1424" s="22"/>
      <c r="I1424" t="s">
        <v>2403</v>
      </c>
      <c r="K1424" s="24">
        <f t="shared" si="24"/>
        <v>0</v>
      </c>
    </row>
    <row r="1425" spans="1:11" hidden="1" x14ac:dyDescent="0.3">
      <c r="A1425" s="21">
        <v>45274</v>
      </c>
      <c r="B1425" t="s">
        <v>1919</v>
      </c>
      <c r="C1425" s="22" t="s">
        <v>1536</v>
      </c>
      <c r="D1425" s="23">
        <v>100</v>
      </c>
      <c r="E1425" s="23">
        <v>0</v>
      </c>
      <c r="F1425" s="23">
        <v>40805.24</v>
      </c>
      <c r="G1425" s="22" t="s">
        <v>2541</v>
      </c>
      <c r="H1425" s="22"/>
      <c r="I1425" t="s">
        <v>2401</v>
      </c>
      <c r="K1425" s="24">
        <f t="shared" si="24"/>
        <v>135406.42000000001</v>
      </c>
    </row>
    <row r="1426" spans="1:11" hidden="1" x14ac:dyDescent="0.3">
      <c r="A1426" s="21">
        <v>45274</v>
      </c>
      <c r="B1426" t="s">
        <v>1920</v>
      </c>
      <c r="C1426" s="22" t="s">
        <v>1536</v>
      </c>
      <c r="D1426" s="23">
        <v>166.66</v>
      </c>
      <c r="E1426" s="23">
        <v>0</v>
      </c>
      <c r="F1426" s="23">
        <v>40638.58</v>
      </c>
      <c r="G1426" s="22" t="s">
        <v>2399</v>
      </c>
      <c r="H1426" s="22"/>
      <c r="I1426" t="s">
        <v>2401</v>
      </c>
      <c r="K1426" s="24">
        <f t="shared" si="24"/>
        <v>0</v>
      </c>
    </row>
    <row r="1427" spans="1:11" hidden="1" x14ac:dyDescent="0.3">
      <c r="A1427" s="21">
        <v>45274</v>
      </c>
      <c r="B1427" t="s">
        <v>2606</v>
      </c>
      <c r="C1427" s="22" t="s">
        <v>1152</v>
      </c>
      <c r="D1427" s="23">
        <v>150</v>
      </c>
      <c r="E1427" s="23">
        <v>0</v>
      </c>
      <c r="F1427" s="23">
        <v>55822.239999999998</v>
      </c>
      <c r="G1427" s="22" t="s">
        <v>2399</v>
      </c>
      <c r="H1427" s="22"/>
      <c r="I1427" t="s">
        <v>2400</v>
      </c>
      <c r="K1427" s="24">
        <f t="shared" si="24"/>
        <v>-15333.659999999996</v>
      </c>
    </row>
    <row r="1428" spans="1:11" hidden="1" x14ac:dyDescent="0.3">
      <c r="A1428" s="21">
        <v>45274</v>
      </c>
      <c r="B1428" t="s">
        <v>2607</v>
      </c>
      <c r="C1428" s="22" t="s">
        <v>1172</v>
      </c>
      <c r="D1428" s="23">
        <v>100</v>
      </c>
      <c r="E1428" s="23">
        <v>0</v>
      </c>
      <c r="F1428" s="23">
        <v>55722.239999999998</v>
      </c>
      <c r="G1428" s="22" t="s">
        <v>2399</v>
      </c>
      <c r="H1428" s="22"/>
      <c r="I1428" t="s">
        <v>2400</v>
      </c>
      <c r="K1428" s="24">
        <f t="shared" si="24"/>
        <v>0</v>
      </c>
    </row>
    <row r="1429" spans="1:11" hidden="1" x14ac:dyDescent="0.3">
      <c r="A1429" s="21">
        <v>45275</v>
      </c>
      <c r="B1429" t="s">
        <v>133</v>
      </c>
      <c r="C1429" s="22"/>
      <c r="D1429" s="23">
        <v>115366.85</v>
      </c>
      <c r="E1429" s="23">
        <v>0</v>
      </c>
      <c r="F1429" s="23">
        <v>60944.81</v>
      </c>
      <c r="G1429" s="22" t="s">
        <v>2406</v>
      </c>
      <c r="H1429" s="22"/>
      <c r="I1429" t="s">
        <v>2403</v>
      </c>
      <c r="K1429" s="24">
        <f t="shared" si="24"/>
        <v>-120589.42000000001</v>
      </c>
    </row>
    <row r="1430" spans="1:11" hidden="1" x14ac:dyDescent="0.3">
      <c r="A1430" s="21">
        <v>45275</v>
      </c>
      <c r="B1430" t="s">
        <v>496</v>
      </c>
      <c r="C1430" s="22"/>
      <c r="D1430" s="23">
        <v>0</v>
      </c>
      <c r="E1430" s="23">
        <v>16614.38</v>
      </c>
      <c r="F1430" s="23">
        <v>77559.19</v>
      </c>
      <c r="G1430" s="22" t="s">
        <v>2406</v>
      </c>
      <c r="H1430" s="22"/>
      <c r="I1430" t="s">
        <v>2403</v>
      </c>
      <c r="K1430" s="24">
        <f t="shared" si="24"/>
        <v>0</v>
      </c>
    </row>
    <row r="1431" spans="1:11" hidden="1" x14ac:dyDescent="0.3">
      <c r="A1431" s="21">
        <v>45275</v>
      </c>
      <c r="B1431" t="s">
        <v>133</v>
      </c>
      <c r="C1431" s="22"/>
      <c r="D1431" s="23">
        <v>65.400000000000006</v>
      </c>
      <c r="E1431" s="23">
        <v>0</v>
      </c>
      <c r="F1431" s="23">
        <v>77493.789999999994</v>
      </c>
      <c r="G1431" s="22" t="s">
        <v>2406</v>
      </c>
      <c r="H1431" s="22"/>
      <c r="I1431" t="s">
        <v>2403</v>
      </c>
      <c r="K1431" s="24">
        <f t="shared" si="24"/>
        <v>0</v>
      </c>
    </row>
    <row r="1432" spans="1:11" hidden="1" x14ac:dyDescent="0.3">
      <c r="A1432" s="21">
        <v>45275</v>
      </c>
      <c r="B1432" t="s">
        <v>1921</v>
      </c>
      <c r="C1432" s="22" t="s">
        <v>1536</v>
      </c>
      <c r="D1432" s="23">
        <v>100</v>
      </c>
      <c r="E1432" s="23">
        <v>0</v>
      </c>
      <c r="F1432" s="23">
        <v>40538.58</v>
      </c>
      <c r="G1432" s="22" t="s">
        <v>2541</v>
      </c>
      <c r="H1432" s="22"/>
      <c r="I1432" t="s">
        <v>2401</v>
      </c>
      <c r="K1432" s="24">
        <f t="shared" si="24"/>
        <v>36855.209999999992</v>
      </c>
    </row>
    <row r="1433" spans="1:11" hidden="1" x14ac:dyDescent="0.3">
      <c r="A1433" s="21">
        <v>45275</v>
      </c>
      <c r="B1433" t="s">
        <v>1922</v>
      </c>
      <c r="C1433" s="22" t="s">
        <v>1536</v>
      </c>
      <c r="D1433" s="23">
        <v>100</v>
      </c>
      <c r="E1433" s="23">
        <v>0</v>
      </c>
      <c r="F1433" s="23">
        <v>40438.58</v>
      </c>
      <c r="G1433" s="22" t="s">
        <v>2399</v>
      </c>
      <c r="H1433" s="22"/>
      <c r="I1433" t="s">
        <v>2401</v>
      </c>
      <c r="K1433" s="24">
        <f t="shared" si="24"/>
        <v>0</v>
      </c>
    </row>
    <row r="1434" spans="1:11" hidden="1" x14ac:dyDescent="0.3">
      <c r="A1434" s="21">
        <v>45275</v>
      </c>
      <c r="B1434" t="s">
        <v>1923</v>
      </c>
      <c r="C1434" s="22" t="s">
        <v>1536</v>
      </c>
      <c r="D1434" s="23">
        <v>100</v>
      </c>
      <c r="E1434" s="23">
        <v>0</v>
      </c>
      <c r="F1434" s="23">
        <v>40338.58</v>
      </c>
      <c r="G1434" s="22" t="s">
        <v>2399</v>
      </c>
      <c r="H1434" s="22"/>
      <c r="I1434" t="s">
        <v>2401</v>
      </c>
      <c r="K1434" s="24">
        <f t="shared" si="24"/>
        <v>0</v>
      </c>
    </row>
    <row r="1435" spans="1:11" hidden="1" x14ac:dyDescent="0.3">
      <c r="A1435" s="21">
        <v>45276</v>
      </c>
      <c r="B1435" t="s">
        <v>1924</v>
      </c>
      <c r="C1435" s="22" t="s">
        <v>1536</v>
      </c>
      <c r="D1435" s="23">
        <v>100</v>
      </c>
      <c r="E1435" s="23">
        <v>0</v>
      </c>
      <c r="F1435" s="23">
        <v>40238.58</v>
      </c>
      <c r="G1435" s="22" t="s">
        <v>2541</v>
      </c>
      <c r="H1435" s="22"/>
      <c r="I1435" t="s">
        <v>2401</v>
      </c>
      <c r="K1435" s="24">
        <f t="shared" si="24"/>
        <v>0</v>
      </c>
    </row>
    <row r="1436" spans="1:11" hidden="1" x14ac:dyDescent="0.3">
      <c r="A1436" s="21">
        <v>45276</v>
      </c>
      <c r="B1436" t="s">
        <v>1925</v>
      </c>
      <c r="C1436" s="22" t="s">
        <v>1536</v>
      </c>
      <c r="D1436" s="23">
        <v>7500</v>
      </c>
      <c r="E1436" s="23">
        <v>0</v>
      </c>
      <c r="F1436" s="23">
        <v>32738.58</v>
      </c>
      <c r="G1436" s="22" t="s">
        <v>2595</v>
      </c>
      <c r="H1436" s="22"/>
      <c r="I1436" t="s">
        <v>2401</v>
      </c>
      <c r="K1436" s="24">
        <f t="shared" si="24"/>
        <v>0</v>
      </c>
    </row>
    <row r="1437" spans="1:11" hidden="1" x14ac:dyDescent="0.3">
      <c r="A1437" s="21">
        <v>45276</v>
      </c>
      <c r="B1437" t="s">
        <v>1926</v>
      </c>
      <c r="C1437" s="22" t="s">
        <v>1536</v>
      </c>
      <c r="D1437" s="23">
        <v>70</v>
      </c>
      <c r="E1437" s="23">
        <v>0</v>
      </c>
      <c r="F1437" s="23">
        <v>32668.58</v>
      </c>
      <c r="G1437" s="22" t="s">
        <v>2408</v>
      </c>
      <c r="H1437" s="22"/>
      <c r="I1437" t="s">
        <v>2401</v>
      </c>
      <c r="K1437" s="24">
        <f t="shared" si="24"/>
        <v>0</v>
      </c>
    </row>
    <row r="1438" spans="1:11" hidden="1" x14ac:dyDescent="0.3">
      <c r="A1438" s="21">
        <v>45276</v>
      </c>
      <c r="B1438" t="s">
        <v>1927</v>
      </c>
      <c r="C1438" s="22" t="s">
        <v>1536</v>
      </c>
      <c r="D1438" s="23">
        <v>983.6</v>
      </c>
      <c r="E1438" s="23">
        <v>0</v>
      </c>
      <c r="F1438" s="23">
        <v>31684.98</v>
      </c>
      <c r="G1438" s="22" t="s">
        <v>2399</v>
      </c>
      <c r="H1438" s="22"/>
      <c r="I1438" t="s">
        <v>2401</v>
      </c>
      <c r="K1438" s="24">
        <f t="shared" si="24"/>
        <v>0</v>
      </c>
    </row>
    <row r="1439" spans="1:11" hidden="1" x14ac:dyDescent="0.3">
      <c r="A1439" s="21">
        <v>45276</v>
      </c>
      <c r="B1439" t="s">
        <v>1928</v>
      </c>
      <c r="C1439" s="22" t="s">
        <v>1536</v>
      </c>
      <c r="D1439" s="23">
        <v>70</v>
      </c>
      <c r="E1439" s="23">
        <v>0</v>
      </c>
      <c r="F1439" s="23">
        <v>31614.98</v>
      </c>
      <c r="G1439" s="22" t="s">
        <v>2408</v>
      </c>
      <c r="H1439" s="22"/>
      <c r="I1439" t="s">
        <v>2401</v>
      </c>
      <c r="K1439" s="24">
        <f t="shared" si="24"/>
        <v>0</v>
      </c>
    </row>
    <row r="1440" spans="1:11" hidden="1" x14ac:dyDescent="0.3">
      <c r="A1440" s="21">
        <v>45277</v>
      </c>
      <c r="B1440" t="s">
        <v>565</v>
      </c>
      <c r="C1440" s="22"/>
      <c r="D1440" s="23">
        <v>10000</v>
      </c>
      <c r="E1440" s="23">
        <v>0</v>
      </c>
      <c r="F1440" s="23">
        <v>67493.789999999994</v>
      </c>
      <c r="G1440" s="22" t="s">
        <v>2510</v>
      </c>
      <c r="H1440" s="22"/>
      <c r="I1440" t="s">
        <v>2403</v>
      </c>
      <c r="K1440" s="24">
        <f t="shared" si="24"/>
        <v>-45878.81</v>
      </c>
    </row>
    <row r="1441" spans="1:11" hidden="1" x14ac:dyDescent="0.3">
      <c r="A1441" s="21">
        <v>45277</v>
      </c>
      <c r="B1441" t="s">
        <v>1929</v>
      </c>
      <c r="C1441" s="22" t="s">
        <v>1536</v>
      </c>
      <c r="D1441" s="23">
        <v>199</v>
      </c>
      <c r="E1441" s="23">
        <v>0</v>
      </c>
      <c r="F1441" s="23">
        <v>31415.98</v>
      </c>
      <c r="G1441" s="22" t="s">
        <v>2399</v>
      </c>
      <c r="H1441" s="22"/>
      <c r="I1441" t="s">
        <v>2401</v>
      </c>
      <c r="K1441" s="24">
        <f t="shared" si="24"/>
        <v>35878.81</v>
      </c>
    </row>
    <row r="1442" spans="1:11" hidden="1" x14ac:dyDescent="0.3">
      <c r="A1442" s="21">
        <v>45277</v>
      </c>
      <c r="B1442" t="s">
        <v>1930</v>
      </c>
      <c r="C1442" s="22" t="s">
        <v>1536</v>
      </c>
      <c r="D1442" s="23">
        <v>100</v>
      </c>
      <c r="E1442" s="23">
        <v>0</v>
      </c>
      <c r="F1442" s="23">
        <v>31315.98</v>
      </c>
      <c r="G1442" s="22" t="s">
        <v>2541</v>
      </c>
      <c r="H1442" s="22"/>
      <c r="I1442" t="s">
        <v>2401</v>
      </c>
      <c r="K1442" s="24">
        <f t="shared" si="24"/>
        <v>0</v>
      </c>
    </row>
    <row r="1443" spans="1:11" hidden="1" x14ac:dyDescent="0.3">
      <c r="A1443" s="21">
        <v>45277</v>
      </c>
      <c r="B1443" t="s">
        <v>1931</v>
      </c>
      <c r="C1443" s="22" t="s">
        <v>1536</v>
      </c>
      <c r="D1443" s="23">
        <v>30</v>
      </c>
      <c r="E1443" s="23">
        <v>0</v>
      </c>
      <c r="F1443" s="23">
        <v>31285.98</v>
      </c>
      <c r="G1443" s="22" t="s">
        <v>2408</v>
      </c>
      <c r="H1443" s="22"/>
      <c r="I1443" t="s">
        <v>2401</v>
      </c>
      <c r="K1443" s="24">
        <f t="shared" si="24"/>
        <v>0</v>
      </c>
    </row>
    <row r="1444" spans="1:11" hidden="1" x14ac:dyDescent="0.3">
      <c r="A1444" s="21">
        <v>45277</v>
      </c>
      <c r="B1444" t="s">
        <v>1932</v>
      </c>
      <c r="C1444" s="22" t="s">
        <v>1536</v>
      </c>
      <c r="D1444" s="23">
        <v>164</v>
      </c>
      <c r="E1444" s="23">
        <v>0</v>
      </c>
      <c r="F1444" s="23">
        <v>31121.98</v>
      </c>
      <c r="G1444" s="22" t="s">
        <v>2399</v>
      </c>
      <c r="H1444" s="22"/>
      <c r="I1444" t="s">
        <v>2401</v>
      </c>
      <c r="K1444" s="24">
        <f t="shared" si="24"/>
        <v>0</v>
      </c>
    </row>
    <row r="1445" spans="1:11" hidden="1" x14ac:dyDescent="0.3">
      <c r="A1445" s="21">
        <v>45277</v>
      </c>
      <c r="B1445" t="s">
        <v>1933</v>
      </c>
      <c r="C1445" s="22" t="s">
        <v>1536</v>
      </c>
      <c r="D1445" s="23">
        <v>250</v>
      </c>
      <c r="E1445" s="23">
        <v>0</v>
      </c>
      <c r="F1445" s="23">
        <v>30871.98</v>
      </c>
      <c r="G1445" s="22" t="s">
        <v>2399</v>
      </c>
      <c r="H1445" s="22"/>
      <c r="I1445" t="s">
        <v>2401</v>
      </c>
      <c r="K1445" s="24">
        <f t="shared" si="24"/>
        <v>0</v>
      </c>
    </row>
    <row r="1446" spans="1:11" hidden="1" x14ac:dyDescent="0.3">
      <c r="A1446" s="21">
        <v>45277</v>
      </c>
      <c r="B1446" t="s">
        <v>1934</v>
      </c>
      <c r="C1446" s="22" t="s">
        <v>1536</v>
      </c>
      <c r="D1446" s="23">
        <v>75</v>
      </c>
      <c r="E1446" s="23">
        <v>0</v>
      </c>
      <c r="F1446" s="23">
        <v>30796.98</v>
      </c>
      <c r="G1446" s="22" t="s">
        <v>2408</v>
      </c>
      <c r="H1446" s="22"/>
      <c r="I1446" t="s">
        <v>2401</v>
      </c>
      <c r="K1446" s="24">
        <f t="shared" si="24"/>
        <v>0</v>
      </c>
    </row>
    <row r="1447" spans="1:11" hidden="1" x14ac:dyDescent="0.3">
      <c r="A1447" s="21">
        <v>45277</v>
      </c>
      <c r="B1447" t="s">
        <v>1935</v>
      </c>
      <c r="C1447" s="22" t="s">
        <v>1536</v>
      </c>
      <c r="D1447" s="23">
        <v>20</v>
      </c>
      <c r="E1447" s="23">
        <v>0</v>
      </c>
      <c r="F1447" s="23">
        <v>30776.98</v>
      </c>
      <c r="G1447" s="22" t="s">
        <v>2408</v>
      </c>
      <c r="H1447" s="22"/>
      <c r="I1447" t="s">
        <v>2401</v>
      </c>
      <c r="K1447" s="24">
        <f t="shared" si="24"/>
        <v>0</v>
      </c>
    </row>
    <row r="1448" spans="1:11" hidden="1" x14ac:dyDescent="0.3">
      <c r="A1448" s="21">
        <v>45277</v>
      </c>
      <c r="B1448" t="s">
        <v>1936</v>
      </c>
      <c r="C1448" s="22" t="s">
        <v>1536</v>
      </c>
      <c r="D1448" s="23">
        <v>65</v>
      </c>
      <c r="E1448" s="23">
        <v>0</v>
      </c>
      <c r="F1448" s="23">
        <v>30711.98</v>
      </c>
      <c r="G1448" s="22" t="s">
        <v>2408</v>
      </c>
      <c r="H1448" s="22"/>
      <c r="I1448" t="s">
        <v>2401</v>
      </c>
      <c r="K1448" s="24">
        <f t="shared" si="24"/>
        <v>0</v>
      </c>
    </row>
    <row r="1449" spans="1:11" hidden="1" x14ac:dyDescent="0.3">
      <c r="A1449" s="21">
        <v>45278</v>
      </c>
      <c r="B1449" t="s">
        <v>496</v>
      </c>
      <c r="C1449" s="22"/>
      <c r="D1449" s="23">
        <v>0</v>
      </c>
      <c r="E1449" s="23">
        <v>547.20000000000005</v>
      </c>
      <c r="F1449" s="23">
        <v>68040.990000000005</v>
      </c>
      <c r="G1449" s="22" t="s">
        <v>2406</v>
      </c>
      <c r="H1449" s="22"/>
      <c r="I1449" t="s">
        <v>2403</v>
      </c>
      <c r="K1449" s="24">
        <f t="shared" si="24"/>
        <v>-36781.810000000005</v>
      </c>
    </row>
    <row r="1450" spans="1:11" hidden="1" x14ac:dyDescent="0.3">
      <c r="A1450" s="21">
        <v>45278</v>
      </c>
      <c r="B1450" t="s">
        <v>133</v>
      </c>
      <c r="C1450" s="22"/>
      <c r="D1450" s="23">
        <v>564.99</v>
      </c>
      <c r="E1450" s="23">
        <v>0</v>
      </c>
      <c r="F1450" s="23">
        <v>67476</v>
      </c>
      <c r="G1450" s="22" t="s">
        <v>2406</v>
      </c>
      <c r="H1450" s="22"/>
      <c r="I1450" t="s">
        <v>2403</v>
      </c>
      <c r="K1450" s="24">
        <f t="shared" si="24"/>
        <v>0</v>
      </c>
    </row>
    <row r="1451" spans="1:11" hidden="1" x14ac:dyDescent="0.3">
      <c r="A1451" s="21">
        <v>45278</v>
      </c>
      <c r="B1451" t="s">
        <v>1937</v>
      </c>
      <c r="C1451" s="22" t="s">
        <v>1536</v>
      </c>
      <c r="D1451" s="23">
        <v>100</v>
      </c>
      <c r="E1451" s="23">
        <v>0</v>
      </c>
      <c r="F1451" s="23">
        <v>30611.98</v>
      </c>
      <c r="G1451" s="22" t="s">
        <v>2541</v>
      </c>
      <c r="H1451" s="22"/>
      <c r="I1451" t="s">
        <v>2401</v>
      </c>
      <c r="K1451" s="24">
        <f t="shared" si="24"/>
        <v>36764.020000000004</v>
      </c>
    </row>
    <row r="1452" spans="1:11" hidden="1" x14ac:dyDescent="0.3">
      <c r="A1452" s="21">
        <v>45278</v>
      </c>
      <c r="B1452" t="s">
        <v>1938</v>
      </c>
      <c r="C1452" s="22" t="s">
        <v>1536</v>
      </c>
      <c r="D1452" s="23">
        <v>15</v>
      </c>
      <c r="E1452" s="23">
        <v>0</v>
      </c>
      <c r="F1452" s="23">
        <v>30596.98</v>
      </c>
      <c r="G1452" s="22" t="s">
        <v>2408</v>
      </c>
      <c r="H1452" s="22"/>
      <c r="I1452" t="s">
        <v>2401</v>
      </c>
      <c r="K1452" s="24">
        <f t="shared" si="24"/>
        <v>0</v>
      </c>
    </row>
    <row r="1453" spans="1:11" hidden="1" x14ac:dyDescent="0.3">
      <c r="A1453" s="21">
        <v>45278</v>
      </c>
      <c r="B1453" t="s">
        <v>1939</v>
      </c>
      <c r="C1453" s="22" t="s">
        <v>1536</v>
      </c>
      <c r="D1453" s="23">
        <v>24</v>
      </c>
      <c r="E1453" s="23">
        <v>0</v>
      </c>
      <c r="F1453" s="23">
        <v>30572.98</v>
      </c>
      <c r="G1453" s="22" t="s">
        <v>2408</v>
      </c>
      <c r="H1453" s="22"/>
      <c r="I1453" t="s">
        <v>2401</v>
      </c>
      <c r="K1453" s="24">
        <f t="shared" si="24"/>
        <v>0</v>
      </c>
    </row>
    <row r="1454" spans="1:11" hidden="1" x14ac:dyDescent="0.3">
      <c r="A1454" s="21">
        <v>45278</v>
      </c>
      <c r="B1454" t="s">
        <v>1940</v>
      </c>
      <c r="C1454" s="22" t="s">
        <v>1536</v>
      </c>
      <c r="D1454" s="23">
        <v>29</v>
      </c>
      <c r="E1454" s="23">
        <v>0</v>
      </c>
      <c r="F1454" s="23">
        <v>30543.98</v>
      </c>
      <c r="G1454" s="22" t="s">
        <v>2408</v>
      </c>
      <c r="H1454" s="22"/>
      <c r="I1454" t="s">
        <v>2401</v>
      </c>
      <c r="K1454" s="24">
        <f t="shared" si="24"/>
        <v>0</v>
      </c>
    </row>
    <row r="1455" spans="1:11" hidden="1" x14ac:dyDescent="0.3">
      <c r="A1455" s="21">
        <v>45278</v>
      </c>
      <c r="B1455" t="s">
        <v>1941</v>
      </c>
      <c r="C1455" s="22" t="s">
        <v>1536</v>
      </c>
      <c r="D1455" s="23">
        <v>85</v>
      </c>
      <c r="E1455" s="23">
        <v>0</v>
      </c>
      <c r="F1455" s="23">
        <v>30458.98</v>
      </c>
      <c r="G1455" s="22" t="s">
        <v>2408</v>
      </c>
      <c r="H1455" s="22"/>
      <c r="I1455" t="s">
        <v>2401</v>
      </c>
      <c r="K1455" s="24">
        <f t="shared" si="24"/>
        <v>0</v>
      </c>
    </row>
    <row r="1456" spans="1:11" hidden="1" x14ac:dyDescent="0.3">
      <c r="A1456" s="21">
        <v>45278</v>
      </c>
      <c r="B1456" t="s">
        <v>1942</v>
      </c>
      <c r="C1456" s="22" t="s">
        <v>1536</v>
      </c>
      <c r="D1456" s="23">
        <v>100</v>
      </c>
      <c r="E1456" s="23">
        <v>0</v>
      </c>
      <c r="F1456" s="23">
        <v>30358.98</v>
      </c>
      <c r="G1456" s="22" t="s">
        <v>2399</v>
      </c>
      <c r="H1456" s="22"/>
      <c r="I1456" t="s">
        <v>2401</v>
      </c>
      <c r="K1456" s="24">
        <f t="shared" si="24"/>
        <v>0</v>
      </c>
    </row>
    <row r="1457" spans="1:11" hidden="1" x14ac:dyDescent="0.3">
      <c r="A1457" s="21">
        <v>45279</v>
      </c>
      <c r="B1457" t="s">
        <v>496</v>
      </c>
      <c r="C1457" s="22"/>
      <c r="D1457" s="23">
        <v>0</v>
      </c>
      <c r="E1457" s="23">
        <v>22577.66</v>
      </c>
      <c r="F1457" s="23">
        <v>90053.66</v>
      </c>
      <c r="G1457" s="22" t="s">
        <v>2406</v>
      </c>
      <c r="H1457" s="22"/>
      <c r="I1457" t="s">
        <v>2403</v>
      </c>
      <c r="K1457" s="24">
        <f t="shared" si="24"/>
        <v>-37117.020000000004</v>
      </c>
    </row>
    <row r="1458" spans="1:11" hidden="1" x14ac:dyDescent="0.3">
      <c r="A1458" s="21">
        <v>45279</v>
      </c>
      <c r="B1458" t="s">
        <v>133</v>
      </c>
      <c r="C1458" s="22"/>
      <c r="D1458" s="23">
        <v>188.52</v>
      </c>
      <c r="E1458" s="23">
        <v>0</v>
      </c>
      <c r="F1458" s="23">
        <v>89865.14</v>
      </c>
      <c r="G1458" s="22" t="s">
        <v>2406</v>
      </c>
      <c r="H1458" s="22"/>
      <c r="I1458" t="s">
        <v>2403</v>
      </c>
      <c r="K1458" s="24">
        <f t="shared" si="24"/>
        <v>0</v>
      </c>
    </row>
    <row r="1459" spans="1:11" hidden="1" x14ac:dyDescent="0.3">
      <c r="A1459" s="21">
        <v>45279</v>
      </c>
      <c r="B1459" t="s">
        <v>1943</v>
      </c>
      <c r="C1459" s="22" t="s">
        <v>1536</v>
      </c>
      <c r="D1459" s="23">
        <v>100</v>
      </c>
      <c r="E1459" s="23">
        <v>0</v>
      </c>
      <c r="F1459" s="23">
        <v>30258.98</v>
      </c>
      <c r="G1459" s="22" t="s">
        <v>2541</v>
      </c>
      <c r="H1459" s="22"/>
      <c r="I1459" t="s">
        <v>2401</v>
      </c>
      <c r="K1459" s="24">
        <f t="shared" si="24"/>
        <v>59506.16</v>
      </c>
    </row>
    <row r="1460" spans="1:11" hidden="1" x14ac:dyDescent="0.3">
      <c r="A1460" s="21">
        <v>45279</v>
      </c>
      <c r="B1460" t="s">
        <v>1944</v>
      </c>
      <c r="C1460" s="22" t="s">
        <v>1536</v>
      </c>
      <c r="D1460" s="23">
        <v>75</v>
      </c>
      <c r="E1460" s="23">
        <v>0</v>
      </c>
      <c r="F1460" s="23">
        <v>30183.98</v>
      </c>
      <c r="G1460" s="22" t="s">
        <v>2408</v>
      </c>
      <c r="H1460" s="22"/>
      <c r="I1460" t="s">
        <v>2401</v>
      </c>
      <c r="K1460" s="24">
        <f t="shared" si="24"/>
        <v>0</v>
      </c>
    </row>
    <row r="1461" spans="1:11" hidden="1" x14ac:dyDescent="0.3">
      <c r="A1461" s="21">
        <v>45279</v>
      </c>
      <c r="B1461" t="s">
        <v>1945</v>
      </c>
      <c r="C1461" s="22" t="s">
        <v>1536</v>
      </c>
      <c r="D1461" s="23">
        <v>28.67</v>
      </c>
      <c r="E1461" s="23">
        <v>0</v>
      </c>
      <c r="F1461" s="23">
        <v>30155.31</v>
      </c>
      <c r="G1461" s="22" t="s">
        <v>2408</v>
      </c>
      <c r="H1461" s="22"/>
      <c r="I1461" t="s">
        <v>2401</v>
      </c>
      <c r="K1461" s="24">
        <f t="shared" si="24"/>
        <v>0</v>
      </c>
    </row>
    <row r="1462" spans="1:11" hidden="1" x14ac:dyDescent="0.3">
      <c r="A1462" s="21">
        <v>45279</v>
      </c>
      <c r="B1462" t="s">
        <v>1946</v>
      </c>
      <c r="C1462" s="22" t="s">
        <v>1536</v>
      </c>
      <c r="D1462" s="23">
        <v>100</v>
      </c>
      <c r="E1462" s="23">
        <v>0</v>
      </c>
      <c r="F1462" s="23">
        <v>30055.31</v>
      </c>
      <c r="G1462" s="22" t="s">
        <v>2399</v>
      </c>
      <c r="H1462" s="22"/>
      <c r="I1462" t="s">
        <v>2401</v>
      </c>
      <c r="K1462" s="24">
        <f t="shared" si="24"/>
        <v>0</v>
      </c>
    </row>
    <row r="1463" spans="1:11" hidden="1" x14ac:dyDescent="0.3">
      <c r="A1463" s="21">
        <v>45279</v>
      </c>
      <c r="B1463" t="s">
        <v>2608</v>
      </c>
      <c r="C1463" s="22" t="s">
        <v>1161</v>
      </c>
      <c r="D1463" s="23">
        <v>10</v>
      </c>
      <c r="E1463" s="23">
        <v>0</v>
      </c>
      <c r="F1463" s="23">
        <v>55712.24</v>
      </c>
      <c r="G1463" s="22" t="s">
        <v>2399</v>
      </c>
      <c r="H1463" s="22"/>
      <c r="I1463" t="s">
        <v>2400</v>
      </c>
      <c r="K1463" s="24">
        <f t="shared" si="24"/>
        <v>-25666.929999999997</v>
      </c>
    </row>
    <row r="1464" spans="1:11" hidden="1" x14ac:dyDescent="0.3">
      <c r="A1464" s="21">
        <v>45279</v>
      </c>
      <c r="B1464" t="s">
        <v>2609</v>
      </c>
      <c r="C1464" s="22" t="s">
        <v>1161</v>
      </c>
      <c r="D1464" s="23">
        <v>10</v>
      </c>
      <c r="E1464" s="23">
        <v>0</v>
      </c>
      <c r="F1464" s="23">
        <v>55702.239999999998</v>
      </c>
      <c r="G1464" s="22" t="s">
        <v>2399</v>
      </c>
      <c r="H1464" s="22"/>
      <c r="I1464" t="s">
        <v>2400</v>
      </c>
      <c r="K1464" s="24">
        <f t="shared" si="24"/>
        <v>0</v>
      </c>
    </row>
    <row r="1465" spans="1:11" hidden="1" x14ac:dyDescent="0.3">
      <c r="A1465" s="21">
        <v>45280</v>
      </c>
      <c r="B1465" t="s">
        <v>496</v>
      </c>
      <c r="C1465" s="22"/>
      <c r="D1465" s="23">
        <v>0</v>
      </c>
      <c r="E1465" s="23">
        <v>12168.37</v>
      </c>
      <c r="F1465" s="23">
        <v>102033.51</v>
      </c>
      <c r="G1465" s="22" t="s">
        <v>2406</v>
      </c>
      <c r="H1465" s="22"/>
      <c r="I1465" t="s">
        <v>2403</v>
      </c>
      <c r="K1465" s="24">
        <f t="shared" si="24"/>
        <v>-34162.899999999994</v>
      </c>
    </row>
    <row r="1466" spans="1:11" hidden="1" x14ac:dyDescent="0.3">
      <c r="A1466" s="21">
        <v>45280</v>
      </c>
      <c r="B1466" t="s">
        <v>496</v>
      </c>
      <c r="C1466" s="22"/>
      <c r="D1466" s="23">
        <v>0</v>
      </c>
      <c r="E1466" s="23">
        <v>52195.67</v>
      </c>
      <c r="F1466" s="23">
        <v>154229.18</v>
      </c>
      <c r="G1466" s="22" t="s">
        <v>2406</v>
      </c>
      <c r="H1466" s="22"/>
      <c r="I1466" t="s">
        <v>2403</v>
      </c>
      <c r="K1466" s="24">
        <f t="shared" si="24"/>
        <v>0</v>
      </c>
    </row>
    <row r="1467" spans="1:11" hidden="1" x14ac:dyDescent="0.3">
      <c r="A1467" s="21">
        <v>45280</v>
      </c>
      <c r="B1467" t="s">
        <v>133</v>
      </c>
      <c r="C1467" s="22"/>
      <c r="D1467" s="23">
        <v>174.49</v>
      </c>
      <c r="E1467" s="23">
        <v>0</v>
      </c>
      <c r="F1467" s="23">
        <v>154054.69</v>
      </c>
      <c r="G1467" s="22" t="s">
        <v>2406</v>
      </c>
      <c r="H1467" s="22"/>
      <c r="I1467" t="s">
        <v>2403</v>
      </c>
      <c r="K1467" s="24">
        <f t="shared" si="24"/>
        <v>0</v>
      </c>
    </row>
    <row r="1468" spans="1:11" hidden="1" x14ac:dyDescent="0.3">
      <c r="A1468" s="21">
        <v>45280</v>
      </c>
      <c r="B1468" t="s">
        <v>1947</v>
      </c>
      <c r="C1468" s="22" t="s">
        <v>1536</v>
      </c>
      <c r="D1468" s="23">
        <v>100</v>
      </c>
      <c r="E1468" s="23">
        <v>0</v>
      </c>
      <c r="F1468" s="23">
        <v>29955.31</v>
      </c>
      <c r="G1468" s="22" t="s">
        <v>2541</v>
      </c>
      <c r="H1468" s="22"/>
      <c r="I1468" t="s">
        <v>2401</v>
      </c>
      <c r="K1468" s="24">
        <f t="shared" si="24"/>
        <v>123999.38</v>
      </c>
    </row>
    <row r="1469" spans="1:11" hidden="1" x14ac:dyDescent="0.3">
      <c r="A1469" s="21">
        <v>45280</v>
      </c>
      <c r="B1469" t="s">
        <v>1948</v>
      </c>
      <c r="C1469" s="22" t="s">
        <v>1536</v>
      </c>
      <c r="D1469" s="23">
        <v>100</v>
      </c>
      <c r="E1469" s="23">
        <v>0</v>
      </c>
      <c r="F1469" s="23">
        <v>29855.31</v>
      </c>
      <c r="G1469" s="22" t="s">
        <v>2399</v>
      </c>
      <c r="H1469" s="22"/>
      <c r="I1469" t="s">
        <v>2401</v>
      </c>
      <c r="K1469" s="24">
        <f t="shared" si="24"/>
        <v>0</v>
      </c>
    </row>
    <row r="1470" spans="1:11" hidden="1" x14ac:dyDescent="0.3">
      <c r="A1470" s="21">
        <v>45280</v>
      </c>
      <c r="B1470" t="s">
        <v>1949</v>
      </c>
      <c r="C1470" s="22" t="s">
        <v>1536</v>
      </c>
      <c r="D1470" s="23">
        <v>100</v>
      </c>
      <c r="E1470" s="23">
        <v>0</v>
      </c>
      <c r="F1470" s="23">
        <v>29755.31</v>
      </c>
      <c r="G1470" s="22" t="s">
        <v>2399</v>
      </c>
      <c r="H1470" s="22"/>
      <c r="I1470" t="s">
        <v>2401</v>
      </c>
      <c r="K1470" s="24">
        <f t="shared" si="24"/>
        <v>0</v>
      </c>
    </row>
    <row r="1471" spans="1:11" hidden="1" x14ac:dyDescent="0.3">
      <c r="A1471" s="21">
        <v>45280</v>
      </c>
      <c r="B1471" t="s">
        <v>1950</v>
      </c>
      <c r="C1471" s="22" t="s">
        <v>1536</v>
      </c>
      <c r="D1471" s="23">
        <v>50</v>
      </c>
      <c r="E1471" s="23">
        <v>0</v>
      </c>
      <c r="F1471" s="23">
        <v>29705.31</v>
      </c>
      <c r="G1471" s="22" t="s">
        <v>2408</v>
      </c>
      <c r="H1471" s="22"/>
      <c r="I1471" t="s">
        <v>2401</v>
      </c>
      <c r="K1471" s="24">
        <f t="shared" si="24"/>
        <v>0</v>
      </c>
    </row>
    <row r="1472" spans="1:11" hidden="1" x14ac:dyDescent="0.3">
      <c r="A1472" s="21">
        <v>45280</v>
      </c>
      <c r="B1472" t="s">
        <v>1951</v>
      </c>
      <c r="C1472" s="22" t="s">
        <v>1536</v>
      </c>
      <c r="D1472" s="23">
        <v>833</v>
      </c>
      <c r="E1472" s="23">
        <v>0</v>
      </c>
      <c r="F1472" s="23">
        <v>28872.31</v>
      </c>
      <c r="G1472" s="22" t="s">
        <v>2399</v>
      </c>
      <c r="H1472" s="22"/>
      <c r="I1472" t="s">
        <v>2401</v>
      </c>
      <c r="K1472" s="24">
        <f t="shared" si="24"/>
        <v>0</v>
      </c>
    </row>
    <row r="1473" spans="1:11" hidden="1" x14ac:dyDescent="0.3">
      <c r="A1473" s="21">
        <v>45280</v>
      </c>
      <c r="B1473" t="s">
        <v>1952</v>
      </c>
      <c r="C1473" s="22" t="s">
        <v>1536</v>
      </c>
      <c r="D1473" s="23">
        <v>40.42</v>
      </c>
      <c r="E1473" s="23">
        <v>0</v>
      </c>
      <c r="F1473" s="23">
        <v>28831.89</v>
      </c>
      <c r="G1473" s="22" t="s">
        <v>2408</v>
      </c>
      <c r="H1473" s="22"/>
      <c r="I1473" t="s">
        <v>2401</v>
      </c>
      <c r="K1473" s="24">
        <f t="shared" si="24"/>
        <v>0</v>
      </c>
    </row>
    <row r="1474" spans="1:11" hidden="1" x14ac:dyDescent="0.3">
      <c r="A1474" s="21">
        <v>45280</v>
      </c>
      <c r="B1474" t="s">
        <v>1953</v>
      </c>
      <c r="C1474" s="22" t="s">
        <v>1536</v>
      </c>
      <c r="D1474" s="23">
        <v>0</v>
      </c>
      <c r="E1474" s="23">
        <v>895</v>
      </c>
      <c r="F1474" s="23">
        <v>29726.89</v>
      </c>
      <c r="G1474" s="22" t="s">
        <v>2399</v>
      </c>
      <c r="H1474" s="22"/>
      <c r="I1474" t="s">
        <v>2401</v>
      </c>
      <c r="K1474" s="24">
        <f t="shared" si="24"/>
        <v>0</v>
      </c>
    </row>
    <row r="1475" spans="1:11" hidden="1" x14ac:dyDescent="0.3">
      <c r="A1475" s="21">
        <v>45281</v>
      </c>
      <c r="B1475" t="s">
        <v>496</v>
      </c>
      <c r="C1475" s="22"/>
      <c r="D1475" s="23">
        <v>0</v>
      </c>
      <c r="E1475" s="23">
        <v>47174.26</v>
      </c>
      <c r="F1475" s="23">
        <v>201228.95</v>
      </c>
      <c r="G1475" s="22" t="s">
        <v>2406</v>
      </c>
      <c r="H1475" s="22"/>
      <c r="I1475" t="s">
        <v>2403</v>
      </c>
      <c r="K1475" s="24">
        <f t="shared" si="24"/>
        <v>-124327.80000000002</v>
      </c>
    </row>
    <row r="1476" spans="1:11" hidden="1" x14ac:dyDescent="0.3">
      <c r="A1476" s="21">
        <v>45281</v>
      </c>
      <c r="B1476" t="s">
        <v>496</v>
      </c>
      <c r="C1476" s="22"/>
      <c r="D1476" s="23">
        <v>0</v>
      </c>
      <c r="E1476" s="23">
        <v>38358.06</v>
      </c>
      <c r="F1476" s="23">
        <v>239587.01</v>
      </c>
      <c r="G1476" s="22" t="s">
        <v>2406</v>
      </c>
      <c r="H1476" s="22"/>
      <c r="I1476" t="s">
        <v>2403</v>
      </c>
      <c r="K1476" s="24">
        <f t="shared" si="24"/>
        <v>0</v>
      </c>
    </row>
    <row r="1477" spans="1:11" hidden="1" x14ac:dyDescent="0.3">
      <c r="A1477" s="21">
        <v>45281</v>
      </c>
      <c r="B1477" t="s">
        <v>133</v>
      </c>
      <c r="C1477" s="22"/>
      <c r="D1477" s="23">
        <v>167.69</v>
      </c>
      <c r="E1477" s="23">
        <v>0</v>
      </c>
      <c r="F1477" s="23">
        <v>239419.32</v>
      </c>
      <c r="G1477" s="22" t="s">
        <v>2406</v>
      </c>
      <c r="H1477" s="22"/>
      <c r="I1477" t="s">
        <v>2403</v>
      </c>
      <c r="K1477" s="24">
        <f t="shared" si="24"/>
        <v>0</v>
      </c>
    </row>
    <row r="1478" spans="1:11" hidden="1" x14ac:dyDescent="0.3">
      <c r="A1478" s="21">
        <v>45281</v>
      </c>
      <c r="B1478" t="s">
        <v>133</v>
      </c>
      <c r="C1478" s="22"/>
      <c r="D1478" s="23">
        <v>1624.73</v>
      </c>
      <c r="E1478" s="23">
        <v>0</v>
      </c>
      <c r="F1478" s="23">
        <v>237794.59</v>
      </c>
      <c r="G1478" s="22" t="s">
        <v>2406</v>
      </c>
      <c r="H1478" s="22"/>
      <c r="I1478" t="s">
        <v>2403</v>
      </c>
      <c r="K1478" s="24">
        <f t="shared" ref="K1478:K1541" si="25">F1477-D1478+E1478-F1478</f>
        <v>0</v>
      </c>
    </row>
    <row r="1479" spans="1:11" hidden="1" x14ac:dyDescent="0.3">
      <c r="A1479" s="21">
        <v>45281</v>
      </c>
      <c r="B1479" t="s">
        <v>1954</v>
      </c>
      <c r="C1479" s="22" t="s">
        <v>1536</v>
      </c>
      <c r="D1479" s="23">
        <v>100</v>
      </c>
      <c r="E1479" s="23">
        <v>0</v>
      </c>
      <c r="F1479" s="23">
        <v>29626.89</v>
      </c>
      <c r="G1479" s="22" t="s">
        <v>2541</v>
      </c>
      <c r="H1479" s="22"/>
      <c r="I1479" t="s">
        <v>2401</v>
      </c>
      <c r="K1479" s="24">
        <f t="shared" si="25"/>
        <v>208067.7</v>
      </c>
    </row>
    <row r="1480" spans="1:11" hidden="1" x14ac:dyDescent="0.3">
      <c r="A1480" s="21">
        <v>45281</v>
      </c>
      <c r="B1480" t="s">
        <v>1955</v>
      </c>
      <c r="C1480" s="22" t="s">
        <v>1536</v>
      </c>
      <c r="D1480" s="23">
        <v>1000</v>
      </c>
      <c r="E1480" s="23">
        <v>0</v>
      </c>
      <c r="F1480" s="23">
        <v>28626.89</v>
      </c>
      <c r="G1480" s="22" t="s">
        <v>2574</v>
      </c>
      <c r="H1480" s="22"/>
      <c r="I1480" t="s">
        <v>2401</v>
      </c>
      <c r="K1480" s="24">
        <f t="shared" si="25"/>
        <v>0</v>
      </c>
    </row>
    <row r="1481" spans="1:11" hidden="1" x14ac:dyDescent="0.3">
      <c r="A1481" s="21">
        <v>45281</v>
      </c>
      <c r="B1481" t="s">
        <v>1956</v>
      </c>
      <c r="C1481" s="22" t="s">
        <v>1536</v>
      </c>
      <c r="D1481" s="23">
        <v>1000</v>
      </c>
      <c r="E1481" s="23">
        <v>0</v>
      </c>
      <c r="F1481" s="23">
        <v>27626.89</v>
      </c>
      <c r="G1481" s="22" t="s">
        <v>2575</v>
      </c>
      <c r="H1481" s="22"/>
      <c r="I1481" t="s">
        <v>2401</v>
      </c>
      <c r="K1481" s="24">
        <f t="shared" si="25"/>
        <v>0</v>
      </c>
    </row>
    <row r="1482" spans="1:11" hidden="1" x14ac:dyDescent="0.3">
      <c r="A1482" s="21">
        <v>45281</v>
      </c>
      <c r="B1482" t="s">
        <v>1957</v>
      </c>
      <c r="C1482" s="22" t="s">
        <v>1536</v>
      </c>
      <c r="D1482" s="23">
        <v>100</v>
      </c>
      <c r="E1482" s="23">
        <v>0</v>
      </c>
      <c r="F1482" s="23">
        <v>27526.89</v>
      </c>
      <c r="G1482" s="22" t="s">
        <v>2399</v>
      </c>
      <c r="H1482" s="22"/>
      <c r="I1482" t="s">
        <v>2401</v>
      </c>
      <c r="K1482" s="24">
        <f t="shared" si="25"/>
        <v>0</v>
      </c>
    </row>
    <row r="1483" spans="1:11" hidden="1" x14ac:dyDescent="0.3">
      <c r="A1483" s="21">
        <v>45281</v>
      </c>
      <c r="B1483" t="s">
        <v>1958</v>
      </c>
      <c r="C1483" s="22" t="s">
        <v>1536</v>
      </c>
      <c r="D1483" s="23">
        <v>33</v>
      </c>
      <c r="E1483" s="23">
        <v>0</v>
      </c>
      <c r="F1483" s="23">
        <v>27493.89</v>
      </c>
      <c r="G1483" s="22" t="s">
        <v>2408</v>
      </c>
      <c r="H1483" s="22"/>
      <c r="I1483" t="s">
        <v>2401</v>
      </c>
      <c r="K1483" s="24">
        <f t="shared" si="25"/>
        <v>0</v>
      </c>
    </row>
    <row r="1484" spans="1:11" hidden="1" x14ac:dyDescent="0.3">
      <c r="A1484" s="21">
        <v>45281</v>
      </c>
      <c r="B1484" t="s">
        <v>1959</v>
      </c>
      <c r="C1484" s="22" t="s">
        <v>1536</v>
      </c>
      <c r="D1484" s="23">
        <v>40</v>
      </c>
      <c r="E1484" s="23">
        <v>0</v>
      </c>
      <c r="F1484" s="23">
        <v>27453.89</v>
      </c>
      <c r="G1484" s="22" t="s">
        <v>2408</v>
      </c>
      <c r="H1484" s="22"/>
      <c r="I1484" t="s">
        <v>2401</v>
      </c>
      <c r="K1484" s="24">
        <f t="shared" si="25"/>
        <v>0</v>
      </c>
    </row>
    <row r="1485" spans="1:11" hidden="1" x14ac:dyDescent="0.3">
      <c r="A1485" s="21">
        <v>45281</v>
      </c>
      <c r="B1485" t="s">
        <v>1960</v>
      </c>
      <c r="C1485" s="22" t="s">
        <v>1536</v>
      </c>
      <c r="D1485" s="23">
        <v>75</v>
      </c>
      <c r="E1485" s="23">
        <v>0</v>
      </c>
      <c r="F1485" s="23">
        <v>27378.89</v>
      </c>
      <c r="G1485" s="22" t="s">
        <v>2408</v>
      </c>
      <c r="H1485" s="22"/>
      <c r="I1485" t="s">
        <v>2401</v>
      </c>
      <c r="K1485" s="24">
        <f t="shared" si="25"/>
        <v>0</v>
      </c>
    </row>
    <row r="1486" spans="1:11" hidden="1" x14ac:dyDescent="0.3">
      <c r="A1486" s="21">
        <v>45282</v>
      </c>
      <c r="B1486" t="s">
        <v>133</v>
      </c>
      <c r="C1486" s="22"/>
      <c r="D1486" s="23">
        <v>137.1</v>
      </c>
      <c r="E1486" s="23">
        <v>0</v>
      </c>
      <c r="F1486" s="23">
        <v>237657.49</v>
      </c>
      <c r="G1486" s="22" t="s">
        <v>2406</v>
      </c>
      <c r="H1486" s="22"/>
      <c r="I1486" t="s">
        <v>2403</v>
      </c>
      <c r="K1486" s="24">
        <f t="shared" si="25"/>
        <v>-210415.69999999998</v>
      </c>
    </row>
    <row r="1487" spans="1:11" hidden="1" x14ac:dyDescent="0.3">
      <c r="A1487" s="21">
        <v>45282</v>
      </c>
      <c r="B1487" t="s">
        <v>133</v>
      </c>
      <c r="C1487" s="22"/>
      <c r="D1487" s="23">
        <v>43088.45</v>
      </c>
      <c r="E1487" s="23">
        <v>0</v>
      </c>
      <c r="F1487" s="23">
        <v>194569.04</v>
      </c>
      <c r="G1487" s="22" t="s">
        <v>2406</v>
      </c>
      <c r="H1487" s="22"/>
      <c r="I1487" t="s">
        <v>2403</v>
      </c>
      <c r="K1487" s="24">
        <f t="shared" si="25"/>
        <v>0</v>
      </c>
    </row>
    <row r="1488" spans="1:11" hidden="1" x14ac:dyDescent="0.3">
      <c r="A1488" s="21">
        <v>45282</v>
      </c>
      <c r="B1488" t="s">
        <v>1961</v>
      </c>
      <c r="C1488" s="22" t="s">
        <v>1536</v>
      </c>
      <c r="D1488" s="23">
        <v>100</v>
      </c>
      <c r="E1488" s="23">
        <v>0</v>
      </c>
      <c r="F1488" s="23">
        <v>27278.89</v>
      </c>
      <c r="G1488" s="22" t="s">
        <v>2541</v>
      </c>
      <c r="H1488" s="22"/>
      <c r="I1488" t="s">
        <v>2401</v>
      </c>
      <c r="K1488" s="24">
        <f t="shared" si="25"/>
        <v>167190.15000000002</v>
      </c>
    </row>
    <row r="1489" spans="1:11" hidden="1" x14ac:dyDescent="0.3">
      <c r="A1489" s="21">
        <v>45282</v>
      </c>
      <c r="B1489" t="s">
        <v>1962</v>
      </c>
      <c r="C1489" s="22" t="s">
        <v>1536</v>
      </c>
      <c r="D1489" s="23">
        <v>100</v>
      </c>
      <c r="E1489" s="23">
        <v>0</v>
      </c>
      <c r="F1489" s="23">
        <v>27178.89</v>
      </c>
      <c r="G1489" s="22" t="s">
        <v>2399</v>
      </c>
      <c r="H1489" s="22"/>
      <c r="I1489" t="s">
        <v>2401</v>
      </c>
      <c r="K1489" s="24">
        <f t="shared" si="25"/>
        <v>0</v>
      </c>
    </row>
    <row r="1490" spans="1:11" hidden="1" x14ac:dyDescent="0.3">
      <c r="A1490" s="21">
        <v>45282</v>
      </c>
      <c r="B1490" t="s">
        <v>1963</v>
      </c>
      <c r="C1490" s="22" t="s">
        <v>1536</v>
      </c>
      <c r="D1490" s="23">
        <v>29</v>
      </c>
      <c r="E1490" s="23">
        <v>0</v>
      </c>
      <c r="F1490" s="23">
        <v>27149.89</v>
      </c>
      <c r="G1490" s="22" t="s">
        <v>2408</v>
      </c>
      <c r="H1490" s="22"/>
      <c r="I1490" t="s">
        <v>2401</v>
      </c>
      <c r="K1490" s="24">
        <f t="shared" si="25"/>
        <v>0</v>
      </c>
    </row>
    <row r="1491" spans="1:11" hidden="1" x14ac:dyDescent="0.3">
      <c r="A1491" s="21">
        <v>45282</v>
      </c>
      <c r="B1491" t="s">
        <v>1964</v>
      </c>
      <c r="C1491" s="22" t="s">
        <v>1536</v>
      </c>
      <c r="D1491" s="23">
        <v>100</v>
      </c>
      <c r="E1491" s="23">
        <v>0</v>
      </c>
      <c r="F1491" s="23">
        <v>27049.89</v>
      </c>
      <c r="G1491" s="22" t="s">
        <v>2399</v>
      </c>
      <c r="H1491" s="22"/>
      <c r="I1491" t="s">
        <v>2401</v>
      </c>
      <c r="K1491" s="24">
        <f t="shared" si="25"/>
        <v>0</v>
      </c>
    </row>
    <row r="1492" spans="1:11" hidden="1" x14ac:dyDescent="0.3">
      <c r="A1492" s="21">
        <v>45282</v>
      </c>
      <c r="B1492" t="s">
        <v>1965</v>
      </c>
      <c r="C1492" s="22" t="s">
        <v>1536</v>
      </c>
      <c r="D1492" s="23">
        <v>70</v>
      </c>
      <c r="E1492" s="23">
        <v>0</v>
      </c>
      <c r="F1492" s="23">
        <v>26979.89</v>
      </c>
      <c r="G1492" s="22" t="s">
        <v>2408</v>
      </c>
      <c r="H1492" s="22"/>
      <c r="I1492" t="s">
        <v>2401</v>
      </c>
      <c r="K1492" s="24">
        <f t="shared" si="25"/>
        <v>0</v>
      </c>
    </row>
    <row r="1493" spans="1:11" hidden="1" x14ac:dyDescent="0.3">
      <c r="A1493" s="21">
        <v>45282</v>
      </c>
      <c r="B1493" t="s">
        <v>1966</v>
      </c>
      <c r="C1493" s="22" t="s">
        <v>1536</v>
      </c>
      <c r="D1493" s="23">
        <v>60</v>
      </c>
      <c r="E1493" s="23">
        <v>0</v>
      </c>
      <c r="F1493" s="23">
        <v>26919.89</v>
      </c>
      <c r="G1493" s="22" t="s">
        <v>2408</v>
      </c>
      <c r="H1493" s="22"/>
      <c r="I1493" t="s">
        <v>2401</v>
      </c>
      <c r="K1493" s="24">
        <f t="shared" si="25"/>
        <v>0</v>
      </c>
    </row>
    <row r="1494" spans="1:11" hidden="1" x14ac:dyDescent="0.3">
      <c r="A1494" s="21">
        <v>45282</v>
      </c>
      <c r="B1494" t="s">
        <v>1967</v>
      </c>
      <c r="C1494" s="22" t="s">
        <v>1536</v>
      </c>
      <c r="D1494" s="23">
        <v>120</v>
      </c>
      <c r="E1494" s="23">
        <v>0</v>
      </c>
      <c r="F1494" s="23">
        <v>26799.89</v>
      </c>
      <c r="G1494" s="22" t="s">
        <v>2399</v>
      </c>
      <c r="H1494" s="22"/>
      <c r="I1494" t="s">
        <v>2401</v>
      </c>
      <c r="K1494" s="24">
        <f t="shared" si="25"/>
        <v>0</v>
      </c>
    </row>
    <row r="1495" spans="1:11" hidden="1" x14ac:dyDescent="0.3">
      <c r="A1495" s="21">
        <v>45282</v>
      </c>
      <c r="B1495" t="s">
        <v>1968</v>
      </c>
      <c r="C1495" s="22" t="s">
        <v>1536</v>
      </c>
      <c r="D1495" s="23">
        <v>0</v>
      </c>
      <c r="E1495" s="23">
        <v>219</v>
      </c>
      <c r="F1495" s="23">
        <v>27018.89</v>
      </c>
      <c r="G1495" s="22" t="s">
        <v>2423</v>
      </c>
      <c r="H1495" s="22"/>
      <c r="I1495" t="s">
        <v>2401</v>
      </c>
      <c r="K1495" s="24">
        <f t="shared" si="25"/>
        <v>0</v>
      </c>
    </row>
    <row r="1496" spans="1:11" hidden="1" x14ac:dyDescent="0.3">
      <c r="A1496" s="21">
        <v>45283</v>
      </c>
      <c r="B1496" t="s">
        <v>1969</v>
      </c>
      <c r="C1496" s="22" t="s">
        <v>1536</v>
      </c>
      <c r="D1496" s="23">
        <v>60</v>
      </c>
      <c r="E1496" s="23">
        <v>0</v>
      </c>
      <c r="F1496" s="23">
        <v>26958.89</v>
      </c>
      <c r="G1496" s="22" t="s">
        <v>2408</v>
      </c>
      <c r="H1496" s="22"/>
      <c r="I1496" t="s">
        <v>2401</v>
      </c>
      <c r="K1496" s="24">
        <f t="shared" si="25"/>
        <v>0</v>
      </c>
    </row>
    <row r="1497" spans="1:11" hidden="1" x14ac:dyDescent="0.3">
      <c r="A1497" s="21">
        <v>45283</v>
      </c>
      <c r="B1497" t="s">
        <v>1970</v>
      </c>
      <c r="C1497" s="22" t="s">
        <v>1536</v>
      </c>
      <c r="D1497" s="23">
        <v>15</v>
      </c>
      <c r="E1497" s="23">
        <v>0</v>
      </c>
      <c r="F1497" s="23">
        <v>26943.89</v>
      </c>
      <c r="G1497" s="22" t="s">
        <v>2408</v>
      </c>
      <c r="H1497" s="22"/>
      <c r="I1497" t="s">
        <v>2401</v>
      </c>
      <c r="K1497" s="24">
        <f t="shared" si="25"/>
        <v>0</v>
      </c>
    </row>
    <row r="1498" spans="1:11" hidden="1" x14ac:dyDescent="0.3">
      <c r="A1498" s="21">
        <v>45283</v>
      </c>
      <c r="B1498" t="s">
        <v>1971</v>
      </c>
      <c r="C1498" s="22" t="s">
        <v>1536</v>
      </c>
      <c r="D1498" s="23">
        <v>264</v>
      </c>
      <c r="E1498" s="23">
        <v>0</v>
      </c>
      <c r="F1498" s="23">
        <v>26679.89</v>
      </c>
      <c r="G1498" s="22" t="s">
        <v>2399</v>
      </c>
      <c r="H1498" s="22"/>
      <c r="I1498" t="s">
        <v>2401</v>
      </c>
      <c r="K1498" s="24">
        <f t="shared" si="25"/>
        <v>0</v>
      </c>
    </row>
    <row r="1499" spans="1:11" hidden="1" x14ac:dyDescent="0.3">
      <c r="A1499" s="21">
        <v>45284</v>
      </c>
      <c r="B1499" t="s">
        <v>1972</v>
      </c>
      <c r="C1499" s="22" t="s">
        <v>1536</v>
      </c>
      <c r="D1499" s="23">
        <v>983.6</v>
      </c>
      <c r="E1499" s="23">
        <v>0</v>
      </c>
      <c r="F1499" s="23">
        <v>25696.29</v>
      </c>
      <c r="G1499" s="22" t="s">
        <v>2399</v>
      </c>
      <c r="H1499" s="22"/>
      <c r="I1499" t="s">
        <v>2401</v>
      </c>
      <c r="K1499" s="24">
        <f t="shared" si="25"/>
        <v>0</v>
      </c>
    </row>
    <row r="1500" spans="1:11" hidden="1" x14ac:dyDescent="0.3">
      <c r="A1500" s="21">
        <v>45284</v>
      </c>
      <c r="B1500" t="s">
        <v>1973</v>
      </c>
      <c r="C1500" s="22" t="s">
        <v>1536</v>
      </c>
      <c r="D1500" s="23">
        <v>983.6</v>
      </c>
      <c r="E1500" s="23">
        <v>0</v>
      </c>
      <c r="F1500" s="23">
        <v>24712.69</v>
      </c>
      <c r="G1500" s="22" t="s">
        <v>2399</v>
      </c>
      <c r="H1500" s="22"/>
      <c r="I1500" t="s">
        <v>2401</v>
      </c>
      <c r="K1500" s="24">
        <f t="shared" si="25"/>
        <v>0</v>
      </c>
    </row>
    <row r="1501" spans="1:11" hidden="1" x14ac:dyDescent="0.3">
      <c r="A1501" s="21">
        <v>45284</v>
      </c>
      <c r="B1501" t="s">
        <v>1974</v>
      </c>
      <c r="C1501" s="22" t="s">
        <v>1536</v>
      </c>
      <c r="D1501" s="23">
        <v>40</v>
      </c>
      <c r="E1501" s="23">
        <v>0</v>
      </c>
      <c r="F1501" s="23">
        <v>24672.69</v>
      </c>
      <c r="G1501" s="22" t="s">
        <v>2408</v>
      </c>
      <c r="H1501" s="22"/>
      <c r="I1501" t="s">
        <v>2401</v>
      </c>
      <c r="K1501" s="24">
        <f t="shared" si="25"/>
        <v>0</v>
      </c>
    </row>
    <row r="1502" spans="1:11" hidden="1" x14ac:dyDescent="0.3">
      <c r="A1502" s="21">
        <v>45284</v>
      </c>
      <c r="B1502" t="s">
        <v>1975</v>
      </c>
      <c r="C1502" s="22" t="s">
        <v>1536</v>
      </c>
      <c r="D1502" s="23">
        <v>25</v>
      </c>
      <c r="E1502" s="23">
        <v>0</v>
      </c>
      <c r="F1502" s="23">
        <v>24647.69</v>
      </c>
      <c r="G1502" s="22" t="s">
        <v>2408</v>
      </c>
      <c r="H1502" s="22"/>
      <c r="I1502" t="s">
        <v>2401</v>
      </c>
      <c r="K1502" s="24">
        <f t="shared" si="25"/>
        <v>0</v>
      </c>
    </row>
    <row r="1503" spans="1:11" hidden="1" x14ac:dyDescent="0.3">
      <c r="A1503" s="21">
        <v>45284</v>
      </c>
      <c r="B1503" t="s">
        <v>2610</v>
      </c>
      <c r="C1503" s="22" t="s">
        <v>1208</v>
      </c>
      <c r="D1503" s="23">
        <v>0</v>
      </c>
      <c r="E1503" s="23">
        <v>6250</v>
      </c>
      <c r="F1503" s="23">
        <v>61952.24</v>
      </c>
      <c r="G1503" s="22" t="s">
        <v>2399</v>
      </c>
      <c r="H1503" s="22"/>
      <c r="I1503" t="s">
        <v>2400</v>
      </c>
      <c r="K1503" s="24">
        <f t="shared" si="25"/>
        <v>-31054.55</v>
      </c>
    </row>
    <row r="1504" spans="1:11" hidden="1" x14ac:dyDescent="0.3">
      <c r="A1504" s="21">
        <v>45285</v>
      </c>
      <c r="B1504" t="s">
        <v>1976</v>
      </c>
      <c r="C1504" s="22" t="s">
        <v>1536</v>
      </c>
      <c r="D1504" s="23">
        <v>2000</v>
      </c>
      <c r="E1504" s="23">
        <v>0</v>
      </c>
      <c r="F1504" s="23">
        <v>22647.69</v>
      </c>
      <c r="G1504" s="22" t="s">
        <v>2611</v>
      </c>
      <c r="H1504" s="22"/>
      <c r="I1504" t="s">
        <v>2401</v>
      </c>
      <c r="K1504" s="24">
        <f t="shared" si="25"/>
        <v>37304.550000000003</v>
      </c>
    </row>
    <row r="1505" spans="1:11" hidden="1" x14ac:dyDescent="0.3">
      <c r="A1505" s="21">
        <v>45285</v>
      </c>
      <c r="B1505" t="s">
        <v>2612</v>
      </c>
      <c r="C1505" s="22" t="s">
        <v>1191</v>
      </c>
      <c r="D1505" s="23">
        <v>2000</v>
      </c>
      <c r="E1505" s="23">
        <v>0</v>
      </c>
      <c r="F1505" s="23">
        <v>59952.24</v>
      </c>
      <c r="G1505" s="22" t="s">
        <v>2399</v>
      </c>
      <c r="H1505" s="22"/>
      <c r="I1505" t="s">
        <v>2400</v>
      </c>
      <c r="K1505" s="24">
        <f t="shared" si="25"/>
        <v>-39304.550000000003</v>
      </c>
    </row>
    <row r="1506" spans="1:11" hidden="1" x14ac:dyDescent="0.3">
      <c r="A1506" s="21">
        <v>45285</v>
      </c>
      <c r="B1506" t="s">
        <v>1085</v>
      </c>
      <c r="C1506" s="22"/>
      <c r="D1506" s="23">
        <v>0</v>
      </c>
      <c r="E1506" s="23">
        <v>422</v>
      </c>
      <c r="F1506" s="23">
        <v>60374.239999999998</v>
      </c>
      <c r="G1506" s="22" t="s">
        <v>2423</v>
      </c>
      <c r="H1506" s="22"/>
      <c r="I1506" t="s">
        <v>2400</v>
      </c>
      <c r="K1506" s="24">
        <f t="shared" si="25"/>
        <v>0</v>
      </c>
    </row>
    <row r="1507" spans="1:11" hidden="1" x14ac:dyDescent="0.3">
      <c r="A1507" s="21">
        <v>45286</v>
      </c>
      <c r="B1507" t="s">
        <v>133</v>
      </c>
      <c r="C1507" s="22"/>
      <c r="D1507" s="23">
        <v>508.32</v>
      </c>
      <c r="E1507" s="23">
        <v>0</v>
      </c>
      <c r="F1507" s="23">
        <v>194060.72</v>
      </c>
      <c r="G1507" s="22" t="s">
        <v>2406</v>
      </c>
      <c r="H1507" s="22"/>
      <c r="I1507" t="s">
        <v>2403</v>
      </c>
      <c r="K1507" s="24">
        <f t="shared" si="25"/>
        <v>-134194.79999999999</v>
      </c>
    </row>
    <row r="1508" spans="1:11" hidden="1" x14ac:dyDescent="0.3">
      <c r="A1508" s="21">
        <v>45286</v>
      </c>
      <c r="B1508" t="s">
        <v>133</v>
      </c>
      <c r="C1508" s="22"/>
      <c r="D1508" s="23">
        <v>60341.51</v>
      </c>
      <c r="E1508" s="23">
        <v>0</v>
      </c>
      <c r="F1508" s="23">
        <v>133719.21</v>
      </c>
      <c r="G1508" s="22" t="s">
        <v>2406</v>
      </c>
      <c r="H1508" s="22"/>
      <c r="I1508" t="s">
        <v>2403</v>
      </c>
      <c r="K1508" s="24">
        <f t="shared" si="25"/>
        <v>0</v>
      </c>
    </row>
    <row r="1509" spans="1:11" hidden="1" x14ac:dyDescent="0.3">
      <c r="A1509" s="21">
        <v>45286</v>
      </c>
      <c r="B1509" t="s">
        <v>1977</v>
      </c>
      <c r="C1509" s="22" t="s">
        <v>1536</v>
      </c>
      <c r="D1509" s="23">
        <v>120</v>
      </c>
      <c r="E1509" s="23">
        <v>0</v>
      </c>
      <c r="F1509" s="23">
        <v>22527.69</v>
      </c>
      <c r="G1509" s="22" t="s">
        <v>2399</v>
      </c>
      <c r="H1509" s="22"/>
      <c r="I1509" t="s">
        <v>2401</v>
      </c>
      <c r="K1509" s="24">
        <f t="shared" si="25"/>
        <v>111071.51999999999</v>
      </c>
    </row>
    <row r="1510" spans="1:11" hidden="1" x14ac:dyDescent="0.3">
      <c r="A1510" s="21">
        <v>45286</v>
      </c>
      <c r="B1510" t="s">
        <v>1978</v>
      </c>
      <c r="C1510" s="22" t="s">
        <v>1536</v>
      </c>
      <c r="D1510" s="23">
        <v>30</v>
      </c>
      <c r="E1510" s="23">
        <v>0</v>
      </c>
      <c r="F1510" s="23">
        <v>22497.69</v>
      </c>
      <c r="G1510" s="22" t="s">
        <v>2408</v>
      </c>
      <c r="H1510" s="22"/>
      <c r="I1510" t="s">
        <v>2401</v>
      </c>
      <c r="K1510" s="24">
        <f t="shared" si="25"/>
        <v>0</v>
      </c>
    </row>
    <row r="1511" spans="1:11" hidden="1" x14ac:dyDescent="0.3">
      <c r="A1511" s="21">
        <v>45286</v>
      </c>
      <c r="B1511" t="s">
        <v>1979</v>
      </c>
      <c r="C1511" s="22" t="s">
        <v>1536</v>
      </c>
      <c r="D1511" s="23">
        <v>200</v>
      </c>
      <c r="E1511" s="23">
        <v>0</v>
      </c>
      <c r="F1511" s="23">
        <v>22297.69</v>
      </c>
      <c r="G1511" s="22" t="s">
        <v>2399</v>
      </c>
      <c r="H1511" s="22"/>
      <c r="I1511" t="s">
        <v>2401</v>
      </c>
      <c r="K1511" s="24">
        <f t="shared" si="25"/>
        <v>0</v>
      </c>
    </row>
    <row r="1512" spans="1:11" hidden="1" x14ac:dyDescent="0.3">
      <c r="A1512" s="21">
        <v>45286</v>
      </c>
      <c r="B1512" t="s">
        <v>1980</v>
      </c>
      <c r="C1512" s="22" t="s">
        <v>1536</v>
      </c>
      <c r="D1512" s="23">
        <v>40</v>
      </c>
      <c r="E1512" s="23">
        <v>0</v>
      </c>
      <c r="F1512" s="23">
        <v>22257.69</v>
      </c>
      <c r="G1512" s="22" t="s">
        <v>2408</v>
      </c>
      <c r="H1512" s="22"/>
      <c r="I1512" t="s">
        <v>2401</v>
      </c>
      <c r="K1512" s="24">
        <f t="shared" si="25"/>
        <v>0</v>
      </c>
    </row>
    <row r="1513" spans="1:11" hidden="1" x14ac:dyDescent="0.3">
      <c r="A1513" s="21">
        <v>45286</v>
      </c>
      <c r="B1513" t="s">
        <v>2613</v>
      </c>
      <c r="C1513" s="22" t="s">
        <v>1161</v>
      </c>
      <c r="D1513" s="23">
        <v>10</v>
      </c>
      <c r="E1513" s="23">
        <v>0</v>
      </c>
      <c r="F1513" s="23">
        <v>60364.24</v>
      </c>
      <c r="G1513" s="22" t="s">
        <v>2399</v>
      </c>
      <c r="H1513" s="22"/>
      <c r="I1513" t="s">
        <v>2400</v>
      </c>
      <c r="K1513" s="24">
        <f t="shared" si="25"/>
        <v>-38116.550000000003</v>
      </c>
    </row>
    <row r="1514" spans="1:11" hidden="1" x14ac:dyDescent="0.3">
      <c r="A1514" s="21">
        <v>45287</v>
      </c>
      <c r="B1514" t="s">
        <v>133</v>
      </c>
      <c r="C1514" s="22"/>
      <c r="D1514" s="23">
        <v>153.84</v>
      </c>
      <c r="E1514" s="23">
        <v>0</v>
      </c>
      <c r="F1514" s="23">
        <v>133565.37</v>
      </c>
      <c r="G1514" s="22" t="s">
        <v>2406</v>
      </c>
      <c r="H1514" s="22"/>
      <c r="I1514" t="s">
        <v>2403</v>
      </c>
      <c r="K1514" s="24">
        <f t="shared" si="25"/>
        <v>-73354.97</v>
      </c>
    </row>
    <row r="1515" spans="1:11" hidden="1" x14ac:dyDescent="0.3">
      <c r="A1515" s="21">
        <v>45287</v>
      </c>
      <c r="B1515" t="s">
        <v>1981</v>
      </c>
      <c r="C1515" s="22" t="s">
        <v>1536</v>
      </c>
      <c r="D1515" s="23">
        <v>212.85</v>
      </c>
      <c r="E1515" s="23">
        <v>0</v>
      </c>
      <c r="F1515" s="23">
        <v>22044.84</v>
      </c>
      <c r="G1515" s="22" t="s">
        <v>2399</v>
      </c>
      <c r="H1515" s="22"/>
      <c r="I1515" t="s">
        <v>2401</v>
      </c>
      <c r="K1515" s="24">
        <f t="shared" si="25"/>
        <v>111307.68</v>
      </c>
    </row>
    <row r="1516" spans="1:11" hidden="1" x14ac:dyDescent="0.3">
      <c r="A1516" s="21">
        <v>45287</v>
      </c>
      <c r="B1516" t="s">
        <v>1982</v>
      </c>
      <c r="C1516" s="22" t="s">
        <v>1536</v>
      </c>
      <c r="D1516" s="23">
        <v>58.54</v>
      </c>
      <c r="E1516" s="23">
        <v>0</v>
      </c>
      <c r="F1516" s="23">
        <v>21986.3</v>
      </c>
      <c r="G1516" s="22" t="s">
        <v>2408</v>
      </c>
      <c r="H1516" s="22"/>
      <c r="I1516" t="s">
        <v>2401</v>
      </c>
      <c r="K1516" s="24">
        <f t="shared" si="25"/>
        <v>0</v>
      </c>
    </row>
    <row r="1517" spans="1:11" hidden="1" x14ac:dyDescent="0.3">
      <c r="A1517" s="21">
        <v>45287</v>
      </c>
      <c r="B1517" t="s">
        <v>1983</v>
      </c>
      <c r="C1517" s="22" t="s">
        <v>1536</v>
      </c>
      <c r="D1517" s="23">
        <v>72.150000000000006</v>
      </c>
      <c r="E1517" s="23">
        <v>0</v>
      </c>
      <c r="F1517" s="23">
        <v>21914.15</v>
      </c>
      <c r="G1517" s="22" t="s">
        <v>2408</v>
      </c>
      <c r="H1517" s="22"/>
      <c r="I1517" t="s">
        <v>2401</v>
      </c>
      <c r="K1517" s="24">
        <f t="shared" si="25"/>
        <v>0</v>
      </c>
    </row>
    <row r="1518" spans="1:11" hidden="1" x14ac:dyDescent="0.3">
      <c r="A1518" s="21">
        <v>45288</v>
      </c>
      <c r="B1518" t="s">
        <v>133</v>
      </c>
      <c r="C1518" s="22"/>
      <c r="D1518" s="23">
        <v>18479.919999999998</v>
      </c>
      <c r="E1518" s="23">
        <v>0</v>
      </c>
      <c r="F1518" s="23">
        <v>115085.45</v>
      </c>
      <c r="G1518" s="22" t="s">
        <v>2406</v>
      </c>
      <c r="H1518" s="22"/>
      <c r="I1518" t="s">
        <v>2403</v>
      </c>
      <c r="K1518" s="24">
        <f t="shared" si="25"/>
        <v>-111651.22</v>
      </c>
    </row>
    <row r="1519" spans="1:11" hidden="1" x14ac:dyDescent="0.3">
      <c r="A1519" s="21">
        <v>45288</v>
      </c>
      <c r="B1519" t="s">
        <v>816</v>
      </c>
      <c r="C1519" s="22"/>
      <c r="D1519" s="23">
        <v>5000</v>
      </c>
      <c r="E1519" s="23">
        <v>0</v>
      </c>
      <c r="F1519" s="23">
        <v>110085.45</v>
      </c>
      <c r="G1519" s="22" t="s">
        <v>2442</v>
      </c>
      <c r="H1519" s="22"/>
      <c r="I1519" t="s">
        <v>2403</v>
      </c>
      <c r="K1519" s="24">
        <f t="shared" si="25"/>
        <v>0</v>
      </c>
    </row>
    <row r="1520" spans="1:11" hidden="1" x14ac:dyDescent="0.3">
      <c r="A1520" s="21">
        <v>45288</v>
      </c>
      <c r="B1520" t="s">
        <v>133</v>
      </c>
      <c r="C1520" s="22"/>
      <c r="D1520" s="23">
        <v>147.26</v>
      </c>
      <c r="E1520" s="23">
        <v>0</v>
      </c>
      <c r="F1520" s="23">
        <v>109938.19</v>
      </c>
      <c r="G1520" s="22" t="s">
        <v>2406</v>
      </c>
      <c r="H1520" s="22"/>
      <c r="I1520" t="s">
        <v>2403</v>
      </c>
      <c r="K1520" s="24">
        <f t="shared" si="25"/>
        <v>0</v>
      </c>
    </row>
    <row r="1521" spans="1:11" hidden="1" x14ac:dyDescent="0.3">
      <c r="A1521" s="21">
        <v>45288</v>
      </c>
      <c r="B1521" t="s">
        <v>1984</v>
      </c>
      <c r="C1521" s="22" t="s">
        <v>1536</v>
      </c>
      <c r="D1521" s="23">
        <v>25</v>
      </c>
      <c r="E1521" s="23">
        <v>0</v>
      </c>
      <c r="F1521" s="23">
        <v>21889.15</v>
      </c>
      <c r="G1521" s="22" t="s">
        <v>2408</v>
      </c>
      <c r="H1521" s="22"/>
      <c r="I1521" t="s">
        <v>2401</v>
      </c>
      <c r="K1521" s="24">
        <f t="shared" si="25"/>
        <v>88024.040000000008</v>
      </c>
    </row>
    <row r="1522" spans="1:11" hidden="1" x14ac:dyDescent="0.3">
      <c r="A1522" s="21">
        <v>45288</v>
      </c>
      <c r="B1522" t="s">
        <v>1985</v>
      </c>
      <c r="C1522" s="22" t="s">
        <v>1536</v>
      </c>
      <c r="D1522" s="23">
        <v>199</v>
      </c>
      <c r="E1522" s="23">
        <v>0</v>
      </c>
      <c r="F1522" s="23">
        <v>21690.15</v>
      </c>
      <c r="G1522" s="22" t="s">
        <v>2399</v>
      </c>
      <c r="H1522" s="22"/>
      <c r="I1522" t="s">
        <v>2401</v>
      </c>
      <c r="K1522" s="24">
        <f t="shared" si="25"/>
        <v>0</v>
      </c>
    </row>
    <row r="1523" spans="1:11" hidden="1" x14ac:dyDescent="0.3">
      <c r="A1523" s="21">
        <v>45289</v>
      </c>
      <c r="B1523" t="s">
        <v>496</v>
      </c>
      <c r="C1523" s="22"/>
      <c r="D1523" s="23">
        <v>0</v>
      </c>
      <c r="E1523" s="23">
        <v>321.45</v>
      </c>
      <c r="F1523" s="23">
        <v>110259.64</v>
      </c>
      <c r="G1523" s="22" t="s">
        <v>2406</v>
      </c>
      <c r="H1523" s="22"/>
      <c r="I1523" t="s">
        <v>2403</v>
      </c>
      <c r="K1523" s="24">
        <f t="shared" si="25"/>
        <v>-88248.04</v>
      </c>
    </row>
    <row r="1524" spans="1:11" hidden="1" x14ac:dyDescent="0.3">
      <c r="A1524" s="21">
        <v>45289</v>
      </c>
      <c r="B1524" t="s">
        <v>133</v>
      </c>
      <c r="C1524" s="22"/>
      <c r="D1524" s="23">
        <v>170.11</v>
      </c>
      <c r="E1524" s="23">
        <v>0</v>
      </c>
      <c r="F1524" s="23">
        <v>110089.53</v>
      </c>
      <c r="G1524" s="22" t="s">
        <v>2406</v>
      </c>
      <c r="H1524" s="22"/>
      <c r="I1524" t="s">
        <v>2403</v>
      </c>
      <c r="K1524" s="24">
        <f t="shared" si="25"/>
        <v>0</v>
      </c>
    </row>
    <row r="1525" spans="1:11" hidden="1" x14ac:dyDescent="0.3">
      <c r="A1525" s="21">
        <v>45289</v>
      </c>
      <c r="B1525" t="s">
        <v>133</v>
      </c>
      <c r="C1525" s="22"/>
      <c r="D1525" s="23">
        <v>65206.15</v>
      </c>
      <c r="E1525" s="23">
        <v>0</v>
      </c>
      <c r="F1525" s="23">
        <v>44883.38</v>
      </c>
      <c r="G1525" s="22" t="s">
        <v>2406</v>
      </c>
      <c r="H1525" s="22"/>
      <c r="I1525" t="s">
        <v>2403</v>
      </c>
      <c r="K1525" s="24">
        <f t="shared" si="25"/>
        <v>0</v>
      </c>
    </row>
    <row r="1526" spans="1:11" hidden="1" x14ac:dyDescent="0.3">
      <c r="A1526" s="21">
        <v>45289</v>
      </c>
      <c r="B1526" t="s">
        <v>1986</v>
      </c>
      <c r="C1526" s="22" t="s">
        <v>1536</v>
      </c>
      <c r="D1526" s="23">
        <v>90</v>
      </c>
      <c r="E1526" s="23">
        <v>0</v>
      </c>
      <c r="F1526" s="23">
        <v>21600.15</v>
      </c>
      <c r="G1526" s="22" t="s">
        <v>2408</v>
      </c>
      <c r="H1526" s="22"/>
      <c r="I1526" t="s">
        <v>2401</v>
      </c>
      <c r="K1526" s="24">
        <f t="shared" si="25"/>
        <v>23193.229999999996</v>
      </c>
    </row>
    <row r="1527" spans="1:11" hidden="1" x14ac:dyDescent="0.3">
      <c r="A1527" s="21">
        <v>45289</v>
      </c>
      <c r="B1527" t="s">
        <v>1987</v>
      </c>
      <c r="C1527" s="22" t="s">
        <v>1536</v>
      </c>
      <c r="D1527" s="23">
        <v>70</v>
      </c>
      <c r="E1527" s="23">
        <v>0</v>
      </c>
      <c r="F1527" s="23">
        <v>21530.15</v>
      </c>
      <c r="G1527" s="22" t="s">
        <v>2408</v>
      </c>
      <c r="H1527" s="22"/>
      <c r="I1527" t="s">
        <v>2401</v>
      </c>
      <c r="K1527" s="24">
        <f t="shared" si="25"/>
        <v>0</v>
      </c>
    </row>
    <row r="1528" spans="1:11" hidden="1" x14ac:dyDescent="0.3">
      <c r="A1528" s="21">
        <v>45290</v>
      </c>
      <c r="B1528" t="s">
        <v>1988</v>
      </c>
      <c r="C1528" s="22" t="s">
        <v>1536</v>
      </c>
      <c r="D1528" s="23">
        <v>0</v>
      </c>
      <c r="E1528" s="23">
        <v>22500</v>
      </c>
      <c r="F1528" s="23">
        <v>44030.15</v>
      </c>
      <c r="G1528" s="22" t="s">
        <v>2581</v>
      </c>
      <c r="H1528" s="22"/>
      <c r="I1528" t="s">
        <v>2401</v>
      </c>
      <c r="K1528" s="24">
        <f t="shared" si="25"/>
        <v>0</v>
      </c>
    </row>
    <row r="1529" spans="1:11" hidden="1" x14ac:dyDescent="0.3">
      <c r="A1529" s="21">
        <v>45290</v>
      </c>
      <c r="B1529" t="s">
        <v>2614</v>
      </c>
      <c r="C1529" s="22" t="s">
        <v>1154</v>
      </c>
      <c r="D1529" s="23">
        <v>187.15</v>
      </c>
      <c r="E1529" s="23">
        <v>0</v>
      </c>
      <c r="F1529" s="23">
        <v>60177.09</v>
      </c>
      <c r="G1529" s="22" t="s">
        <v>2399</v>
      </c>
      <c r="H1529" s="22"/>
      <c r="I1529" t="s">
        <v>2400</v>
      </c>
      <c r="K1529" s="24">
        <f t="shared" si="25"/>
        <v>-16334.089999999997</v>
      </c>
    </row>
    <row r="1530" spans="1:11" hidden="1" x14ac:dyDescent="0.3">
      <c r="A1530" s="21">
        <v>45291</v>
      </c>
      <c r="B1530" t="s">
        <v>822</v>
      </c>
      <c r="C1530" s="22"/>
      <c r="D1530" s="23">
        <v>0</v>
      </c>
      <c r="E1530" s="23">
        <v>10000</v>
      </c>
      <c r="F1530" s="23">
        <v>54883.38</v>
      </c>
      <c r="G1530" s="22" t="s">
        <v>2417</v>
      </c>
      <c r="H1530" s="22"/>
      <c r="I1530" t="s">
        <v>2403</v>
      </c>
      <c r="K1530" s="24">
        <f t="shared" si="25"/>
        <v>15293.71</v>
      </c>
    </row>
    <row r="1531" spans="1:11" hidden="1" x14ac:dyDescent="0.3">
      <c r="A1531" s="21">
        <v>45291</v>
      </c>
      <c r="B1531" t="s">
        <v>343</v>
      </c>
      <c r="C1531" s="22"/>
      <c r="D1531" s="23">
        <v>0</v>
      </c>
      <c r="E1531" s="23">
        <v>524</v>
      </c>
      <c r="F1531" s="23">
        <v>55407.38</v>
      </c>
      <c r="G1531" s="22" t="s">
        <v>2423</v>
      </c>
      <c r="H1531" s="22"/>
      <c r="I1531" t="s">
        <v>2403</v>
      </c>
      <c r="K1531" s="24">
        <f t="shared" si="25"/>
        <v>0</v>
      </c>
    </row>
    <row r="1532" spans="1:11" hidden="1" x14ac:dyDescent="0.3">
      <c r="A1532" s="21">
        <v>45291</v>
      </c>
      <c r="B1532" t="s">
        <v>1989</v>
      </c>
      <c r="C1532" s="22" t="s">
        <v>1536</v>
      </c>
      <c r="D1532" s="23">
        <v>79.02</v>
      </c>
      <c r="E1532" s="23">
        <v>0</v>
      </c>
      <c r="F1532" s="23">
        <v>43951.13</v>
      </c>
      <c r="G1532" s="22" t="s">
        <v>2408</v>
      </c>
      <c r="H1532" s="22"/>
      <c r="I1532" t="s">
        <v>2401</v>
      </c>
      <c r="K1532" s="24">
        <f t="shared" si="25"/>
        <v>11377.230000000003</v>
      </c>
    </row>
    <row r="1533" spans="1:11" hidden="1" x14ac:dyDescent="0.3">
      <c r="A1533" s="21">
        <v>45291</v>
      </c>
      <c r="B1533" t="s">
        <v>1990</v>
      </c>
      <c r="C1533" s="22" t="s">
        <v>1536</v>
      </c>
      <c r="D1533" s="23">
        <v>529</v>
      </c>
      <c r="E1533" s="23">
        <v>0</v>
      </c>
      <c r="F1533" s="23">
        <v>43422.13</v>
      </c>
      <c r="G1533" s="22" t="s">
        <v>2399</v>
      </c>
      <c r="H1533" s="22"/>
      <c r="I1533" t="s">
        <v>2401</v>
      </c>
      <c r="K1533" s="24">
        <f t="shared" si="25"/>
        <v>0</v>
      </c>
    </row>
    <row r="1534" spans="1:11" hidden="1" x14ac:dyDescent="0.3">
      <c r="A1534" s="21">
        <v>45292</v>
      </c>
      <c r="B1534" t="s">
        <v>46</v>
      </c>
      <c r="C1534" s="22"/>
      <c r="D1534" s="23">
        <v>0</v>
      </c>
      <c r="E1534" s="23">
        <v>211</v>
      </c>
      <c r="F1534" s="23">
        <v>16723.39</v>
      </c>
      <c r="G1534" s="22" t="s">
        <v>2423</v>
      </c>
      <c r="H1534" s="22"/>
      <c r="I1534" t="s">
        <v>2404</v>
      </c>
      <c r="K1534" s="24">
        <f t="shared" si="25"/>
        <v>26909.739999999998</v>
      </c>
    </row>
    <row r="1535" spans="1:11" hidden="1" x14ac:dyDescent="0.3">
      <c r="A1535" s="21">
        <v>45292</v>
      </c>
      <c r="B1535" t="s">
        <v>824</v>
      </c>
      <c r="C1535" s="22"/>
      <c r="D1535" s="23">
        <v>5000</v>
      </c>
      <c r="E1535" s="23">
        <v>0</v>
      </c>
      <c r="F1535" s="23">
        <v>50407.38</v>
      </c>
      <c r="G1535" s="22" t="s">
        <v>2442</v>
      </c>
      <c r="H1535" s="22"/>
      <c r="I1535" t="s">
        <v>2403</v>
      </c>
      <c r="K1535" s="24">
        <f t="shared" si="25"/>
        <v>-38683.99</v>
      </c>
    </row>
    <row r="1536" spans="1:11" hidden="1" x14ac:dyDescent="0.3">
      <c r="A1536" s="21">
        <v>45292</v>
      </c>
      <c r="B1536" t="s">
        <v>133</v>
      </c>
      <c r="C1536" s="22"/>
      <c r="D1536" s="23">
        <v>441</v>
      </c>
      <c r="E1536" s="23">
        <v>0</v>
      </c>
      <c r="F1536" s="23">
        <v>49966.38</v>
      </c>
      <c r="G1536" s="22" t="s">
        <v>2406</v>
      </c>
      <c r="H1536" s="22"/>
      <c r="I1536" t="s">
        <v>2403</v>
      </c>
      <c r="K1536" s="24">
        <f t="shared" si="25"/>
        <v>0</v>
      </c>
    </row>
    <row r="1537" spans="1:11" hidden="1" x14ac:dyDescent="0.3">
      <c r="A1537" s="21">
        <v>45292</v>
      </c>
      <c r="B1537" t="s">
        <v>133</v>
      </c>
      <c r="C1537" s="22"/>
      <c r="D1537" s="23">
        <v>41407.31</v>
      </c>
      <c r="E1537" s="23">
        <v>0</v>
      </c>
      <c r="F1537" s="23">
        <v>8559.07</v>
      </c>
      <c r="G1537" s="22" t="s">
        <v>2406</v>
      </c>
      <c r="H1537" s="22"/>
      <c r="I1537" t="s">
        <v>2403</v>
      </c>
      <c r="K1537" s="24">
        <f t="shared" si="25"/>
        <v>0</v>
      </c>
    </row>
    <row r="1538" spans="1:11" hidden="1" x14ac:dyDescent="0.3">
      <c r="A1538" s="21">
        <v>45292</v>
      </c>
      <c r="B1538" t="s">
        <v>1991</v>
      </c>
      <c r="C1538" s="22" t="s">
        <v>1536</v>
      </c>
      <c r="D1538" s="23">
        <v>292</v>
      </c>
      <c r="E1538" s="23">
        <v>0</v>
      </c>
      <c r="F1538" s="23">
        <v>43130.13</v>
      </c>
      <c r="G1538" s="22" t="s">
        <v>2399</v>
      </c>
      <c r="H1538" s="22"/>
      <c r="I1538" t="s">
        <v>2401</v>
      </c>
      <c r="K1538" s="24">
        <f t="shared" si="25"/>
        <v>-34863.06</v>
      </c>
    </row>
    <row r="1539" spans="1:11" hidden="1" x14ac:dyDescent="0.3">
      <c r="A1539" s="21">
        <v>45292</v>
      </c>
      <c r="B1539" t="s">
        <v>1992</v>
      </c>
      <c r="C1539" s="22" t="s">
        <v>1536</v>
      </c>
      <c r="D1539" s="23">
        <v>359</v>
      </c>
      <c r="E1539" s="23">
        <v>0</v>
      </c>
      <c r="F1539" s="23">
        <v>42771.13</v>
      </c>
      <c r="G1539" s="22" t="s">
        <v>2399</v>
      </c>
      <c r="H1539" s="22"/>
      <c r="I1539" t="s">
        <v>2401</v>
      </c>
      <c r="K1539" s="24">
        <f t="shared" si="25"/>
        <v>0</v>
      </c>
    </row>
    <row r="1540" spans="1:11" hidden="1" x14ac:dyDescent="0.3">
      <c r="A1540" s="21">
        <v>45292</v>
      </c>
      <c r="B1540" t="s">
        <v>1993</v>
      </c>
      <c r="C1540" s="22" t="s">
        <v>1536</v>
      </c>
      <c r="D1540" s="23">
        <v>50</v>
      </c>
      <c r="E1540" s="23">
        <v>0</v>
      </c>
      <c r="F1540" s="23">
        <v>42721.13</v>
      </c>
      <c r="G1540" s="22" t="s">
        <v>2408</v>
      </c>
      <c r="H1540" s="22"/>
      <c r="I1540" t="s">
        <v>2401</v>
      </c>
      <c r="K1540" s="24">
        <f t="shared" si="25"/>
        <v>0</v>
      </c>
    </row>
    <row r="1541" spans="1:11" hidden="1" x14ac:dyDescent="0.3">
      <c r="A1541" s="21">
        <v>45292</v>
      </c>
      <c r="B1541" t="s">
        <v>2615</v>
      </c>
      <c r="C1541" s="22" t="s">
        <v>1191</v>
      </c>
      <c r="D1541" s="23">
        <v>70</v>
      </c>
      <c r="E1541" s="23">
        <v>0</v>
      </c>
      <c r="F1541" s="23">
        <v>60107.09</v>
      </c>
      <c r="G1541" s="22" t="s">
        <v>2399</v>
      </c>
      <c r="H1541" s="22"/>
      <c r="I1541" t="s">
        <v>2400</v>
      </c>
      <c r="K1541" s="24">
        <f t="shared" si="25"/>
        <v>-17455.96</v>
      </c>
    </row>
    <row r="1542" spans="1:11" hidden="1" x14ac:dyDescent="0.3">
      <c r="A1542" s="21">
        <v>45292</v>
      </c>
      <c r="B1542" t="s">
        <v>2616</v>
      </c>
      <c r="C1542" s="22" t="s">
        <v>1191</v>
      </c>
      <c r="D1542" s="23">
        <v>69.099999999999994</v>
      </c>
      <c r="E1542" s="23">
        <v>0</v>
      </c>
      <c r="F1542" s="23">
        <v>60037.99</v>
      </c>
      <c r="G1542" s="22" t="s">
        <v>2399</v>
      </c>
      <c r="H1542" s="22"/>
      <c r="I1542" t="s">
        <v>2400</v>
      </c>
      <c r="K1542" s="24">
        <f t="shared" ref="K1542:K1605" si="26">F1541-D1542+E1542-F1542</f>
        <v>0</v>
      </c>
    </row>
    <row r="1543" spans="1:11" hidden="1" x14ac:dyDescent="0.3">
      <c r="A1543" s="21">
        <v>45293</v>
      </c>
      <c r="B1543" t="s">
        <v>133</v>
      </c>
      <c r="C1543" s="22"/>
      <c r="D1543" s="23">
        <v>132.25</v>
      </c>
      <c r="E1543" s="23">
        <v>0</v>
      </c>
      <c r="F1543" s="23">
        <v>8426.82</v>
      </c>
      <c r="G1543" s="22" t="s">
        <v>2406</v>
      </c>
      <c r="H1543" s="22"/>
      <c r="I1543" t="s">
        <v>2403</v>
      </c>
      <c r="K1543" s="24">
        <f t="shared" si="26"/>
        <v>51478.92</v>
      </c>
    </row>
    <row r="1544" spans="1:11" hidden="1" x14ac:dyDescent="0.3">
      <c r="A1544" s="21">
        <v>45293</v>
      </c>
      <c r="B1544" t="s">
        <v>829</v>
      </c>
      <c r="C1544" s="22"/>
      <c r="D1544" s="23">
        <v>0</v>
      </c>
      <c r="E1544" s="23">
        <v>30000</v>
      </c>
      <c r="F1544" s="23">
        <v>38426.82</v>
      </c>
      <c r="G1544" s="22" t="s">
        <v>2422</v>
      </c>
      <c r="H1544" s="22"/>
      <c r="I1544" t="s">
        <v>2403</v>
      </c>
      <c r="K1544" s="24">
        <f t="shared" si="26"/>
        <v>0</v>
      </c>
    </row>
    <row r="1545" spans="1:11" hidden="1" x14ac:dyDescent="0.3">
      <c r="A1545" s="21">
        <v>45293</v>
      </c>
      <c r="B1545" t="s">
        <v>133</v>
      </c>
      <c r="C1545" s="22"/>
      <c r="D1545" s="23">
        <v>16611.3</v>
      </c>
      <c r="E1545" s="23">
        <v>0</v>
      </c>
      <c r="F1545" s="23">
        <v>21815.52</v>
      </c>
      <c r="G1545" s="22" t="s">
        <v>2406</v>
      </c>
      <c r="H1545" s="22"/>
      <c r="I1545" t="s">
        <v>2403</v>
      </c>
      <c r="K1545" s="24">
        <f t="shared" si="26"/>
        <v>0</v>
      </c>
    </row>
    <row r="1546" spans="1:11" hidden="1" x14ac:dyDescent="0.3">
      <c r="A1546" s="21">
        <v>45293</v>
      </c>
      <c r="B1546" t="s">
        <v>1994</v>
      </c>
      <c r="C1546" s="22" t="s">
        <v>1536</v>
      </c>
      <c r="D1546" s="23">
        <v>20</v>
      </c>
      <c r="E1546" s="23">
        <v>0</v>
      </c>
      <c r="F1546" s="23">
        <v>42701.13</v>
      </c>
      <c r="G1546" s="22" t="s">
        <v>2408</v>
      </c>
      <c r="H1546" s="22"/>
      <c r="I1546" t="s">
        <v>2401</v>
      </c>
      <c r="K1546" s="24">
        <f t="shared" si="26"/>
        <v>-20905.609999999997</v>
      </c>
    </row>
    <row r="1547" spans="1:11" hidden="1" x14ac:dyDescent="0.3">
      <c r="A1547" s="21">
        <v>45293</v>
      </c>
      <c r="B1547" t="s">
        <v>1995</v>
      </c>
      <c r="C1547" s="22" t="s">
        <v>1536</v>
      </c>
      <c r="D1547" s="23">
        <v>300</v>
      </c>
      <c r="E1547" s="23">
        <v>0</v>
      </c>
      <c r="F1547" s="23">
        <v>42401.13</v>
      </c>
      <c r="G1547" s="22" t="s">
        <v>2399</v>
      </c>
      <c r="H1547" s="22"/>
      <c r="I1547" t="s">
        <v>2401</v>
      </c>
      <c r="K1547" s="24">
        <f t="shared" si="26"/>
        <v>0</v>
      </c>
    </row>
    <row r="1548" spans="1:11" hidden="1" x14ac:dyDescent="0.3">
      <c r="A1548" s="21">
        <v>45293</v>
      </c>
      <c r="B1548" t="s">
        <v>1996</v>
      </c>
      <c r="C1548" s="22" t="s">
        <v>1536</v>
      </c>
      <c r="D1548" s="23">
        <v>20</v>
      </c>
      <c r="E1548" s="23">
        <v>0</v>
      </c>
      <c r="F1548" s="23">
        <v>42381.13</v>
      </c>
      <c r="G1548" s="22" t="s">
        <v>2408</v>
      </c>
      <c r="H1548" s="22"/>
      <c r="I1548" t="s">
        <v>2401</v>
      </c>
      <c r="K1548" s="24">
        <f t="shared" si="26"/>
        <v>0</v>
      </c>
    </row>
    <row r="1549" spans="1:11" hidden="1" x14ac:dyDescent="0.3">
      <c r="A1549" s="21">
        <v>45293</v>
      </c>
      <c r="B1549" t="s">
        <v>1997</v>
      </c>
      <c r="C1549" s="22" t="s">
        <v>1536</v>
      </c>
      <c r="D1549" s="23">
        <v>15</v>
      </c>
      <c r="E1549" s="23">
        <v>0</v>
      </c>
      <c r="F1549" s="23">
        <v>42366.13</v>
      </c>
      <c r="G1549" s="22" t="s">
        <v>2408</v>
      </c>
      <c r="H1549" s="22"/>
      <c r="I1549" t="s">
        <v>2401</v>
      </c>
      <c r="K1549" s="24">
        <f t="shared" si="26"/>
        <v>0</v>
      </c>
    </row>
    <row r="1550" spans="1:11" hidden="1" x14ac:dyDescent="0.3">
      <c r="A1550" s="21">
        <v>45293</v>
      </c>
      <c r="B1550" t="s">
        <v>2617</v>
      </c>
      <c r="C1550" s="22" t="s">
        <v>2618</v>
      </c>
      <c r="D1550" s="23">
        <v>0</v>
      </c>
      <c r="E1550" s="23">
        <v>4708.07</v>
      </c>
      <c r="F1550" s="23">
        <v>64746.06</v>
      </c>
      <c r="G1550" s="22" t="s">
        <v>2425</v>
      </c>
      <c r="H1550" s="22"/>
      <c r="I1550" t="s">
        <v>2400</v>
      </c>
      <c r="K1550" s="24">
        <f t="shared" si="26"/>
        <v>-17671.86</v>
      </c>
    </row>
    <row r="1551" spans="1:11" hidden="1" x14ac:dyDescent="0.3">
      <c r="A1551" s="21">
        <v>45294</v>
      </c>
      <c r="B1551" t="s">
        <v>133</v>
      </c>
      <c r="C1551" s="22"/>
      <c r="D1551" s="23">
        <v>175.25</v>
      </c>
      <c r="E1551" s="23">
        <v>0</v>
      </c>
      <c r="F1551" s="23">
        <v>21640.27</v>
      </c>
      <c r="G1551" s="22" t="s">
        <v>2406</v>
      </c>
      <c r="H1551" s="22"/>
      <c r="I1551" t="s">
        <v>2403</v>
      </c>
      <c r="K1551" s="24">
        <f t="shared" si="26"/>
        <v>42930.539999999994</v>
      </c>
    </row>
    <row r="1552" spans="1:11" hidden="1" x14ac:dyDescent="0.3">
      <c r="A1552" s="21">
        <v>45294</v>
      </c>
      <c r="B1552" t="s">
        <v>133</v>
      </c>
      <c r="C1552" s="22"/>
      <c r="D1552" s="23">
        <v>12535.13</v>
      </c>
      <c r="E1552" s="23">
        <v>0</v>
      </c>
      <c r="F1552" s="23">
        <v>9105.14</v>
      </c>
      <c r="G1552" s="22" t="s">
        <v>2406</v>
      </c>
      <c r="H1552" s="22"/>
      <c r="I1552" t="s">
        <v>2403</v>
      </c>
      <c r="K1552" s="24">
        <f t="shared" si="26"/>
        <v>0</v>
      </c>
    </row>
    <row r="1553" spans="1:11" hidden="1" x14ac:dyDescent="0.3">
      <c r="A1553" s="21">
        <v>45294</v>
      </c>
      <c r="B1553" t="s">
        <v>1998</v>
      </c>
      <c r="C1553" s="22" t="s">
        <v>1536</v>
      </c>
      <c r="D1553" s="23">
        <v>1000</v>
      </c>
      <c r="E1553" s="23">
        <v>0</v>
      </c>
      <c r="F1553" s="23">
        <v>41366.129999999997</v>
      </c>
      <c r="G1553" s="22" t="s">
        <v>2541</v>
      </c>
      <c r="H1553" s="22"/>
      <c r="I1553" t="s">
        <v>2401</v>
      </c>
      <c r="K1553" s="24">
        <f t="shared" si="26"/>
        <v>-33260.99</v>
      </c>
    </row>
    <row r="1554" spans="1:11" hidden="1" x14ac:dyDescent="0.3">
      <c r="A1554" s="21">
        <v>45294</v>
      </c>
      <c r="B1554" t="s">
        <v>1999</v>
      </c>
      <c r="C1554" s="22" t="s">
        <v>1536</v>
      </c>
      <c r="D1554" s="23">
        <v>66.37</v>
      </c>
      <c r="E1554" s="23">
        <v>0</v>
      </c>
      <c r="F1554" s="23">
        <v>41299.760000000002</v>
      </c>
      <c r="G1554" s="22" t="s">
        <v>2408</v>
      </c>
      <c r="H1554" s="22"/>
      <c r="I1554" t="s">
        <v>2401</v>
      </c>
      <c r="K1554" s="24">
        <f t="shared" si="26"/>
        <v>0</v>
      </c>
    </row>
    <row r="1555" spans="1:11" hidden="1" x14ac:dyDescent="0.3">
      <c r="A1555" s="21">
        <v>45294</v>
      </c>
      <c r="B1555" t="s">
        <v>2619</v>
      </c>
      <c r="C1555" s="22" t="s">
        <v>1213</v>
      </c>
      <c r="D1555" s="23">
        <v>0</v>
      </c>
      <c r="E1555" s="23">
        <v>250</v>
      </c>
      <c r="F1555" s="23">
        <v>64996.06</v>
      </c>
      <c r="G1555" s="22" t="s">
        <v>2399</v>
      </c>
      <c r="H1555" s="22"/>
      <c r="I1555" t="s">
        <v>2400</v>
      </c>
      <c r="K1555" s="24">
        <f t="shared" si="26"/>
        <v>-23446.299999999996</v>
      </c>
    </row>
    <row r="1556" spans="1:11" hidden="1" x14ac:dyDescent="0.3">
      <c r="A1556" s="21">
        <v>45294</v>
      </c>
      <c r="B1556" t="s">
        <v>2620</v>
      </c>
      <c r="C1556" s="22" t="s">
        <v>1148</v>
      </c>
      <c r="D1556" s="23">
        <v>100</v>
      </c>
      <c r="E1556" s="23">
        <v>0</v>
      </c>
      <c r="F1556" s="23">
        <v>64896.06</v>
      </c>
      <c r="G1556" s="22" t="s">
        <v>2399</v>
      </c>
      <c r="H1556" s="22"/>
      <c r="I1556" t="s">
        <v>2400</v>
      </c>
      <c r="K1556" s="24">
        <f t="shared" si="26"/>
        <v>0</v>
      </c>
    </row>
    <row r="1557" spans="1:11" hidden="1" x14ac:dyDescent="0.3">
      <c r="A1557" s="21">
        <v>45295</v>
      </c>
      <c r="B1557" t="s">
        <v>133</v>
      </c>
      <c r="C1557" s="22"/>
      <c r="D1557" s="23">
        <v>195.72</v>
      </c>
      <c r="E1557" s="23">
        <v>0</v>
      </c>
      <c r="F1557" s="23">
        <v>8909.42</v>
      </c>
      <c r="G1557" s="22" t="s">
        <v>2406</v>
      </c>
      <c r="H1557" s="22"/>
      <c r="I1557" t="s">
        <v>2403</v>
      </c>
      <c r="K1557" s="24">
        <f t="shared" si="26"/>
        <v>55790.92</v>
      </c>
    </row>
    <row r="1558" spans="1:11" hidden="1" x14ac:dyDescent="0.3">
      <c r="A1558" s="21">
        <v>45295</v>
      </c>
      <c r="B1558" t="s">
        <v>2000</v>
      </c>
      <c r="C1558" s="22" t="s">
        <v>1536</v>
      </c>
      <c r="D1558" s="23">
        <v>95</v>
      </c>
      <c r="E1558" s="23">
        <v>0</v>
      </c>
      <c r="F1558" s="23">
        <v>41204.76</v>
      </c>
      <c r="G1558" s="22" t="s">
        <v>2408</v>
      </c>
      <c r="H1558" s="22"/>
      <c r="I1558" t="s">
        <v>2401</v>
      </c>
      <c r="K1558" s="24">
        <f t="shared" si="26"/>
        <v>-32390.340000000004</v>
      </c>
    </row>
    <row r="1559" spans="1:11" hidden="1" x14ac:dyDescent="0.3">
      <c r="A1559" s="21">
        <v>45295</v>
      </c>
      <c r="B1559" t="s">
        <v>2001</v>
      </c>
      <c r="C1559" s="22" t="s">
        <v>1536</v>
      </c>
      <c r="D1559" s="23">
        <v>40</v>
      </c>
      <c r="E1559" s="23">
        <v>0</v>
      </c>
      <c r="F1559" s="23">
        <v>41164.76</v>
      </c>
      <c r="G1559" s="22" t="s">
        <v>2408</v>
      </c>
      <c r="H1559" s="22"/>
      <c r="I1559" t="s">
        <v>2401</v>
      </c>
      <c r="K1559" s="24">
        <f t="shared" si="26"/>
        <v>0</v>
      </c>
    </row>
    <row r="1560" spans="1:11" hidden="1" x14ac:dyDescent="0.3">
      <c r="A1560" s="21">
        <v>45295</v>
      </c>
      <c r="B1560" t="s">
        <v>2002</v>
      </c>
      <c r="C1560" s="22" t="s">
        <v>1536</v>
      </c>
      <c r="D1560" s="23">
        <v>130</v>
      </c>
      <c r="E1560" s="23">
        <v>0</v>
      </c>
      <c r="F1560" s="23">
        <v>41034.76</v>
      </c>
      <c r="G1560" s="22" t="s">
        <v>2399</v>
      </c>
      <c r="H1560" s="22"/>
      <c r="I1560" t="s">
        <v>2401</v>
      </c>
      <c r="K1560" s="24">
        <f t="shared" si="26"/>
        <v>0</v>
      </c>
    </row>
    <row r="1561" spans="1:11" hidden="1" x14ac:dyDescent="0.3">
      <c r="A1561" s="21">
        <v>45295</v>
      </c>
      <c r="B1561" t="s">
        <v>2003</v>
      </c>
      <c r="C1561" s="22" t="s">
        <v>1536</v>
      </c>
      <c r="D1561" s="23">
        <v>244</v>
      </c>
      <c r="E1561" s="23">
        <v>0</v>
      </c>
      <c r="F1561" s="23">
        <v>40790.76</v>
      </c>
      <c r="G1561" s="22" t="s">
        <v>2399</v>
      </c>
      <c r="H1561" s="22"/>
      <c r="I1561" t="s">
        <v>2401</v>
      </c>
      <c r="K1561" s="24">
        <f t="shared" si="26"/>
        <v>0</v>
      </c>
    </row>
    <row r="1562" spans="1:11" hidden="1" x14ac:dyDescent="0.3">
      <c r="A1562" s="21">
        <v>45296</v>
      </c>
      <c r="B1562" t="s">
        <v>496</v>
      </c>
      <c r="C1562" s="22"/>
      <c r="D1562" s="23">
        <v>0</v>
      </c>
      <c r="E1562" s="23">
        <v>10025.81</v>
      </c>
      <c r="F1562" s="23">
        <v>18935.23</v>
      </c>
      <c r="G1562" s="22" t="s">
        <v>2406</v>
      </c>
      <c r="H1562" s="22"/>
      <c r="I1562" t="s">
        <v>2403</v>
      </c>
      <c r="K1562" s="24">
        <f t="shared" si="26"/>
        <v>31881.34</v>
      </c>
    </row>
    <row r="1563" spans="1:11" hidden="1" x14ac:dyDescent="0.3">
      <c r="A1563" s="21">
        <v>45296</v>
      </c>
      <c r="B1563" t="s">
        <v>133</v>
      </c>
      <c r="C1563" s="22"/>
      <c r="D1563" s="23">
        <v>824.52</v>
      </c>
      <c r="E1563" s="23">
        <v>0</v>
      </c>
      <c r="F1563" s="23">
        <v>18110.71</v>
      </c>
      <c r="G1563" s="22" t="s">
        <v>2406</v>
      </c>
      <c r="H1563" s="22"/>
      <c r="I1563" t="s">
        <v>2403</v>
      </c>
      <c r="K1563" s="24">
        <f t="shared" si="26"/>
        <v>0</v>
      </c>
    </row>
    <row r="1564" spans="1:11" hidden="1" x14ac:dyDescent="0.3">
      <c r="A1564" s="21">
        <v>45296</v>
      </c>
      <c r="B1564" t="s">
        <v>2004</v>
      </c>
      <c r="C1564" s="22" t="s">
        <v>1536</v>
      </c>
      <c r="D1564" s="23">
        <v>30</v>
      </c>
      <c r="E1564" s="23">
        <v>0</v>
      </c>
      <c r="F1564" s="23">
        <v>40760.76</v>
      </c>
      <c r="G1564" s="22" t="s">
        <v>2408</v>
      </c>
      <c r="H1564" s="22"/>
      <c r="I1564" t="s">
        <v>2401</v>
      </c>
      <c r="K1564" s="24">
        <f t="shared" si="26"/>
        <v>-22680.050000000003</v>
      </c>
    </row>
    <row r="1565" spans="1:11" hidden="1" x14ac:dyDescent="0.3">
      <c r="A1565" s="21">
        <v>45296</v>
      </c>
      <c r="B1565" t="s">
        <v>2005</v>
      </c>
      <c r="C1565" s="22" t="s">
        <v>1536</v>
      </c>
      <c r="D1565" s="23">
        <v>65</v>
      </c>
      <c r="E1565" s="23">
        <v>0</v>
      </c>
      <c r="F1565" s="23">
        <v>40695.760000000002</v>
      </c>
      <c r="G1565" s="22" t="s">
        <v>2408</v>
      </c>
      <c r="H1565" s="22"/>
      <c r="I1565" t="s">
        <v>2401</v>
      </c>
      <c r="K1565" s="24">
        <f t="shared" si="26"/>
        <v>0</v>
      </c>
    </row>
    <row r="1566" spans="1:11" hidden="1" x14ac:dyDescent="0.3">
      <c r="A1566" s="21">
        <v>45296</v>
      </c>
      <c r="B1566" t="s">
        <v>2006</v>
      </c>
      <c r="C1566" s="22" t="s">
        <v>1536</v>
      </c>
      <c r="D1566" s="23">
        <v>15</v>
      </c>
      <c r="E1566" s="23">
        <v>0</v>
      </c>
      <c r="F1566" s="23">
        <v>40680.76</v>
      </c>
      <c r="G1566" s="22" t="s">
        <v>2408</v>
      </c>
      <c r="H1566" s="22"/>
      <c r="I1566" t="s">
        <v>2401</v>
      </c>
      <c r="K1566" s="24">
        <f t="shared" si="26"/>
        <v>0</v>
      </c>
    </row>
    <row r="1567" spans="1:11" hidden="1" x14ac:dyDescent="0.3">
      <c r="A1567" s="21">
        <v>45297</v>
      </c>
      <c r="B1567" t="s">
        <v>2007</v>
      </c>
      <c r="C1567" s="22" t="s">
        <v>1536</v>
      </c>
      <c r="D1567" s="23">
        <v>65</v>
      </c>
      <c r="E1567" s="23">
        <v>0</v>
      </c>
      <c r="F1567" s="23">
        <v>40615.760000000002</v>
      </c>
      <c r="G1567" s="22" t="s">
        <v>2408</v>
      </c>
      <c r="H1567" s="22"/>
      <c r="I1567" t="s">
        <v>2401</v>
      </c>
      <c r="K1567" s="24">
        <f t="shared" si="26"/>
        <v>0</v>
      </c>
    </row>
    <row r="1568" spans="1:11" hidden="1" x14ac:dyDescent="0.3">
      <c r="A1568" s="21">
        <v>45297</v>
      </c>
      <c r="B1568" t="s">
        <v>2008</v>
      </c>
      <c r="C1568" s="22" t="s">
        <v>1536</v>
      </c>
      <c r="D1568" s="23">
        <v>15</v>
      </c>
      <c r="E1568" s="23">
        <v>0</v>
      </c>
      <c r="F1568" s="23">
        <v>40600.76</v>
      </c>
      <c r="G1568" s="22" t="s">
        <v>2408</v>
      </c>
      <c r="H1568" s="22"/>
      <c r="I1568" t="s">
        <v>2401</v>
      </c>
      <c r="K1568" s="24">
        <f t="shared" si="26"/>
        <v>0</v>
      </c>
    </row>
    <row r="1569" spans="1:11" hidden="1" x14ac:dyDescent="0.3">
      <c r="A1569" s="21">
        <v>45297</v>
      </c>
      <c r="B1569" t="s">
        <v>2009</v>
      </c>
      <c r="C1569" s="22" t="s">
        <v>1536</v>
      </c>
      <c r="D1569" s="23">
        <v>40</v>
      </c>
      <c r="E1569" s="23">
        <v>0</v>
      </c>
      <c r="F1569" s="23">
        <v>40560.76</v>
      </c>
      <c r="G1569" s="22" t="s">
        <v>2408</v>
      </c>
      <c r="H1569" s="22"/>
      <c r="I1569" t="s">
        <v>2401</v>
      </c>
      <c r="K1569" s="24">
        <f t="shared" si="26"/>
        <v>0</v>
      </c>
    </row>
    <row r="1570" spans="1:11" hidden="1" x14ac:dyDescent="0.3">
      <c r="A1570" s="21">
        <v>45297</v>
      </c>
      <c r="B1570" t="s">
        <v>2010</v>
      </c>
      <c r="C1570" s="22" t="s">
        <v>1536</v>
      </c>
      <c r="D1570" s="23">
        <v>20</v>
      </c>
      <c r="E1570" s="23">
        <v>0</v>
      </c>
      <c r="F1570" s="23">
        <v>40540.76</v>
      </c>
      <c r="G1570" s="22" t="s">
        <v>2408</v>
      </c>
      <c r="H1570" s="22"/>
      <c r="I1570" t="s">
        <v>2401</v>
      </c>
      <c r="K1570" s="24">
        <f t="shared" si="26"/>
        <v>0</v>
      </c>
    </row>
    <row r="1571" spans="1:11" hidden="1" x14ac:dyDescent="0.3">
      <c r="A1571" s="21">
        <v>45297</v>
      </c>
      <c r="B1571" t="s">
        <v>2011</v>
      </c>
      <c r="C1571" s="22" t="s">
        <v>1536</v>
      </c>
      <c r="D1571" s="23">
        <v>15</v>
      </c>
      <c r="E1571" s="23">
        <v>0</v>
      </c>
      <c r="F1571" s="23">
        <v>40525.760000000002</v>
      </c>
      <c r="G1571" s="22" t="s">
        <v>2408</v>
      </c>
      <c r="H1571" s="22"/>
      <c r="I1571" t="s">
        <v>2401</v>
      </c>
      <c r="K1571" s="24">
        <f t="shared" si="26"/>
        <v>0</v>
      </c>
    </row>
    <row r="1572" spans="1:11" hidden="1" x14ac:dyDescent="0.3">
      <c r="A1572" s="21">
        <v>45297</v>
      </c>
      <c r="B1572" t="s">
        <v>2012</v>
      </c>
      <c r="C1572" s="22" t="s">
        <v>1536</v>
      </c>
      <c r="D1572" s="23">
        <v>117</v>
      </c>
      <c r="E1572" s="23">
        <v>0</v>
      </c>
      <c r="F1572" s="23">
        <v>40408.76</v>
      </c>
      <c r="G1572" s="22" t="s">
        <v>2399</v>
      </c>
      <c r="H1572" s="22"/>
      <c r="I1572" t="s">
        <v>2401</v>
      </c>
      <c r="K1572" s="24">
        <f t="shared" si="26"/>
        <v>0</v>
      </c>
    </row>
    <row r="1573" spans="1:11" hidden="1" x14ac:dyDescent="0.3">
      <c r="A1573" s="21">
        <v>45298</v>
      </c>
      <c r="B1573" t="s">
        <v>2013</v>
      </c>
      <c r="C1573" s="22" t="s">
        <v>1536</v>
      </c>
      <c r="D1573" s="23">
        <v>15</v>
      </c>
      <c r="E1573" s="23">
        <v>0</v>
      </c>
      <c r="F1573" s="23">
        <v>40393.760000000002</v>
      </c>
      <c r="G1573" s="22" t="s">
        <v>2408</v>
      </c>
      <c r="H1573" s="22"/>
      <c r="I1573" t="s">
        <v>2401</v>
      </c>
      <c r="K1573" s="24">
        <f t="shared" si="26"/>
        <v>0</v>
      </c>
    </row>
    <row r="1574" spans="1:11" hidden="1" x14ac:dyDescent="0.3">
      <c r="A1574" s="21">
        <v>45298</v>
      </c>
      <c r="B1574" t="s">
        <v>2014</v>
      </c>
      <c r="C1574" s="22" t="s">
        <v>1536</v>
      </c>
      <c r="D1574" s="23">
        <v>329</v>
      </c>
      <c r="E1574" s="23">
        <v>0</v>
      </c>
      <c r="F1574" s="23">
        <v>40064.76</v>
      </c>
      <c r="G1574" s="22" t="s">
        <v>2399</v>
      </c>
      <c r="H1574" s="22"/>
      <c r="I1574" t="s">
        <v>2401</v>
      </c>
      <c r="K1574" s="24">
        <f t="shared" si="26"/>
        <v>0</v>
      </c>
    </row>
    <row r="1575" spans="1:11" hidden="1" x14ac:dyDescent="0.3">
      <c r="A1575" s="21">
        <v>45298</v>
      </c>
      <c r="B1575" t="s">
        <v>2015</v>
      </c>
      <c r="C1575" s="22" t="s">
        <v>1536</v>
      </c>
      <c r="D1575" s="23">
        <v>20</v>
      </c>
      <c r="E1575" s="23">
        <v>0</v>
      </c>
      <c r="F1575" s="23">
        <v>40044.76</v>
      </c>
      <c r="G1575" s="22" t="s">
        <v>2408</v>
      </c>
      <c r="H1575" s="22"/>
      <c r="I1575" t="s">
        <v>2401</v>
      </c>
      <c r="K1575" s="24">
        <f t="shared" si="26"/>
        <v>0</v>
      </c>
    </row>
    <row r="1576" spans="1:11" hidden="1" x14ac:dyDescent="0.3">
      <c r="A1576" s="21">
        <v>45298</v>
      </c>
      <c r="B1576" t="s">
        <v>2016</v>
      </c>
      <c r="C1576" s="22" t="s">
        <v>1536</v>
      </c>
      <c r="D1576" s="23">
        <v>10</v>
      </c>
      <c r="E1576" s="23">
        <v>0</v>
      </c>
      <c r="F1576" s="23">
        <v>40034.76</v>
      </c>
      <c r="G1576" s="22" t="s">
        <v>2408</v>
      </c>
      <c r="H1576" s="22"/>
      <c r="I1576" t="s">
        <v>2401</v>
      </c>
      <c r="K1576" s="24">
        <f t="shared" si="26"/>
        <v>0</v>
      </c>
    </row>
    <row r="1577" spans="1:11" hidden="1" x14ac:dyDescent="0.3">
      <c r="A1577" s="21">
        <v>45299</v>
      </c>
      <c r="B1577" t="s">
        <v>837</v>
      </c>
      <c r="C1577" s="22"/>
      <c r="D1577" s="23">
        <v>0</v>
      </c>
      <c r="E1577" s="23">
        <v>1880</v>
      </c>
      <c r="F1577" s="23">
        <v>19990.71</v>
      </c>
      <c r="G1577" s="22" t="s">
        <v>2407</v>
      </c>
      <c r="H1577" s="22"/>
      <c r="I1577" t="s">
        <v>2403</v>
      </c>
      <c r="K1577" s="24">
        <f t="shared" si="26"/>
        <v>21924.050000000003</v>
      </c>
    </row>
    <row r="1578" spans="1:11" hidden="1" x14ac:dyDescent="0.3">
      <c r="A1578" s="21">
        <v>45299</v>
      </c>
      <c r="B1578" t="s">
        <v>133</v>
      </c>
      <c r="C1578" s="22"/>
      <c r="D1578" s="23">
        <v>2764.57</v>
      </c>
      <c r="E1578" s="23">
        <v>0</v>
      </c>
      <c r="F1578" s="23">
        <v>17226.14</v>
      </c>
      <c r="G1578" s="22" t="s">
        <v>2406</v>
      </c>
      <c r="H1578" s="22"/>
      <c r="I1578" t="s">
        <v>2403</v>
      </c>
      <c r="K1578" s="24">
        <f t="shared" si="26"/>
        <v>0</v>
      </c>
    </row>
    <row r="1579" spans="1:11" hidden="1" x14ac:dyDescent="0.3">
      <c r="A1579" s="21">
        <v>45299</v>
      </c>
      <c r="B1579" t="s">
        <v>2017</v>
      </c>
      <c r="C1579" s="22" t="s">
        <v>1536</v>
      </c>
      <c r="D1579" s="23">
        <v>30</v>
      </c>
      <c r="E1579" s="23">
        <v>0</v>
      </c>
      <c r="F1579" s="23">
        <v>40004.76</v>
      </c>
      <c r="G1579" s="22" t="s">
        <v>2408</v>
      </c>
      <c r="H1579" s="22"/>
      <c r="I1579" t="s">
        <v>2401</v>
      </c>
      <c r="K1579" s="24">
        <f t="shared" si="26"/>
        <v>-22808.620000000003</v>
      </c>
    </row>
    <row r="1580" spans="1:11" hidden="1" x14ac:dyDescent="0.3">
      <c r="A1580" s="21">
        <v>45299</v>
      </c>
      <c r="B1580" t="s">
        <v>2018</v>
      </c>
      <c r="C1580" s="22" t="s">
        <v>1536</v>
      </c>
      <c r="D1580" s="23">
        <v>10</v>
      </c>
      <c r="E1580" s="23">
        <v>0</v>
      </c>
      <c r="F1580" s="23">
        <v>39994.76</v>
      </c>
      <c r="G1580" s="22" t="s">
        <v>2408</v>
      </c>
      <c r="H1580" s="22"/>
      <c r="I1580" t="s">
        <v>2401</v>
      </c>
      <c r="K1580" s="24">
        <f t="shared" si="26"/>
        <v>0</v>
      </c>
    </row>
    <row r="1581" spans="1:11" hidden="1" x14ac:dyDescent="0.3">
      <c r="A1581" s="21">
        <v>45299</v>
      </c>
      <c r="B1581" t="s">
        <v>2019</v>
      </c>
      <c r="C1581" s="22" t="s">
        <v>1536</v>
      </c>
      <c r="D1581" s="23">
        <v>40</v>
      </c>
      <c r="E1581" s="23">
        <v>0</v>
      </c>
      <c r="F1581" s="23">
        <v>39954.76</v>
      </c>
      <c r="G1581" s="22" t="s">
        <v>2408</v>
      </c>
      <c r="H1581" s="22"/>
      <c r="I1581" t="s">
        <v>2401</v>
      </c>
      <c r="K1581" s="24">
        <f t="shared" si="26"/>
        <v>0</v>
      </c>
    </row>
    <row r="1582" spans="1:11" hidden="1" x14ac:dyDescent="0.3">
      <c r="A1582" s="21">
        <v>45299</v>
      </c>
      <c r="B1582" t="s">
        <v>2020</v>
      </c>
      <c r="C1582" s="22" t="s">
        <v>1536</v>
      </c>
      <c r="D1582" s="23">
        <v>10</v>
      </c>
      <c r="E1582" s="23">
        <v>0</v>
      </c>
      <c r="F1582" s="23">
        <v>39944.76</v>
      </c>
      <c r="G1582" s="22" t="s">
        <v>2408</v>
      </c>
      <c r="H1582" s="22"/>
      <c r="I1582" t="s">
        <v>2401</v>
      </c>
      <c r="K1582" s="24">
        <f t="shared" si="26"/>
        <v>0</v>
      </c>
    </row>
    <row r="1583" spans="1:11" hidden="1" x14ac:dyDescent="0.3">
      <c r="A1583" s="21">
        <v>45299</v>
      </c>
      <c r="B1583" t="s">
        <v>2021</v>
      </c>
      <c r="C1583" s="22" t="s">
        <v>1536</v>
      </c>
      <c r="D1583" s="23">
        <v>15000</v>
      </c>
      <c r="E1583" s="23">
        <v>0</v>
      </c>
      <c r="F1583" s="23">
        <v>24944.76</v>
      </c>
      <c r="G1583" s="22" t="s">
        <v>2621</v>
      </c>
      <c r="H1583" s="22"/>
      <c r="I1583" t="s">
        <v>2401</v>
      </c>
      <c r="K1583" s="24">
        <f t="shared" si="26"/>
        <v>0</v>
      </c>
    </row>
    <row r="1584" spans="1:11" hidden="1" x14ac:dyDescent="0.3">
      <c r="A1584" s="21">
        <v>45300</v>
      </c>
      <c r="B1584" t="s">
        <v>496</v>
      </c>
      <c r="C1584" s="22"/>
      <c r="D1584" s="23">
        <v>0</v>
      </c>
      <c r="E1584" s="23">
        <v>40963.519999999997</v>
      </c>
      <c r="F1584" s="23">
        <v>58189.66</v>
      </c>
      <c r="G1584" s="22" t="s">
        <v>2406</v>
      </c>
      <c r="H1584" s="22"/>
      <c r="I1584" t="s">
        <v>2403</v>
      </c>
      <c r="K1584" s="24">
        <f t="shared" si="26"/>
        <v>7718.6199999999953</v>
      </c>
    </row>
    <row r="1585" spans="1:11" hidden="1" x14ac:dyDescent="0.3">
      <c r="A1585" s="21">
        <v>45300</v>
      </c>
      <c r="B1585" t="s">
        <v>133</v>
      </c>
      <c r="C1585" s="22"/>
      <c r="D1585" s="23">
        <v>204.72</v>
      </c>
      <c r="E1585" s="23">
        <v>0</v>
      </c>
      <c r="F1585" s="23">
        <v>57984.94</v>
      </c>
      <c r="G1585" s="22" t="s">
        <v>2406</v>
      </c>
      <c r="H1585" s="22"/>
      <c r="I1585" t="s">
        <v>2403</v>
      </c>
      <c r="K1585" s="24">
        <f t="shared" si="26"/>
        <v>0</v>
      </c>
    </row>
    <row r="1586" spans="1:11" hidden="1" x14ac:dyDescent="0.3">
      <c r="A1586" s="21">
        <v>45300</v>
      </c>
      <c r="B1586" t="s">
        <v>2022</v>
      </c>
      <c r="C1586" s="22" t="s">
        <v>1536</v>
      </c>
      <c r="D1586" s="23">
        <v>30</v>
      </c>
      <c r="E1586" s="23">
        <v>0</v>
      </c>
      <c r="F1586" s="23">
        <v>24914.76</v>
      </c>
      <c r="G1586" s="22" t="s">
        <v>2408</v>
      </c>
      <c r="H1586" s="22"/>
      <c r="I1586" t="s">
        <v>2401</v>
      </c>
      <c r="K1586" s="24">
        <f t="shared" si="26"/>
        <v>33040.180000000008</v>
      </c>
    </row>
    <row r="1587" spans="1:11" hidden="1" x14ac:dyDescent="0.3">
      <c r="A1587" s="21">
        <v>45300</v>
      </c>
      <c r="B1587" t="s">
        <v>2023</v>
      </c>
      <c r="C1587" s="22" t="s">
        <v>1536</v>
      </c>
      <c r="D1587" s="23">
        <v>2000</v>
      </c>
      <c r="E1587" s="23">
        <v>0</v>
      </c>
      <c r="F1587" s="23">
        <v>22914.76</v>
      </c>
      <c r="G1587" s="22" t="s">
        <v>2399</v>
      </c>
      <c r="H1587" s="22"/>
      <c r="I1587" t="s">
        <v>2401</v>
      </c>
      <c r="K1587" s="24">
        <f t="shared" si="26"/>
        <v>0</v>
      </c>
    </row>
    <row r="1588" spans="1:11" hidden="1" x14ac:dyDescent="0.3">
      <c r="A1588" s="21">
        <v>45300</v>
      </c>
      <c r="B1588" t="s">
        <v>2024</v>
      </c>
      <c r="C1588" s="22" t="s">
        <v>1536</v>
      </c>
      <c r="D1588" s="23">
        <v>10</v>
      </c>
      <c r="E1588" s="23">
        <v>0</v>
      </c>
      <c r="F1588" s="23">
        <v>22904.76</v>
      </c>
      <c r="G1588" s="22" t="s">
        <v>2408</v>
      </c>
      <c r="H1588" s="22"/>
      <c r="I1588" t="s">
        <v>2401</v>
      </c>
      <c r="K1588" s="24">
        <f t="shared" si="26"/>
        <v>0</v>
      </c>
    </row>
    <row r="1589" spans="1:11" hidden="1" x14ac:dyDescent="0.3">
      <c r="A1589" s="21">
        <v>45300</v>
      </c>
      <c r="B1589" t="s">
        <v>2025</v>
      </c>
      <c r="C1589" s="22" t="s">
        <v>1536</v>
      </c>
      <c r="D1589" s="23">
        <v>40</v>
      </c>
      <c r="E1589" s="23">
        <v>0</v>
      </c>
      <c r="F1589" s="23">
        <v>22864.76</v>
      </c>
      <c r="G1589" s="22" t="s">
        <v>2408</v>
      </c>
      <c r="H1589" s="22"/>
      <c r="I1589" t="s">
        <v>2401</v>
      </c>
      <c r="K1589" s="24">
        <f t="shared" si="26"/>
        <v>0</v>
      </c>
    </row>
    <row r="1590" spans="1:11" hidden="1" x14ac:dyDescent="0.3">
      <c r="A1590" s="21">
        <v>45300</v>
      </c>
      <c r="B1590" t="s">
        <v>2026</v>
      </c>
      <c r="C1590" s="22" t="s">
        <v>1536</v>
      </c>
      <c r="D1590" s="23">
        <v>10</v>
      </c>
      <c r="E1590" s="23">
        <v>0</v>
      </c>
      <c r="F1590" s="23">
        <v>22854.76</v>
      </c>
      <c r="G1590" s="22" t="s">
        <v>2408</v>
      </c>
      <c r="H1590" s="22"/>
      <c r="I1590" t="s">
        <v>2401</v>
      </c>
      <c r="K1590" s="24">
        <f t="shared" si="26"/>
        <v>0</v>
      </c>
    </row>
    <row r="1591" spans="1:11" hidden="1" x14ac:dyDescent="0.3">
      <c r="A1591" s="21">
        <v>45301</v>
      </c>
      <c r="B1591" t="s">
        <v>496</v>
      </c>
      <c r="C1591" s="22"/>
      <c r="D1591" s="23">
        <v>0</v>
      </c>
      <c r="E1591" s="23">
        <v>40931.08</v>
      </c>
      <c r="F1591" s="23">
        <v>98916.02</v>
      </c>
      <c r="G1591" s="22" t="s">
        <v>2406</v>
      </c>
      <c r="H1591" s="22"/>
      <c r="I1591" t="s">
        <v>2403</v>
      </c>
      <c r="K1591" s="24">
        <f t="shared" si="26"/>
        <v>-35130.180000000008</v>
      </c>
    </row>
    <row r="1592" spans="1:11" hidden="1" x14ac:dyDescent="0.3">
      <c r="A1592" s="21">
        <v>45301</v>
      </c>
      <c r="B1592" t="s">
        <v>496</v>
      </c>
      <c r="C1592" s="22"/>
      <c r="D1592" s="23">
        <v>0</v>
      </c>
      <c r="E1592" s="23">
        <v>18461.61</v>
      </c>
      <c r="F1592" s="23">
        <v>117377.63</v>
      </c>
      <c r="G1592" s="22" t="s">
        <v>2406</v>
      </c>
      <c r="H1592" s="22"/>
      <c r="I1592" t="s">
        <v>2403</v>
      </c>
      <c r="K1592" s="24">
        <f t="shared" si="26"/>
        <v>0</v>
      </c>
    </row>
    <row r="1593" spans="1:11" hidden="1" x14ac:dyDescent="0.3">
      <c r="A1593" s="21">
        <v>45301</v>
      </c>
      <c r="B1593" t="s">
        <v>133</v>
      </c>
      <c r="C1593" s="22"/>
      <c r="D1593" s="23">
        <v>204.72</v>
      </c>
      <c r="E1593" s="23">
        <v>0</v>
      </c>
      <c r="F1593" s="23">
        <v>117172.91</v>
      </c>
      <c r="G1593" s="22" t="s">
        <v>2406</v>
      </c>
      <c r="H1593" s="22"/>
      <c r="I1593" t="s">
        <v>2403</v>
      </c>
      <c r="K1593" s="24">
        <f t="shared" si="26"/>
        <v>0</v>
      </c>
    </row>
    <row r="1594" spans="1:11" hidden="1" x14ac:dyDescent="0.3">
      <c r="A1594" s="21">
        <v>45301</v>
      </c>
      <c r="B1594" t="s">
        <v>133</v>
      </c>
      <c r="C1594" s="22"/>
      <c r="D1594" s="23">
        <v>72572.81</v>
      </c>
      <c r="E1594" s="23">
        <v>0</v>
      </c>
      <c r="F1594" s="23">
        <v>44600.1</v>
      </c>
      <c r="G1594" s="22" t="s">
        <v>2406</v>
      </c>
      <c r="H1594" s="22"/>
      <c r="I1594" t="s">
        <v>2403</v>
      </c>
      <c r="K1594" s="24">
        <f t="shared" si="26"/>
        <v>0</v>
      </c>
    </row>
    <row r="1595" spans="1:11" hidden="1" x14ac:dyDescent="0.3">
      <c r="A1595" s="21">
        <v>45301</v>
      </c>
      <c r="B1595" t="s">
        <v>2027</v>
      </c>
      <c r="C1595" s="22" t="s">
        <v>1536</v>
      </c>
      <c r="D1595" s="23">
        <v>10</v>
      </c>
      <c r="E1595" s="23">
        <v>0</v>
      </c>
      <c r="F1595" s="23">
        <v>22844.76</v>
      </c>
      <c r="G1595" s="22" t="s">
        <v>2408</v>
      </c>
      <c r="H1595" s="22"/>
      <c r="I1595" t="s">
        <v>2401</v>
      </c>
      <c r="K1595" s="24">
        <f t="shared" si="26"/>
        <v>21745.34</v>
      </c>
    </row>
    <row r="1596" spans="1:11" hidden="1" x14ac:dyDescent="0.3">
      <c r="A1596" s="21">
        <v>45301</v>
      </c>
      <c r="B1596" t="s">
        <v>2028</v>
      </c>
      <c r="C1596" s="22" t="s">
        <v>1536</v>
      </c>
      <c r="D1596" s="23">
        <v>1030</v>
      </c>
      <c r="E1596" s="23">
        <v>0</v>
      </c>
      <c r="F1596" s="23">
        <v>21814.76</v>
      </c>
      <c r="G1596" s="22" t="s">
        <v>2399</v>
      </c>
      <c r="H1596" s="22"/>
      <c r="I1596" t="s">
        <v>2401</v>
      </c>
      <c r="K1596" s="24">
        <f t="shared" si="26"/>
        <v>0</v>
      </c>
    </row>
    <row r="1597" spans="1:11" hidden="1" x14ac:dyDescent="0.3">
      <c r="A1597" s="21">
        <v>45301</v>
      </c>
      <c r="B1597" t="s">
        <v>2029</v>
      </c>
      <c r="C1597" s="22" t="s">
        <v>1536</v>
      </c>
      <c r="D1597" s="23">
        <v>34</v>
      </c>
      <c r="E1597" s="23">
        <v>0</v>
      </c>
      <c r="F1597" s="23">
        <v>21780.76</v>
      </c>
      <c r="G1597" s="22" t="s">
        <v>2408</v>
      </c>
      <c r="H1597" s="22"/>
      <c r="I1597" t="s">
        <v>2401</v>
      </c>
      <c r="K1597" s="24">
        <f t="shared" si="26"/>
        <v>0</v>
      </c>
    </row>
    <row r="1598" spans="1:11" hidden="1" x14ac:dyDescent="0.3">
      <c r="A1598" s="21">
        <v>45301</v>
      </c>
      <c r="B1598" t="s">
        <v>2030</v>
      </c>
      <c r="C1598" s="22" t="s">
        <v>1536</v>
      </c>
      <c r="D1598" s="23">
        <v>65</v>
      </c>
      <c r="E1598" s="23">
        <v>0</v>
      </c>
      <c r="F1598" s="23">
        <v>21715.759999999998</v>
      </c>
      <c r="G1598" s="22" t="s">
        <v>2408</v>
      </c>
      <c r="H1598" s="22"/>
      <c r="I1598" t="s">
        <v>2401</v>
      </c>
      <c r="K1598" s="24">
        <f t="shared" si="26"/>
        <v>0</v>
      </c>
    </row>
    <row r="1599" spans="1:11" hidden="1" x14ac:dyDescent="0.3">
      <c r="A1599" s="21">
        <v>45302</v>
      </c>
      <c r="B1599" t="s">
        <v>496</v>
      </c>
      <c r="C1599" s="22"/>
      <c r="D1599" s="23">
        <v>0</v>
      </c>
      <c r="E1599" s="23">
        <v>36828.800000000003</v>
      </c>
      <c r="F1599" s="23">
        <v>81428.899999999994</v>
      </c>
      <c r="G1599" s="22" t="s">
        <v>2406</v>
      </c>
      <c r="H1599" s="22"/>
      <c r="I1599" t="s">
        <v>2403</v>
      </c>
      <c r="K1599" s="24">
        <f t="shared" si="26"/>
        <v>-22884.339999999997</v>
      </c>
    </row>
    <row r="1600" spans="1:11" hidden="1" x14ac:dyDescent="0.3">
      <c r="A1600" s="21">
        <v>45302</v>
      </c>
      <c r="B1600" t="s">
        <v>133</v>
      </c>
      <c r="C1600" s="22"/>
      <c r="D1600" s="23">
        <v>173.41</v>
      </c>
      <c r="E1600" s="23">
        <v>0</v>
      </c>
      <c r="F1600" s="23">
        <v>81255.490000000005</v>
      </c>
      <c r="G1600" s="22" t="s">
        <v>2406</v>
      </c>
      <c r="H1600" s="22"/>
      <c r="I1600" t="s">
        <v>2403</v>
      </c>
      <c r="K1600" s="24">
        <f t="shared" si="26"/>
        <v>0</v>
      </c>
    </row>
    <row r="1601" spans="1:11" hidden="1" x14ac:dyDescent="0.3">
      <c r="A1601" s="21">
        <v>45302</v>
      </c>
      <c r="B1601" t="s">
        <v>848</v>
      </c>
      <c r="C1601" s="22"/>
      <c r="D1601" s="23">
        <v>1617.67</v>
      </c>
      <c r="E1601" s="23">
        <v>0</v>
      </c>
      <c r="F1601" s="23">
        <v>79637.820000000007</v>
      </c>
      <c r="G1601" s="22" t="s">
        <v>2410</v>
      </c>
      <c r="H1601" s="22"/>
      <c r="I1601" t="s">
        <v>2403</v>
      </c>
      <c r="K1601" s="24">
        <f t="shared" si="26"/>
        <v>0</v>
      </c>
    </row>
    <row r="1602" spans="1:11" hidden="1" x14ac:dyDescent="0.3">
      <c r="A1602" s="21">
        <v>45302</v>
      </c>
      <c r="B1602" t="s">
        <v>133</v>
      </c>
      <c r="C1602" s="22"/>
      <c r="D1602" s="23">
        <v>6897</v>
      </c>
      <c r="E1602" s="23">
        <v>0</v>
      </c>
      <c r="F1602" s="23">
        <v>72740.820000000007</v>
      </c>
      <c r="G1602" s="22" t="s">
        <v>2406</v>
      </c>
      <c r="H1602" s="22"/>
      <c r="I1602" t="s">
        <v>2403</v>
      </c>
      <c r="K1602" s="24">
        <f t="shared" si="26"/>
        <v>0</v>
      </c>
    </row>
    <row r="1603" spans="1:11" hidden="1" x14ac:dyDescent="0.3">
      <c r="A1603" s="21">
        <v>45302</v>
      </c>
      <c r="B1603" t="s">
        <v>2031</v>
      </c>
      <c r="C1603" s="22" t="s">
        <v>1536</v>
      </c>
      <c r="D1603" s="23">
        <v>30</v>
      </c>
      <c r="E1603" s="23">
        <v>0</v>
      </c>
      <c r="F1603" s="23">
        <v>21685.759999999998</v>
      </c>
      <c r="G1603" s="22" t="s">
        <v>2408</v>
      </c>
      <c r="H1603" s="22"/>
      <c r="I1603" t="s">
        <v>2401</v>
      </c>
      <c r="K1603" s="24">
        <f t="shared" si="26"/>
        <v>51025.060000000012</v>
      </c>
    </row>
    <row r="1604" spans="1:11" hidden="1" x14ac:dyDescent="0.3">
      <c r="A1604" s="21">
        <v>45302</v>
      </c>
      <c r="B1604" t="s">
        <v>2032</v>
      </c>
      <c r="C1604" s="22" t="s">
        <v>1536</v>
      </c>
      <c r="D1604" s="23">
        <v>230</v>
      </c>
      <c r="E1604" s="23">
        <v>0</v>
      </c>
      <c r="F1604" s="23">
        <v>21455.759999999998</v>
      </c>
      <c r="G1604" s="22" t="s">
        <v>2399</v>
      </c>
      <c r="H1604" s="22"/>
      <c r="I1604" t="s">
        <v>2401</v>
      </c>
      <c r="K1604" s="24">
        <f t="shared" si="26"/>
        <v>0</v>
      </c>
    </row>
    <row r="1605" spans="1:11" hidden="1" x14ac:dyDescent="0.3">
      <c r="A1605" s="21">
        <v>45303</v>
      </c>
      <c r="B1605" t="s">
        <v>496</v>
      </c>
      <c r="C1605" s="22"/>
      <c r="D1605" s="23">
        <v>0</v>
      </c>
      <c r="E1605" s="23">
        <v>1681</v>
      </c>
      <c r="F1605" s="23">
        <v>74421.820000000007</v>
      </c>
      <c r="G1605" s="22" t="s">
        <v>2406</v>
      </c>
      <c r="H1605" s="22"/>
      <c r="I1605" t="s">
        <v>2403</v>
      </c>
      <c r="K1605" s="24">
        <f t="shared" si="26"/>
        <v>-51285.060000000012</v>
      </c>
    </row>
    <row r="1606" spans="1:11" hidden="1" x14ac:dyDescent="0.3">
      <c r="A1606" s="21">
        <v>45303</v>
      </c>
      <c r="B1606" t="s">
        <v>496</v>
      </c>
      <c r="C1606" s="22"/>
      <c r="D1606" s="23">
        <v>0</v>
      </c>
      <c r="E1606" s="23">
        <v>28606.73</v>
      </c>
      <c r="F1606" s="23">
        <v>103028.55</v>
      </c>
      <c r="G1606" s="22" t="s">
        <v>2406</v>
      </c>
      <c r="H1606" s="22"/>
      <c r="I1606" t="s">
        <v>2403</v>
      </c>
      <c r="K1606" s="24">
        <f t="shared" ref="K1606:K1651" si="27">F1605-D1606+E1606-F1606</f>
        <v>0</v>
      </c>
    </row>
    <row r="1607" spans="1:11" hidden="1" x14ac:dyDescent="0.3">
      <c r="A1607" s="21">
        <v>45303</v>
      </c>
      <c r="B1607" t="s">
        <v>133</v>
      </c>
      <c r="C1607" s="22"/>
      <c r="D1607" s="23">
        <v>191.9</v>
      </c>
      <c r="E1607" s="23">
        <v>0</v>
      </c>
      <c r="F1607" s="23">
        <v>102836.65</v>
      </c>
      <c r="G1607" s="22" t="s">
        <v>2406</v>
      </c>
      <c r="H1607" s="22"/>
      <c r="I1607" t="s">
        <v>2403</v>
      </c>
      <c r="K1607" s="24">
        <f t="shared" si="27"/>
        <v>0</v>
      </c>
    </row>
    <row r="1608" spans="1:11" hidden="1" x14ac:dyDescent="0.3">
      <c r="A1608" s="21">
        <v>45303</v>
      </c>
      <c r="B1608" t="s">
        <v>133</v>
      </c>
      <c r="C1608" s="22"/>
      <c r="D1608" s="23">
        <v>30998.58</v>
      </c>
      <c r="E1608" s="23">
        <v>0</v>
      </c>
      <c r="F1608" s="23">
        <v>71838.070000000007</v>
      </c>
      <c r="G1608" s="22" t="s">
        <v>2406</v>
      </c>
      <c r="H1608" s="22"/>
      <c r="I1608" t="s">
        <v>2403</v>
      </c>
      <c r="K1608" s="24">
        <f t="shared" si="27"/>
        <v>0</v>
      </c>
    </row>
    <row r="1609" spans="1:11" hidden="1" x14ac:dyDescent="0.3">
      <c r="A1609" s="21">
        <v>45303</v>
      </c>
      <c r="B1609" t="s">
        <v>2033</v>
      </c>
      <c r="C1609" s="22" t="s">
        <v>1536</v>
      </c>
      <c r="D1609" s="23">
        <v>10</v>
      </c>
      <c r="E1609" s="23">
        <v>0</v>
      </c>
      <c r="F1609" s="23">
        <v>21445.759999999998</v>
      </c>
      <c r="G1609" s="22" t="s">
        <v>2408</v>
      </c>
      <c r="H1609" s="22"/>
      <c r="I1609" t="s">
        <v>2401</v>
      </c>
      <c r="K1609" s="24">
        <f t="shared" si="27"/>
        <v>50382.310000000012</v>
      </c>
    </row>
    <row r="1610" spans="1:11" hidden="1" x14ac:dyDescent="0.3">
      <c r="A1610" s="21">
        <v>45303</v>
      </c>
      <c r="B1610" t="s">
        <v>2034</v>
      </c>
      <c r="C1610" s="22" t="s">
        <v>1536</v>
      </c>
      <c r="D1610" s="23">
        <v>30</v>
      </c>
      <c r="E1610" s="23">
        <v>0</v>
      </c>
      <c r="F1610" s="23">
        <v>21415.759999999998</v>
      </c>
      <c r="G1610" s="22" t="s">
        <v>2408</v>
      </c>
      <c r="H1610" s="22"/>
      <c r="I1610" t="s">
        <v>2401</v>
      </c>
      <c r="K1610" s="24">
        <f t="shared" si="27"/>
        <v>0</v>
      </c>
    </row>
    <row r="1611" spans="1:11" hidden="1" x14ac:dyDescent="0.3">
      <c r="A1611" s="21">
        <v>45303</v>
      </c>
      <c r="B1611" t="s">
        <v>2035</v>
      </c>
      <c r="C1611" s="22" t="s">
        <v>1536</v>
      </c>
      <c r="D1611" s="23">
        <v>10</v>
      </c>
      <c r="E1611" s="23">
        <v>0</v>
      </c>
      <c r="F1611" s="23">
        <v>21405.759999999998</v>
      </c>
      <c r="G1611" s="22" t="s">
        <v>2408</v>
      </c>
      <c r="H1611" s="22"/>
      <c r="I1611" t="s">
        <v>2401</v>
      </c>
      <c r="K1611" s="24">
        <f t="shared" si="27"/>
        <v>0</v>
      </c>
    </row>
    <row r="1612" spans="1:11" hidden="1" x14ac:dyDescent="0.3">
      <c r="A1612" s="21">
        <v>45303</v>
      </c>
      <c r="B1612" t="s">
        <v>2036</v>
      </c>
      <c r="C1612" s="22" t="s">
        <v>1536</v>
      </c>
      <c r="D1612" s="23">
        <v>45</v>
      </c>
      <c r="E1612" s="23">
        <v>0</v>
      </c>
      <c r="F1612" s="23">
        <v>21360.76</v>
      </c>
      <c r="G1612" s="22" t="s">
        <v>2408</v>
      </c>
      <c r="H1612" s="22"/>
      <c r="I1612" t="s">
        <v>2401</v>
      </c>
      <c r="K1612" s="24">
        <f t="shared" si="27"/>
        <v>0</v>
      </c>
    </row>
    <row r="1613" spans="1:11" hidden="1" x14ac:dyDescent="0.3">
      <c r="A1613" s="21">
        <v>45304</v>
      </c>
      <c r="B1613" t="s">
        <v>2037</v>
      </c>
      <c r="C1613" s="22" t="s">
        <v>1536</v>
      </c>
      <c r="D1613" s="23">
        <v>40</v>
      </c>
      <c r="E1613" s="23">
        <v>0</v>
      </c>
      <c r="F1613" s="23">
        <v>21320.76</v>
      </c>
      <c r="G1613" s="22" t="s">
        <v>2408</v>
      </c>
      <c r="H1613" s="22"/>
      <c r="I1613" t="s">
        <v>2401</v>
      </c>
      <c r="K1613" s="24">
        <f t="shared" si="27"/>
        <v>0</v>
      </c>
    </row>
    <row r="1614" spans="1:11" hidden="1" x14ac:dyDescent="0.3">
      <c r="A1614" s="21">
        <v>45304</v>
      </c>
      <c r="B1614" t="s">
        <v>2038</v>
      </c>
      <c r="C1614" s="22" t="s">
        <v>1536</v>
      </c>
      <c r="D1614" s="23">
        <v>15</v>
      </c>
      <c r="E1614" s="23">
        <v>0</v>
      </c>
      <c r="F1614" s="23">
        <v>21305.759999999998</v>
      </c>
      <c r="G1614" s="22" t="s">
        <v>2408</v>
      </c>
      <c r="H1614" s="22"/>
      <c r="I1614" t="s">
        <v>2401</v>
      </c>
      <c r="K1614" s="24">
        <f t="shared" si="27"/>
        <v>0</v>
      </c>
    </row>
    <row r="1615" spans="1:11" hidden="1" x14ac:dyDescent="0.3">
      <c r="A1615" s="21">
        <v>45304</v>
      </c>
      <c r="B1615" t="s">
        <v>2039</v>
      </c>
      <c r="C1615" s="22" t="s">
        <v>1536</v>
      </c>
      <c r="D1615" s="23">
        <v>1583.6</v>
      </c>
      <c r="E1615" s="23">
        <v>0</v>
      </c>
      <c r="F1615" s="23">
        <v>19722.16</v>
      </c>
      <c r="G1615" s="22" t="s">
        <v>2399</v>
      </c>
      <c r="H1615" s="22"/>
      <c r="I1615" t="s">
        <v>2401</v>
      </c>
      <c r="K1615" s="24">
        <f t="shared" si="27"/>
        <v>0</v>
      </c>
    </row>
    <row r="1616" spans="1:11" hidden="1" x14ac:dyDescent="0.3">
      <c r="A1616" s="21">
        <v>45304</v>
      </c>
      <c r="B1616" t="s">
        <v>2040</v>
      </c>
      <c r="C1616" s="22" t="s">
        <v>1536</v>
      </c>
      <c r="D1616" s="23">
        <v>1583.6</v>
      </c>
      <c r="E1616" s="23">
        <v>0</v>
      </c>
      <c r="F1616" s="23">
        <v>18138.560000000001</v>
      </c>
      <c r="G1616" s="22" t="s">
        <v>2399</v>
      </c>
      <c r="H1616" s="22"/>
      <c r="I1616" t="s">
        <v>2401</v>
      </c>
      <c r="K1616" s="24">
        <f t="shared" si="27"/>
        <v>0</v>
      </c>
    </row>
    <row r="1617" spans="1:11" hidden="1" x14ac:dyDescent="0.3">
      <c r="A1617" s="21">
        <v>45304</v>
      </c>
      <c r="B1617" t="s">
        <v>2041</v>
      </c>
      <c r="C1617" s="22" t="s">
        <v>1536</v>
      </c>
      <c r="D1617" s="23">
        <v>20</v>
      </c>
      <c r="E1617" s="23">
        <v>0</v>
      </c>
      <c r="F1617" s="23">
        <v>18118.560000000001</v>
      </c>
      <c r="G1617" s="22" t="s">
        <v>2408</v>
      </c>
      <c r="H1617" s="22"/>
      <c r="I1617" t="s">
        <v>2401</v>
      </c>
      <c r="K1617" s="24">
        <f t="shared" si="27"/>
        <v>0</v>
      </c>
    </row>
    <row r="1618" spans="1:11" hidden="1" x14ac:dyDescent="0.3">
      <c r="A1618" s="21">
        <v>45304</v>
      </c>
      <c r="B1618" t="s">
        <v>2042</v>
      </c>
      <c r="C1618" s="22" t="s">
        <v>1536</v>
      </c>
      <c r="D1618" s="23">
        <v>0</v>
      </c>
      <c r="E1618" s="23">
        <v>500</v>
      </c>
      <c r="F1618" s="23">
        <v>18618.560000000001</v>
      </c>
      <c r="G1618" s="22" t="s">
        <v>2399</v>
      </c>
      <c r="H1618" s="22"/>
      <c r="I1618" t="s">
        <v>2401</v>
      </c>
      <c r="K1618" s="24">
        <f t="shared" si="27"/>
        <v>0</v>
      </c>
    </row>
    <row r="1619" spans="1:11" hidden="1" x14ac:dyDescent="0.3">
      <c r="A1619" s="21">
        <v>45305</v>
      </c>
      <c r="B1619" t="s">
        <v>2043</v>
      </c>
      <c r="C1619" s="22" t="s">
        <v>1536</v>
      </c>
      <c r="D1619" s="23">
        <v>20</v>
      </c>
      <c r="E1619" s="23">
        <v>0</v>
      </c>
      <c r="F1619" s="23">
        <v>18598.560000000001</v>
      </c>
      <c r="G1619" s="22" t="s">
        <v>2408</v>
      </c>
      <c r="H1619" s="22"/>
      <c r="I1619" t="s">
        <v>2401</v>
      </c>
      <c r="K1619" s="24">
        <f t="shared" si="27"/>
        <v>0</v>
      </c>
    </row>
    <row r="1620" spans="1:11" hidden="1" x14ac:dyDescent="0.3">
      <c r="A1620" s="21">
        <v>45305</v>
      </c>
      <c r="B1620" t="s">
        <v>2044</v>
      </c>
      <c r="C1620" s="22" t="s">
        <v>1536</v>
      </c>
      <c r="D1620" s="23">
        <v>130</v>
      </c>
      <c r="E1620" s="23">
        <v>0</v>
      </c>
      <c r="F1620" s="23">
        <v>18468.560000000001</v>
      </c>
      <c r="G1620" s="22" t="s">
        <v>2399</v>
      </c>
      <c r="H1620" s="22"/>
      <c r="I1620" t="s">
        <v>2401</v>
      </c>
      <c r="K1620" s="24">
        <f t="shared" si="27"/>
        <v>0</v>
      </c>
    </row>
    <row r="1621" spans="1:11" hidden="1" x14ac:dyDescent="0.3">
      <c r="A1621" s="21">
        <v>45305</v>
      </c>
      <c r="B1621" t="s">
        <v>2622</v>
      </c>
      <c r="C1621" s="22" t="s">
        <v>1208</v>
      </c>
      <c r="D1621" s="23">
        <v>0</v>
      </c>
      <c r="E1621" s="23">
        <v>340</v>
      </c>
      <c r="F1621" s="23">
        <v>65236.06</v>
      </c>
      <c r="G1621" s="22" t="s">
        <v>2399</v>
      </c>
      <c r="H1621" s="22"/>
      <c r="I1621" t="s">
        <v>2400</v>
      </c>
      <c r="K1621" s="24">
        <f t="shared" si="27"/>
        <v>-46427.5</v>
      </c>
    </row>
    <row r="1622" spans="1:11" hidden="1" x14ac:dyDescent="0.3">
      <c r="A1622" s="21">
        <v>45306</v>
      </c>
      <c r="B1622" t="s">
        <v>496</v>
      </c>
      <c r="C1622" s="22"/>
      <c r="D1622" s="23">
        <v>0</v>
      </c>
      <c r="E1622" s="23">
        <v>1431.43</v>
      </c>
      <c r="F1622" s="23">
        <v>73269.5</v>
      </c>
      <c r="G1622" s="22" t="s">
        <v>2406</v>
      </c>
      <c r="H1622" s="22"/>
      <c r="I1622" t="s">
        <v>2403</v>
      </c>
      <c r="K1622" s="24">
        <f t="shared" si="27"/>
        <v>-6602.0100000000093</v>
      </c>
    </row>
    <row r="1623" spans="1:11" hidden="1" x14ac:dyDescent="0.3">
      <c r="A1623" s="21">
        <v>45306</v>
      </c>
      <c r="B1623" t="s">
        <v>133</v>
      </c>
      <c r="C1623" s="22"/>
      <c r="D1623" s="23">
        <v>568.41</v>
      </c>
      <c r="E1623" s="23">
        <v>0</v>
      </c>
      <c r="F1623" s="23">
        <v>72701.09</v>
      </c>
      <c r="G1623" s="22" t="s">
        <v>2406</v>
      </c>
      <c r="H1623" s="22"/>
      <c r="I1623" t="s">
        <v>2403</v>
      </c>
      <c r="K1623" s="24">
        <f t="shared" si="27"/>
        <v>0</v>
      </c>
    </row>
    <row r="1624" spans="1:11" hidden="1" x14ac:dyDescent="0.3">
      <c r="A1624" s="21">
        <v>45306</v>
      </c>
      <c r="B1624" t="s">
        <v>133</v>
      </c>
      <c r="C1624" s="22"/>
      <c r="D1624" s="23">
        <v>8950.17</v>
      </c>
      <c r="E1624" s="23">
        <v>0</v>
      </c>
      <c r="F1624" s="23">
        <v>63750.92</v>
      </c>
      <c r="G1624" s="22" t="s">
        <v>2406</v>
      </c>
      <c r="H1624" s="22"/>
      <c r="I1624" t="s">
        <v>2403</v>
      </c>
      <c r="K1624" s="24">
        <f t="shared" si="27"/>
        <v>0</v>
      </c>
    </row>
    <row r="1625" spans="1:11" hidden="1" x14ac:dyDescent="0.3">
      <c r="A1625" s="21">
        <v>45306</v>
      </c>
      <c r="B1625" t="s">
        <v>2045</v>
      </c>
      <c r="C1625" s="22" t="s">
        <v>1536</v>
      </c>
      <c r="D1625" s="23">
        <v>60</v>
      </c>
      <c r="E1625" s="23">
        <v>0</v>
      </c>
      <c r="F1625" s="23">
        <v>18408.560000000001</v>
      </c>
      <c r="G1625" s="22" t="s">
        <v>2408</v>
      </c>
      <c r="H1625" s="22"/>
      <c r="I1625" t="s">
        <v>2401</v>
      </c>
      <c r="K1625" s="24">
        <f t="shared" si="27"/>
        <v>45282.36</v>
      </c>
    </row>
    <row r="1626" spans="1:11" hidden="1" x14ac:dyDescent="0.3">
      <c r="A1626" s="21">
        <v>45306</v>
      </c>
      <c r="B1626" t="s">
        <v>2046</v>
      </c>
      <c r="C1626" s="22" t="s">
        <v>1536</v>
      </c>
      <c r="D1626" s="23">
        <v>40</v>
      </c>
      <c r="E1626" s="23">
        <v>0</v>
      </c>
      <c r="F1626" s="23">
        <v>18368.560000000001</v>
      </c>
      <c r="G1626" s="22" t="s">
        <v>2408</v>
      </c>
      <c r="H1626" s="22"/>
      <c r="I1626" t="s">
        <v>2401</v>
      </c>
      <c r="K1626" s="24">
        <f t="shared" si="27"/>
        <v>0</v>
      </c>
    </row>
    <row r="1627" spans="1:11" hidden="1" x14ac:dyDescent="0.3">
      <c r="A1627" s="21">
        <v>45306</v>
      </c>
      <c r="B1627" t="s">
        <v>2047</v>
      </c>
      <c r="C1627" s="22" t="s">
        <v>1536</v>
      </c>
      <c r="D1627" s="23">
        <v>180</v>
      </c>
      <c r="E1627" s="23">
        <v>0</v>
      </c>
      <c r="F1627" s="23">
        <v>18188.560000000001</v>
      </c>
      <c r="G1627" s="22" t="s">
        <v>2399</v>
      </c>
      <c r="H1627" s="22"/>
      <c r="I1627" t="s">
        <v>2401</v>
      </c>
      <c r="K1627" s="24">
        <f t="shared" si="27"/>
        <v>0</v>
      </c>
    </row>
    <row r="1628" spans="1:11" hidden="1" x14ac:dyDescent="0.3">
      <c r="A1628" s="21">
        <v>45306</v>
      </c>
      <c r="B1628" t="s">
        <v>2048</v>
      </c>
      <c r="C1628" s="22" t="s">
        <v>1536</v>
      </c>
      <c r="D1628" s="23">
        <v>230</v>
      </c>
      <c r="E1628" s="23">
        <v>0</v>
      </c>
      <c r="F1628" s="23">
        <v>17958.560000000001</v>
      </c>
      <c r="G1628" s="22" t="s">
        <v>2399</v>
      </c>
      <c r="H1628" s="22"/>
      <c r="I1628" t="s">
        <v>2401</v>
      </c>
      <c r="K1628" s="24">
        <f t="shared" si="27"/>
        <v>0</v>
      </c>
    </row>
    <row r="1629" spans="1:11" hidden="1" x14ac:dyDescent="0.3">
      <c r="A1629" s="21">
        <v>45307</v>
      </c>
      <c r="B1629" t="s">
        <v>496</v>
      </c>
      <c r="C1629" s="22"/>
      <c r="D1629" s="23">
        <v>0</v>
      </c>
      <c r="E1629" s="23">
        <v>301.02999999999997</v>
      </c>
      <c r="F1629" s="23">
        <v>64051.95</v>
      </c>
      <c r="G1629" s="22" t="s">
        <v>2406</v>
      </c>
      <c r="H1629" s="22"/>
      <c r="I1629" t="s">
        <v>2403</v>
      </c>
      <c r="K1629" s="24">
        <f t="shared" si="27"/>
        <v>-45792.36</v>
      </c>
    </row>
    <row r="1630" spans="1:11" hidden="1" x14ac:dyDescent="0.3">
      <c r="A1630" s="21">
        <v>45307</v>
      </c>
      <c r="B1630" t="s">
        <v>133</v>
      </c>
      <c r="C1630" s="22"/>
      <c r="D1630" s="23">
        <v>216.37</v>
      </c>
      <c r="E1630" s="23">
        <v>0</v>
      </c>
      <c r="F1630" s="23">
        <v>63835.58</v>
      </c>
      <c r="G1630" s="22" t="s">
        <v>2406</v>
      </c>
      <c r="H1630" s="22"/>
      <c r="I1630" t="s">
        <v>2403</v>
      </c>
      <c r="K1630" s="24">
        <f t="shared" si="27"/>
        <v>0</v>
      </c>
    </row>
    <row r="1631" spans="1:11" hidden="1" x14ac:dyDescent="0.3">
      <c r="A1631" s="21">
        <v>45307</v>
      </c>
      <c r="B1631" t="s">
        <v>133</v>
      </c>
      <c r="C1631" s="22"/>
      <c r="D1631" s="23">
        <v>35367.75</v>
      </c>
      <c r="E1631" s="23">
        <v>0</v>
      </c>
      <c r="F1631" s="23">
        <v>28467.83</v>
      </c>
      <c r="G1631" s="22" t="s">
        <v>2406</v>
      </c>
      <c r="H1631" s="22"/>
      <c r="I1631" t="s">
        <v>2403</v>
      </c>
      <c r="K1631" s="24">
        <f t="shared" si="27"/>
        <v>0</v>
      </c>
    </row>
    <row r="1632" spans="1:11" hidden="1" x14ac:dyDescent="0.3">
      <c r="A1632" s="21">
        <v>45307</v>
      </c>
      <c r="B1632" t="s">
        <v>2049</v>
      </c>
      <c r="C1632" s="22" t="s">
        <v>1536</v>
      </c>
      <c r="D1632" s="23">
        <v>40</v>
      </c>
      <c r="E1632" s="23">
        <v>0</v>
      </c>
      <c r="F1632" s="23">
        <v>17918.560000000001</v>
      </c>
      <c r="G1632" s="22" t="s">
        <v>2408</v>
      </c>
      <c r="H1632" s="22"/>
      <c r="I1632" t="s">
        <v>2401</v>
      </c>
      <c r="K1632" s="24">
        <f t="shared" si="27"/>
        <v>10509.27</v>
      </c>
    </row>
    <row r="1633" spans="1:11" hidden="1" x14ac:dyDescent="0.3">
      <c r="A1633" s="21">
        <v>45308</v>
      </c>
      <c r="B1633" t="s">
        <v>133</v>
      </c>
      <c r="C1633" s="22"/>
      <c r="D1633" s="23">
        <v>197.24</v>
      </c>
      <c r="E1633" s="23">
        <v>0</v>
      </c>
      <c r="F1633" s="23">
        <v>28270.59</v>
      </c>
      <c r="G1633" s="22" t="s">
        <v>2406</v>
      </c>
      <c r="H1633" s="22"/>
      <c r="I1633" t="s">
        <v>2403</v>
      </c>
      <c r="K1633" s="24">
        <f t="shared" si="27"/>
        <v>-10549.27</v>
      </c>
    </row>
    <row r="1634" spans="1:11" hidden="1" x14ac:dyDescent="0.3">
      <c r="A1634" s="21">
        <v>45308</v>
      </c>
      <c r="B1634" t="s">
        <v>2050</v>
      </c>
      <c r="C1634" s="22" t="s">
        <v>1536</v>
      </c>
      <c r="D1634" s="23">
        <v>30</v>
      </c>
      <c r="E1634" s="23">
        <v>0</v>
      </c>
      <c r="F1634" s="23">
        <v>17888.560000000001</v>
      </c>
      <c r="G1634" s="22" t="s">
        <v>2408</v>
      </c>
      <c r="H1634" s="22"/>
      <c r="I1634" t="s">
        <v>2401</v>
      </c>
      <c r="K1634" s="24">
        <f t="shared" si="27"/>
        <v>10352.029999999999</v>
      </c>
    </row>
    <row r="1635" spans="1:11" hidden="1" x14ac:dyDescent="0.3">
      <c r="A1635" s="21">
        <v>45309</v>
      </c>
      <c r="B1635" t="s">
        <v>133</v>
      </c>
      <c r="C1635" s="22"/>
      <c r="D1635" s="23">
        <v>11949.82</v>
      </c>
      <c r="E1635" s="23">
        <v>0</v>
      </c>
      <c r="F1635" s="23">
        <v>16320.77</v>
      </c>
      <c r="G1635" s="22" t="s">
        <v>2406</v>
      </c>
      <c r="H1635" s="22"/>
      <c r="I1635" t="s">
        <v>2403</v>
      </c>
      <c r="K1635" s="24">
        <f t="shared" si="27"/>
        <v>-10382.029999999999</v>
      </c>
    </row>
    <row r="1636" spans="1:11" hidden="1" x14ac:dyDescent="0.3">
      <c r="A1636" s="21">
        <v>45309</v>
      </c>
      <c r="B1636" t="s">
        <v>496</v>
      </c>
      <c r="C1636" s="22"/>
      <c r="D1636" s="23">
        <v>0</v>
      </c>
      <c r="E1636" s="23">
        <v>36868.81</v>
      </c>
      <c r="F1636" s="23">
        <v>53189.58</v>
      </c>
      <c r="G1636" s="22" t="s">
        <v>2406</v>
      </c>
      <c r="H1636" s="22"/>
      <c r="I1636" t="s">
        <v>2403</v>
      </c>
      <c r="K1636" s="24">
        <f t="shared" si="27"/>
        <v>0</v>
      </c>
    </row>
    <row r="1637" spans="1:11" hidden="1" x14ac:dyDescent="0.3">
      <c r="A1637" s="21">
        <v>45309</v>
      </c>
      <c r="B1637" t="s">
        <v>133</v>
      </c>
      <c r="C1637" s="22"/>
      <c r="D1637" s="23">
        <v>192.98</v>
      </c>
      <c r="E1637" s="23">
        <v>0</v>
      </c>
      <c r="F1637" s="23">
        <v>52996.6</v>
      </c>
      <c r="G1637" s="22" t="s">
        <v>2406</v>
      </c>
      <c r="H1637" s="22"/>
      <c r="I1637" t="s">
        <v>2403</v>
      </c>
      <c r="K1637" s="24">
        <f t="shared" si="27"/>
        <v>0</v>
      </c>
    </row>
    <row r="1638" spans="1:11" hidden="1" x14ac:dyDescent="0.3">
      <c r="A1638" s="21">
        <v>45309</v>
      </c>
      <c r="B1638" t="s">
        <v>133</v>
      </c>
      <c r="C1638" s="22"/>
      <c r="D1638" s="23">
        <v>2791.46</v>
      </c>
      <c r="E1638" s="23">
        <v>0</v>
      </c>
      <c r="F1638" s="23">
        <v>50205.14</v>
      </c>
      <c r="G1638" s="22" t="s">
        <v>2406</v>
      </c>
      <c r="H1638" s="22"/>
      <c r="I1638" t="s">
        <v>2403</v>
      </c>
      <c r="K1638" s="24">
        <f t="shared" si="27"/>
        <v>0</v>
      </c>
    </row>
    <row r="1639" spans="1:11" hidden="1" x14ac:dyDescent="0.3">
      <c r="A1639" s="21">
        <v>45309</v>
      </c>
      <c r="B1639" t="s">
        <v>2051</v>
      </c>
      <c r="C1639" s="22" t="s">
        <v>1536</v>
      </c>
      <c r="D1639" s="23">
        <v>30</v>
      </c>
      <c r="E1639" s="23">
        <v>0</v>
      </c>
      <c r="F1639" s="23">
        <v>17858.560000000001</v>
      </c>
      <c r="G1639" s="22" t="s">
        <v>2408</v>
      </c>
      <c r="H1639" s="22"/>
      <c r="I1639" t="s">
        <v>2401</v>
      </c>
      <c r="K1639" s="24">
        <f t="shared" si="27"/>
        <v>32316.579999999998</v>
      </c>
    </row>
    <row r="1640" spans="1:11" hidden="1" x14ac:dyDescent="0.3">
      <c r="A1640" s="21">
        <v>45309</v>
      </c>
      <c r="B1640" t="s">
        <v>2052</v>
      </c>
      <c r="C1640" s="22" t="s">
        <v>1536</v>
      </c>
      <c r="D1640" s="23">
        <v>70</v>
      </c>
      <c r="E1640" s="23">
        <v>0</v>
      </c>
      <c r="F1640" s="23">
        <v>17788.560000000001</v>
      </c>
      <c r="G1640" s="22" t="s">
        <v>2408</v>
      </c>
      <c r="H1640" s="22"/>
      <c r="I1640" t="s">
        <v>2401</v>
      </c>
      <c r="K1640" s="24">
        <f t="shared" si="27"/>
        <v>0</v>
      </c>
    </row>
    <row r="1641" spans="1:11" hidden="1" x14ac:dyDescent="0.3">
      <c r="A1641" s="21">
        <v>45310</v>
      </c>
      <c r="B1641" t="s">
        <v>133</v>
      </c>
      <c r="C1641" s="22"/>
      <c r="D1641" s="23">
        <v>200.49</v>
      </c>
      <c r="E1641" s="23">
        <v>0</v>
      </c>
      <c r="F1641" s="23">
        <v>50004.65</v>
      </c>
      <c r="G1641" s="22" t="s">
        <v>2406</v>
      </c>
      <c r="H1641" s="22"/>
      <c r="I1641" t="s">
        <v>2403</v>
      </c>
      <c r="K1641" s="24">
        <f t="shared" si="27"/>
        <v>-32416.58</v>
      </c>
    </row>
    <row r="1642" spans="1:11" hidden="1" x14ac:dyDescent="0.3">
      <c r="A1642" s="21">
        <v>45310</v>
      </c>
      <c r="B1642" t="s">
        <v>133</v>
      </c>
      <c r="C1642" s="22"/>
      <c r="D1642" s="23">
        <v>34795.31</v>
      </c>
      <c r="E1642" s="23">
        <v>0</v>
      </c>
      <c r="F1642" s="23">
        <v>15209.34</v>
      </c>
      <c r="G1642" s="22" t="s">
        <v>2406</v>
      </c>
      <c r="H1642" s="22"/>
      <c r="I1642" t="s">
        <v>2403</v>
      </c>
      <c r="K1642" s="24">
        <f t="shared" si="27"/>
        <v>0</v>
      </c>
    </row>
    <row r="1643" spans="1:11" hidden="1" x14ac:dyDescent="0.3">
      <c r="A1643" s="21">
        <v>45310</v>
      </c>
      <c r="B1643" t="s">
        <v>2053</v>
      </c>
      <c r="C1643" s="22" t="s">
        <v>1536</v>
      </c>
      <c r="D1643" s="23">
        <v>15</v>
      </c>
      <c r="E1643" s="23">
        <v>0</v>
      </c>
      <c r="F1643" s="23">
        <v>17773.560000000001</v>
      </c>
      <c r="G1643" s="22" t="s">
        <v>2408</v>
      </c>
      <c r="H1643" s="22"/>
      <c r="I1643" t="s">
        <v>2401</v>
      </c>
      <c r="K1643" s="24">
        <f t="shared" si="27"/>
        <v>-2579.2200000000012</v>
      </c>
    </row>
    <row r="1644" spans="1:11" hidden="1" x14ac:dyDescent="0.3">
      <c r="A1644" s="21">
        <v>45310</v>
      </c>
      <c r="B1644" t="s">
        <v>2054</v>
      </c>
      <c r="C1644" s="22" t="s">
        <v>1536</v>
      </c>
      <c r="D1644" s="23">
        <v>35</v>
      </c>
      <c r="E1644" s="23">
        <v>0</v>
      </c>
      <c r="F1644" s="23">
        <v>17738.560000000001</v>
      </c>
      <c r="G1644" s="22" t="s">
        <v>2408</v>
      </c>
      <c r="H1644" s="22"/>
      <c r="I1644" t="s">
        <v>2401</v>
      </c>
      <c r="K1644" s="24">
        <f t="shared" si="27"/>
        <v>0</v>
      </c>
    </row>
    <row r="1645" spans="1:11" hidden="1" x14ac:dyDescent="0.3">
      <c r="A1645" s="21">
        <v>45310</v>
      </c>
      <c r="B1645" t="s">
        <v>2055</v>
      </c>
      <c r="C1645" s="22" t="s">
        <v>1536</v>
      </c>
      <c r="D1645" s="23">
        <v>18</v>
      </c>
      <c r="E1645" s="23">
        <v>0</v>
      </c>
      <c r="F1645" s="23">
        <v>17720.560000000001</v>
      </c>
      <c r="G1645" s="22" t="s">
        <v>2408</v>
      </c>
      <c r="H1645" s="22"/>
      <c r="I1645" t="s">
        <v>2401</v>
      </c>
      <c r="K1645" s="24">
        <f t="shared" si="27"/>
        <v>0</v>
      </c>
    </row>
    <row r="1646" spans="1:11" hidden="1" x14ac:dyDescent="0.3">
      <c r="A1646" s="21">
        <v>45310</v>
      </c>
      <c r="B1646" t="s">
        <v>2056</v>
      </c>
      <c r="C1646" s="22" t="s">
        <v>1536</v>
      </c>
      <c r="D1646" s="23">
        <v>2500</v>
      </c>
      <c r="E1646" s="23">
        <v>0</v>
      </c>
      <c r="F1646" s="23">
        <v>15220.56</v>
      </c>
      <c r="G1646" s="22" t="s">
        <v>2595</v>
      </c>
      <c r="H1646" s="22"/>
      <c r="I1646" t="s">
        <v>2401</v>
      </c>
      <c r="K1646" s="24">
        <f t="shared" si="27"/>
        <v>0</v>
      </c>
    </row>
    <row r="1647" spans="1:11" hidden="1" x14ac:dyDescent="0.3">
      <c r="A1647" s="21">
        <v>45310</v>
      </c>
      <c r="B1647" t="s">
        <v>2057</v>
      </c>
      <c r="C1647" s="22" t="s">
        <v>1536</v>
      </c>
      <c r="D1647" s="23">
        <v>80</v>
      </c>
      <c r="E1647" s="23">
        <v>0</v>
      </c>
      <c r="F1647" s="23">
        <v>15140.56</v>
      </c>
      <c r="G1647" s="22" t="s">
        <v>2408</v>
      </c>
      <c r="H1647" s="22"/>
      <c r="I1647" t="s">
        <v>2401</v>
      </c>
      <c r="K1647" s="24">
        <f t="shared" si="27"/>
        <v>0</v>
      </c>
    </row>
    <row r="1648" spans="1:11" hidden="1" x14ac:dyDescent="0.3">
      <c r="A1648" s="21">
        <v>45310</v>
      </c>
      <c r="B1648" t="s">
        <v>2058</v>
      </c>
      <c r="C1648" s="22" t="s">
        <v>1536</v>
      </c>
      <c r="D1648" s="23">
        <v>50</v>
      </c>
      <c r="E1648" s="23">
        <v>0</v>
      </c>
      <c r="F1648" s="23">
        <v>15090.56</v>
      </c>
      <c r="G1648" s="22" t="s">
        <v>2408</v>
      </c>
      <c r="H1648" s="22"/>
      <c r="I1648" t="s">
        <v>2401</v>
      </c>
      <c r="K1648" s="24">
        <f t="shared" si="27"/>
        <v>0</v>
      </c>
    </row>
    <row r="1649" spans="1:11" hidden="1" x14ac:dyDescent="0.3">
      <c r="A1649" s="21">
        <v>45311</v>
      </c>
      <c r="B1649" t="s">
        <v>496</v>
      </c>
      <c r="C1649" s="22"/>
      <c r="D1649" s="23">
        <v>0</v>
      </c>
      <c r="E1649" s="23">
        <v>24264.54</v>
      </c>
      <c r="F1649" s="23">
        <v>39473.879999999997</v>
      </c>
      <c r="G1649" s="22" t="s">
        <v>2406</v>
      </c>
      <c r="H1649" s="22"/>
      <c r="I1649" t="s">
        <v>2403</v>
      </c>
      <c r="K1649" s="24">
        <f t="shared" si="27"/>
        <v>-118.77999999999884</v>
      </c>
    </row>
    <row r="1650" spans="1:11" hidden="1" x14ac:dyDescent="0.3">
      <c r="A1650" s="21">
        <v>45311</v>
      </c>
      <c r="B1650" t="s">
        <v>496</v>
      </c>
      <c r="C1650" s="22"/>
      <c r="D1650" s="23">
        <v>0</v>
      </c>
      <c r="E1650" s="23">
        <v>34795.31</v>
      </c>
      <c r="F1650" s="23">
        <v>74269.19</v>
      </c>
      <c r="G1650" s="22" t="s">
        <v>2406</v>
      </c>
      <c r="H1650" s="22"/>
      <c r="I1650" t="s">
        <v>2403</v>
      </c>
      <c r="K1650" s="24">
        <f t="shared" si="27"/>
        <v>0</v>
      </c>
    </row>
    <row r="1651" spans="1:11" hidden="1" x14ac:dyDescent="0.3">
      <c r="A1651" s="21">
        <v>45311</v>
      </c>
      <c r="B1651" t="s">
        <v>133</v>
      </c>
      <c r="C1651" s="22"/>
      <c r="D1651" s="23">
        <v>209.13</v>
      </c>
      <c r="E1651" s="23">
        <v>0</v>
      </c>
      <c r="F1651" s="23">
        <v>74060.06</v>
      </c>
      <c r="G1651" s="22" t="s">
        <v>2406</v>
      </c>
      <c r="H1651" s="22"/>
      <c r="I1651" t="s">
        <v>2403</v>
      </c>
      <c r="K1651" s="24">
        <f t="shared" si="27"/>
        <v>0</v>
      </c>
    </row>
    <row r="1652" spans="1:11" hidden="1" x14ac:dyDescent="0.3">
      <c r="A1652" s="21">
        <v>45311</v>
      </c>
      <c r="B1652" t="s">
        <v>870</v>
      </c>
      <c r="C1652" s="22"/>
      <c r="D1652" s="23">
        <v>6.38</v>
      </c>
      <c r="E1652" s="23">
        <v>0</v>
      </c>
      <c r="F1652" s="23">
        <v>74053.679999999993</v>
      </c>
      <c r="G1652" s="22" t="s">
        <v>2415</v>
      </c>
      <c r="H1652" s="22"/>
      <c r="I1652" t="s">
        <v>2403</v>
      </c>
      <c r="K1652" s="24"/>
    </row>
    <row r="1653" spans="1:11" hidden="1" x14ac:dyDescent="0.3">
      <c r="A1653" s="21">
        <v>45311</v>
      </c>
      <c r="B1653" t="s">
        <v>133</v>
      </c>
      <c r="C1653" s="22"/>
      <c r="D1653" s="23">
        <v>25340.33</v>
      </c>
      <c r="E1653" s="23">
        <v>0</v>
      </c>
      <c r="F1653" s="23">
        <v>48713.35</v>
      </c>
      <c r="G1653" s="22" t="s">
        <v>2406</v>
      </c>
      <c r="H1653" s="22"/>
      <c r="I1653" t="s">
        <v>2403</v>
      </c>
      <c r="K1653" s="24">
        <f t="shared" ref="K1653:K1662" si="28">F1652-D1653+E1653-F1653</f>
        <v>0</v>
      </c>
    </row>
    <row r="1654" spans="1:11" hidden="1" x14ac:dyDescent="0.3">
      <c r="A1654" s="21">
        <v>45311</v>
      </c>
      <c r="B1654" t="s">
        <v>2059</v>
      </c>
      <c r="C1654" s="22" t="s">
        <v>1536</v>
      </c>
      <c r="D1654" s="23">
        <v>30</v>
      </c>
      <c r="E1654" s="23">
        <v>0</v>
      </c>
      <c r="F1654" s="23">
        <v>15060.56</v>
      </c>
      <c r="G1654" s="22" t="s">
        <v>2408</v>
      </c>
      <c r="H1654" s="22"/>
      <c r="I1654" t="s">
        <v>2401</v>
      </c>
      <c r="K1654" s="24">
        <f t="shared" si="28"/>
        <v>33622.79</v>
      </c>
    </row>
    <row r="1655" spans="1:11" hidden="1" x14ac:dyDescent="0.3">
      <c r="A1655" s="21">
        <v>45311</v>
      </c>
      <c r="B1655" t="s">
        <v>2060</v>
      </c>
      <c r="C1655" s="22" t="s">
        <v>1536</v>
      </c>
      <c r="D1655" s="23">
        <v>70</v>
      </c>
      <c r="E1655" s="23">
        <v>0</v>
      </c>
      <c r="F1655" s="23">
        <v>14990.56</v>
      </c>
      <c r="G1655" s="22" t="s">
        <v>2408</v>
      </c>
      <c r="H1655" s="22"/>
      <c r="I1655" t="s">
        <v>2401</v>
      </c>
      <c r="K1655" s="24">
        <f t="shared" si="28"/>
        <v>0</v>
      </c>
    </row>
    <row r="1656" spans="1:11" hidden="1" x14ac:dyDescent="0.3">
      <c r="A1656" s="21">
        <v>45311</v>
      </c>
      <c r="B1656" t="s">
        <v>2061</v>
      </c>
      <c r="C1656" s="22" t="s">
        <v>1536</v>
      </c>
      <c r="D1656" s="23">
        <v>25</v>
      </c>
      <c r="E1656" s="23">
        <v>0</v>
      </c>
      <c r="F1656" s="23">
        <v>14965.56</v>
      </c>
      <c r="G1656" s="22" t="s">
        <v>2408</v>
      </c>
      <c r="H1656" s="22"/>
      <c r="I1656" t="s">
        <v>2401</v>
      </c>
      <c r="K1656" s="24">
        <f t="shared" si="28"/>
        <v>0</v>
      </c>
    </row>
    <row r="1657" spans="1:11" hidden="1" x14ac:dyDescent="0.3">
      <c r="A1657" s="21">
        <v>45311</v>
      </c>
      <c r="B1657" t="s">
        <v>2062</v>
      </c>
      <c r="C1657" s="22" t="s">
        <v>1536</v>
      </c>
      <c r="D1657" s="23">
        <v>70</v>
      </c>
      <c r="E1657" s="23">
        <v>0</v>
      </c>
      <c r="F1657" s="23">
        <v>14895.56</v>
      </c>
      <c r="G1657" s="22" t="s">
        <v>2408</v>
      </c>
      <c r="H1657" s="22"/>
      <c r="I1657" t="s">
        <v>2401</v>
      </c>
      <c r="K1657" s="24">
        <f t="shared" si="28"/>
        <v>0</v>
      </c>
    </row>
    <row r="1658" spans="1:11" hidden="1" x14ac:dyDescent="0.3">
      <c r="A1658" s="21">
        <v>45312</v>
      </c>
      <c r="B1658" t="s">
        <v>44</v>
      </c>
      <c r="C1658" s="22"/>
      <c r="D1658" s="23">
        <v>1.18</v>
      </c>
      <c r="E1658" s="23">
        <v>0</v>
      </c>
      <c r="F1658" s="23">
        <v>16722.21</v>
      </c>
      <c r="G1658" s="22" t="s">
        <v>2415</v>
      </c>
      <c r="H1658" s="22"/>
      <c r="I1658" t="s">
        <v>2404</v>
      </c>
      <c r="K1658" s="24">
        <f t="shared" si="28"/>
        <v>-1827.83</v>
      </c>
    </row>
    <row r="1659" spans="1:11" hidden="1" x14ac:dyDescent="0.3">
      <c r="A1659" s="21">
        <v>45312</v>
      </c>
      <c r="B1659" t="s">
        <v>2063</v>
      </c>
      <c r="C1659" s="22" t="s">
        <v>1536</v>
      </c>
      <c r="D1659" s="23">
        <v>1000</v>
      </c>
      <c r="E1659" s="23">
        <v>0</v>
      </c>
      <c r="F1659" s="23">
        <v>13895.56</v>
      </c>
      <c r="G1659" s="22" t="s">
        <v>2574</v>
      </c>
      <c r="H1659" s="22"/>
      <c r="I1659" t="s">
        <v>2401</v>
      </c>
      <c r="K1659" s="24">
        <f t="shared" si="28"/>
        <v>1826.6499999999996</v>
      </c>
    </row>
    <row r="1660" spans="1:11" hidden="1" x14ac:dyDescent="0.3">
      <c r="A1660" s="21">
        <v>45312</v>
      </c>
      <c r="B1660" t="s">
        <v>2064</v>
      </c>
      <c r="C1660" s="22" t="s">
        <v>1536</v>
      </c>
      <c r="D1660" s="23">
        <v>1000</v>
      </c>
      <c r="E1660" s="23">
        <v>0</v>
      </c>
      <c r="F1660" s="23">
        <v>12895.56</v>
      </c>
      <c r="G1660" s="22" t="s">
        <v>2575</v>
      </c>
      <c r="H1660" s="22"/>
      <c r="I1660" t="s">
        <v>2401</v>
      </c>
      <c r="K1660" s="24">
        <f t="shared" si="28"/>
        <v>0</v>
      </c>
    </row>
    <row r="1661" spans="1:11" hidden="1" x14ac:dyDescent="0.3">
      <c r="A1661" s="21">
        <v>45312</v>
      </c>
      <c r="B1661" t="s">
        <v>2065</v>
      </c>
      <c r="C1661" s="22" t="s">
        <v>1536</v>
      </c>
      <c r="D1661" s="23">
        <v>18</v>
      </c>
      <c r="E1661" s="23">
        <v>0</v>
      </c>
      <c r="F1661" s="23">
        <v>12877.56</v>
      </c>
      <c r="G1661" s="22" t="s">
        <v>2408</v>
      </c>
      <c r="H1661" s="22"/>
      <c r="I1661" t="s">
        <v>2401</v>
      </c>
      <c r="K1661" s="24">
        <f t="shared" si="28"/>
        <v>0</v>
      </c>
    </row>
    <row r="1662" spans="1:11" hidden="1" x14ac:dyDescent="0.3">
      <c r="A1662" s="21">
        <v>45312</v>
      </c>
      <c r="B1662" t="s">
        <v>2066</v>
      </c>
      <c r="C1662" s="22" t="s">
        <v>1536</v>
      </c>
      <c r="D1662" s="23">
        <v>280</v>
      </c>
      <c r="E1662" s="23">
        <v>0</v>
      </c>
      <c r="F1662" s="23">
        <v>12597.56</v>
      </c>
      <c r="G1662" s="22" t="s">
        <v>2399</v>
      </c>
      <c r="H1662" s="22"/>
      <c r="I1662" t="s">
        <v>2401</v>
      </c>
      <c r="K1662" s="24">
        <f t="shared" si="28"/>
        <v>0</v>
      </c>
    </row>
    <row r="1663" spans="1:11" hidden="1" x14ac:dyDescent="0.3">
      <c r="A1663" s="21">
        <v>45312</v>
      </c>
      <c r="B1663" t="s">
        <v>2067</v>
      </c>
      <c r="C1663" s="22" t="s">
        <v>1536</v>
      </c>
      <c r="D1663" s="23">
        <v>160</v>
      </c>
      <c r="E1663" s="23">
        <v>0</v>
      </c>
      <c r="F1663" s="23">
        <v>12437.56</v>
      </c>
      <c r="G1663" s="22" t="s">
        <v>2399</v>
      </c>
      <c r="H1663" s="22"/>
      <c r="I1663" t="s">
        <v>2401</v>
      </c>
      <c r="K1663" s="24"/>
    </row>
    <row r="1664" spans="1:11" hidden="1" x14ac:dyDescent="0.3">
      <c r="A1664" s="21">
        <v>45312</v>
      </c>
      <c r="B1664" t="s">
        <v>2068</v>
      </c>
      <c r="C1664" s="22" t="s">
        <v>1536</v>
      </c>
      <c r="D1664" s="23">
        <v>90</v>
      </c>
      <c r="E1664" s="23">
        <v>0</v>
      </c>
      <c r="F1664" s="23">
        <v>12347.56</v>
      </c>
      <c r="G1664" s="22" t="s">
        <v>2408</v>
      </c>
      <c r="H1664" s="22"/>
      <c r="I1664" t="s">
        <v>2401</v>
      </c>
      <c r="K1664" s="24">
        <f>F1663-D1664+E1664-F1664</f>
        <v>0</v>
      </c>
    </row>
    <row r="1665" spans="1:11" hidden="1" x14ac:dyDescent="0.3">
      <c r="A1665" s="21">
        <v>45312</v>
      </c>
      <c r="B1665" t="s">
        <v>2069</v>
      </c>
      <c r="C1665" s="22" t="s">
        <v>1536</v>
      </c>
      <c r="D1665" s="23">
        <v>100</v>
      </c>
      <c r="E1665" s="23">
        <v>0</v>
      </c>
      <c r="F1665" s="23">
        <v>12247.56</v>
      </c>
      <c r="G1665" s="22" t="s">
        <v>2399</v>
      </c>
      <c r="H1665" s="22"/>
      <c r="I1665" t="s">
        <v>2401</v>
      </c>
      <c r="K1665" s="24">
        <f>F1664-D1665+E1665-F1665</f>
        <v>0</v>
      </c>
    </row>
    <row r="1666" spans="1:11" hidden="1" x14ac:dyDescent="0.3">
      <c r="A1666" s="21">
        <v>45313</v>
      </c>
      <c r="B1666" t="s">
        <v>2070</v>
      </c>
      <c r="C1666" s="22" t="s">
        <v>1536</v>
      </c>
      <c r="D1666" s="23">
        <v>30</v>
      </c>
      <c r="E1666" s="23">
        <v>0</v>
      </c>
      <c r="F1666" s="23">
        <v>12217.56</v>
      </c>
      <c r="G1666" s="22" t="s">
        <v>2408</v>
      </c>
      <c r="H1666" s="22"/>
      <c r="I1666" t="s">
        <v>2401</v>
      </c>
      <c r="K1666" s="24">
        <f>F1665-D1666+E1666-F1666</f>
        <v>0</v>
      </c>
    </row>
    <row r="1667" spans="1:11" hidden="1" x14ac:dyDescent="0.3">
      <c r="A1667" s="21">
        <v>45313</v>
      </c>
      <c r="B1667" t="s">
        <v>2071</v>
      </c>
      <c r="C1667" s="22" t="s">
        <v>1536</v>
      </c>
      <c r="D1667" s="23">
        <v>20</v>
      </c>
      <c r="E1667" s="23">
        <v>0</v>
      </c>
      <c r="F1667" s="23">
        <v>12197.56</v>
      </c>
      <c r="G1667" s="22" t="s">
        <v>2408</v>
      </c>
      <c r="H1667" s="22"/>
      <c r="I1667" t="s">
        <v>2401</v>
      </c>
      <c r="K1667" s="24">
        <f t="shared" ref="K1667:K1730" si="29">F1666-D1667+E1667-F1667</f>
        <v>0</v>
      </c>
    </row>
    <row r="1668" spans="1:11" hidden="1" x14ac:dyDescent="0.3">
      <c r="A1668" s="21">
        <v>45313</v>
      </c>
      <c r="B1668" t="s">
        <v>2072</v>
      </c>
      <c r="C1668" s="22" t="s">
        <v>1536</v>
      </c>
      <c r="D1668" s="23">
        <v>40</v>
      </c>
      <c r="E1668" s="23">
        <v>0</v>
      </c>
      <c r="F1668" s="23">
        <v>12157.56</v>
      </c>
      <c r="G1668" s="22" t="s">
        <v>2408</v>
      </c>
      <c r="H1668" s="22"/>
      <c r="I1668" t="s">
        <v>2401</v>
      </c>
      <c r="K1668" s="24">
        <f t="shared" si="29"/>
        <v>0</v>
      </c>
    </row>
    <row r="1669" spans="1:11" hidden="1" x14ac:dyDescent="0.3">
      <c r="A1669" s="21">
        <v>45313</v>
      </c>
      <c r="B1669" t="s">
        <v>2073</v>
      </c>
      <c r="C1669" s="22" t="s">
        <v>1536</v>
      </c>
      <c r="D1669" s="23">
        <v>70</v>
      </c>
      <c r="E1669" s="23">
        <v>0</v>
      </c>
      <c r="F1669" s="23">
        <v>12087.56</v>
      </c>
      <c r="G1669" s="22" t="s">
        <v>2408</v>
      </c>
      <c r="H1669" s="22"/>
      <c r="I1669" t="s">
        <v>2401</v>
      </c>
      <c r="K1669" s="24">
        <f t="shared" si="29"/>
        <v>0</v>
      </c>
    </row>
    <row r="1670" spans="1:11" hidden="1" x14ac:dyDescent="0.3">
      <c r="A1670" s="21">
        <v>45313</v>
      </c>
      <c r="B1670" t="s">
        <v>2074</v>
      </c>
      <c r="C1670" s="22" t="s">
        <v>1536</v>
      </c>
      <c r="D1670" s="23">
        <v>20</v>
      </c>
      <c r="E1670" s="23">
        <v>0</v>
      </c>
      <c r="F1670" s="23">
        <v>12067.56</v>
      </c>
      <c r="G1670" s="22" t="s">
        <v>2408</v>
      </c>
      <c r="H1670" s="22"/>
      <c r="I1670" t="s">
        <v>2401</v>
      </c>
      <c r="K1670" s="24">
        <f t="shared" si="29"/>
        <v>0</v>
      </c>
    </row>
    <row r="1671" spans="1:11" hidden="1" x14ac:dyDescent="0.3">
      <c r="A1671" s="21">
        <v>45314</v>
      </c>
      <c r="B1671" t="s">
        <v>496</v>
      </c>
      <c r="C1671" s="22"/>
      <c r="D1671" s="23">
        <v>0</v>
      </c>
      <c r="E1671" s="23">
        <v>4184.24</v>
      </c>
      <c r="F1671" s="23">
        <v>52897.59</v>
      </c>
      <c r="G1671" s="22" t="s">
        <v>2406</v>
      </c>
      <c r="H1671" s="22"/>
      <c r="I1671" t="s">
        <v>2403</v>
      </c>
      <c r="K1671" s="24">
        <f t="shared" si="29"/>
        <v>-36645.789999999994</v>
      </c>
    </row>
    <row r="1672" spans="1:11" hidden="1" x14ac:dyDescent="0.3">
      <c r="A1672" s="21">
        <v>45314</v>
      </c>
      <c r="B1672" t="s">
        <v>133</v>
      </c>
      <c r="C1672" s="22"/>
      <c r="D1672" s="23">
        <v>600.33000000000004</v>
      </c>
      <c r="E1672" s="23">
        <v>0</v>
      </c>
      <c r="F1672" s="23">
        <v>52297.26</v>
      </c>
      <c r="G1672" s="22" t="s">
        <v>2406</v>
      </c>
      <c r="H1672" s="22"/>
      <c r="I1672" t="s">
        <v>2403</v>
      </c>
      <c r="K1672" s="24">
        <f t="shared" si="29"/>
        <v>0</v>
      </c>
    </row>
    <row r="1673" spans="1:11" hidden="1" x14ac:dyDescent="0.3">
      <c r="A1673" s="21">
        <v>45314</v>
      </c>
      <c r="B1673" t="s">
        <v>2075</v>
      </c>
      <c r="C1673" s="22" t="s">
        <v>1536</v>
      </c>
      <c r="D1673" s="23">
        <v>160</v>
      </c>
      <c r="E1673" s="23">
        <v>0</v>
      </c>
      <c r="F1673" s="23">
        <v>11907.56</v>
      </c>
      <c r="G1673" s="22" t="s">
        <v>2399</v>
      </c>
      <c r="H1673" s="22"/>
      <c r="I1673" t="s">
        <v>2401</v>
      </c>
      <c r="K1673" s="24">
        <f t="shared" si="29"/>
        <v>40229.700000000004</v>
      </c>
    </row>
    <row r="1674" spans="1:11" hidden="1" x14ac:dyDescent="0.3">
      <c r="A1674" s="21">
        <v>45314</v>
      </c>
      <c r="B1674" t="s">
        <v>2076</v>
      </c>
      <c r="C1674" s="22" t="s">
        <v>1536</v>
      </c>
      <c r="D1674" s="23">
        <v>30</v>
      </c>
      <c r="E1674" s="23">
        <v>0</v>
      </c>
      <c r="F1674" s="23">
        <v>11877.56</v>
      </c>
      <c r="G1674" s="22" t="s">
        <v>2408</v>
      </c>
      <c r="H1674" s="22"/>
      <c r="I1674" t="s">
        <v>2401</v>
      </c>
      <c r="K1674" s="24">
        <f t="shared" si="29"/>
        <v>0</v>
      </c>
    </row>
    <row r="1675" spans="1:11" hidden="1" x14ac:dyDescent="0.3">
      <c r="A1675" s="21">
        <v>45314</v>
      </c>
      <c r="B1675" t="s">
        <v>2077</v>
      </c>
      <c r="C1675" s="22" t="s">
        <v>1536</v>
      </c>
      <c r="D1675" s="23">
        <v>40</v>
      </c>
      <c r="E1675" s="23">
        <v>0</v>
      </c>
      <c r="F1675" s="23">
        <v>11837.56</v>
      </c>
      <c r="G1675" s="22" t="s">
        <v>2408</v>
      </c>
      <c r="H1675" s="22"/>
      <c r="I1675" t="s">
        <v>2401</v>
      </c>
      <c r="K1675" s="24">
        <f t="shared" si="29"/>
        <v>0</v>
      </c>
    </row>
    <row r="1676" spans="1:11" hidden="1" x14ac:dyDescent="0.3">
      <c r="A1676" s="21">
        <v>45314</v>
      </c>
      <c r="B1676" t="s">
        <v>2078</v>
      </c>
      <c r="C1676" s="22" t="s">
        <v>1536</v>
      </c>
      <c r="D1676" s="23">
        <v>18</v>
      </c>
      <c r="E1676" s="23">
        <v>0</v>
      </c>
      <c r="F1676" s="23">
        <v>11819.56</v>
      </c>
      <c r="G1676" s="22" t="s">
        <v>2408</v>
      </c>
      <c r="H1676" s="22"/>
      <c r="I1676" t="s">
        <v>2401</v>
      </c>
      <c r="K1676" s="24">
        <f t="shared" si="29"/>
        <v>0</v>
      </c>
    </row>
    <row r="1677" spans="1:11" hidden="1" x14ac:dyDescent="0.3">
      <c r="A1677" s="21">
        <v>45315</v>
      </c>
      <c r="B1677" t="s">
        <v>133</v>
      </c>
      <c r="C1677" s="22"/>
      <c r="D1677" s="23">
        <v>8592.98</v>
      </c>
      <c r="E1677" s="23">
        <v>0</v>
      </c>
      <c r="F1677" s="23">
        <v>43704.28</v>
      </c>
      <c r="G1677" s="22" t="s">
        <v>2406</v>
      </c>
      <c r="H1677" s="22"/>
      <c r="I1677" t="s">
        <v>2403</v>
      </c>
      <c r="K1677" s="24">
        <f t="shared" si="29"/>
        <v>-40477.699999999997</v>
      </c>
    </row>
    <row r="1678" spans="1:11" hidden="1" x14ac:dyDescent="0.3">
      <c r="A1678" s="21">
        <v>45315</v>
      </c>
      <c r="B1678" t="s">
        <v>133</v>
      </c>
      <c r="C1678" s="22"/>
      <c r="D1678" s="23">
        <v>197.93</v>
      </c>
      <c r="E1678" s="23">
        <v>0</v>
      </c>
      <c r="F1678" s="23">
        <v>43506.35</v>
      </c>
      <c r="G1678" s="22" t="s">
        <v>2406</v>
      </c>
      <c r="H1678" s="22"/>
      <c r="I1678" t="s">
        <v>2403</v>
      </c>
      <c r="K1678" s="24">
        <f t="shared" si="29"/>
        <v>0</v>
      </c>
    </row>
    <row r="1679" spans="1:11" hidden="1" x14ac:dyDescent="0.3">
      <c r="A1679" s="21">
        <v>45315</v>
      </c>
      <c r="B1679" t="s">
        <v>2079</v>
      </c>
      <c r="C1679" s="22" t="s">
        <v>1536</v>
      </c>
      <c r="D1679" s="23">
        <v>30</v>
      </c>
      <c r="E1679" s="23">
        <v>0</v>
      </c>
      <c r="F1679" s="23">
        <v>11789.56</v>
      </c>
      <c r="G1679" s="22" t="s">
        <v>2408</v>
      </c>
      <c r="H1679" s="22"/>
      <c r="I1679" t="s">
        <v>2401</v>
      </c>
      <c r="K1679" s="24">
        <f t="shared" si="29"/>
        <v>31686.79</v>
      </c>
    </row>
    <row r="1680" spans="1:11" hidden="1" x14ac:dyDescent="0.3">
      <c r="A1680" s="21">
        <v>45315</v>
      </c>
      <c r="B1680" t="s">
        <v>2080</v>
      </c>
      <c r="C1680" s="22" t="s">
        <v>1536</v>
      </c>
      <c r="D1680" s="23">
        <v>30</v>
      </c>
      <c r="E1680" s="23">
        <v>0</v>
      </c>
      <c r="F1680" s="23">
        <v>11759.56</v>
      </c>
      <c r="G1680" s="22" t="s">
        <v>2408</v>
      </c>
      <c r="H1680" s="22"/>
      <c r="I1680" t="s">
        <v>2401</v>
      </c>
      <c r="K1680" s="24">
        <f t="shared" si="29"/>
        <v>0</v>
      </c>
    </row>
    <row r="1681" spans="1:11" hidden="1" x14ac:dyDescent="0.3">
      <c r="A1681" s="21">
        <v>45315</v>
      </c>
      <c r="B1681" t="s">
        <v>2081</v>
      </c>
      <c r="C1681" s="22" t="s">
        <v>1536</v>
      </c>
      <c r="D1681" s="23">
        <v>45</v>
      </c>
      <c r="E1681" s="23">
        <v>0</v>
      </c>
      <c r="F1681" s="23">
        <v>11714.56</v>
      </c>
      <c r="G1681" s="22" t="s">
        <v>2408</v>
      </c>
      <c r="H1681" s="22"/>
      <c r="I1681" t="s">
        <v>2401</v>
      </c>
      <c r="K1681" s="24">
        <f t="shared" si="29"/>
        <v>0</v>
      </c>
    </row>
    <row r="1682" spans="1:11" hidden="1" x14ac:dyDescent="0.3">
      <c r="A1682" s="21">
        <v>45315</v>
      </c>
      <c r="B1682" t="s">
        <v>2082</v>
      </c>
      <c r="C1682" s="22" t="s">
        <v>1536</v>
      </c>
      <c r="D1682" s="23">
        <v>30</v>
      </c>
      <c r="E1682" s="23">
        <v>0</v>
      </c>
      <c r="F1682" s="23">
        <v>11684.56</v>
      </c>
      <c r="G1682" s="22" t="s">
        <v>2408</v>
      </c>
      <c r="H1682" s="22"/>
      <c r="I1682" t="s">
        <v>2401</v>
      </c>
      <c r="K1682" s="24">
        <f t="shared" si="29"/>
        <v>0</v>
      </c>
    </row>
    <row r="1683" spans="1:11" hidden="1" x14ac:dyDescent="0.3">
      <c r="A1683" s="21">
        <v>45315</v>
      </c>
      <c r="B1683" t="s">
        <v>2083</v>
      </c>
      <c r="C1683" s="22" t="s">
        <v>1536</v>
      </c>
      <c r="D1683" s="23">
        <v>273</v>
      </c>
      <c r="E1683" s="23">
        <v>0</v>
      </c>
      <c r="F1683" s="23">
        <v>11411.56</v>
      </c>
      <c r="G1683" s="22" t="s">
        <v>2399</v>
      </c>
      <c r="H1683" s="22"/>
      <c r="I1683" t="s">
        <v>2401</v>
      </c>
      <c r="K1683" s="24">
        <f t="shared" si="29"/>
        <v>0</v>
      </c>
    </row>
    <row r="1684" spans="1:11" hidden="1" x14ac:dyDescent="0.3">
      <c r="A1684" s="21">
        <v>45315</v>
      </c>
      <c r="B1684" t="s">
        <v>2084</v>
      </c>
      <c r="C1684" s="22" t="s">
        <v>1536</v>
      </c>
      <c r="D1684" s="23">
        <v>30</v>
      </c>
      <c r="E1684" s="23">
        <v>0</v>
      </c>
      <c r="F1684" s="23">
        <v>11381.56</v>
      </c>
      <c r="G1684" s="22" t="s">
        <v>2408</v>
      </c>
      <c r="H1684" s="22"/>
      <c r="I1684" t="s">
        <v>2401</v>
      </c>
      <c r="K1684" s="24">
        <f t="shared" si="29"/>
        <v>0</v>
      </c>
    </row>
    <row r="1685" spans="1:11" hidden="1" x14ac:dyDescent="0.3">
      <c r="A1685" s="21">
        <v>45316</v>
      </c>
      <c r="B1685" t="s">
        <v>496</v>
      </c>
      <c r="C1685" s="22"/>
      <c r="D1685" s="23">
        <v>0</v>
      </c>
      <c r="E1685" s="23">
        <v>61708.6</v>
      </c>
      <c r="F1685" s="23">
        <v>105214.95</v>
      </c>
      <c r="G1685" s="22" t="s">
        <v>2406</v>
      </c>
      <c r="H1685" s="22"/>
      <c r="I1685" t="s">
        <v>2403</v>
      </c>
      <c r="K1685" s="24">
        <f t="shared" si="29"/>
        <v>-32124.789999999994</v>
      </c>
    </row>
    <row r="1686" spans="1:11" hidden="1" x14ac:dyDescent="0.3">
      <c r="A1686" s="21">
        <v>45316</v>
      </c>
      <c r="B1686" t="s">
        <v>133</v>
      </c>
      <c r="C1686" s="22"/>
      <c r="D1686" s="23">
        <v>197.93</v>
      </c>
      <c r="E1686" s="23">
        <v>0</v>
      </c>
      <c r="F1686" s="23">
        <v>105017.02</v>
      </c>
      <c r="G1686" s="22" t="s">
        <v>2406</v>
      </c>
      <c r="H1686" s="22"/>
      <c r="I1686" t="s">
        <v>2403</v>
      </c>
      <c r="K1686" s="24">
        <f t="shared" si="29"/>
        <v>0</v>
      </c>
    </row>
    <row r="1687" spans="1:11" hidden="1" x14ac:dyDescent="0.3">
      <c r="A1687" s="21">
        <v>45316</v>
      </c>
      <c r="B1687" t="s">
        <v>2085</v>
      </c>
      <c r="C1687" s="22" t="s">
        <v>1536</v>
      </c>
      <c r="D1687" s="23">
        <v>2000</v>
      </c>
      <c r="E1687" s="23">
        <v>0</v>
      </c>
      <c r="F1687" s="23">
        <v>9381.56</v>
      </c>
      <c r="G1687" s="22" t="s">
        <v>2611</v>
      </c>
      <c r="H1687" s="22"/>
      <c r="I1687" t="s">
        <v>2401</v>
      </c>
      <c r="K1687" s="24">
        <f t="shared" si="29"/>
        <v>93635.46</v>
      </c>
    </row>
    <row r="1688" spans="1:11" hidden="1" x14ac:dyDescent="0.3">
      <c r="A1688" s="21">
        <v>45316</v>
      </c>
      <c r="B1688" t="s">
        <v>2086</v>
      </c>
      <c r="C1688" s="22" t="s">
        <v>1536</v>
      </c>
      <c r="D1688" s="23">
        <v>30</v>
      </c>
      <c r="E1688" s="23">
        <v>0</v>
      </c>
      <c r="F1688" s="23">
        <v>9351.56</v>
      </c>
      <c r="G1688" s="22" t="s">
        <v>2408</v>
      </c>
      <c r="H1688" s="22"/>
      <c r="I1688" t="s">
        <v>2401</v>
      </c>
      <c r="K1688" s="24">
        <f t="shared" si="29"/>
        <v>0</v>
      </c>
    </row>
    <row r="1689" spans="1:11" hidden="1" x14ac:dyDescent="0.3">
      <c r="A1689" s="21">
        <v>45316</v>
      </c>
      <c r="B1689" t="s">
        <v>2087</v>
      </c>
      <c r="C1689" s="22" t="s">
        <v>1536</v>
      </c>
      <c r="D1689" s="23">
        <v>30</v>
      </c>
      <c r="E1689" s="23">
        <v>0</v>
      </c>
      <c r="F1689" s="23">
        <v>9321.56</v>
      </c>
      <c r="G1689" s="22" t="s">
        <v>2408</v>
      </c>
      <c r="H1689" s="22"/>
      <c r="I1689" t="s">
        <v>2401</v>
      </c>
      <c r="K1689" s="24">
        <f t="shared" si="29"/>
        <v>0</v>
      </c>
    </row>
    <row r="1690" spans="1:11" hidden="1" x14ac:dyDescent="0.3">
      <c r="A1690" s="21">
        <v>45316</v>
      </c>
      <c r="B1690" t="s">
        <v>2088</v>
      </c>
      <c r="C1690" s="22" t="s">
        <v>1536</v>
      </c>
      <c r="D1690" s="23">
        <v>21</v>
      </c>
      <c r="E1690" s="23">
        <v>0</v>
      </c>
      <c r="F1690" s="23">
        <v>9300.56</v>
      </c>
      <c r="G1690" s="22" t="s">
        <v>2408</v>
      </c>
      <c r="H1690" s="22"/>
      <c r="I1690" t="s">
        <v>2401</v>
      </c>
      <c r="K1690" s="24">
        <f t="shared" si="29"/>
        <v>0</v>
      </c>
    </row>
    <row r="1691" spans="1:11" hidden="1" x14ac:dyDescent="0.3">
      <c r="A1691" s="21">
        <v>45316</v>
      </c>
      <c r="B1691" t="s">
        <v>2089</v>
      </c>
      <c r="C1691" s="22" t="s">
        <v>1536</v>
      </c>
      <c r="D1691" s="23">
        <v>40</v>
      </c>
      <c r="E1691" s="23">
        <v>0</v>
      </c>
      <c r="F1691" s="23">
        <v>9260.56</v>
      </c>
      <c r="G1691" s="22" t="s">
        <v>2408</v>
      </c>
      <c r="H1691" s="22"/>
      <c r="I1691" t="s">
        <v>2401</v>
      </c>
      <c r="K1691" s="24">
        <f t="shared" si="29"/>
        <v>0</v>
      </c>
    </row>
    <row r="1692" spans="1:11" hidden="1" x14ac:dyDescent="0.3">
      <c r="A1692" s="21">
        <v>45317</v>
      </c>
      <c r="B1692" t="s">
        <v>133</v>
      </c>
      <c r="C1692" s="22"/>
      <c r="D1692" s="23">
        <v>73510.929999999993</v>
      </c>
      <c r="E1692" s="23">
        <v>0</v>
      </c>
      <c r="F1692" s="23">
        <v>31506.09</v>
      </c>
      <c r="G1692" s="22" t="s">
        <v>2406</v>
      </c>
      <c r="H1692" s="22"/>
      <c r="I1692" t="s">
        <v>2403</v>
      </c>
      <c r="K1692" s="24">
        <f t="shared" si="29"/>
        <v>-95756.459999999992</v>
      </c>
    </row>
    <row r="1693" spans="1:11" hidden="1" x14ac:dyDescent="0.3">
      <c r="A1693" s="21">
        <v>45317</v>
      </c>
      <c r="B1693" t="s">
        <v>880</v>
      </c>
      <c r="C1693" s="22"/>
      <c r="D1693" s="23">
        <v>20000</v>
      </c>
      <c r="E1693" s="23">
        <v>0</v>
      </c>
      <c r="F1693" s="23">
        <v>11506.09</v>
      </c>
      <c r="G1693" s="22" t="s">
        <v>2510</v>
      </c>
      <c r="H1693" s="22"/>
      <c r="I1693" t="s">
        <v>2403</v>
      </c>
      <c r="K1693" s="24">
        <f t="shared" si="29"/>
        <v>0</v>
      </c>
    </row>
    <row r="1694" spans="1:11" hidden="1" x14ac:dyDescent="0.3">
      <c r="A1694" s="21">
        <v>45317</v>
      </c>
      <c r="B1694" t="s">
        <v>2090</v>
      </c>
      <c r="C1694" s="22" t="s">
        <v>1536</v>
      </c>
      <c r="D1694" s="23">
        <v>70</v>
      </c>
      <c r="E1694" s="23">
        <v>0</v>
      </c>
      <c r="F1694" s="23">
        <v>9190.56</v>
      </c>
      <c r="G1694" s="22" t="s">
        <v>2408</v>
      </c>
      <c r="H1694" s="22"/>
      <c r="I1694" t="s">
        <v>2401</v>
      </c>
      <c r="K1694" s="24">
        <f t="shared" si="29"/>
        <v>2245.5300000000007</v>
      </c>
    </row>
    <row r="1695" spans="1:11" hidden="1" x14ac:dyDescent="0.3">
      <c r="A1695" s="21">
        <v>45317</v>
      </c>
      <c r="B1695" t="s">
        <v>2091</v>
      </c>
      <c r="C1695" s="22" t="s">
        <v>1536</v>
      </c>
      <c r="D1695" s="23">
        <v>25</v>
      </c>
      <c r="E1695" s="23">
        <v>0</v>
      </c>
      <c r="F1695" s="23">
        <v>9165.56</v>
      </c>
      <c r="G1695" s="22" t="s">
        <v>2408</v>
      </c>
      <c r="H1695" s="22"/>
      <c r="I1695" t="s">
        <v>2401</v>
      </c>
      <c r="K1695" s="24">
        <f t="shared" si="29"/>
        <v>0</v>
      </c>
    </row>
    <row r="1696" spans="1:11" hidden="1" x14ac:dyDescent="0.3">
      <c r="A1696" s="21">
        <v>45317</v>
      </c>
      <c r="B1696" t="s">
        <v>2092</v>
      </c>
      <c r="C1696" s="22" t="s">
        <v>1536</v>
      </c>
      <c r="D1696" s="23">
        <v>40</v>
      </c>
      <c r="E1696" s="23">
        <v>0</v>
      </c>
      <c r="F1696" s="23">
        <v>9125.56</v>
      </c>
      <c r="G1696" s="22" t="s">
        <v>2408</v>
      </c>
      <c r="H1696" s="22"/>
      <c r="I1696" t="s">
        <v>2401</v>
      </c>
      <c r="K1696" s="24">
        <f t="shared" si="29"/>
        <v>0</v>
      </c>
    </row>
    <row r="1697" spans="1:11" hidden="1" x14ac:dyDescent="0.3">
      <c r="A1697" s="21">
        <v>45317</v>
      </c>
      <c r="B1697" t="s">
        <v>2093</v>
      </c>
      <c r="C1697" s="22" t="s">
        <v>1536</v>
      </c>
      <c r="D1697" s="23">
        <v>30</v>
      </c>
      <c r="E1697" s="23">
        <v>0</v>
      </c>
      <c r="F1697" s="23">
        <v>9095.56</v>
      </c>
      <c r="G1697" s="22" t="s">
        <v>2408</v>
      </c>
      <c r="H1697" s="22"/>
      <c r="I1697" t="s">
        <v>2401</v>
      </c>
      <c r="K1697" s="24">
        <f t="shared" si="29"/>
        <v>0</v>
      </c>
    </row>
    <row r="1698" spans="1:11" hidden="1" x14ac:dyDescent="0.3">
      <c r="A1698" s="21">
        <v>45317</v>
      </c>
      <c r="B1698" t="s">
        <v>2094</v>
      </c>
      <c r="C1698" s="22" t="s">
        <v>1536</v>
      </c>
      <c r="D1698" s="23">
        <v>22</v>
      </c>
      <c r="E1698" s="23">
        <v>0</v>
      </c>
      <c r="F1698" s="23">
        <v>9073.56</v>
      </c>
      <c r="G1698" s="22" t="s">
        <v>2408</v>
      </c>
      <c r="H1698" s="22"/>
      <c r="I1698" t="s">
        <v>2401</v>
      </c>
      <c r="K1698" s="24">
        <f t="shared" si="29"/>
        <v>0</v>
      </c>
    </row>
    <row r="1699" spans="1:11" hidden="1" x14ac:dyDescent="0.3">
      <c r="A1699" s="21">
        <v>45317</v>
      </c>
      <c r="B1699" t="s">
        <v>2095</v>
      </c>
      <c r="C1699" s="22" t="s">
        <v>1536</v>
      </c>
      <c r="D1699" s="23">
        <v>250</v>
      </c>
      <c r="E1699" s="23">
        <v>0</v>
      </c>
      <c r="F1699" s="23">
        <v>8823.56</v>
      </c>
      <c r="G1699" s="22" t="s">
        <v>2399</v>
      </c>
      <c r="H1699" s="22"/>
      <c r="I1699" t="s">
        <v>2401</v>
      </c>
      <c r="K1699" s="24">
        <f t="shared" si="29"/>
        <v>0</v>
      </c>
    </row>
    <row r="1700" spans="1:11" hidden="1" x14ac:dyDescent="0.3">
      <c r="A1700" s="21">
        <v>45318</v>
      </c>
      <c r="B1700" t="s">
        <v>2096</v>
      </c>
      <c r="C1700" s="22" t="s">
        <v>1536</v>
      </c>
      <c r="D1700" s="23">
        <v>15</v>
      </c>
      <c r="E1700" s="23">
        <v>0</v>
      </c>
      <c r="F1700" s="23">
        <v>8808.56</v>
      </c>
      <c r="G1700" s="22" t="s">
        <v>2408</v>
      </c>
      <c r="H1700" s="22"/>
      <c r="I1700" t="s">
        <v>2401</v>
      </c>
      <c r="K1700" s="24">
        <f t="shared" si="29"/>
        <v>0</v>
      </c>
    </row>
    <row r="1701" spans="1:11" hidden="1" x14ac:dyDescent="0.3">
      <c r="A1701" s="21">
        <v>45318</v>
      </c>
      <c r="B1701" t="s">
        <v>2097</v>
      </c>
      <c r="C1701" s="22" t="s">
        <v>1536</v>
      </c>
      <c r="D1701" s="23">
        <v>30</v>
      </c>
      <c r="E1701" s="23">
        <v>0</v>
      </c>
      <c r="F1701" s="23">
        <v>8778.56</v>
      </c>
      <c r="G1701" s="22" t="s">
        <v>2408</v>
      </c>
      <c r="H1701" s="22"/>
      <c r="I1701" t="s">
        <v>2401</v>
      </c>
      <c r="K1701" s="24">
        <f t="shared" si="29"/>
        <v>0</v>
      </c>
    </row>
    <row r="1702" spans="1:11" hidden="1" x14ac:dyDescent="0.3">
      <c r="A1702" s="21">
        <v>45318</v>
      </c>
      <c r="B1702" t="s">
        <v>2098</v>
      </c>
      <c r="C1702" s="22" t="s">
        <v>1536</v>
      </c>
      <c r="D1702" s="23">
        <v>45</v>
      </c>
      <c r="E1702" s="23">
        <v>0</v>
      </c>
      <c r="F1702" s="23">
        <v>8733.56</v>
      </c>
      <c r="G1702" s="22" t="s">
        <v>2408</v>
      </c>
      <c r="H1702" s="22"/>
      <c r="I1702" t="s">
        <v>2401</v>
      </c>
      <c r="K1702" s="24">
        <f t="shared" si="29"/>
        <v>0</v>
      </c>
    </row>
    <row r="1703" spans="1:11" hidden="1" x14ac:dyDescent="0.3">
      <c r="A1703" s="21">
        <v>45318</v>
      </c>
      <c r="B1703" t="s">
        <v>2099</v>
      </c>
      <c r="C1703" s="22" t="s">
        <v>1536</v>
      </c>
      <c r="D1703" s="23">
        <v>18</v>
      </c>
      <c r="E1703" s="23">
        <v>0</v>
      </c>
      <c r="F1703" s="23">
        <v>8715.56</v>
      </c>
      <c r="G1703" s="22" t="s">
        <v>2408</v>
      </c>
      <c r="H1703" s="22"/>
      <c r="I1703" t="s">
        <v>2401</v>
      </c>
      <c r="K1703" s="24">
        <f t="shared" si="29"/>
        <v>0</v>
      </c>
    </row>
    <row r="1704" spans="1:11" hidden="1" x14ac:dyDescent="0.3">
      <c r="A1704" s="21">
        <v>45320</v>
      </c>
      <c r="B1704" t="s">
        <v>882</v>
      </c>
      <c r="C1704" s="22"/>
      <c r="D1704" s="23">
        <v>5000</v>
      </c>
      <c r="E1704" s="23">
        <v>0</v>
      </c>
      <c r="F1704" s="23">
        <v>6506.09</v>
      </c>
      <c r="G1704" s="22" t="s">
        <v>2442</v>
      </c>
      <c r="H1704" s="22"/>
      <c r="I1704" t="s">
        <v>2403</v>
      </c>
      <c r="K1704" s="24">
        <f t="shared" si="29"/>
        <v>-2790.5300000000007</v>
      </c>
    </row>
    <row r="1705" spans="1:11" hidden="1" x14ac:dyDescent="0.3">
      <c r="A1705" s="21">
        <v>45320</v>
      </c>
      <c r="B1705" t="s">
        <v>133</v>
      </c>
      <c r="C1705" s="22"/>
      <c r="D1705" s="23">
        <v>577.36</v>
      </c>
      <c r="E1705" s="23">
        <v>0</v>
      </c>
      <c r="F1705" s="23">
        <v>5928.73</v>
      </c>
      <c r="G1705" s="22" t="s">
        <v>2406</v>
      </c>
      <c r="H1705" s="22"/>
      <c r="I1705" t="s">
        <v>2403</v>
      </c>
      <c r="K1705" s="24">
        <f t="shared" si="29"/>
        <v>0</v>
      </c>
    </row>
    <row r="1706" spans="1:11" hidden="1" x14ac:dyDescent="0.3">
      <c r="A1706" s="21">
        <v>45320</v>
      </c>
      <c r="B1706" t="s">
        <v>2100</v>
      </c>
      <c r="C1706" s="22" t="s">
        <v>1536</v>
      </c>
      <c r="D1706" s="23">
        <v>18</v>
      </c>
      <c r="E1706" s="23">
        <v>0</v>
      </c>
      <c r="F1706" s="23">
        <v>8697.56</v>
      </c>
      <c r="G1706" s="22" t="s">
        <v>2408</v>
      </c>
      <c r="H1706" s="22"/>
      <c r="I1706" t="s">
        <v>2401</v>
      </c>
      <c r="K1706" s="24">
        <f t="shared" si="29"/>
        <v>-2786.83</v>
      </c>
    </row>
    <row r="1707" spans="1:11" hidden="1" x14ac:dyDescent="0.3">
      <c r="A1707" s="21">
        <v>45320</v>
      </c>
      <c r="B1707" t="s">
        <v>2101</v>
      </c>
      <c r="C1707" s="22" t="s">
        <v>1536</v>
      </c>
      <c r="D1707" s="23">
        <v>25</v>
      </c>
      <c r="E1707" s="23">
        <v>0</v>
      </c>
      <c r="F1707" s="23">
        <v>8672.56</v>
      </c>
      <c r="G1707" s="22" t="s">
        <v>2408</v>
      </c>
      <c r="H1707" s="22"/>
      <c r="I1707" t="s">
        <v>2401</v>
      </c>
      <c r="K1707" s="24">
        <f t="shared" si="29"/>
        <v>0</v>
      </c>
    </row>
    <row r="1708" spans="1:11" hidden="1" x14ac:dyDescent="0.3">
      <c r="A1708" s="21">
        <v>45320</v>
      </c>
      <c r="B1708" t="s">
        <v>2102</v>
      </c>
      <c r="C1708" s="22" t="s">
        <v>1536</v>
      </c>
      <c r="D1708" s="23">
        <v>65</v>
      </c>
      <c r="E1708" s="23">
        <v>0</v>
      </c>
      <c r="F1708" s="23">
        <v>8607.56</v>
      </c>
      <c r="G1708" s="22" t="s">
        <v>2408</v>
      </c>
      <c r="H1708" s="22"/>
      <c r="I1708" t="s">
        <v>2401</v>
      </c>
      <c r="K1708" s="24">
        <f t="shared" si="29"/>
        <v>0</v>
      </c>
    </row>
    <row r="1709" spans="1:11" hidden="1" x14ac:dyDescent="0.3">
      <c r="A1709" s="21">
        <v>45320</v>
      </c>
      <c r="B1709" t="s">
        <v>2103</v>
      </c>
      <c r="C1709" s="22" t="s">
        <v>1536</v>
      </c>
      <c r="D1709" s="23">
        <v>40</v>
      </c>
      <c r="E1709" s="23">
        <v>0</v>
      </c>
      <c r="F1709" s="23">
        <v>8567.56</v>
      </c>
      <c r="G1709" s="22" t="s">
        <v>2408</v>
      </c>
      <c r="H1709" s="22"/>
      <c r="I1709" t="s">
        <v>2401</v>
      </c>
      <c r="K1709" s="24">
        <f t="shared" si="29"/>
        <v>0</v>
      </c>
    </row>
    <row r="1710" spans="1:11" hidden="1" x14ac:dyDescent="0.3">
      <c r="A1710" s="21">
        <v>45320</v>
      </c>
      <c r="B1710" t="s">
        <v>2104</v>
      </c>
      <c r="C1710" s="22" t="s">
        <v>1536</v>
      </c>
      <c r="D1710" s="23">
        <v>20</v>
      </c>
      <c r="E1710" s="23">
        <v>0</v>
      </c>
      <c r="F1710" s="23">
        <v>8547.56</v>
      </c>
      <c r="G1710" s="22" t="s">
        <v>2408</v>
      </c>
      <c r="H1710" s="22"/>
      <c r="I1710" t="s">
        <v>2401</v>
      </c>
      <c r="K1710" s="24">
        <f t="shared" si="29"/>
        <v>0</v>
      </c>
    </row>
    <row r="1711" spans="1:11" hidden="1" x14ac:dyDescent="0.3">
      <c r="A1711" s="21">
        <v>45320</v>
      </c>
      <c r="B1711" t="s">
        <v>2105</v>
      </c>
      <c r="C1711" s="22" t="s">
        <v>1536</v>
      </c>
      <c r="D1711" s="23">
        <v>40</v>
      </c>
      <c r="E1711" s="23">
        <v>0</v>
      </c>
      <c r="F1711" s="23">
        <v>8507.56</v>
      </c>
      <c r="G1711" s="22" t="s">
        <v>2408</v>
      </c>
      <c r="H1711" s="22"/>
      <c r="I1711" t="s">
        <v>2401</v>
      </c>
      <c r="K1711" s="24">
        <f t="shared" si="29"/>
        <v>0</v>
      </c>
    </row>
    <row r="1712" spans="1:11" hidden="1" x14ac:dyDescent="0.3">
      <c r="A1712" s="21">
        <v>45321</v>
      </c>
      <c r="B1712" t="s">
        <v>496</v>
      </c>
      <c r="C1712" s="22"/>
      <c r="D1712" s="23">
        <v>0</v>
      </c>
      <c r="E1712" s="23">
        <v>3426.38</v>
      </c>
      <c r="F1712" s="23">
        <v>9355.11</v>
      </c>
      <c r="G1712" s="22" t="s">
        <v>2406</v>
      </c>
      <c r="H1712" s="22"/>
      <c r="I1712" t="s">
        <v>2403</v>
      </c>
      <c r="K1712" s="24">
        <f t="shared" si="29"/>
        <v>2578.8299999999981</v>
      </c>
    </row>
    <row r="1713" spans="1:11" hidden="1" x14ac:dyDescent="0.3">
      <c r="A1713" s="21">
        <v>45321</v>
      </c>
      <c r="B1713" t="s">
        <v>886</v>
      </c>
      <c r="C1713" s="22"/>
      <c r="D1713" s="23">
        <v>5000</v>
      </c>
      <c r="E1713" s="23">
        <v>0</v>
      </c>
      <c r="F1713" s="23">
        <v>4355.1099999999997</v>
      </c>
      <c r="G1713" s="22" t="s">
        <v>2442</v>
      </c>
      <c r="H1713" s="22"/>
      <c r="I1713" t="s">
        <v>2403</v>
      </c>
      <c r="K1713" s="24">
        <f t="shared" si="29"/>
        <v>0</v>
      </c>
    </row>
    <row r="1714" spans="1:11" hidden="1" x14ac:dyDescent="0.3">
      <c r="A1714" s="21">
        <v>45321</v>
      </c>
      <c r="B1714" t="s">
        <v>888</v>
      </c>
      <c r="C1714" s="22"/>
      <c r="D1714" s="23">
        <v>295</v>
      </c>
      <c r="E1714" s="23">
        <v>0</v>
      </c>
      <c r="F1714" s="23">
        <v>4060.11</v>
      </c>
      <c r="G1714" s="22" t="s">
        <v>2415</v>
      </c>
      <c r="H1714" s="22"/>
      <c r="I1714" t="s">
        <v>2403</v>
      </c>
      <c r="K1714" s="24">
        <f t="shared" si="29"/>
        <v>0</v>
      </c>
    </row>
    <row r="1715" spans="1:11" hidden="1" x14ac:dyDescent="0.3">
      <c r="A1715" s="21">
        <v>45321</v>
      </c>
      <c r="B1715" t="s">
        <v>890</v>
      </c>
      <c r="C1715" s="22"/>
      <c r="D1715" s="23">
        <v>236</v>
      </c>
      <c r="E1715" s="23">
        <v>0</v>
      </c>
      <c r="F1715" s="23">
        <v>3824.11</v>
      </c>
      <c r="G1715" s="22" t="s">
        <v>2415</v>
      </c>
      <c r="H1715" s="22"/>
      <c r="I1715" t="s">
        <v>2403</v>
      </c>
      <c r="K1715" s="24">
        <f t="shared" si="29"/>
        <v>0</v>
      </c>
    </row>
    <row r="1716" spans="1:11" hidden="1" x14ac:dyDescent="0.3">
      <c r="A1716" s="21">
        <v>45321</v>
      </c>
      <c r="B1716" t="s">
        <v>133</v>
      </c>
      <c r="C1716" s="22"/>
      <c r="D1716" s="23">
        <v>180.33</v>
      </c>
      <c r="E1716" s="23">
        <v>0</v>
      </c>
      <c r="F1716" s="23">
        <v>3643.78</v>
      </c>
      <c r="G1716" s="22" t="s">
        <v>2406</v>
      </c>
      <c r="H1716" s="22"/>
      <c r="I1716" t="s">
        <v>2403</v>
      </c>
      <c r="K1716" s="24">
        <f t="shared" si="29"/>
        <v>0</v>
      </c>
    </row>
    <row r="1717" spans="1:11" hidden="1" x14ac:dyDescent="0.3">
      <c r="A1717" s="21">
        <v>45321</v>
      </c>
      <c r="B1717" t="s">
        <v>2106</v>
      </c>
      <c r="C1717" s="22" t="s">
        <v>1536</v>
      </c>
      <c r="D1717" s="23">
        <v>30</v>
      </c>
      <c r="E1717" s="23">
        <v>0</v>
      </c>
      <c r="F1717" s="23">
        <v>8477.56</v>
      </c>
      <c r="G1717" s="22" t="s">
        <v>2408</v>
      </c>
      <c r="H1717" s="22"/>
      <c r="I1717" t="s">
        <v>2401</v>
      </c>
      <c r="K1717" s="24">
        <f t="shared" si="29"/>
        <v>-4863.7799999999988</v>
      </c>
    </row>
    <row r="1718" spans="1:11" hidden="1" x14ac:dyDescent="0.3">
      <c r="A1718" s="21">
        <v>45321</v>
      </c>
      <c r="B1718" t="s">
        <v>2107</v>
      </c>
      <c r="C1718" s="22" t="s">
        <v>1536</v>
      </c>
      <c r="D1718" s="23">
        <v>40</v>
      </c>
      <c r="E1718" s="23">
        <v>0</v>
      </c>
      <c r="F1718" s="23">
        <v>8437.56</v>
      </c>
      <c r="G1718" s="22" t="s">
        <v>2408</v>
      </c>
      <c r="H1718" s="22"/>
      <c r="I1718" t="s">
        <v>2401</v>
      </c>
      <c r="K1718" s="24">
        <f t="shared" si="29"/>
        <v>0</v>
      </c>
    </row>
    <row r="1719" spans="1:11" hidden="1" x14ac:dyDescent="0.3">
      <c r="A1719" s="21">
        <v>45321</v>
      </c>
      <c r="B1719" t="s">
        <v>2108</v>
      </c>
      <c r="C1719" s="22" t="s">
        <v>1536</v>
      </c>
      <c r="D1719" s="23">
        <v>20</v>
      </c>
      <c r="E1719" s="23">
        <v>0</v>
      </c>
      <c r="F1719" s="23">
        <v>8417.56</v>
      </c>
      <c r="G1719" s="22" t="s">
        <v>2408</v>
      </c>
      <c r="H1719" s="22"/>
      <c r="I1719" t="s">
        <v>2401</v>
      </c>
      <c r="K1719" s="24">
        <f t="shared" si="29"/>
        <v>0</v>
      </c>
    </row>
    <row r="1720" spans="1:11" hidden="1" x14ac:dyDescent="0.3">
      <c r="A1720" s="21">
        <v>45321</v>
      </c>
      <c r="B1720" t="s">
        <v>2109</v>
      </c>
      <c r="C1720" s="22" t="s">
        <v>1536</v>
      </c>
      <c r="D1720" s="23">
        <v>200</v>
      </c>
      <c r="E1720" s="23">
        <v>0</v>
      </c>
      <c r="F1720" s="23">
        <v>8217.56</v>
      </c>
      <c r="G1720" s="22" t="s">
        <v>2399</v>
      </c>
      <c r="H1720" s="22"/>
      <c r="I1720" t="s">
        <v>2401</v>
      </c>
      <c r="K1720" s="24">
        <f t="shared" si="29"/>
        <v>0</v>
      </c>
    </row>
    <row r="1721" spans="1:11" hidden="1" x14ac:dyDescent="0.3">
      <c r="A1721" s="21">
        <v>45321</v>
      </c>
      <c r="B1721" t="s">
        <v>2110</v>
      </c>
      <c r="C1721" s="22" t="s">
        <v>1536</v>
      </c>
      <c r="D1721" s="23">
        <v>40</v>
      </c>
      <c r="E1721" s="23">
        <v>0</v>
      </c>
      <c r="F1721" s="23">
        <v>8177.56</v>
      </c>
      <c r="G1721" s="22" t="s">
        <v>2408</v>
      </c>
      <c r="H1721" s="22"/>
      <c r="I1721" t="s">
        <v>2401</v>
      </c>
      <c r="K1721" s="24">
        <f t="shared" si="29"/>
        <v>0</v>
      </c>
    </row>
    <row r="1722" spans="1:11" hidden="1" x14ac:dyDescent="0.3">
      <c r="A1722" s="21">
        <v>45322</v>
      </c>
      <c r="B1722" t="s">
        <v>496</v>
      </c>
      <c r="C1722" s="22"/>
      <c r="D1722" s="23">
        <v>0</v>
      </c>
      <c r="E1722" s="23">
        <v>11450.46</v>
      </c>
      <c r="F1722" s="23">
        <v>15094.24</v>
      </c>
      <c r="G1722" s="22" t="s">
        <v>2406</v>
      </c>
      <c r="H1722" s="22"/>
      <c r="I1722" t="s">
        <v>2403</v>
      </c>
      <c r="K1722" s="24">
        <f t="shared" si="29"/>
        <v>4533.7800000000007</v>
      </c>
    </row>
    <row r="1723" spans="1:11" hidden="1" x14ac:dyDescent="0.3">
      <c r="A1723" s="21">
        <v>45322</v>
      </c>
      <c r="B1723" t="s">
        <v>133</v>
      </c>
      <c r="C1723" s="22"/>
      <c r="D1723" s="23">
        <v>181.55</v>
      </c>
      <c r="E1723" s="23">
        <v>0</v>
      </c>
      <c r="F1723" s="23">
        <v>14912.69</v>
      </c>
      <c r="G1723" s="22" t="s">
        <v>2406</v>
      </c>
      <c r="H1723" s="22"/>
      <c r="I1723" t="s">
        <v>2403</v>
      </c>
      <c r="K1723" s="24">
        <f t="shared" si="29"/>
        <v>0</v>
      </c>
    </row>
    <row r="1724" spans="1:11" hidden="1" x14ac:dyDescent="0.3">
      <c r="A1724" s="21">
        <v>45322</v>
      </c>
      <c r="B1724" t="s">
        <v>2111</v>
      </c>
      <c r="C1724" s="22" t="s">
        <v>1536</v>
      </c>
      <c r="D1724" s="23">
        <v>18</v>
      </c>
      <c r="E1724" s="23">
        <v>0</v>
      </c>
      <c r="F1724" s="23">
        <v>8159.56</v>
      </c>
      <c r="G1724" s="22" t="s">
        <v>2408</v>
      </c>
      <c r="H1724" s="22"/>
      <c r="I1724" t="s">
        <v>2401</v>
      </c>
      <c r="K1724" s="24">
        <f t="shared" si="29"/>
        <v>6735.13</v>
      </c>
    </row>
    <row r="1725" spans="1:11" hidden="1" x14ac:dyDescent="0.3">
      <c r="A1725" s="21">
        <v>45322</v>
      </c>
      <c r="B1725" t="s">
        <v>2112</v>
      </c>
      <c r="C1725" s="22" t="s">
        <v>1536</v>
      </c>
      <c r="D1725" s="23">
        <v>225</v>
      </c>
      <c r="E1725" s="23">
        <v>0</v>
      </c>
      <c r="F1725" s="23">
        <v>7934.56</v>
      </c>
      <c r="G1725" s="22" t="s">
        <v>2399</v>
      </c>
      <c r="H1725" s="22"/>
      <c r="I1725" t="s">
        <v>2401</v>
      </c>
      <c r="K1725" s="24">
        <f t="shared" si="29"/>
        <v>0</v>
      </c>
    </row>
    <row r="1726" spans="1:11" hidden="1" x14ac:dyDescent="0.3">
      <c r="A1726" s="21">
        <v>45322</v>
      </c>
      <c r="B1726" t="s">
        <v>2113</v>
      </c>
      <c r="C1726" s="22" t="s">
        <v>1536</v>
      </c>
      <c r="D1726" s="23">
        <v>30</v>
      </c>
      <c r="E1726" s="23">
        <v>0</v>
      </c>
      <c r="F1726" s="23">
        <v>7904.56</v>
      </c>
      <c r="G1726" s="22" t="s">
        <v>2408</v>
      </c>
      <c r="H1726" s="22"/>
      <c r="I1726" t="s">
        <v>2401</v>
      </c>
      <c r="K1726" s="24">
        <f t="shared" si="29"/>
        <v>0</v>
      </c>
    </row>
    <row r="1727" spans="1:11" hidden="1" x14ac:dyDescent="0.3">
      <c r="A1727" s="21">
        <v>45322</v>
      </c>
      <c r="B1727" t="s">
        <v>2114</v>
      </c>
      <c r="C1727" s="22" t="s">
        <v>1536</v>
      </c>
      <c r="D1727" s="23">
        <v>10</v>
      </c>
      <c r="E1727" s="23">
        <v>0</v>
      </c>
      <c r="F1727" s="23">
        <v>7894.56</v>
      </c>
      <c r="G1727" s="22" t="s">
        <v>2408</v>
      </c>
      <c r="H1727" s="22"/>
      <c r="I1727" t="s">
        <v>2401</v>
      </c>
      <c r="K1727" s="24">
        <f t="shared" si="29"/>
        <v>0</v>
      </c>
    </row>
    <row r="1728" spans="1:11" hidden="1" x14ac:dyDescent="0.3">
      <c r="A1728" s="21">
        <v>45322</v>
      </c>
      <c r="B1728" t="s">
        <v>2115</v>
      </c>
      <c r="C1728" s="22" t="s">
        <v>1536</v>
      </c>
      <c r="D1728" s="23">
        <v>40</v>
      </c>
      <c r="E1728" s="23">
        <v>0</v>
      </c>
      <c r="F1728" s="23">
        <v>7854.56</v>
      </c>
      <c r="G1728" s="22" t="s">
        <v>2408</v>
      </c>
      <c r="H1728" s="22"/>
      <c r="I1728" t="s">
        <v>2401</v>
      </c>
      <c r="K1728" s="24">
        <f t="shared" si="29"/>
        <v>0</v>
      </c>
    </row>
    <row r="1729" spans="1:11" hidden="1" x14ac:dyDescent="0.3">
      <c r="A1729" s="21">
        <v>45322</v>
      </c>
      <c r="B1729" t="s">
        <v>2116</v>
      </c>
      <c r="C1729" s="22" t="s">
        <v>1536</v>
      </c>
      <c r="D1729" s="23">
        <v>17</v>
      </c>
      <c r="E1729" s="23">
        <v>0</v>
      </c>
      <c r="F1729" s="23">
        <v>7837.56</v>
      </c>
      <c r="G1729" s="22" t="s">
        <v>2408</v>
      </c>
      <c r="H1729" s="22"/>
      <c r="I1729" t="s">
        <v>2401</v>
      </c>
      <c r="K1729" s="24">
        <f t="shared" si="29"/>
        <v>0</v>
      </c>
    </row>
    <row r="1730" spans="1:11" hidden="1" x14ac:dyDescent="0.3">
      <c r="A1730" s="21">
        <v>45322</v>
      </c>
      <c r="B1730" t="s">
        <v>2117</v>
      </c>
      <c r="C1730" s="22" t="s">
        <v>1536</v>
      </c>
      <c r="D1730" s="23">
        <v>0</v>
      </c>
      <c r="E1730" s="23">
        <v>22500</v>
      </c>
      <c r="F1730" s="23">
        <v>30337.56</v>
      </c>
      <c r="G1730" s="22" t="s">
        <v>2581</v>
      </c>
      <c r="H1730" s="22"/>
      <c r="I1730" t="s">
        <v>2401</v>
      </c>
      <c r="K1730" s="24">
        <f t="shared" si="29"/>
        <v>0</v>
      </c>
    </row>
    <row r="1731" spans="1:11" hidden="1" x14ac:dyDescent="0.3">
      <c r="A1731" s="21">
        <v>45323</v>
      </c>
      <c r="B1731" t="s">
        <v>496</v>
      </c>
      <c r="C1731" s="22"/>
      <c r="D1731" s="23">
        <v>0</v>
      </c>
      <c r="E1731" s="23">
        <v>17235.04</v>
      </c>
      <c r="F1731" s="23">
        <v>32147.73</v>
      </c>
      <c r="G1731" s="22" t="s">
        <v>2406</v>
      </c>
      <c r="H1731" s="22"/>
      <c r="I1731" t="s">
        <v>2403</v>
      </c>
      <c r="K1731" s="24">
        <f t="shared" ref="K1731:K1794" si="30">F1730-D1731+E1731-F1731</f>
        <v>15424.870000000006</v>
      </c>
    </row>
    <row r="1732" spans="1:11" hidden="1" x14ac:dyDescent="0.3">
      <c r="A1732" s="21">
        <v>45323</v>
      </c>
      <c r="B1732" t="s">
        <v>496</v>
      </c>
      <c r="C1732" s="22"/>
      <c r="D1732" s="23">
        <v>0</v>
      </c>
      <c r="E1732" s="23">
        <v>43496.53</v>
      </c>
      <c r="F1732" s="23">
        <v>75644.259999999995</v>
      </c>
      <c r="G1732" s="22" t="s">
        <v>2406</v>
      </c>
      <c r="H1732" s="22"/>
      <c r="I1732" t="s">
        <v>2403</v>
      </c>
      <c r="K1732" s="24">
        <f t="shared" si="30"/>
        <v>0</v>
      </c>
    </row>
    <row r="1733" spans="1:11" hidden="1" x14ac:dyDescent="0.3">
      <c r="A1733" s="21">
        <v>45323</v>
      </c>
      <c r="B1733" t="s">
        <v>133</v>
      </c>
      <c r="C1733" s="22"/>
      <c r="D1733" s="23">
        <v>177.06</v>
      </c>
      <c r="E1733" s="23">
        <v>0</v>
      </c>
      <c r="F1733" s="23">
        <v>75467.199999999997</v>
      </c>
      <c r="G1733" s="22" t="s">
        <v>2406</v>
      </c>
      <c r="H1733" s="22"/>
      <c r="I1733" t="s">
        <v>2403</v>
      </c>
      <c r="K1733" s="24">
        <f t="shared" si="30"/>
        <v>0</v>
      </c>
    </row>
    <row r="1734" spans="1:11" hidden="1" x14ac:dyDescent="0.3">
      <c r="A1734" s="21">
        <v>45323</v>
      </c>
      <c r="B1734" t="s">
        <v>133</v>
      </c>
      <c r="C1734" s="22"/>
      <c r="D1734" s="23">
        <v>37574.6</v>
      </c>
      <c r="E1734" s="23">
        <v>0</v>
      </c>
      <c r="F1734" s="23">
        <v>37892.6</v>
      </c>
      <c r="G1734" s="22" t="s">
        <v>2406</v>
      </c>
      <c r="H1734" s="22"/>
      <c r="I1734" t="s">
        <v>2403</v>
      </c>
      <c r="K1734" s="24">
        <f t="shared" si="30"/>
        <v>0</v>
      </c>
    </row>
    <row r="1735" spans="1:11" hidden="1" x14ac:dyDescent="0.3">
      <c r="A1735" s="21">
        <v>45323</v>
      </c>
      <c r="B1735" t="s">
        <v>133</v>
      </c>
      <c r="C1735" s="22"/>
      <c r="D1735" s="23">
        <v>15263.75</v>
      </c>
      <c r="E1735" s="23">
        <v>0</v>
      </c>
      <c r="F1735" s="23">
        <v>22628.85</v>
      </c>
      <c r="G1735" s="22" t="s">
        <v>2406</v>
      </c>
      <c r="H1735" s="22"/>
      <c r="I1735" t="s">
        <v>2403</v>
      </c>
      <c r="K1735" s="24">
        <f t="shared" si="30"/>
        <v>0</v>
      </c>
    </row>
    <row r="1736" spans="1:11" hidden="1" x14ac:dyDescent="0.3">
      <c r="A1736" s="21">
        <v>45323</v>
      </c>
      <c r="B1736" t="s">
        <v>2623</v>
      </c>
      <c r="C1736" s="22" t="s">
        <v>1152</v>
      </c>
      <c r="D1736" s="23">
        <v>74</v>
      </c>
      <c r="E1736" s="23">
        <v>0</v>
      </c>
      <c r="F1736" s="23">
        <v>65162.06</v>
      </c>
      <c r="G1736" s="22" t="s">
        <v>2399</v>
      </c>
      <c r="H1736" s="22"/>
      <c r="I1736" t="s">
        <v>2400</v>
      </c>
      <c r="K1736" s="24">
        <f t="shared" si="30"/>
        <v>-42607.21</v>
      </c>
    </row>
    <row r="1737" spans="1:11" hidden="1" x14ac:dyDescent="0.3">
      <c r="A1737" s="21">
        <v>45323</v>
      </c>
      <c r="B1737" t="s">
        <v>2624</v>
      </c>
      <c r="C1737" s="22" t="s">
        <v>1152</v>
      </c>
      <c r="D1737" s="23">
        <v>20</v>
      </c>
      <c r="E1737" s="23">
        <v>0</v>
      </c>
      <c r="F1737" s="23">
        <v>65142.06</v>
      </c>
      <c r="G1737" s="22" t="s">
        <v>2399</v>
      </c>
      <c r="H1737" s="22"/>
      <c r="I1737" t="s">
        <v>2400</v>
      </c>
      <c r="K1737" s="24">
        <f t="shared" si="30"/>
        <v>0</v>
      </c>
    </row>
    <row r="1738" spans="1:11" hidden="1" x14ac:dyDescent="0.3">
      <c r="A1738" s="21">
        <v>45323</v>
      </c>
      <c r="B1738" t="s">
        <v>2625</v>
      </c>
      <c r="C1738" s="22" t="s">
        <v>1152</v>
      </c>
      <c r="D1738" s="23">
        <v>20</v>
      </c>
      <c r="E1738" s="23">
        <v>0</v>
      </c>
      <c r="F1738" s="23">
        <v>65122.06</v>
      </c>
      <c r="G1738" s="22" t="s">
        <v>2399</v>
      </c>
      <c r="H1738" s="22"/>
      <c r="I1738" t="s">
        <v>2400</v>
      </c>
      <c r="K1738" s="24">
        <f t="shared" si="30"/>
        <v>0</v>
      </c>
    </row>
    <row r="1739" spans="1:11" hidden="1" x14ac:dyDescent="0.3">
      <c r="A1739" s="21">
        <v>45323</v>
      </c>
      <c r="B1739" t="s">
        <v>2626</v>
      </c>
      <c r="C1739" s="22" t="s">
        <v>1152</v>
      </c>
      <c r="D1739" s="23">
        <v>18</v>
      </c>
      <c r="E1739" s="23">
        <v>0</v>
      </c>
      <c r="F1739" s="23">
        <v>65104.06</v>
      </c>
      <c r="G1739" s="22" t="s">
        <v>2399</v>
      </c>
      <c r="H1739" s="22"/>
      <c r="I1739" t="s">
        <v>2400</v>
      </c>
      <c r="K1739" s="24">
        <f t="shared" si="30"/>
        <v>0</v>
      </c>
    </row>
    <row r="1740" spans="1:11" hidden="1" x14ac:dyDescent="0.3">
      <c r="A1740" s="21">
        <v>45324</v>
      </c>
      <c r="B1740" t="s">
        <v>133</v>
      </c>
      <c r="C1740" s="22"/>
      <c r="D1740" s="23">
        <v>166.79</v>
      </c>
      <c r="E1740" s="23">
        <v>0</v>
      </c>
      <c r="F1740" s="23">
        <v>22462.06</v>
      </c>
      <c r="G1740" s="22" t="s">
        <v>2406</v>
      </c>
      <c r="H1740" s="22"/>
      <c r="I1740" t="s">
        <v>2403</v>
      </c>
      <c r="K1740" s="24">
        <f t="shared" si="30"/>
        <v>42475.209999999992</v>
      </c>
    </row>
    <row r="1741" spans="1:11" hidden="1" x14ac:dyDescent="0.3">
      <c r="A1741" s="21">
        <v>45324</v>
      </c>
      <c r="B1741" t="s">
        <v>496</v>
      </c>
      <c r="C1741" s="22"/>
      <c r="D1741" s="23">
        <v>0</v>
      </c>
      <c r="E1741" s="23">
        <v>7492.75</v>
      </c>
      <c r="F1741" s="23">
        <v>29954.81</v>
      </c>
      <c r="G1741" s="22" t="s">
        <v>2406</v>
      </c>
      <c r="H1741" s="22"/>
      <c r="I1741" t="s">
        <v>2403</v>
      </c>
      <c r="K1741" s="24">
        <f t="shared" si="30"/>
        <v>0</v>
      </c>
    </row>
    <row r="1742" spans="1:11" hidden="1" x14ac:dyDescent="0.3">
      <c r="A1742" s="21">
        <v>45324</v>
      </c>
      <c r="B1742" t="s">
        <v>2118</v>
      </c>
      <c r="C1742" s="22" t="s">
        <v>1536</v>
      </c>
      <c r="D1742" s="23">
        <v>40</v>
      </c>
      <c r="E1742" s="23">
        <v>0</v>
      </c>
      <c r="F1742" s="23">
        <v>30297.56</v>
      </c>
      <c r="G1742" s="22" t="s">
        <v>2408</v>
      </c>
      <c r="H1742" s="22"/>
      <c r="I1742" t="s">
        <v>2401</v>
      </c>
      <c r="K1742" s="24">
        <f t="shared" si="30"/>
        <v>-382.75</v>
      </c>
    </row>
    <row r="1743" spans="1:11" hidden="1" x14ac:dyDescent="0.3">
      <c r="A1743" s="21">
        <v>45324</v>
      </c>
      <c r="B1743" t="s">
        <v>2119</v>
      </c>
      <c r="C1743" s="22" t="s">
        <v>1536</v>
      </c>
      <c r="D1743" s="23">
        <v>9297.56</v>
      </c>
      <c r="E1743" s="23">
        <v>0</v>
      </c>
      <c r="F1743" s="23">
        <v>21000</v>
      </c>
      <c r="G1743" s="22" t="s">
        <v>2399</v>
      </c>
      <c r="H1743" s="22"/>
      <c r="I1743" t="s">
        <v>2401</v>
      </c>
      <c r="K1743" s="24">
        <f t="shared" si="30"/>
        <v>0</v>
      </c>
    </row>
    <row r="1744" spans="1:11" hidden="1" x14ac:dyDescent="0.3">
      <c r="A1744" s="21">
        <v>45324</v>
      </c>
      <c r="B1744" t="s">
        <v>2120</v>
      </c>
      <c r="C1744" s="22" t="s">
        <v>1536</v>
      </c>
      <c r="D1744" s="23">
        <v>90</v>
      </c>
      <c r="E1744" s="23">
        <v>0</v>
      </c>
      <c r="F1744" s="23">
        <v>20910</v>
      </c>
      <c r="G1744" s="22" t="s">
        <v>2408</v>
      </c>
      <c r="H1744" s="22"/>
      <c r="I1744" t="s">
        <v>2401</v>
      </c>
      <c r="K1744" s="24">
        <f t="shared" si="30"/>
        <v>0</v>
      </c>
    </row>
    <row r="1745" spans="1:11" hidden="1" x14ac:dyDescent="0.3">
      <c r="A1745" s="21">
        <v>45324</v>
      </c>
      <c r="B1745" t="s">
        <v>2627</v>
      </c>
      <c r="C1745" s="22" t="s">
        <v>1172</v>
      </c>
      <c r="D1745" s="23">
        <v>45</v>
      </c>
      <c r="E1745" s="23">
        <v>0</v>
      </c>
      <c r="F1745" s="23">
        <v>65059.06</v>
      </c>
      <c r="G1745" s="22" t="s">
        <v>2399</v>
      </c>
      <c r="H1745" s="22"/>
      <c r="I1745" t="s">
        <v>2400</v>
      </c>
      <c r="K1745" s="24">
        <f t="shared" si="30"/>
        <v>-44194.06</v>
      </c>
    </row>
    <row r="1746" spans="1:11" hidden="1" x14ac:dyDescent="0.3">
      <c r="A1746" s="21">
        <v>45324</v>
      </c>
      <c r="B1746" t="s">
        <v>2628</v>
      </c>
      <c r="C1746" s="22" t="s">
        <v>1172</v>
      </c>
      <c r="D1746" s="23">
        <v>10</v>
      </c>
      <c r="E1746" s="23">
        <v>0</v>
      </c>
      <c r="F1746" s="23">
        <v>65049.06</v>
      </c>
      <c r="G1746" s="22" t="s">
        <v>2399</v>
      </c>
      <c r="H1746" s="22"/>
      <c r="I1746" t="s">
        <v>2400</v>
      </c>
      <c r="K1746" s="24">
        <f t="shared" si="30"/>
        <v>0</v>
      </c>
    </row>
    <row r="1747" spans="1:11" hidden="1" x14ac:dyDescent="0.3">
      <c r="A1747" s="21">
        <v>45324</v>
      </c>
      <c r="B1747" t="s">
        <v>2629</v>
      </c>
      <c r="C1747" s="22" t="s">
        <v>1172</v>
      </c>
      <c r="D1747" s="23">
        <v>31</v>
      </c>
      <c r="E1747" s="23">
        <v>0</v>
      </c>
      <c r="F1747" s="23">
        <v>65018.06</v>
      </c>
      <c r="G1747" s="22" t="s">
        <v>2399</v>
      </c>
      <c r="H1747" s="22"/>
      <c r="I1747" t="s">
        <v>2400</v>
      </c>
      <c r="K1747" s="24">
        <f t="shared" si="30"/>
        <v>0</v>
      </c>
    </row>
    <row r="1748" spans="1:11" hidden="1" x14ac:dyDescent="0.3">
      <c r="A1748" s="21">
        <v>45324</v>
      </c>
      <c r="B1748" t="s">
        <v>2630</v>
      </c>
      <c r="C1748" s="22" t="s">
        <v>1184</v>
      </c>
      <c r="D1748" s="23">
        <v>0</v>
      </c>
      <c r="E1748" s="23">
        <v>9297.56</v>
      </c>
      <c r="F1748" s="23">
        <v>74315.62</v>
      </c>
      <c r="G1748" s="22" t="s">
        <v>2399</v>
      </c>
      <c r="H1748" s="22"/>
      <c r="I1748" t="s">
        <v>2400</v>
      </c>
      <c r="K1748" s="24">
        <f t="shared" si="30"/>
        <v>0</v>
      </c>
    </row>
    <row r="1749" spans="1:11" hidden="1" x14ac:dyDescent="0.3">
      <c r="A1749" s="21">
        <v>45325</v>
      </c>
      <c r="B1749" t="s">
        <v>2121</v>
      </c>
      <c r="C1749" s="22" t="s">
        <v>1536</v>
      </c>
      <c r="D1749" s="23">
        <v>1000</v>
      </c>
      <c r="E1749" s="23">
        <v>0</v>
      </c>
      <c r="F1749" s="23">
        <v>19910</v>
      </c>
      <c r="G1749" s="22" t="s">
        <v>2541</v>
      </c>
      <c r="H1749" s="22"/>
      <c r="I1749" t="s">
        <v>2401</v>
      </c>
      <c r="K1749" s="24">
        <f t="shared" si="30"/>
        <v>53405.619999999995</v>
      </c>
    </row>
    <row r="1750" spans="1:11" hidden="1" x14ac:dyDescent="0.3">
      <c r="A1750" s="21">
        <v>45325</v>
      </c>
      <c r="B1750" t="s">
        <v>2122</v>
      </c>
      <c r="C1750" s="22" t="s">
        <v>1536</v>
      </c>
      <c r="D1750" s="23">
        <v>78</v>
      </c>
      <c r="E1750" s="23">
        <v>0</v>
      </c>
      <c r="F1750" s="23">
        <v>19832</v>
      </c>
      <c r="G1750" s="22" t="s">
        <v>2408</v>
      </c>
      <c r="H1750" s="22"/>
      <c r="I1750" t="s">
        <v>2401</v>
      </c>
      <c r="K1750" s="24">
        <f t="shared" si="30"/>
        <v>0</v>
      </c>
    </row>
    <row r="1751" spans="1:11" hidden="1" x14ac:dyDescent="0.3">
      <c r="A1751" s="21">
        <v>45325</v>
      </c>
      <c r="B1751" t="s">
        <v>2123</v>
      </c>
      <c r="C1751" s="22" t="s">
        <v>1536</v>
      </c>
      <c r="D1751" s="23">
        <v>50</v>
      </c>
      <c r="E1751" s="23">
        <v>0</v>
      </c>
      <c r="F1751" s="23">
        <v>19782</v>
      </c>
      <c r="G1751" s="22" t="s">
        <v>2408</v>
      </c>
      <c r="H1751" s="22"/>
      <c r="I1751" t="s">
        <v>2401</v>
      </c>
      <c r="K1751" s="24">
        <f t="shared" si="30"/>
        <v>0</v>
      </c>
    </row>
    <row r="1752" spans="1:11" hidden="1" x14ac:dyDescent="0.3">
      <c r="A1752" s="21">
        <v>45325</v>
      </c>
      <c r="B1752" t="s">
        <v>2124</v>
      </c>
      <c r="C1752" s="22" t="s">
        <v>1536</v>
      </c>
      <c r="D1752" s="23">
        <v>37</v>
      </c>
      <c r="E1752" s="23">
        <v>0</v>
      </c>
      <c r="F1752" s="23">
        <v>19745</v>
      </c>
      <c r="G1752" s="22" t="s">
        <v>2408</v>
      </c>
      <c r="H1752" s="22"/>
      <c r="I1752" t="s">
        <v>2401</v>
      </c>
      <c r="K1752" s="24">
        <f t="shared" si="30"/>
        <v>0</v>
      </c>
    </row>
    <row r="1753" spans="1:11" hidden="1" x14ac:dyDescent="0.3">
      <c r="A1753" s="21">
        <v>45325</v>
      </c>
      <c r="B1753" t="s">
        <v>2125</v>
      </c>
      <c r="C1753" s="22" t="s">
        <v>1536</v>
      </c>
      <c r="D1753" s="23">
        <v>30</v>
      </c>
      <c r="E1753" s="23">
        <v>0</v>
      </c>
      <c r="F1753" s="23">
        <v>19715</v>
      </c>
      <c r="G1753" s="22" t="s">
        <v>2408</v>
      </c>
      <c r="H1753" s="22"/>
      <c r="I1753" t="s">
        <v>2401</v>
      </c>
      <c r="K1753" s="24">
        <f t="shared" si="30"/>
        <v>0</v>
      </c>
    </row>
    <row r="1754" spans="1:11" hidden="1" x14ac:dyDescent="0.3">
      <c r="A1754" s="21">
        <v>45325</v>
      </c>
      <c r="B1754" t="s">
        <v>2126</v>
      </c>
      <c r="C1754" s="22" t="s">
        <v>1536</v>
      </c>
      <c r="D1754" s="23">
        <v>40</v>
      </c>
      <c r="E1754" s="23">
        <v>0</v>
      </c>
      <c r="F1754" s="23">
        <v>19675</v>
      </c>
      <c r="G1754" s="22" t="s">
        <v>2408</v>
      </c>
      <c r="H1754" s="22"/>
      <c r="I1754" t="s">
        <v>2401</v>
      </c>
      <c r="K1754" s="24">
        <f t="shared" si="30"/>
        <v>0</v>
      </c>
    </row>
    <row r="1755" spans="1:11" hidden="1" x14ac:dyDescent="0.3">
      <c r="A1755" s="21">
        <v>45326</v>
      </c>
      <c r="B1755" t="s">
        <v>2127</v>
      </c>
      <c r="C1755" s="22" t="s">
        <v>1536</v>
      </c>
      <c r="D1755" s="23">
        <v>18</v>
      </c>
      <c r="E1755" s="23">
        <v>0</v>
      </c>
      <c r="F1755" s="23">
        <v>19657</v>
      </c>
      <c r="G1755" s="22" t="s">
        <v>2408</v>
      </c>
      <c r="H1755" s="22"/>
      <c r="I1755" t="s">
        <v>2401</v>
      </c>
      <c r="K1755" s="24">
        <f t="shared" si="30"/>
        <v>0</v>
      </c>
    </row>
    <row r="1756" spans="1:11" hidden="1" x14ac:dyDescent="0.3">
      <c r="A1756" s="21">
        <v>45326</v>
      </c>
      <c r="B1756" t="s">
        <v>2128</v>
      </c>
      <c r="C1756" s="22" t="s">
        <v>1536</v>
      </c>
      <c r="D1756" s="23">
        <v>17</v>
      </c>
      <c r="E1756" s="23">
        <v>0</v>
      </c>
      <c r="F1756" s="23">
        <v>19640</v>
      </c>
      <c r="G1756" s="22" t="s">
        <v>2408</v>
      </c>
      <c r="H1756" s="22"/>
      <c r="I1756" t="s">
        <v>2401</v>
      </c>
      <c r="K1756" s="24">
        <f t="shared" si="30"/>
        <v>0</v>
      </c>
    </row>
    <row r="1757" spans="1:11" hidden="1" x14ac:dyDescent="0.3">
      <c r="A1757" s="21">
        <v>45326</v>
      </c>
      <c r="B1757" t="s">
        <v>2129</v>
      </c>
      <c r="C1757" s="22" t="s">
        <v>1536</v>
      </c>
      <c r="D1757" s="23">
        <v>30</v>
      </c>
      <c r="E1757" s="23">
        <v>0</v>
      </c>
      <c r="F1757" s="23">
        <v>19610</v>
      </c>
      <c r="G1757" s="22" t="s">
        <v>2408</v>
      </c>
      <c r="H1757" s="22"/>
      <c r="I1757" t="s">
        <v>2401</v>
      </c>
      <c r="K1757" s="24">
        <f t="shared" si="30"/>
        <v>0</v>
      </c>
    </row>
    <row r="1758" spans="1:11" hidden="1" x14ac:dyDescent="0.3">
      <c r="A1758" s="21">
        <v>45326</v>
      </c>
      <c r="B1758" t="s">
        <v>2130</v>
      </c>
      <c r="C1758" s="22" t="s">
        <v>1536</v>
      </c>
      <c r="D1758" s="23">
        <v>60</v>
      </c>
      <c r="E1758" s="23">
        <v>0</v>
      </c>
      <c r="F1758" s="23">
        <v>19550</v>
      </c>
      <c r="G1758" s="22" t="s">
        <v>2408</v>
      </c>
      <c r="H1758" s="22"/>
      <c r="I1758" t="s">
        <v>2401</v>
      </c>
      <c r="K1758" s="24">
        <f t="shared" si="30"/>
        <v>0</v>
      </c>
    </row>
    <row r="1759" spans="1:11" hidden="1" x14ac:dyDescent="0.3">
      <c r="A1759" s="21">
        <v>45326</v>
      </c>
      <c r="B1759" t="s">
        <v>2131</v>
      </c>
      <c r="C1759" s="22" t="s">
        <v>1536</v>
      </c>
      <c r="D1759" s="23">
        <v>293</v>
      </c>
      <c r="E1759" s="23">
        <v>0</v>
      </c>
      <c r="F1759" s="23">
        <v>19257</v>
      </c>
      <c r="G1759" s="22" t="s">
        <v>2399</v>
      </c>
      <c r="H1759" s="22"/>
      <c r="I1759" t="s">
        <v>2401</v>
      </c>
      <c r="K1759" s="24">
        <f t="shared" si="30"/>
        <v>0</v>
      </c>
    </row>
    <row r="1760" spans="1:11" hidden="1" x14ac:dyDescent="0.3">
      <c r="A1760" s="21">
        <v>45327</v>
      </c>
      <c r="B1760" t="s">
        <v>496</v>
      </c>
      <c r="C1760" s="22"/>
      <c r="D1760" s="23">
        <v>0</v>
      </c>
      <c r="E1760" s="23">
        <v>300.77</v>
      </c>
      <c r="F1760" s="23">
        <v>30255.58</v>
      </c>
      <c r="G1760" s="22" t="s">
        <v>2406</v>
      </c>
      <c r="H1760" s="22"/>
      <c r="I1760" t="s">
        <v>2403</v>
      </c>
      <c r="K1760" s="24">
        <f t="shared" si="30"/>
        <v>-10697.810000000001</v>
      </c>
    </row>
    <row r="1761" spans="1:11" hidden="1" x14ac:dyDescent="0.3">
      <c r="A1761" s="21">
        <v>45327</v>
      </c>
      <c r="B1761" t="s">
        <v>903</v>
      </c>
      <c r="C1761" s="22"/>
      <c r="D1761" s="23">
        <v>0</v>
      </c>
      <c r="E1761" s="23">
        <v>432</v>
      </c>
      <c r="F1761" s="23">
        <v>30687.58</v>
      </c>
      <c r="G1761" s="22" t="s">
        <v>2409</v>
      </c>
      <c r="H1761" s="22"/>
      <c r="I1761" t="s">
        <v>2403</v>
      </c>
      <c r="K1761" s="24">
        <f t="shared" si="30"/>
        <v>0</v>
      </c>
    </row>
    <row r="1762" spans="1:11" hidden="1" x14ac:dyDescent="0.3">
      <c r="A1762" s="21">
        <v>45327</v>
      </c>
      <c r="B1762" t="s">
        <v>2132</v>
      </c>
      <c r="C1762" s="22" t="s">
        <v>1536</v>
      </c>
      <c r="D1762" s="23">
        <v>30</v>
      </c>
      <c r="E1762" s="23">
        <v>0</v>
      </c>
      <c r="F1762" s="23">
        <v>19227</v>
      </c>
      <c r="G1762" s="22" t="s">
        <v>2408</v>
      </c>
      <c r="H1762" s="22"/>
      <c r="I1762" t="s">
        <v>2401</v>
      </c>
      <c r="K1762" s="24">
        <f t="shared" si="30"/>
        <v>11430.580000000002</v>
      </c>
    </row>
    <row r="1763" spans="1:11" hidden="1" x14ac:dyDescent="0.3">
      <c r="A1763" s="21">
        <v>45327</v>
      </c>
      <c r="B1763" t="s">
        <v>2133</v>
      </c>
      <c r="C1763" s="22" t="s">
        <v>1536</v>
      </c>
      <c r="D1763" s="23">
        <v>10</v>
      </c>
      <c r="E1763" s="23">
        <v>0</v>
      </c>
      <c r="F1763" s="23">
        <v>19217</v>
      </c>
      <c r="G1763" s="22" t="s">
        <v>2408</v>
      </c>
      <c r="H1763" s="22"/>
      <c r="I1763" t="s">
        <v>2401</v>
      </c>
      <c r="K1763" s="24">
        <f t="shared" si="30"/>
        <v>0</v>
      </c>
    </row>
    <row r="1764" spans="1:11" hidden="1" x14ac:dyDescent="0.3">
      <c r="A1764" s="21">
        <v>45327</v>
      </c>
      <c r="B1764" t="s">
        <v>2134</v>
      </c>
      <c r="C1764" s="22" t="s">
        <v>1536</v>
      </c>
      <c r="D1764" s="23">
        <v>20</v>
      </c>
      <c r="E1764" s="23">
        <v>0</v>
      </c>
      <c r="F1764" s="23">
        <v>19197</v>
      </c>
      <c r="G1764" s="22" t="s">
        <v>2408</v>
      </c>
      <c r="H1764" s="22"/>
      <c r="I1764" t="s">
        <v>2401</v>
      </c>
      <c r="K1764" s="24">
        <f t="shared" si="30"/>
        <v>0</v>
      </c>
    </row>
    <row r="1765" spans="1:11" hidden="1" x14ac:dyDescent="0.3">
      <c r="A1765" s="21">
        <v>45327</v>
      </c>
      <c r="B1765" t="s">
        <v>2135</v>
      </c>
      <c r="C1765" s="22" t="s">
        <v>1536</v>
      </c>
      <c r="D1765" s="23">
        <v>30</v>
      </c>
      <c r="E1765" s="23">
        <v>0</v>
      </c>
      <c r="F1765" s="23">
        <v>19167</v>
      </c>
      <c r="G1765" s="22" t="s">
        <v>2408</v>
      </c>
      <c r="H1765" s="22"/>
      <c r="I1765" t="s">
        <v>2401</v>
      </c>
      <c r="K1765" s="24">
        <f t="shared" si="30"/>
        <v>0</v>
      </c>
    </row>
    <row r="1766" spans="1:11" hidden="1" x14ac:dyDescent="0.3">
      <c r="A1766" s="21">
        <v>45327</v>
      </c>
      <c r="B1766" t="s">
        <v>2136</v>
      </c>
      <c r="C1766" s="22" t="s">
        <v>1536</v>
      </c>
      <c r="D1766" s="23">
        <v>10</v>
      </c>
      <c r="E1766" s="23">
        <v>0</v>
      </c>
      <c r="F1766" s="23">
        <v>19157</v>
      </c>
      <c r="G1766" s="22" t="s">
        <v>2408</v>
      </c>
      <c r="H1766" s="22"/>
      <c r="I1766" t="s">
        <v>2401</v>
      </c>
      <c r="K1766" s="24">
        <f t="shared" si="30"/>
        <v>0</v>
      </c>
    </row>
    <row r="1767" spans="1:11" hidden="1" x14ac:dyDescent="0.3">
      <c r="A1767" s="21">
        <v>45327</v>
      </c>
      <c r="B1767" t="s">
        <v>2631</v>
      </c>
      <c r="C1767" s="22" t="s">
        <v>1191</v>
      </c>
      <c r="D1767" s="23">
        <v>2000</v>
      </c>
      <c r="E1767" s="23">
        <v>0</v>
      </c>
      <c r="F1767" s="23">
        <v>72315.62</v>
      </c>
      <c r="G1767" s="22" t="s">
        <v>2399</v>
      </c>
      <c r="H1767" s="22"/>
      <c r="I1767" t="s">
        <v>2400</v>
      </c>
      <c r="K1767" s="24">
        <f t="shared" si="30"/>
        <v>-55158.619999999995</v>
      </c>
    </row>
    <row r="1768" spans="1:11" hidden="1" x14ac:dyDescent="0.3">
      <c r="A1768" s="21">
        <v>45328</v>
      </c>
      <c r="B1768" t="s">
        <v>496</v>
      </c>
      <c r="C1768" s="22"/>
      <c r="D1768" s="23">
        <v>0</v>
      </c>
      <c r="E1768" s="23">
        <v>9327.3700000000008</v>
      </c>
      <c r="F1768" s="23">
        <v>40014.949999999997</v>
      </c>
      <c r="G1768" s="22" t="s">
        <v>2406</v>
      </c>
      <c r="H1768" s="22"/>
      <c r="I1768" t="s">
        <v>2403</v>
      </c>
      <c r="K1768" s="24">
        <f t="shared" si="30"/>
        <v>41628.039999999994</v>
      </c>
    </row>
    <row r="1769" spans="1:11" hidden="1" x14ac:dyDescent="0.3">
      <c r="A1769" s="21">
        <v>45328</v>
      </c>
      <c r="B1769" t="s">
        <v>133</v>
      </c>
      <c r="C1769" s="22"/>
      <c r="D1769" s="23">
        <v>178.43</v>
      </c>
      <c r="E1769" s="23">
        <v>0</v>
      </c>
      <c r="F1769" s="23">
        <v>39836.519999999997</v>
      </c>
      <c r="G1769" s="22" t="s">
        <v>2406</v>
      </c>
      <c r="H1769" s="22"/>
      <c r="I1769" t="s">
        <v>2403</v>
      </c>
      <c r="K1769" s="24">
        <f t="shared" si="30"/>
        <v>0</v>
      </c>
    </row>
    <row r="1770" spans="1:11" hidden="1" x14ac:dyDescent="0.3">
      <c r="A1770" s="21">
        <v>45328</v>
      </c>
      <c r="B1770" t="s">
        <v>133</v>
      </c>
      <c r="C1770" s="22"/>
      <c r="D1770" s="23">
        <v>12313.45</v>
      </c>
      <c r="E1770" s="23">
        <v>0</v>
      </c>
      <c r="F1770" s="23">
        <v>27523.07</v>
      </c>
      <c r="G1770" s="22" t="s">
        <v>2406</v>
      </c>
      <c r="H1770" s="22"/>
      <c r="I1770" t="s">
        <v>2403</v>
      </c>
      <c r="K1770" s="24">
        <f t="shared" si="30"/>
        <v>0</v>
      </c>
    </row>
    <row r="1771" spans="1:11" hidden="1" x14ac:dyDescent="0.3">
      <c r="A1771" s="21">
        <v>45328</v>
      </c>
      <c r="B1771" t="s">
        <v>2137</v>
      </c>
      <c r="C1771" s="22" t="s">
        <v>1536</v>
      </c>
      <c r="D1771" s="23">
        <v>10</v>
      </c>
      <c r="E1771" s="23">
        <v>0</v>
      </c>
      <c r="F1771" s="23">
        <v>19147</v>
      </c>
      <c r="G1771" s="22" t="s">
        <v>2408</v>
      </c>
      <c r="H1771" s="22"/>
      <c r="I1771" t="s">
        <v>2401</v>
      </c>
      <c r="K1771" s="24">
        <f t="shared" si="30"/>
        <v>8366.07</v>
      </c>
    </row>
    <row r="1772" spans="1:11" hidden="1" x14ac:dyDescent="0.3">
      <c r="A1772" s="21">
        <v>45328</v>
      </c>
      <c r="B1772" t="s">
        <v>2138</v>
      </c>
      <c r="C1772" s="22" t="s">
        <v>1536</v>
      </c>
      <c r="D1772" s="23">
        <v>70</v>
      </c>
      <c r="E1772" s="23">
        <v>0</v>
      </c>
      <c r="F1772" s="23">
        <v>19077</v>
      </c>
      <c r="G1772" s="22" t="s">
        <v>2408</v>
      </c>
      <c r="H1772" s="22"/>
      <c r="I1772" t="s">
        <v>2401</v>
      </c>
      <c r="K1772" s="24">
        <f t="shared" si="30"/>
        <v>0</v>
      </c>
    </row>
    <row r="1773" spans="1:11" hidden="1" x14ac:dyDescent="0.3">
      <c r="A1773" s="21">
        <v>45328</v>
      </c>
      <c r="B1773" t="s">
        <v>2139</v>
      </c>
      <c r="C1773" s="22" t="s">
        <v>1536</v>
      </c>
      <c r="D1773" s="23">
        <v>170</v>
      </c>
      <c r="E1773" s="23">
        <v>0</v>
      </c>
      <c r="F1773" s="23">
        <v>18907</v>
      </c>
      <c r="G1773" s="22" t="s">
        <v>2399</v>
      </c>
      <c r="H1773" s="22"/>
      <c r="I1773" t="s">
        <v>2401</v>
      </c>
      <c r="K1773" s="24">
        <f t="shared" si="30"/>
        <v>0</v>
      </c>
    </row>
    <row r="1774" spans="1:11" hidden="1" x14ac:dyDescent="0.3">
      <c r="A1774" s="21">
        <v>45328</v>
      </c>
      <c r="B1774" t="s">
        <v>2140</v>
      </c>
      <c r="C1774" s="22" t="s">
        <v>1536</v>
      </c>
      <c r="D1774" s="23">
        <v>40</v>
      </c>
      <c r="E1774" s="23">
        <v>0</v>
      </c>
      <c r="F1774" s="23">
        <v>18867</v>
      </c>
      <c r="G1774" s="22" t="s">
        <v>2408</v>
      </c>
      <c r="H1774" s="22"/>
      <c r="I1774" t="s">
        <v>2401</v>
      </c>
      <c r="K1774" s="24">
        <f t="shared" si="30"/>
        <v>0</v>
      </c>
    </row>
    <row r="1775" spans="1:11" hidden="1" x14ac:dyDescent="0.3">
      <c r="A1775" s="21">
        <v>45328</v>
      </c>
      <c r="B1775" t="s">
        <v>2141</v>
      </c>
      <c r="C1775" s="22" t="s">
        <v>1536</v>
      </c>
      <c r="D1775" s="23">
        <v>10</v>
      </c>
      <c r="E1775" s="23">
        <v>0</v>
      </c>
      <c r="F1775" s="23">
        <v>18857</v>
      </c>
      <c r="G1775" s="22" t="s">
        <v>2408</v>
      </c>
      <c r="H1775" s="22"/>
      <c r="I1775" t="s">
        <v>2401</v>
      </c>
      <c r="K1775" s="24">
        <f t="shared" si="30"/>
        <v>0</v>
      </c>
    </row>
    <row r="1776" spans="1:11" hidden="1" x14ac:dyDescent="0.3">
      <c r="A1776" s="21">
        <v>45328</v>
      </c>
      <c r="B1776" t="s">
        <v>2142</v>
      </c>
      <c r="C1776" s="22" t="s">
        <v>1536</v>
      </c>
      <c r="D1776" s="23">
        <v>25</v>
      </c>
      <c r="E1776" s="23">
        <v>0</v>
      </c>
      <c r="F1776" s="23">
        <v>18832</v>
      </c>
      <c r="G1776" s="22" t="s">
        <v>2408</v>
      </c>
      <c r="H1776" s="22"/>
      <c r="I1776" t="s">
        <v>2401</v>
      </c>
      <c r="K1776" s="24">
        <f t="shared" si="30"/>
        <v>0</v>
      </c>
    </row>
    <row r="1777" spans="1:11" hidden="1" x14ac:dyDescent="0.3">
      <c r="A1777" s="21">
        <v>45328</v>
      </c>
      <c r="B1777" t="s">
        <v>2143</v>
      </c>
      <c r="C1777" s="22" t="s">
        <v>1536</v>
      </c>
      <c r="D1777" s="23">
        <v>70</v>
      </c>
      <c r="E1777" s="23">
        <v>0</v>
      </c>
      <c r="F1777" s="23">
        <v>18762</v>
      </c>
      <c r="G1777" s="22" t="s">
        <v>2408</v>
      </c>
      <c r="H1777" s="22"/>
      <c r="I1777" t="s">
        <v>2401</v>
      </c>
      <c r="K1777" s="24">
        <f t="shared" si="30"/>
        <v>0</v>
      </c>
    </row>
    <row r="1778" spans="1:11" hidden="1" x14ac:dyDescent="0.3">
      <c r="A1778" s="21">
        <v>45329</v>
      </c>
      <c r="B1778" t="s">
        <v>496</v>
      </c>
      <c r="C1778" s="22"/>
      <c r="D1778" s="23">
        <v>0</v>
      </c>
      <c r="E1778" s="23">
        <v>2364.11</v>
      </c>
      <c r="F1778" s="23">
        <v>29887.18</v>
      </c>
      <c r="G1778" s="22" t="s">
        <v>2406</v>
      </c>
      <c r="H1778" s="22"/>
      <c r="I1778" t="s">
        <v>2403</v>
      </c>
      <c r="K1778" s="24">
        <f t="shared" si="30"/>
        <v>-8761.07</v>
      </c>
    </row>
    <row r="1779" spans="1:11" hidden="1" x14ac:dyDescent="0.3">
      <c r="A1779" s="21">
        <v>45329</v>
      </c>
      <c r="B1779" t="s">
        <v>496</v>
      </c>
      <c r="C1779" s="22"/>
      <c r="D1779" s="23">
        <v>0</v>
      </c>
      <c r="E1779" s="23">
        <v>68498.41</v>
      </c>
      <c r="F1779" s="23">
        <v>98385.59</v>
      </c>
      <c r="G1779" s="22" t="s">
        <v>2406</v>
      </c>
      <c r="H1779" s="22"/>
      <c r="I1779" t="s">
        <v>2403</v>
      </c>
      <c r="K1779" s="24">
        <f t="shared" si="30"/>
        <v>0</v>
      </c>
    </row>
    <row r="1780" spans="1:11" hidden="1" x14ac:dyDescent="0.3">
      <c r="A1780" s="21">
        <v>45329</v>
      </c>
      <c r="B1780" t="s">
        <v>133</v>
      </c>
      <c r="C1780" s="22"/>
      <c r="D1780" s="23">
        <v>171.34</v>
      </c>
      <c r="E1780" s="23">
        <v>0</v>
      </c>
      <c r="F1780" s="23">
        <v>98214.25</v>
      </c>
      <c r="G1780" s="22" t="s">
        <v>2406</v>
      </c>
      <c r="H1780" s="22"/>
      <c r="I1780" t="s">
        <v>2403</v>
      </c>
      <c r="K1780" s="24">
        <f t="shared" si="30"/>
        <v>0</v>
      </c>
    </row>
    <row r="1781" spans="1:11" hidden="1" x14ac:dyDescent="0.3">
      <c r="A1781" s="21">
        <v>45329</v>
      </c>
      <c r="B1781" t="s">
        <v>911</v>
      </c>
      <c r="C1781" s="22"/>
      <c r="D1781" s="23">
        <v>0</v>
      </c>
      <c r="E1781" s="23">
        <v>1880</v>
      </c>
      <c r="F1781" s="23">
        <v>100094.25</v>
      </c>
      <c r="G1781" s="22" t="s">
        <v>2407</v>
      </c>
      <c r="H1781" s="22"/>
      <c r="I1781" t="s">
        <v>2403</v>
      </c>
      <c r="K1781" s="24">
        <f t="shared" si="30"/>
        <v>0</v>
      </c>
    </row>
    <row r="1782" spans="1:11" hidden="1" x14ac:dyDescent="0.3">
      <c r="A1782" s="21">
        <v>45329</v>
      </c>
      <c r="B1782" t="s">
        <v>133</v>
      </c>
      <c r="C1782" s="22"/>
      <c r="D1782" s="23">
        <v>72149.03</v>
      </c>
      <c r="E1782" s="23">
        <v>0</v>
      </c>
      <c r="F1782" s="23">
        <v>27945.22</v>
      </c>
      <c r="G1782" s="22" t="s">
        <v>2406</v>
      </c>
      <c r="H1782" s="22"/>
      <c r="I1782" t="s">
        <v>2403</v>
      </c>
      <c r="K1782" s="24">
        <f t="shared" si="30"/>
        <v>0</v>
      </c>
    </row>
    <row r="1783" spans="1:11" hidden="1" x14ac:dyDescent="0.3">
      <c r="A1783" s="21">
        <v>45329</v>
      </c>
      <c r="B1783" t="s">
        <v>2144</v>
      </c>
      <c r="C1783" s="22" t="s">
        <v>1536</v>
      </c>
      <c r="D1783" s="23">
        <v>45</v>
      </c>
      <c r="E1783" s="23">
        <v>0</v>
      </c>
      <c r="F1783" s="23">
        <v>18717</v>
      </c>
      <c r="G1783" s="22" t="s">
        <v>2408</v>
      </c>
      <c r="H1783" s="22"/>
      <c r="I1783" t="s">
        <v>2401</v>
      </c>
      <c r="K1783" s="24">
        <f t="shared" si="30"/>
        <v>9183.2200000000012</v>
      </c>
    </row>
    <row r="1784" spans="1:11" hidden="1" x14ac:dyDescent="0.3">
      <c r="A1784" s="21">
        <v>45329</v>
      </c>
      <c r="B1784" t="s">
        <v>2145</v>
      </c>
      <c r="C1784" s="22" t="s">
        <v>1536</v>
      </c>
      <c r="D1784" s="23">
        <v>80</v>
      </c>
      <c r="E1784" s="23">
        <v>0</v>
      </c>
      <c r="F1784" s="23">
        <v>18637</v>
      </c>
      <c r="G1784" s="22" t="s">
        <v>2408</v>
      </c>
      <c r="H1784" s="22"/>
      <c r="I1784" t="s">
        <v>2401</v>
      </c>
      <c r="K1784" s="24">
        <f t="shared" si="30"/>
        <v>0</v>
      </c>
    </row>
    <row r="1785" spans="1:11" hidden="1" x14ac:dyDescent="0.3">
      <c r="A1785" s="21">
        <v>45329</v>
      </c>
      <c r="B1785" t="s">
        <v>2146</v>
      </c>
      <c r="C1785" s="22" t="s">
        <v>1536</v>
      </c>
      <c r="D1785" s="23">
        <v>80</v>
      </c>
      <c r="E1785" s="23">
        <v>0</v>
      </c>
      <c r="F1785" s="23">
        <v>18557</v>
      </c>
      <c r="G1785" s="22" t="s">
        <v>2408</v>
      </c>
      <c r="H1785" s="22"/>
      <c r="I1785" t="s">
        <v>2401</v>
      </c>
      <c r="K1785" s="24">
        <f t="shared" si="30"/>
        <v>0</v>
      </c>
    </row>
    <row r="1786" spans="1:11" hidden="1" x14ac:dyDescent="0.3">
      <c r="A1786" s="21">
        <v>45329</v>
      </c>
      <c r="B1786" t="s">
        <v>2147</v>
      </c>
      <c r="C1786" s="22" t="s">
        <v>1536</v>
      </c>
      <c r="D1786" s="23">
        <v>75</v>
      </c>
      <c r="E1786" s="23">
        <v>0</v>
      </c>
      <c r="F1786" s="23">
        <v>18482</v>
      </c>
      <c r="G1786" s="22" t="s">
        <v>2408</v>
      </c>
      <c r="H1786" s="22"/>
      <c r="I1786" t="s">
        <v>2401</v>
      </c>
      <c r="K1786" s="24">
        <f t="shared" si="30"/>
        <v>0</v>
      </c>
    </row>
    <row r="1787" spans="1:11" hidden="1" x14ac:dyDescent="0.3">
      <c r="A1787" s="21">
        <v>45329</v>
      </c>
      <c r="B1787" t="s">
        <v>2632</v>
      </c>
      <c r="C1787" s="22" t="s">
        <v>1213</v>
      </c>
      <c r="D1787" s="23">
        <v>0</v>
      </c>
      <c r="E1787" s="23">
        <v>5</v>
      </c>
      <c r="F1787" s="23">
        <v>72320.62</v>
      </c>
      <c r="G1787" s="22" t="s">
        <v>2399</v>
      </c>
      <c r="H1787" s="22"/>
      <c r="I1787" t="s">
        <v>2400</v>
      </c>
      <c r="K1787" s="24">
        <f t="shared" si="30"/>
        <v>-53833.619999999995</v>
      </c>
    </row>
    <row r="1788" spans="1:11" hidden="1" x14ac:dyDescent="0.3">
      <c r="A1788" s="21">
        <v>45329</v>
      </c>
      <c r="B1788" t="s">
        <v>2633</v>
      </c>
      <c r="C1788" s="22" t="s">
        <v>2634</v>
      </c>
      <c r="D1788" s="23">
        <v>0</v>
      </c>
      <c r="E1788" s="23">
        <v>900</v>
      </c>
      <c r="F1788" s="23">
        <v>73220.62</v>
      </c>
      <c r="G1788" s="22" t="s">
        <v>2635</v>
      </c>
      <c r="H1788" s="22"/>
      <c r="I1788" t="s">
        <v>2400</v>
      </c>
      <c r="K1788" s="24">
        <f t="shared" si="30"/>
        <v>0</v>
      </c>
    </row>
    <row r="1789" spans="1:11" hidden="1" x14ac:dyDescent="0.3">
      <c r="A1789" s="21">
        <v>45330</v>
      </c>
      <c r="B1789" t="s">
        <v>133</v>
      </c>
      <c r="C1789" s="22"/>
      <c r="D1789" s="23">
        <v>159.99</v>
      </c>
      <c r="E1789" s="23">
        <v>0</v>
      </c>
      <c r="F1789" s="23">
        <v>27785.23</v>
      </c>
      <c r="G1789" s="22" t="s">
        <v>2406</v>
      </c>
      <c r="H1789" s="22"/>
      <c r="I1789" t="s">
        <v>2403</v>
      </c>
      <c r="K1789" s="24">
        <f t="shared" si="30"/>
        <v>45275.399999999994</v>
      </c>
    </row>
    <row r="1790" spans="1:11" hidden="1" x14ac:dyDescent="0.3">
      <c r="A1790" s="21">
        <v>45330</v>
      </c>
      <c r="B1790" t="s">
        <v>133</v>
      </c>
      <c r="C1790" s="22"/>
      <c r="D1790" s="23">
        <v>5756.81</v>
      </c>
      <c r="E1790" s="23">
        <v>0</v>
      </c>
      <c r="F1790" s="23">
        <v>22028.42</v>
      </c>
      <c r="G1790" s="22" t="s">
        <v>2406</v>
      </c>
      <c r="H1790" s="22"/>
      <c r="I1790" t="s">
        <v>2403</v>
      </c>
      <c r="K1790" s="24">
        <f t="shared" si="30"/>
        <v>0</v>
      </c>
    </row>
    <row r="1791" spans="1:11" hidden="1" x14ac:dyDescent="0.3">
      <c r="A1791" s="21">
        <v>45330</v>
      </c>
      <c r="B1791" t="s">
        <v>2148</v>
      </c>
      <c r="C1791" s="22" t="s">
        <v>1536</v>
      </c>
      <c r="D1791" s="23">
        <v>31</v>
      </c>
      <c r="E1791" s="23">
        <v>0</v>
      </c>
      <c r="F1791" s="23">
        <v>18451</v>
      </c>
      <c r="G1791" s="22" t="s">
        <v>2408</v>
      </c>
      <c r="H1791" s="22"/>
      <c r="I1791" t="s">
        <v>2401</v>
      </c>
      <c r="K1791" s="24">
        <f t="shared" si="30"/>
        <v>3546.4199999999983</v>
      </c>
    </row>
    <row r="1792" spans="1:11" hidden="1" x14ac:dyDescent="0.3">
      <c r="A1792" s="21">
        <v>45330</v>
      </c>
      <c r="B1792" t="s">
        <v>2149</v>
      </c>
      <c r="C1792" s="22" t="s">
        <v>1536</v>
      </c>
      <c r="D1792" s="23">
        <v>10</v>
      </c>
      <c r="E1792" s="23">
        <v>0</v>
      </c>
      <c r="F1792" s="23">
        <v>18441</v>
      </c>
      <c r="G1792" s="22" t="s">
        <v>2408</v>
      </c>
      <c r="H1792" s="22"/>
      <c r="I1792" t="s">
        <v>2401</v>
      </c>
      <c r="K1792" s="24">
        <f t="shared" si="30"/>
        <v>0</v>
      </c>
    </row>
    <row r="1793" spans="1:11" hidden="1" x14ac:dyDescent="0.3">
      <c r="A1793" s="21">
        <v>45330</v>
      </c>
      <c r="B1793" t="s">
        <v>2150</v>
      </c>
      <c r="C1793" s="22" t="s">
        <v>1536</v>
      </c>
      <c r="D1793" s="23">
        <v>70</v>
      </c>
      <c r="E1793" s="23">
        <v>0</v>
      </c>
      <c r="F1793" s="23">
        <v>18371</v>
      </c>
      <c r="G1793" s="22" t="s">
        <v>2408</v>
      </c>
      <c r="H1793" s="22"/>
      <c r="I1793" t="s">
        <v>2401</v>
      </c>
      <c r="K1793" s="24">
        <f t="shared" si="30"/>
        <v>0</v>
      </c>
    </row>
    <row r="1794" spans="1:11" hidden="1" x14ac:dyDescent="0.3">
      <c r="A1794" s="21">
        <v>45330</v>
      </c>
      <c r="B1794" t="s">
        <v>2151</v>
      </c>
      <c r="C1794" s="22" t="s">
        <v>1536</v>
      </c>
      <c r="D1794" s="23">
        <v>10</v>
      </c>
      <c r="E1794" s="23">
        <v>0</v>
      </c>
      <c r="F1794" s="23">
        <v>18361</v>
      </c>
      <c r="G1794" s="22" t="s">
        <v>2408</v>
      </c>
      <c r="H1794" s="22"/>
      <c r="I1794" t="s">
        <v>2401</v>
      </c>
      <c r="K1794" s="24">
        <f t="shared" si="30"/>
        <v>0</v>
      </c>
    </row>
    <row r="1795" spans="1:11" hidden="1" x14ac:dyDescent="0.3">
      <c r="A1795" s="21">
        <v>45330</v>
      </c>
      <c r="B1795" t="s">
        <v>2152</v>
      </c>
      <c r="C1795" s="22" t="s">
        <v>1536</v>
      </c>
      <c r="D1795" s="23">
        <v>50</v>
      </c>
      <c r="E1795" s="23">
        <v>0</v>
      </c>
      <c r="F1795" s="23">
        <v>18311</v>
      </c>
      <c r="G1795" s="22" t="s">
        <v>2408</v>
      </c>
      <c r="H1795" s="22"/>
      <c r="I1795" t="s">
        <v>2401</v>
      </c>
      <c r="K1795" s="24">
        <f t="shared" ref="K1795:K1858" si="31">F1794-D1795+E1795-F1795</f>
        <v>0</v>
      </c>
    </row>
    <row r="1796" spans="1:11" hidden="1" x14ac:dyDescent="0.3">
      <c r="A1796" s="21">
        <v>45331</v>
      </c>
      <c r="B1796" t="s">
        <v>133</v>
      </c>
      <c r="C1796" s="22"/>
      <c r="D1796" s="23">
        <v>186.47</v>
      </c>
      <c r="E1796" s="23">
        <v>0</v>
      </c>
      <c r="F1796" s="23">
        <v>21841.95</v>
      </c>
      <c r="G1796" s="22" t="s">
        <v>2406</v>
      </c>
      <c r="H1796" s="22"/>
      <c r="I1796" t="s">
        <v>2403</v>
      </c>
      <c r="K1796" s="24">
        <f t="shared" si="31"/>
        <v>-3717.4200000000019</v>
      </c>
    </row>
    <row r="1797" spans="1:11" hidden="1" x14ac:dyDescent="0.3">
      <c r="A1797" s="21">
        <v>45331</v>
      </c>
      <c r="B1797" t="s">
        <v>496</v>
      </c>
      <c r="C1797" s="22"/>
      <c r="D1797" s="23">
        <v>0</v>
      </c>
      <c r="E1797" s="23">
        <v>10311.6</v>
      </c>
      <c r="F1797" s="23">
        <v>32153.55</v>
      </c>
      <c r="G1797" s="22" t="s">
        <v>2406</v>
      </c>
      <c r="H1797" s="22"/>
      <c r="I1797" t="s">
        <v>2403</v>
      </c>
      <c r="K1797" s="24">
        <f t="shared" si="31"/>
        <v>0</v>
      </c>
    </row>
    <row r="1798" spans="1:11" hidden="1" x14ac:dyDescent="0.3">
      <c r="A1798" s="21">
        <v>45331</v>
      </c>
      <c r="B1798" t="s">
        <v>2153</v>
      </c>
      <c r="C1798" s="22" t="s">
        <v>1536</v>
      </c>
      <c r="D1798" s="23">
        <v>18</v>
      </c>
      <c r="E1798" s="23">
        <v>0</v>
      </c>
      <c r="F1798" s="23">
        <v>18293</v>
      </c>
      <c r="G1798" s="22" t="s">
        <v>2408</v>
      </c>
      <c r="H1798" s="22"/>
      <c r="I1798" t="s">
        <v>2401</v>
      </c>
      <c r="K1798" s="24">
        <f t="shared" si="31"/>
        <v>13842.55</v>
      </c>
    </row>
    <row r="1799" spans="1:11" hidden="1" x14ac:dyDescent="0.3">
      <c r="A1799" s="21">
        <v>45331</v>
      </c>
      <c r="B1799" t="s">
        <v>2154</v>
      </c>
      <c r="C1799" s="22" t="s">
        <v>1536</v>
      </c>
      <c r="D1799" s="23">
        <v>30</v>
      </c>
      <c r="E1799" s="23">
        <v>0</v>
      </c>
      <c r="F1799" s="23">
        <v>18263</v>
      </c>
      <c r="G1799" s="22" t="s">
        <v>2408</v>
      </c>
      <c r="H1799" s="22"/>
      <c r="I1799" t="s">
        <v>2401</v>
      </c>
      <c r="K1799" s="24">
        <f t="shared" si="31"/>
        <v>0</v>
      </c>
    </row>
    <row r="1800" spans="1:11" hidden="1" x14ac:dyDescent="0.3">
      <c r="A1800" s="21">
        <v>45331</v>
      </c>
      <c r="B1800" t="s">
        <v>2155</v>
      </c>
      <c r="C1800" s="22" t="s">
        <v>1536</v>
      </c>
      <c r="D1800" s="23">
        <v>21</v>
      </c>
      <c r="E1800" s="23">
        <v>0</v>
      </c>
      <c r="F1800" s="23">
        <v>18242</v>
      </c>
      <c r="G1800" s="22" t="s">
        <v>2408</v>
      </c>
      <c r="H1800" s="22"/>
      <c r="I1800" t="s">
        <v>2401</v>
      </c>
      <c r="K1800" s="24">
        <f t="shared" si="31"/>
        <v>0</v>
      </c>
    </row>
    <row r="1801" spans="1:11" hidden="1" x14ac:dyDescent="0.3">
      <c r="A1801" s="21">
        <v>45331</v>
      </c>
      <c r="B1801" t="s">
        <v>2156</v>
      </c>
      <c r="C1801" s="22" t="s">
        <v>1536</v>
      </c>
      <c r="D1801" s="23">
        <v>10</v>
      </c>
      <c r="E1801" s="23">
        <v>0</v>
      </c>
      <c r="F1801" s="23">
        <v>18232</v>
      </c>
      <c r="G1801" s="22" t="s">
        <v>2408</v>
      </c>
      <c r="H1801" s="22"/>
      <c r="I1801" t="s">
        <v>2401</v>
      </c>
      <c r="K1801" s="24">
        <f t="shared" si="31"/>
        <v>0</v>
      </c>
    </row>
    <row r="1802" spans="1:11" hidden="1" x14ac:dyDescent="0.3">
      <c r="A1802" s="21">
        <v>45331</v>
      </c>
      <c r="B1802" t="s">
        <v>2157</v>
      </c>
      <c r="C1802" s="22" t="s">
        <v>1536</v>
      </c>
      <c r="D1802" s="23">
        <v>30</v>
      </c>
      <c r="E1802" s="23">
        <v>0</v>
      </c>
      <c r="F1802" s="23">
        <v>18202</v>
      </c>
      <c r="G1802" s="22" t="s">
        <v>2408</v>
      </c>
      <c r="H1802" s="22"/>
      <c r="I1802" t="s">
        <v>2401</v>
      </c>
      <c r="K1802" s="24">
        <f t="shared" si="31"/>
        <v>0</v>
      </c>
    </row>
    <row r="1803" spans="1:11" hidden="1" x14ac:dyDescent="0.3">
      <c r="A1803" s="21">
        <v>45331</v>
      </c>
      <c r="B1803" t="s">
        <v>2158</v>
      </c>
      <c r="C1803" s="22" t="s">
        <v>1536</v>
      </c>
      <c r="D1803" s="23">
        <v>60</v>
      </c>
      <c r="E1803" s="23">
        <v>0</v>
      </c>
      <c r="F1803" s="23">
        <v>18142</v>
      </c>
      <c r="G1803" s="22" t="s">
        <v>2408</v>
      </c>
      <c r="H1803" s="22"/>
      <c r="I1803" t="s">
        <v>2401</v>
      </c>
      <c r="K1803" s="24">
        <f t="shared" si="31"/>
        <v>0</v>
      </c>
    </row>
    <row r="1804" spans="1:11" hidden="1" x14ac:dyDescent="0.3">
      <c r="A1804" s="21">
        <v>45331</v>
      </c>
      <c r="B1804" t="s">
        <v>2159</v>
      </c>
      <c r="C1804" s="22" t="s">
        <v>1536</v>
      </c>
      <c r="D1804" s="23">
        <v>690</v>
      </c>
      <c r="E1804" s="23">
        <v>0</v>
      </c>
      <c r="F1804" s="23">
        <v>17452</v>
      </c>
      <c r="G1804" s="22" t="s">
        <v>2399</v>
      </c>
      <c r="H1804" s="22"/>
      <c r="I1804" t="s">
        <v>2401</v>
      </c>
      <c r="K1804" s="24">
        <f t="shared" si="31"/>
        <v>0</v>
      </c>
    </row>
    <row r="1805" spans="1:11" hidden="1" x14ac:dyDescent="0.3">
      <c r="A1805" s="21">
        <v>45332</v>
      </c>
      <c r="B1805" t="s">
        <v>2160</v>
      </c>
      <c r="C1805" s="22" t="s">
        <v>1536</v>
      </c>
      <c r="D1805" s="23">
        <v>20</v>
      </c>
      <c r="E1805" s="23">
        <v>0</v>
      </c>
      <c r="F1805" s="23">
        <v>17432</v>
      </c>
      <c r="G1805" s="22" t="s">
        <v>2408</v>
      </c>
      <c r="H1805" s="22"/>
      <c r="I1805" t="s">
        <v>2401</v>
      </c>
      <c r="K1805" s="24">
        <f t="shared" si="31"/>
        <v>0</v>
      </c>
    </row>
    <row r="1806" spans="1:11" hidden="1" x14ac:dyDescent="0.3">
      <c r="A1806" s="21">
        <v>45332</v>
      </c>
      <c r="B1806" t="s">
        <v>2161</v>
      </c>
      <c r="C1806" s="22" t="s">
        <v>1536</v>
      </c>
      <c r="D1806" s="23">
        <v>187.15</v>
      </c>
      <c r="E1806" s="23">
        <v>0</v>
      </c>
      <c r="F1806" s="23">
        <v>17244.849999999999</v>
      </c>
      <c r="G1806" s="22" t="s">
        <v>2399</v>
      </c>
      <c r="H1806" s="22"/>
      <c r="I1806" t="s">
        <v>2401</v>
      </c>
      <c r="K1806" s="24">
        <f t="shared" si="31"/>
        <v>0</v>
      </c>
    </row>
    <row r="1807" spans="1:11" hidden="1" x14ac:dyDescent="0.3">
      <c r="A1807" s="21">
        <v>45332</v>
      </c>
      <c r="B1807" t="s">
        <v>2162</v>
      </c>
      <c r="C1807" s="22" t="s">
        <v>1536</v>
      </c>
      <c r="D1807" s="23">
        <v>45</v>
      </c>
      <c r="E1807" s="23">
        <v>0</v>
      </c>
      <c r="F1807" s="23">
        <v>17199.849999999999</v>
      </c>
      <c r="G1807" s="22" t="s">
        <v>2408</v>
      </c>
      <c r="H1807" s="22"/>
      <c r="I1807" t="s">
        <v>2401</v>
      </c>
      <c r="K1807" s="24">
        <f t="shared" si="31"/>
        <v>0</v>
      </c>
    </row>
    <row r="1808" spans="1:11" hidden="1" x14ac:dyDescent="0.3">
      <c r="A1808" s="21">
        <v>45332</v>
      </c>
      <c r="B1808" t="s">
        <v>2163</v>
      </c>
      <c r="C1808" s="22" t="s">
        <v>1536</v>
      </c>
      <c r="D1808" s="23">
        <v>12000</v>
      </c>
      <c r="E1808" s="23">
        <v>0</v>
      </c>
      <c r="F1808" s="23">
        <v>5199.8500000000004</v>
      </c>
      <c r="G1808" s="22" t="s">
        <v>2621</v>
      </c>
      <c r="H1808" s="22"/>
      <c r="I1808" t="s">
        <v>2401</v>
      </c>
      <c r="K1808" s="24">
        <f t="shared" si="31"/>
        <v>0</v>
      </c>
    </row>
    <row r="1809" spans="1:11" hidden="1" x14ac:dyDescent="0.3">
      <c r="A1809" s="21">
        <v>45332</v>
      </c>
      <c r="B1809" t="s">
        <v>2164</v>
      </c>
      <c r="C1809" s="22" t="s">
        <v>1536</v>
      </c>
      <c r="D1809" s="23">
        <v>10</v>
      </c>
      <c r="E1809" s="23">
        <v>0</v>
      </c>
      <c r="F1809" s="23">
        <v>5189.8500000000004</v>
      </c>
      <c r="G1809" s="22" t="s">
        <v>2408</v>
      </c>
      <c r="H1809" s="22"/>
      <c r="I1809" t="s">
        <v>2401</v>
      </c>
      <c r="K1809" s="24">
        <f t="shared" si="31"/>
        <v>0</v>
      </c>
    </row>
    <row r="1810" spans="1:11" hidden="1" x14ac:dyDescent="0.3">
      <c r="A1810" s="21">
        <v>45333</v>
      </c>
      <c r="B1810" t="s">
        <v>2165</v>
      </c>
      <c r="C1810" s="22" t="s">
        <v>1536</v>
      </c>
      <c r="D1810" s="23">
        <v>5</v>
      </c>
      <c r="E1810" s="23">
        <v>0</v>
      </c>
      <c r="F1810" s="23">
        <v>5184.8500000000004</v>
      </c>
      <c r="G1810" s="22" t="s">
        <v>2408</v>
      </c>
      <c r="H1810" s="22"/>
      <c r="I1810" t="s">
        <v>2401</v>
      </c>
      <c r="K1810" s="24">
        <f t="shared" si="31"/>
        <v>0</v>
      </c>
    </row>
    <row r="1811" spans="1:11" hidden="1" x14ac:dyDescent="0.3">
      <c r="A1811" s="21">
        <v>45333</v>
      </c>
      <c r="B1811" t="s">
        <v>2166</v>
      </c>
      <c r="C1811" s="22" t="s">
        <v>1536</v>
      </c>
      <c r="D1811" s="23">
        <v>30</v>
      </c>
      <c r="E1811" s="23">
        <v>0</v>
      </c>
      <c r="F1811" s="23">
        <v>5154.8500000000004</v>
      </c>
      <c r="G1811" s="22" t="s">
        <v>2408</v>
      </c>
      <c r="H1811" s="22"/>
      <c r="I1811" t="s">
        <v>2401</v>
      </c>
      <c r="K1811" s="24">
        <f t="shared" si="31"/>
        <v>0</v>
      </c>
    </row>
    <row r="1812" spans="1:11" hidden="1" x14ac:dyDescent="0.3">
      <c r="A1812" s="21">
        <v>45333</v>
      </c>
      <c r="B1812" t="s">
        <v>2167</v>
      </c>
      <c r="C1812" s="22" t="s">
        <v>1536</v>
      </c>
      <c r="D1812" s="23">
        <v>50</v>
      </c>
      <c r="E1812" s="23">
        <v>0</v>
      </c>
      <c r="F1812" s="23">
        <v>5104.8500000000004</v>
      </c>
      <c r="G1812" s="22" t="s">
        <v>2408</v>
      </c>
      <c r="H1812" s="22"/>
      <c r="I1812" t="s">
        <v>2401</v>
      </c>
      <c r="K1812" s="24">
        <f t="shared" si="31"/>
        <v>0</v>
      </c>
    </row>
    <row r="1813" spans="1:11" hidden="1" x14ac:dyDescent="0.3">
      <c r="A1813" s="21">
        <v>45334</v>
      </c>
      <c r="B1813" t="s">
        <v>133</v>
      </c>
      <c r="C1813" s="22"/>
      <c r="D1813" s="23">
        <v>589.26</v>
      </c>
      <c r="E1813" s="23">
        <v>0</v>
      </c>
      <c r="F1813" s="23">
        <v>31564.29</v>
      </c>
      <c r="G1813" s="22" t="s">
        <v>2406</v>
      </c>
      <c r="H1813" s="22"/>
      <c r="I1813" t="s">
        <v>2403</v>
      </c>
      <c r="K1813" s="24">
        <f t="shared" si="31"/>
        <v>-27048.7</v>
      </c>
    </row>
    <row r="1814" spans="1:11" hidden="1" x14ac:dyDescent="0.3">
      <c r="A1814" s="21">
        <v>45334</v>
      </c>
      <c r="B1814" t="s">
        <v>133</v>
      </c>
      <c r="C1814" s="22"/>
      <c r="D1814" s="23">
        <v>19464.98</v>
      </c>
      <c r="E1814" s="23">
        <v>0</v>
      </c>
      <c r="F1814" s="23">
        <v>12099.31</v>
      </c>
      <c r="G1814" s="22" t="s">
        <v>2406</v>
      </c>
      <c r="H1814" s="22"/>
      <c r="I1814" t="s">
        <v>2403</v>
      </c>
      <c r="K1814" s="24">
        <f t="shared" si="31"/>
        <v>0</v>
      </c>
    </row>
    <row r="1815" spans="1:11" hidden="1" x14ac:dyDescent="0.3">
      <c r="A1815" s="21">
        <v>45334</v>
      </c>
      <c r="B1815" t="s">
        <v>2168</v>
      </c>
      <c r="C1815" s="22" t="s">
        <v>1536</v>
      </c>
      <c r="D1815" s="23">
        <v>10</v>
      </c>
      <c r="E1815" s="23">
        <v>0</v>
      </c>
      <c r="F1815" s="23">
        <v>5094.8500000000004</v>
      </c>
      <c r="G1815" s="22" t="s">
        <v>2408</v>
      </c>
      <c r="H1815" s="22"/>
      <c r="I1815" t="s">
        <v>2401</v>
      </c>
      <c r="K1815" s="24">
        <f t="shared" si="31"/>
        <v>6994.4599999999991</v>
      </c>
    </row>
    <row r="1816" spans="1:11" hidden="1" x14ac:dyDescent="0.3">
      <c r="A1816" s="21">
        <v>45334</v>
      </c>
      <c r="B1816" t="s">
        <v>2169</v>
      </c>
      <c r="C1816" s="22" t="s">
        <v>1536</v>
      </c>
      <c r="D1816" s="23">
        <v>10</v>
      </c>
      <c r="E1816" s="23">
        <v>0</v>
      </c>
      <c r="F1816" s="23">
        <v>5084.8500000000004</v>
      </c>
      <c r="G1816" s="22" t="s">
        <v>2408</v>
      </c>
      <c r="H1816" s="22"/>
      <c r="I1816" t="s">
        <v>2401</v>
      </c>
      <c r="K1816" s="24">
        <f t="shared" si="31"/>
        <v>0</v>
      </c>
    </row>
    <row r="1817" spans="1:11" hidden="1" x14ac:dyDescent="0.3">
      <c r="A1817" s="21">
        <v>45334</v>
      </c>
      <c r="B1817" t="s">
        <v>2170</v>
      </c>
      <c r="C1817" s="22" t="s">
        <v>1536</v>
      </c>
      <c r="D1817" s="23">
        <v>40</v>
      </c>
      <c r="E1817" s="23">
        <v>0</v>
      </c>
      <c r="F1817" s="23">
        <v>5044.8500000000004</v>
      </c>
      <c r="G1817" s="22" t="s">
        <v>2408</v>
      </c>
      <c r="H1817" s="22"/>
      <c r="I1817" t="s">
        <v>2401</v>
      </c>
      <c r="K1817" s="24">
        <f t="shared" si="31"/>
        <v>0</v>
      </c>
    </row>
    <row r="1818" spans="1:11" hidden="1" x14ac:dyDescent="0.3">
      <c r="A1818" s="21">
        <v>45334</v>
      </c>
      <c r="B1818" t="s">
        <v>2171</v>
      </c>
      <c r="C1818" s="22" t="s">
        <v>1536</v>
      </c>
      <c r="D1818" s="23">
        <v>20</v>
      </c>
      <c r="E1818" s="23">
        <v>0</v>
      </c>
      <c r="F1818" s="23">
        <v>5024.8500000000004</v>
      </c>
      <c r="G1818" s="22" t="s">
        <v>2408</v>
      </c>
      <c r="H1818" s="22"/>
      <c r="I1818" t="s">
        <v>2401</v>
      </c>
      <c r="K1818" s="24">
        <f t="shared" si="31"/>
        <v>0</v>
      </c>
    </row>
    <row r="1819" spans="1:11" hidden="1" x14ac:dyDescent="0.3">
      <c r="A1819" s="21">
        <v>45334</v>
      </c>
      <c r="B1819" t="s">
        <v>2172</v>
      </c>
      <c r="C1819" s="22" t="s">
        <v>1536</v>
      </c>
      <c r="D1819" s="23">
        <v>40</v>
      </c>
      <c r="E1819" s="23">
        <v>0</v>
      </c>
      <c r="F1819" s="23">
        <v>4984.8500000000004</v>
      </c>
      <c r="G1819" s="22" t="s">
        <v>2408</v>
      </c>
      <c r="H1819" s="22"/>
      <c r="I1819" t="s">
        <v>2401</v>
      </c>
      <c r="K1819" s="24">
        <f t="shared" si="31"/>
        <v>0</v>
      </c>
    </row>
    <row r="1820" spans="1:11" hidden="1" x14ac:dyDescent="0.3">
      <c r="A1820" s="21">
        <v>45334</v>
      </c>
      <c r="B1820" t="s">
        <v>2173</v>
      </c>
      <c r="C1820" s="22" t="s">
        <v>1536</v>
      </c>
      <c r="D1820" s="23">
        <v>245</v>
      </c>
      <c r="E1820" s="23">
        <v>0</v>
      </c>
      <c r="F1820" s="23">
        <v>4739.8500000000004</v>
      </c>
      <c r="G1820" s="22" t="s">
        <v>2399</v>
      </c>
      <c r="H1820" s="22"/>
      <c r="I1820" t="s">
        <v>2401</v>
      </c>
      <c r="K1820" s="24">
        <f t="shared" si="31"/>
        <v>0</v>
      </c>
    </row>
    <row r="1821" spans="1:11" hidden="1" x14ac:dyDescent="0.3">
      <c r="A1821" s="21">
        <v>45334</v>
      </c>
      <c r="B1821" t="s">
        <v>2174</v>
      </c>
      <c r="C1821" s="22" t="s">
        <v>1536</v>
      </c>
      <c r="D1821" s="23">
        <v>10</v>
      </c>
      <c r="E1821" s="23">
        <v>0</v>
      </c>
      <c r="F1821" s="23">
        <v>4729.8500000000004</v>
      </c>
      <c r="G1821" s="22" t="s">
        <v>2408</v>
      </c>
      <c r="H1821" s="22"/>
      <c r="I1821" t="s">
        <v>2401</v>
      </c>
      <c r="K1821" s="24">
        <f t="shared" si="31"/>
        <v>0</v>
      </c>
    </row>
    <row r="1822" spans="1:11" hidden="1" x14ac:dyDescent="0.3">
      <c r="A1822" s="21">
        <v>45334</v>
      </c>
      <c r="B1822" t="s">
        <v>2636</v>
      </c>
      <c r="C1822" s="22" t="s">
        <v>1191</v>
      </c>
      <c r="D1822" s="23">
        <v>10</v>
      </c>
      <c r="E1822" s="23">
        <v>0</v>
      </c>
      <c r="F1822" s="23">
        <v>73210.62</v>
      </c>
      <c r="G1822" s="22" t="s">
        <v>2399</v>
      </c>
      <c r="H1822" s="22"/>
      <c r="I1822" t="s">
        <v>2400</v>
      </c>
      <c r="K1822" s="24">
        <f t="shared" si="31"/>
        <v>-68490.76999999999</v>
      </c>
    </row>
    <row r="1823" spans="1:11" hidden="1" x14ac:dyDescent="0.3">
      <c r="A1823" s="21">
        <v>45335</v>
      </c>
      <c r="B1823" t="s">
        <v>920</v>
      </c>
      <c r="C1823" s="22"/>
      <c r="D1823" s="23">
        <v>1817.2</v>
      </c>
      <c r="E1823" s="23">
        <v>0</v>
      </c>
      <c r="F1823" s="23">
        <v>10282.11</v>
      </c>
      <c r="G1823" s="22" t="s">
        <v>2410</v>
      </c>
      <c r="H1823" s="22"/>
      <c r="I1823" t="s">
        <v>2403</v>
      </c>
      <c r="K1823" s="24">
        <f t="shared" si="31"/>
        <v>61111.31</v>
      </c>
    </row>
    <row r="1824" spans="1:11" hidden="1" x14ac:dyDescent="0.3">
      <c r="A1824" s="21">
        <v>45335</v>
      </c>
      <c r="B1824" t="s">
        <v>2175</v>
      </c>
      <c r="C1824" s="22" t="s">
        <v>1536</v>
      </c>
      <c r="D1824" s="23">
        <v>10</v>
      </c>
      <c r="E1824" s="23">
        <v>0</v>
      </c>
      <c r="F1824" s="23">
        <v>4719.8500000000004</v>
      </c>
      <c r="G1824" s="22" t="s">
        <v>2408</v>
      </c>
      <c r="H1824" s="22"/>
      <c r="I1824" t="s">
        <v>2401</v>
      </c>
      <c r="K1824" s="24">
        <f t="shared" si="31"/>
        <v>5552.26</v>
      </c>
    </row>
    <row r="1825" spans="1:11" hidden="1" x14ac:dyDescent="0.3">
      <c r="A1825" s="21">
        <v>45335</v>
      </c>
      <c r="B1825" t="s">
        <v>2176</v>
      </c>
      <c r="C1825" s="22" t="s">
        <v>1536</v>
      </c>
      <c r="D1825" s="23">
        <v>90</v>
      </c>
      <c r="E1825" s="23">
        <v>0</v>
      </c>
      <c r="F1825" s="23">
        <v>4629.8500000000004</v>
      </c>
      <c r="G1825" s="22" t="s">
        <v>2408</v>
      </c>
      <c r="H1825" s="22"/>
      <c r="I1825" t="s">
        <v>2401</v>
      </c>
      <c r="K1825" s="24">
        <f t="shared" si="31"/>
        <v>0</v>
      </c>
    </row>
    <row r="1826" spans="1:11" hidden="1" x14ac:dyDescent="0.3">
      <c r="A1826" s="21">
        <v>45335</v>
      </c>
      <c r="B1826" t="s">
        <v>2177</v>
      </c>
      <c r="C1826" s="22" t="s">
        <v>1536</v>
      </c>
      <c r="D1826" s="23">
        <v>90</v>
      </c>
      <c r="E1826" s="23">
        <v>0</v>
      </c>
      <c r="F1826" s="23">
        <v>4539.8500000000004</v>
      </c>
      <c r="G1826" s="22" t="s">
        <v>2408</v>
      </c>
      <c r="H1826" s="22"/>
      <c r="I1826" t="s">
        <v>2401</v>
      </c>
      <c r="K1826" s="24">
        <f t="shared" si="31"/>
        <v>0</v>
      </c>
    </row>
    <row r="1827" spans="1:11" hidden="1" x14ac:dyDescent="0.3">
      <c r="A1827" s="21">
        <v>45335</v>
      </c>
      <c r="B1827" t="s">
        <v>2178</v>
      </c>
      <c r="C1827" s="22" t="s">
        <v>1536</v>
      </c>
      <c r="D1827" s="23">
        <v>130</v>
      </c>
      <c r="E1827" s="23">
        <v>0</v>
      </c>
      <c r="F1827" s="23">
        <v>4409.8500000000004</v>
      </c>
      <c r="G1827" s="22" t="s">
        <v>2399</v>
      </c>
      <c r="H1827" s="22"/>
      <c r="I1827" t="s">
        <v>2401</v>
      </c>
      <c r="K1827" s="24">
        <f t="shared" si="31"/>
        <v>0</v>
      </c>
    </row>
    <row r="1828" spans="1:11" hidden="1" x14ac:dyDescent="0.3">
      <c r="A1828" s="21">
        <v>45335</v>
      </c>
      <c r="B1828" t="s">
        <v>2637</v>
      </c>
      <c r="C1828" s="22" t="s">
        <v>1161</v>
      </c>
      <c r="D1828" s="23">
        <v>10</v>
      </c>
      <c r="E1828" s="23">
        <v>0</v>
      </c>
      <c r="F1828" s="23">
        <v>73200.62</v>
      </c>
      <c r="G1828" s="22" t="s">
        <v>2399</v>
      </c>
      <c r="H1828" s="22"/>
      <c r="I1828" t="s">
        <v>2400</v>
      </c>
      <c r="K1828" s="24">
        <f t="shared" si="31"/>
        <v>-68800.76999999999</v>
      </c>
    </row>
    <row r="1829" spans="1:11" hidden="1" x14ac:dyDescent="0.3">
      <c r="A1829" s="21">
        <v>45336</v>
      </c>
      <c r="B1829" t="s">
        <v>496</v>
      </c>
      <c r="C1829" s="22"/>
      <c r="D1829" s="23">
        <v>0</v>
      </c>
      <c r="E1829" s="23">
        <v>31633.27</v>
      </c>
      <c r="F1829" s="23">
        <v>41915.379999999997</v>
      </c>
      <c r="G1829" s="22" t="s">
        <v>2406</v>
      </c>
      <c r="H1829" s="22"/>
      <c r="I1829" t="s">
        <v>2403</v>
      </c>
      <c r="K1829" s="24">
        <f t="shared" si="31"/>
        <v>62918.51</v>
      </c>
    </row>
    <row r="1830" spans="1:11" hidden="1" x14ac:dyDescent="0.3">
      <c r="A1830" s="21">
        <v>45336</v>
      </c>
      <c r="B1830" t="s">
        <v>496</v>
      </c>
      <c r="C1830" s="22"/>
      <c r="D1830" s="23">
        <v>0</v>
      </c>
      <c r="E1830" s="23">
        <v>53119.4</v>
      </c>
      <c r="F1830" s="23">
        <v>95034.78</v>
      </c>
      <c r="G1830" s="22" t="s">
        <v>2406</v>
      </c>
      <c r="H1830" s="22"/>
      <c r="I1830" t="s">
        <v>2403</v>
      </c>
      <c r="K1830" s="24">
        <f t="shared" si="31"/>
        <v>0</v>
      </c>
    </row>
    <row r="1831" spans="1:11" hidden="1" x14ac:dyDescent="0.3">
      <c r="A1831" s="21">
        <v>45336</v>
      </c>
      <c r="B1831" t="s">
        <v>133</v>
      </c>
      <c r="C1831" s="22"/>
      <c r="D1831" s="23">
        <v>166.17</v>
      </c>
      <c r="E1831" s="23">
        <v>0</v>
      </c>
      <c r="F1831" s="23">
        <v>94868.61</v>
      </c>
      <c r="G1831" s="22" t="s">
        <v>2406</v>
      </c>
      <c r="H1831" s="22"/>
      <c r="I1831" t="s">
        <v>2403</v>
      </c>
      <c r="K1831" s="24">
        <f t="shared" si="31"/>
        <v>0</v>
      </c>
    </row>
    <row r="1832" spans="1:11" hidden="1" x14ac:dyDescent="0.3">
      <c r="A1832" s="21">
        <v>45336</v>
      </c>
      <c r="B1832" t="s">
        <v>133</v>
      </c>
      <c r="C1832" s="22"/>
      <c r="D1832" s="23">
        <v>45350.64</v>
      </c>
      <c r="E1832" s="23">
        <v>0</v>
      </c>
      <c r="F1832" s="23">
        <v>49517.97</v>
      </c>
      <c r="G1832" s="22" t="s">
        <v>2406</v>
      </c>
      <c r="H1832" s="22"/>
      <c r="I1832" t="s">
        <v>2403</v>
      </c>
      <c r="K1832" s="24">
        <f t="shared" si="31"/>
        <v>0</v>
      </c>
    </row>
    <row r="1833" spans="1:11" hidden="1" x14ac:dyDescent="0.3">
      <c r="A1833" s="21">
        <v>45336</v>
      </c>
      <c r="B1833" t="s">
        <v>2179</v>
      </c>
      <c r="C1833" s="22" t="s">
        <v>1536</v>
      </c>
      <c r="D1833" s="23">
        <v>20</v>
      </c>
      <c r="E1833" s="23">
        <v>0</v>
      </c>
      <c r="F1833" s="23">
        <v>4389.8500000000004</v>
      </c>
      <c r="G1833" s="22" t="s">
        <v>2408</v>
      </c>
      <c r="H1833" s="22"/>
      <c r="I1833" t="s">
        <v>2401</v>
      </c>
      <c r="K1833" s="24">
        <f t="shared" si="31"/>
        <v>45108.12</v>
      </c>
    </row>
    <row r="1834" spans="1:11" hidden="1" x14ac:dyDescent="0.3">
      <c r="A1834" s="21">
        <v>45336</v>
      </c>
      <c r="B1834" t="s">
        <v>2180</v>
      </c>
      <c r="C1834" s="22" t="s">
        <v>1536</v>
      </c>
      <c r="D1834" s="23">
        <v>60</v>
      </c>
      <c r="E1834" s="23">
        <v>0</v>
      </c>
      <c r="F1834" s="23">
        <v>4329.8500000000004</v>
      </c>
      <c r="G1834" s="22" t="s">
        <v>2408</v>
      </c>
      <c r="H1834" s="22"/>
      <c r="I1834" t="s">
        <v>2401</v>
      </c>
      <c r="K1834" s="24">
        <f t="shared" si="31"/>
        <v>0</v>
      </c>
    </row>
    <row r="1835" spans="1:11" hidden="1" x14ac:dyDescent="0.3">
      <c r="A1835" s="21">
        <v>45336</v>
      </c>
      <c r="B1835" t="s">
        <v>2181</v>
      </c>
      <c r="C1835" s="22" t="s">
        <v>1536</v>
      </c>
      <c r="D1835" s="23">
        <v>15</v>
      </c>
      <c r="E1835" s="23">
        <v>0</v>
      </c>
      <c r="F1835" s="23">
        <v>4314.8500000000004</v>
      </c>
      <c r="G1835" s="22" t="s">
        <v>2408</v>
      </c>
      <c r="H1835" s="22"/>
      <c r="I1835" t="s">
        <v>2401</v>
      </c>
      <c r="K1835" s="24">
        <f t="shared" si="31"/>
        <v>0</v>
      </c>
    </row>
    <row r="1836" spans="1:11" hidden="1" x14ac:dyDescent="0.3">
      <c r="A1836" s="21">
        <v>45336</v>
      </c>
      <c r="B1836" t="s">
        <v>2182</v>
      </c>
      <c r="C1836" s="22" t="s">
        <v>1536</v>
      </c>
      <c r="D1836" s="23">
        <v>10</v>
      </c>
      <c r="E1836" s="23">
        <v>0</v>
      </c>
      <c r="F1836" s="23">
        <v>4304.8500000000004</v>
      </c>
      <c r="G1836" s="22" t="s">
        <v>2408</v>
      </c>
      <c r="H1836" s="22"/>
      <c r="I1836" t="s">
        <v>2401</v>
      </c>
      <c r="K1836" s="24">
        <f t="shared" si="31"/>
        <v>0</v>
      </c>
    </row>
    <row r="1837" spans="1:11" hidden="1" x14ac:dyDescent="0.3">
      <c r="A1837" s="21">
        <v>45336</v>
      </c>
      <c r="B1837" t="s">
        <v>2183</v>
      </c>
      <c r="C1837" s="22" t="s">
        <v>1536</v>
      </c>
      <c r="D1837" s="23">
        <v>32</v>
      </c>
      <c r="E1837" s="23">
        <v>0</v>
      </c>
      <c r="F1837" s="23">
        <v>4272.8500000000004</v>
      </c>
      <c r="G1837" s="22" t="s">
        <v>2408</v>
      </c>
      <c r="H1837" s="22"/>
      <c r="I1837" t="s">
        <v>2401</v>
      </c>
      <c r="K1837" s="24">
        <f t="shared" si="31"/>
        <v>0</v>
      </c>
    </row>
    <row r="1838" spans="1:11" hidden="1" x14ac:dyDescent="0.3">
      <c r="A1838" s="21">
        <v>45336</v>
      </c>
      <c r="B1838" t="s">
        <v>2184</v>
      </c>
      <c r="C1838" s="22" t="s">
        <v>1536</v>
      </c>
      <c r="D1838" s="23">
        <v>70</v>
      </c>
      <c r="E1838" s="23">
        <v>0</v>
      </c>
      <c r="F1838" s="23">
        <v>4202.8500000000004</v>
      </c>
      <c r="G1838" s="22" t="s">
        <v>2408</v>
      </c>
      <c r="H1838" s="22"/>
      <c r="I1838" t="s">
        <v>2401</v>
      </c>
      <c r="K1838" s="24">
        <f t="shared" si="31"/>
        <v>0</v>
      </c>
    </row>
    <row r="1839" spans="1:11" hidden="1" x14ac:dyDescent="0.3">
      <c r="A1839" s="21">
        <v>45336</v>
      </c>
      <c r="B1839" t="s">
        <v>2185</v>
      </c>
      <c r="C1839" s="22" t="s">
        <v>1536</v>
      </c>
      <c r="D1839" s="23">
        <v>80</v>
      </c>
      <c r="E1839" s="23">
        <v>0</v>
      </c>
      <c r="F1839" s="23">
        <v>4122.8500000000004</v>
      </c>
      <c r="G1839" s="22" t="s">
        <v>2408</v>
      </c>
      <c r="H1839" s="22"/>
      <c r="I1839" t="s">
        <v>2401</v>
      </c>
      <c r="K1839" s="24">
        <f t="shared" si="31"/>
        <v>0</v>
      </c>
    </row>
    <row r="1840" spans="1:11" hidden="1" x14ac:dyDescent="0.3">
      <c r="A1840" s="21">
        <v>45337</v>
      </c>
      <c r="B1840" t="s">
        <v>133</v>
      </c>
      <c r="C1840" s="22"/>
      <c r="D1840" s="23">
        <v>137.31</v>
      </c>
      <c r="E1840" s="23">
        <v>0</v>
      </c>
      <c r="F1840" s="23">
        <v>49380.66</v>
      </c>
      <c r="G1840" s="22" t="s">
        <v>2406</v>
      </c>
      <c r="H1840" s="22"/>
      <c r="I1840" t="s">
        <v>2403</v>
      </c>
      <c r="K1840" s="24">
        <f t="shared" si="31"/>
        <v>-45395.12</v>
      </c>
    </row>
    <row r="1841" spans="1:11" hidden="1" x14ac:dyDescent="0.3">
      <c r="A1841" s="21">
        <v>45337</v>
      </c>
      <c r="B1841" t="s">
        <v>926</v>
      </c>
      <c r="C1841" s="22"/>
      <c r="D1841" s="23">
        <v>0</v>
      </c>
      <c r="E1841" s="23">
        <v>107.1</v>
      </c>
      <c r="F1841" s="23">
        <v>49487.76</v>
      </c>
      <c r="G1841" s="22" t="s">
        <v>2409</v>
      </c>
      <c r="H1841" s="22"/>
      <c r="I1841" t="s">
        <v>2403</v>
      </c>
      <c r="K1841" s="24">
        <f t="shared" si="31"/>
        <v>0</v>
      </c>
    </row>
    <row r="1842" spans="1:11" hidden="1" x14ac:dyDescent="0.3">
      <c r="A1842" s="21">
        <v>45337</v>
      </c>
      <c r="B1842" t="s">
        <v>2186</v>
      </c>
      <c r="C1842" s="22" t="s">
        <v>1536</v>
      </c>
      <c r="D1842" s="23">
        <v>20</v>
      </c>
      <c r="E1842" s="23">
        <v>0</v>
      </c>
      <c r="F1842" s="23">
        <v>4102.8500000000004</v>
      </c>
      <c r="G1842" s="22" t="s">
        <v>2408</v>
      </c>
      <c r="H1842" s="22"/>
      <c r="I1842" t="s">
        <v>2401</v>
      </c>
      <c r="K1842" s="24">
        <f t="shared" si="31"/>
        <v>45364.91</v>
      </c>
    </row>
    <row r="1843" spans="1:11" hidden="1" x14ac:dyDescent="0.3">
      <c r="A1843" s="21">
        <v>45337</v>
      </c>
      <c r="B1843" t="s">
        <v>2187</v>
      </c>
      <c r="C1843" s="22" t="s">
        <v>1536</v>
      </c>
      <c r="D1843" s="23">
        <v>10</v>
      </c>
      <c r="E1843" s="23">
        <v>0</v>
      </c>
      <c r="F1843" s="23">
        <v>4092.85</v>
      </c>
      <c r="G1843" s="22" t="s">
        <v>2408</v>
      </c>
      <c r="H1843" s="22"/>
      <c r="I1843" t="s">
        <v>2401</v>
      </c>
      <c r="K1843" s="24">
        <f t="shared" si="31"/>
        <v>0</v>
      </c>
    </row>
    <row r="1844" spans="1:11" hidden="1" x14ac:dyDescent="0.3">
      <c r="A1844" s="21">
        <v>45337</v>
      </c>
      <c r="B1844" t="s">
        <v>2188</v>
      </c>
      <c r="C1844" s="22" t="s">
        <v>1536</v>
      </c>
      <c r="D1844" s="23">
        <v>10</v>
      </c>
      <c r="E1844" s="23">
        <v>0</v>
      </c>
      <c r="F1844" s="23">
        <v>4082.85</v>
      </c>
      <c r="G1844" s="22" t="s">
        <v>2408</v>
      </c>
      <c r="H1844" s="22"/>
      <c r="I1844" t="s">
        <v>2401</v>
      </c>
      <c r="K1844" s="24">
        <f t="shared" si="31"/>
        <v>0</v>
      </c>
    </row>
    <row r="1845" spans="1:11" hidden="1" x14ac:dyDescent="0.3">
      <c r="A1845" s="21">
        <v>45337</v>
      </c>
      <c r="B1845" t="s">
        <v>2189</v>
      </c>
      <c r="C1845" s="22" t="s">
        <v>1536</v>
      </c>
      <c r="D1845" s="23">
        <v>945</v>
      </c>
      <c r="E1845" s="23">
        <v>0</v>
      </c>
      <c r="F1845" s="23">
        <v>3137.85</v>
      </c>
      <c r="G1845" s="22" t="s">
        <v>2399</v>
      </c>
      <c r="H1845" s="22"/>
      <c r="I1845" t="s">
        <v>2401</v>
      </c>
      <c r="K1845" s="24">
        <f t="shared" si="31"/>
        <v>0</v>
      </c>
    </row>
    <row r="1846" spans="1:11" hidden="1" x14ac:dyDescent="0.3">
      <c r="A1846" s="21">
        <v>45337</v>
      </c>
      <c r="B1846" t="s">
        <v>2190</v>
      </c>
      <c r="C1846" s="22" t="s">
        <v>1536</v>
      </c>
      <c r="D1846" s="23">
        <v>30</v>
      </c>
      <c r="E1846" s="23">
        <v>0</v>
      </c>
      <c r="F1846" s="23">
        <v>3107.85</v>
      </c>
      <c r="G1846" s="22" t="s">
        <v>2408</v>
      </c>
      <c r="H1846" s="22"/>
      <c r="I1846" t="s">
        <v>2401</v>
      </c>
      <c r="K1846" s="24">
        <f t="shared" si="31"/>
        <v>0</v>
      </c>
    </row>
    <row r="1847" spans="1:11" hidden="1" x14ac:dyDescent="0.3">
      <c r="A1847" s="21">
        <v>45337</v>
      </c>
      <c r="B1847" t="s">
        <v>2191</v>
      </c>
      <c r="C1847" s="22" t="s">
        <v>1536</v>
      </c>
      <c r="D1847" s="23">
        <v>387.45</v>
      </c>
      <c r="E1847" s="23">
        <v>0</v>
      </c>
      <c r="F1847" s="23">
        <v>2720.4</v>
      </c>
      <c r="G1847" s="22" t="s">
        <v>2399</v>
      </c>
      <c r="H1847" s="22"/>
      <c r="I1847" t="s">
        <v>2401</v>
      </c>
      <c r="K1847" s="24">
        <f t="shared" si="31"/>
        <v>0</v>
      </c>
    </row>
    <row r="1848" spans="1:11" hidden="1" x14ac:dyDescent="0.3">
      <c r="A1848" s="21">
        <v>45337</v>
      </c>
      <c r="B1848" t="s">
        <v>2192</v>
      </c>
      <c r="C1848" s="22" t="s">
        <v>1536</v>
      </c>
      <c r="D1848" s="23">
        <v>148</v>
      </c>
      <c r="E1848" s="23">
        <v>0</v>
      </c>
      <c r="F1848" s="23">
        <v>2572.4</v>
      </c>
      <c r="G1848" s="22" t="s">
        <v>2399</v>
      </c>
      <c r="H1848" s="22"/>
      <c r="I1848" t="s">
        <v>2401</v>
      </c>
      <c r="K1848" s="24">
        <f t="shared" si="31"/>
        <v>0</v>
      </c>
    </row>
    <row r="1849" spans="1:11" hidden="1" x14ac:dyDescent="0.3">
      <c r="A1849" s="21">
        <v>45337</v>
      </c>
      <c r="B1849" t="s">
        <v>2193</v>
      </c>
      <c r="C1849" s="22" t="s">
        <v>1536</v>
      </c>
      <c r="D1849" s="23">
        <v>899</v>
      </c>
      <c r="E1849" s="23">
        <v>0</v>
      </c>
      <c r="F1849" s="23">
        <v>1673.4</v>
      </c>
      <c r="G1849" s="22" t="s">
        <v>2399</v>
      </c>
      <c r="H1849" s="22"/>
      <c r="I1849" t="s">
        <v>2401</v>
      </c>
      <c r="K1849" s="24">
        <f t="shared" si="31"/>
        <v>0</v>
      </c>
    </row>
    <row r="1850" spans="1:11" hidden="1" x14ac:dyDescent="0.3">
      <c r="A1850" s="21">
        <v>45337</v>
      </c>
      <c r="B1850" t="s">
        <v>2194</v>
      </c>
      <c r="C1850" s="22" t="s">
        <v>1536</v>
      </c>
      <c r="D1850" s="23">
        <v>499</v>
      </c>
      <c r="E1850" s="23">
        <v>0</v>
      </c>
      <c r="F1850" s="23">
        <v>1174.4000000000001</v>
      </c>
      <c r="G1850" s="22" t="s">
        <v>2399</v>
      </c>
      <c r="H1850" s="22"/>
      <c r="I1850" t="s">
        <v>2401</v>
      </c>
      <c r="K1850" s="24">
        <f t="shared" si="31"/>
        <v>0</v>
      </c>
    </row>
    <row r="1851" spans="1:11" hidden="1" x14ac:dyDescent="0.3">
      <c r="A1851" s="21">
        <v>45337</v>
      </c>
      <c r="B1851" t="s">
        <v>2195</v>
      </c>
      <c r="C1851" s="22" t="s">
        <v>1536</v>
      </c>
      <c r="D1851" s="23">
        <v>373</v>
      </c>
      <c r="E1851" s="23">
        <v>0</v>
      </c>
      <c r="F1851" s="23">
        <v>801.4</v>
      </c>
      <c r="G1851" s="22" t="s">
        <v>2399</v>
      </c>
      <c r="H1851" s="22"/>
      <c r="I1851" t="s">
        <v>2401</v>
      </c>
      <c r="K1851" s="24">
        <f t="shared" si="31"/>
        <v>0</v>
      </c>
    </row>
    <row r="1852" spans="1:11" hidden="1" x14ac:dyDescent="0.3">
      <c r="A1852" s="21">
        <v>45337</v>
      </c>
      <c r="B1852" t="s">
        <v>2638</v>
      </c>
      <c r="C1852" s="22" t="s">
        <v>1152</v>
      </c>
      <c r="D1852" s="23">
        <v>10</v>
      </c>
      <c r="E1852" s="23">
        <v>0</v>
      </c>
      <c r="F1852" s="23">
        <v>73190.62</v>
      </c>
      <c r="G1852" s="22" t="s">
        <v>2399</v>
      </c>
      <c r="H1852" s="22"/>
      <c r="I1852" t="s">
        <v>2400</v>
      </c>
      <c r="K1852" s="24">
        <f t="shared" si="31"/>
        <v>-72399.22</v>
      </c>
    </row>
    <row r="1853" spans="1:11" hidden="1" x14ac:dyDescent="0.3">
      <c r="A1853" s="21">
        <v>45338</v>
      </c>
      <c r="B1853" t="s">
        <v>496</v>
      </c>
      <c r="C1853" s="22"/>
      <c r="D1853" s="23">
        <v>0</v>
      </c>
      <c r="E1853" s="23">
        <v>32534.16</v>
      </c>
      <c r="F1853" s="23">
        <v>82021.919999999998</v>
      </c>
      <c r="G1853" s="22" t="s">
        <v>2406</v>
      </c>
      <c r="H1853" s="22"/>
      <c r="I1853" t="s">
        <v>2403</v>
      </c>
      <c r="K1853" s="24">
        <f t="shared" si="31"/>
        <v>23702.86</v>
      </c>
    </row>
    <row r="1854" spans="1:11" hidden="1" x14ac:dyDescent="0.3">
      <c r="A1854" s="21">
        <v>45338</v>
      </c>
      <c r="B1854" t="s">
        <v>133</v>
      </c>
      <c r="C1854" s="22"/>
      <c r="D1854" s="23">
        <v>159.31</v>
      </c>
      <c r="E1854" s="23">
        <v>0</v>
      </c>
      <c r="F1854" s="23">
        <v>81862.61</v>
      </c>
      <c r="G1854" s="22" t="s">
        <v>2406</v>
      </c>
      <c r="H1854" s="22"/>
      <c r="I1854" t="s">
        <v>2403</v>
      </c>
      <c r="K1854" s="24">
        <f t="shared" si="31"/>
        <v>0</v>
      </c>
    </row>
    <row r="1855" spans="1:11" hidden="1" x14ac:dyDescent="0.3">
      <c r="A1855" s="21">
        <v>45338</v>
      </c>
      <c r="B1855" t="s">
        <v>496</v>
      </c>
      <c r="C1855" s="22"/>
      <c r="D1855" s="23">
        <v>0</v>
      </c>
      <c r="E1855" s="23">
        <v>1447.36</v>
      </c>
      <c r="F1855" s="23">
        <v>83309.97</v>
      </c>
      <c r="G1855" s="22" t="s">
        <v>2406</v>
      </c>
      <c r="H1855" s="22"/>
      <c r="I1855" t="s">
        <v>2403</v>
      </c>
      <c r="K1855" s="24">
        <f t="shared" si="31"/>
        <v>0</v>
      </c>
    </row>
    <row r="1856" spans="1:11" hidden="1" x14ac:dyDescent="0.3">
      <c r="A1856" s="21">
        <v>45338</v>
      </c>
      <c r="B1856" t="s">
        <v>2196</v>
      </c>
      <c r="C1856" s="22" t="s">
        <v>1536</v>
      </c>
      <c r="D1856" s="23">
        <v>20</v>
      </c>
      <c r="E1856" s="23">
        <v>0</v>
      </c>
      <c r="F1856" s="23">
        <v>781.4</v>
      </c>
      <c r="G1856" s="22" t="s">
        <v>2408</v>
      </c>
      <c r="H1856" s="22"/>
      <c r="I1856" t="s">
        <v>2401</v>
      </c>
      <c r="K1856" s="24">
        <f t="shared" si="31"/>
        <v>82508.570000000007</v>
      </c>
    </row>
    <row r="1857" spans="1:11" hidden="1" x14ac:dyDescent="0.3">
      <c r="A1857" s="21">
        <v>45339</v>
      </c>
      <c r="B1857" t="s">
        <v>2197</v>
      </c>
      <c r="C1857" s="22" t="s">
        <v>1536</v>
      </c>
      <c r="D1857" s="23">
        <v>0</v>
      </c>
      <c r="E1857" s="23">
        <v>55.28</v>
      </c>
      <c r="F1857" s="23">
        <v>836.68</v>
      </c>
      <c r="G1857" s="22" t="s">
        <v>2399</v>
      </c>
      <c r="H1857" s="22"/>
      <c r="I1857" t="s">
        <v>2401</v>
      </c>
      <c r="K1857" s="24">
        <f t="shared" si="31"/>
        <v>0</v>
      </c>
    </row>
    <row r="1858" spans="1:11" hidden="1" x14ac:dyDescent="0.3">
      <c r="A1858" s="21">
        <v>45339</v>
      </c>
      <c r="B1858" t="s">
        <v>2439</v>
      </c>
      <c r="C1858" s="22"/>
      <c r="D1858" s="23">
        <v>0</v>
      </c>
      <c r="E1858" s="23">
        <v>6</v>
      </c>
      <c r="F1858" s="23">
        <v>73196.62</v>
      </c>
      <c r="G1858" s="22" t="s">
        <v>2409</v>
      </c>
      <c r="H1858" s="22"/>
      <c r="I1858" t="s">
        <v>2400</v>
      </c>
      <c r="K1858" s="24">
        <f t="shared" si="31"/>
        <v>-72353.94</v>
      </c>
    </row>
    <row r="1859" spans="1:11" hidden="1" x14ac:dyDescent="0.3">
      <c r="A1859" s="21">
        <v>45340</v>
      </c>
      <c r="B1859" t="s">
        <v>2198</v>
      </c>
      <c r="C1859" s="22" t="s">
        <v>1536</v>
      </c>
      <c r="D1859" s="23">
        <v>538.15</v>
      </c>
      <c r="E1859" s="23">
        <v>0</v>
      </c>
      <c r="F1859" s="23">
        <v>298.52999999999997</v>
      </c>
      <c r="G1859" s="22" t="s">
        <v>2399</v>
      </c>
      <c r="H1859" s="22"/>
      <c r="I1859" t="s">
        <v>2401</v>
      </c>
      <c r="K1859" s="24">
        <f t="shared" ref="K1859:K1922" si="32">F1858-D1859+E1859-F1859</f>
        <v>72359.94</v>
      </c>
    </row>
    <row r="1860" spans="1:11" hidden="1" x14ac:dyDescent="0.3">
      <c r="A1860" s="21">
        <v>45340</v>
      </c>
      <c r="B1860" t="s">
        <v>2199</v>
      </c>
      <c r="C1860" s="22" t="s">
        <v>1536</v>
      </c>
      <c r="D1860" s="23">
        <v>0</v>
      </c>
      <c r="E1860" s="23">
        <v>538.15</v>
      </c>
      <c r="F1860" s="23">
        <v>836.68</v>
      </c>
      <c r="G1860" s="22" t="s">
        <v>2399</v>
      </c>
      <c r="H1860" s="22"/>
      <c r="I1860" t="s">
        <v>2401</v>
      </c>
      <c r="K1860" s="24">
        <f t="shared" si="32"/>
        <v>0</v>
      </c>
    </row>
    <row r="1861" spans="1:11" hidden="1" x14ac:dyDescent="0.3">
      <c r="A1861" s="21">
        <v>45340</v>
      </c>
      <c r="B1861" t="s">
        <v>2639</v>
      </c>
      <c r="C1861" s="22" t="s">
        <v>1143</v>
      </c>
      <c r="D1861" s="23">
        <v>1134.5</v>
      </c>
      <c r="E1861" s="23">
        <v>0</v>
      </c>
      <c r="F1861" s="23">
        <v>72062.12</v>
      </c>
      <c r="G1861" s="22" t="s">
        <v>2399</v>
      </c>
      <c r="H1861" s="22"/>
      <c r="I1861" t="s">
        <v>2400</v>
      </c>
      <c r="K1861" s="24">
        <f t="shared" si="32"/>
        <v>-72359.94</v>
      </c>
    </row>
    <row r="1862" spans="1:11" hidden="1" x14ac:dyDescent="0.3">
      <c r="A1862" s="21">
        <v>45340</v>
      </c>
      <c r="B1862" t="s">
        <v>2640</v>
      </c>
      <c r="C1862" s="22" t="s">
        <v>1143</v>
      </c>
      <c r="D1862" s="23">
        <v>187.25</v>
      </c>
      <c r="E1862" s="23">
        <v>0</v>
      </c>
      <c r="F1862" s="23">
        <v>71874.87</v>
      </c>
      <c r="G1862" s="22" t="s">
        <v>2399</v>
      </c>
      <c r="H1862" s="22"/>
      <c r="I1862" t="s">
        <v>2400</v>
      </c>
      <c r="K1862" s="24">
        <f t="shared" si="32"/>
        <v>0</v>
      </c>
    </row>
    <row r="1863" spans="1:11" hidden="1" x14ac:dyDescent="0.3">
      <c r="A1863" s="21">
        <v>45341</v>
      </c>
      <c r="B1863" t="s">
        <v>133</v>
      </c>
      <c r="C1863" s="22"/>
      <c r="D1863" s="23">
        <v>435.18</v>
      </c>
      <c r="E1863" s="23">
        <v>0</v>
      </c>
      <c r="F1863" s="23">
        <v>82874.789999999994</v>
      </c>
      <c r="G1863" s="22" t="s">
        <v>2406</v>
      </c>
      <c r="H1863" s="22"/>
      <c r="I1863" t="s">
        <v>2403</v>
      </c>
      <c r="K1863" s="24">
        <f t="shared" si="32"/>
        <v>-11435.099999999991</v>
      </c>
    </row>
    <row r="1864" spans="1:11" hidden="1" x14ac:dyDescent="0.3">
      <c r="A1864" s="21">
        <v>45342</v>
      </c>
      <c r="B1864" t="s">
        <v>496</v>
      </c>
      <c r="C1864" s="22"/>
      <c r="D1864" s="23">
        <v>0</v>
      </c>
      <c r="E1864" s="23">
        <v>7216.93</v>
      </c>
      <c r="F1864" s="23">
        <v>90091.72</v>
      </c>
      <c r="G1864" s="22" t="s">
        <v>2406</v>
      </c>
      <c r="H1864" s="22"/>
      <c r="I1864" t="s">
        <v>2403</v>
      </c>
      <c r="K1864" s="24">
        <f t="shared" si="32"/>
        <v>0</v>
      </c>
    </row>
    <row r="1865" spans="1:11" hidden="1" x14ac:dyDescent="0.3">
      <c r="A1865" s="21">
        <v>45342</v>
      </c>
      <c r="B1865" t="s">
        <v>496</v>
      </c>
      <c r="C1865" s="22"/>
      <c r="D1865" s="23">
        <v>0</v>
      </c>
      <c r="E1865" s="23">
        <v>23823.55</v>
      </c>
      <c r="F1865" s="23">
        <v>113915.27</v>
      </c>
      <c r="G1865" s="22" t="s">
        <v>2406</v>
      </c>
      <c r="H1865" s="22"/>
      <c r="I1865" t="s">
        <v>2403</v>
      </c>
      <c r="K1865" s="24">
        <f t="shared" si="32"/>
        <v>0</v>
      </c>
    </row>
    <row r="1866" spans="1:11" hidden="1" x14ac:dyDescent="0.3">
      <c r="A1866" s="21">
        <v>45342</v>
      </c>
      <c r="B1866" t="s">
        <v>133</v>
      </c>
      <c r="C1866" s="22"/>
      <c r="D1866" s="23">
        <v>145.06</v>
      </c>
      <c r="E1866" s="23">
        <v>0</v>
      </c>
      <c r="F1866" s="23">
        <v>113770.21</v>
      </c>
      <c r="G1866" s="22" t="s">
        <v>2406</v>
      </c>
      <c r="H1866" s="22"/>
      <c r="I1866" t="s">
        <v>2403</v>
      </c>
      <c r="K1866" s="24">
        <f t="shared" si="32"/>
        <v>0</v>
      </c>
    </row>
    <row r="1867" spans="1:11" hidden="1" x14ac:dyDescent="0.3">
      <c r="A1867" s="21">
        <v>45342</v>
      </c>
      <c r="B1867" t="s">
        <v>2200</v>
      </c>
      <c r="C1867" s="22" t="s">
        <v>1536</v>
      </c>
      <c r="D1867" s="23">
        <v>0</v>
      </c>
      <c r="E1867" s="23">
        <v>5000</v>
      </c>
      <c r="F1867" s="23">
        <v>5836.68</v>
      </c>
      <c r="G1867" s="22" t="s">
        <v>2399</v>
      </c>
      <c r="H1867" s="22"/>
      <c r="I1867" t="s">
        <v>2401</v>
      </c>
      <c r="K1867" s="24">
        <f t="shared" si="32"/>
        <v>112933.53</v>
      </c>
    </row>
    <row r="1868" spans="1:11" hidden="1" x14ac:dyDescent="0.3">
      <c r="A1868" s="21">
        <v>45342</v>
      </c>
      <c r="B1868" t="s">
        <v>2641</v>
      </c>
      <c r="C1868" s="22" t="s">
        <v>1161</v>
      </c>
      <c r="D1868" s="23">
        <v>5000</v>
      </c>
      <c r="E1868" s="23">
        <v>0</v>
      </c>
      <c r="F1868" s="23">
        <v>66874.87</v>
      </c>
      <c r="G1868" s="22" t="s">
        <v>2399</v>
      </c>
      <c r="H1868" s="22"/>
      <c r="I1868" t="s">
        <v>2400</v>
      </c>
      <c r="K1868" s="24">
        <f t="shared" si="32"/>
        <v>-66038.19</v>
      </c>
    </row>
    <row r="1869" spans="1:11" hidden="1" x14ac:dyDescent="0.3">
      <c r="A1869" s="21">
        <v>45343</v>
      </c>
      <c r="B1869" t="s">
        <v>496</v>
      </c>
      <c r="C1869" s="22"/>
      <c r="D1869" s="23">
        <v>0</v>
      </c>
      <c r="E1869" s="23">
        <v>1837.18</v>
      </c>
      <c r="F1869" s="23">
        <v>115607.39</v>
      </c>
      <c r="G1869" s="22" t="s">
        <v>2406</v>
      </c>
      <c r="H1869" s="22"/>
      <c r="I1869" t="s">
        <v>2403</v>
      </c>
      <c r="K1869" s="24">
        <f t="shared" si="32"/>
        <v>-46895.340000000011</v>
      </c>
    </row>
    <row r="1870" spans="1:11" hidden="1" x14ac:dyDescent="0.3">
      <c r="A1870" s="21">
        <v>45343</v>
      </c>
      <c r="B1870" t="s">
        <v>133</v>
      </c>
      <c r="C1870" s="22"/>
      <c r="D1870" s="23">
        <v>139.5</v>
      </c>
      <c r="E1870" s="23">
        <v>0</v>
      </c>
      <c r="F1870" s="23">
        <v>115467.89</v>
      </c>
      <c r="G1870" s="22" t="s">
        <v>2406</v>
      </c>
      <c r="H1870" s="22"/>
      <c r="I1870" t="s">
        <v>2403</v>
      </c>
      <c r="K1870" s="24">
        <f t="shared" si="32"/>
        <v>0</v>
      </c>
    </row>
    <row r="1871" spans="1:11" hidden="1" x14ac:dyDescent="0.3">
      <c r="A1871" s="21">
        <v>45343</v>
      </c>
      <c r="B1871" t="s">
        <v>133</v>
      </c>
      <c r="C1871" s="22"/>
      <c r="D1871" s="23">
        <v>2183.3000000000002</v>
      </c>
      <c r="E1871" s="23">
        <v>0</v>
      </c>
      <c r="F1871" s="23">
        <v>113284.59</v>
      </c>
      <c r="G1871" s="22" t="s">
        <v>2406</v>
      </c>
      <c r="H1871" s="22"/>
      <c r="I1871" t="s">
        <v>2403</v>
      </c>
      <c r="K1871" s="24">
        <f t="shared" si="32"/>
        <v>0</v>
      </c>
    </row>
    <row r="1872" spans="1:11" hidden="1" x14ac:dyDescent="0.3">
      <c r="A1872" s="21">
        <v>45343</v>
      </c>
      <c r="B1872" t="s">
        <v>2201</v>
      </c>
      <c r="C1872" s="22" t="s">
        <v>1536</v>
      </c>
      <c r="D1872" s="23">
        <v>1000</v>
      </c>
      <c r="E1872" s="23">
        <v>0</v>
      </c>
      <c r="F1872" s="23">
        <v>4836.68</v>
      </c>
      <c r="G1872" s="22" t="s">
        <v>2574</v>
      </c>
      <c r="H1872" s="22"/>
      <c r="I1872" t="s">
        <v>2401</v>
      </c>
      <c r="K1872" s="24">
        <f t="shared" si="32"/>
        <v>107447.91</v>
      </c>
    </row>
    <row r="1873" spans="1:11" hidden="1" x14ac:dyDescent="0.3">
      <c r="A1873" s="21">
        <v>45343</v>
      </c>
      <c r="B1873" t="s">
        <v>2202</v>
      </c>
      <c r="C1873" s="22" t="s">
        <v>1536</v>
      </c>
      <c r="D1873" s="23">
        <v>1000</v>
      </c>
      <c r="E1873" s="23">
        <v>0</v>
      </c>
      <c r="F1873" s="23">
        <v>3836.68</v>
      </c>
      <c r="G1873" s="22" t="s">
        <v>2575</v>
      </c>
      <c r="H1873" s="22"/>
      <c r="I1873" t="s">
        <v>2401</v>
      </c>
      <c r="K1873" s="24">
        <f t="shared" si="32"/>
        <v>0</v>
      </c>
    </row>
    <row r="1874" spans="1:11" hidden="1" x14ac:dyDescent="0.3">
      <c r="A1874" s="21">
        <v>45343</v>
      </c>
      <c r="B1874" t="s">
        <v>2203</v>
      </c>
      <c r="C1874" s="22" t="s">
        <v>1536</v>
      </c>
      <c r="D1874" s="23">
        <v>40</v>
      </c>
      <c r="E1874" s="23">
        <v>0</v>
      </c>
      <c r="F1874" s="23">
        <v>3796.68</v>
      </c>
      <c r="G1874" s="22" t="s">
        <v>2408</v>
      </c>
      <c r="H1874" s="22"/>
      <c r="I1874" t="s">
        <v>2401</v>
      </c>
      <c r="K1874" s="24">
        <f t="shared" si="32"/>
        <v>0</v>
      </c>
    </row>
    <row r="1875" spans="1:11" hidden="1" x14ac:dyDescent="0.3">
      <c r="A1875" s="21">
        <v>45343</v>
      </c>
      <c r="B1875" t="s">
        <v>2204</v>
      </c>
      <c r="C1875" s="22" t="s">
        <v>1536</v>
      </c>
      <c r="D1875" s="23">
        <v>50</v>
      </c>
      <c r="E1875" s="23">
        <v>0</v>
      </c>
      <c r="F1875" s="23">
        <v>3746.68</v>
      </c>
      <c r="G1875" s="22" t="s">
        <v>2408</v>
      </c>
      <c r="H1875" s="22"/>
      <c r="I1875" t="s">
        <v>2401</v>
      </c>
      <c r="K1875" s="24">
        <f t="shared" si="32"/>
        <v>0</v>
      </c>
    </row>
    <row r="1876" spans="1:11" hidden="1" x14ac:dyDescent="0.3">
      <c r="A1876" s="21">
        <v>45344</v>
      </c>
      <c r="B1876" t="s">
        <v>133</v>
      </c>
      <c r="C1876" s="22"/>
      <c r="D1876" s="23">
        <v>139.38</v>
      </c>
      <c r="E1876" s="23">
        <v>0</v>
      </c>
      <c r="F1876" s="23">
        <v>113145.21</v>
      </c>
      <c r="G1876" s="22" t="s">
        <v>2406</v>
      </c>
      <c r="H1876" s="22"/>
      <c r="I1876" t="s">
        <v>2403</v>
      </c>
      <c r="K1876" s="24">
        <f t="shared" si="32"/>
        <v>-109537.91</v>
      </c>
    </row>
    <row r="1877" spans="1:11" hidden="1" x14ac:dyDescent="0.3">
      <c r="A1877" s="21">
        <v>45344</v>
      </c>
      <c r="B1877" t="s">
        <v>939</v>
      </c>
      <c r="C1877" s="22"/>
      <c r="D1877" s="23">
        <v>0</v>
      </c>
      <c r="E1877" s="23">
        <v>52.5</v>
      </c>
      <c r="F1877" s="23">
        <v>113197.71</v>
      </c>
      <c r="G1877" s="22" t="s">
        <v>2409</v>
      </c>
      <c r="H1877" s="22"/>
      <c r="I1877" t="s">
        <v>2403</v>
      </c>
      <c r="K1877" s="24">
        <f t="shared" si="32"/>
        <v>0</v>
      </c>
    </row>
    <row r="1878" spans="1:11" hidden="1" x14ac:dyDescent="0.3">
      <c r="A1878" s="21">
        <v>45344</v>
      </c>
      <c r="B1878" t="s">
        <v>133</v>
      </c>
      <c r="C1878" s="22"/>
      <c r="D1878" s="23">
        <v>23164.73</v>
      </c>
      <c r="E1878" s="23">
        <v>0</v>
      </c>
      <c r="F1878" s="23">
        <v>90032.98</v>
      </c>
      <c r="G1878" s="22" t="s">
        <v>2406</v>
      </c>
      <c r="H1878" s="22"/>
      <c r="I1878" t="s">
        <v>2403</v>
      </c>
      <c r="K1878" s="24">
        <f t="shared" si="32"/>
        <v>0</v>
      </c>
    </row>
    <row r="1879" spans="1:11" hidden="1" x14ac:dyDescent="0.3">
      <c r="A1879" s="21">
        <v>45345</v>
      </c>
      <c r="B1879" t="s">
        <v>133</v>
      </c>
      <c r="C1879" s="22"/>
      <c r="D1879" s="23">
        <v>131.13</v>
      </c>
      <c r="E1879" s="23">
        <v>0</v>
      </c>
      <c r="F1879" s="23">
        <v>89901.85</v>
      </c>
      <c r="G1879" s="22" t="s">
        <v>2406</v>
      </c>
      <c r="H1879" s="22"/>
      <c r="I1879" t="s">
        <v>2403</v>
      </c>
      <c r="K1879" s="24">
        <f t="shared" si="32"/>
        <v>0</v>
      </c>
    </row>
    <row r="1880" spans="1:11" hidden="1" x14ac:dyDescent="0.3">
      <c r="A1880" s="21">
        <v>45345</v>
      </c>
      <c r="B1880" t="s">
        <v>496</v>
      </c>
      <c r="C1880" s="22"/>
      <c r="D1880" s="23">
        <v>0</v>
      </c>
      <c r="E1880" s="23">
        <v>14593.32</v>
      </c>
      <c r="F1880" s="23">
        <v>104495.17</v>
      </c>
      <c r="G1880" s="22" t="s">
        <v>2406</v>
      </c>
      <c r="H1880" s="22"/>
      <c r="I1880" t="s">
        <v>2403</v>
      </c>
      <c r="K1880" s="24">
        <f t="shared" si="32"/>
        <v>0</v>
      </c>
    </row>
    <row r="1881" spans="1:11" hidden="1" x14ac:dyDescent="0.3">
      <c r="A1881" s="21">
        <v>45345</v>
      </c>
      <c r="B1881" t="s">
        <v>2205</v>
      </c>
      <c r="C1881" s="22" t="s">
        <v>1536</v>
      </c>
      <c r="D1881" s="23">
        <v>40</v>
      </c>
      <c r="E1881" s="23">
        <v>0</v>
      </c>
      <c r="F1881" s="23">
        <v>3706.68</v>
      </c>
      <c r="G1881" s="22" t="s">
        <v>2408</v>
      </c>
      <c r="H1881" s="22"/>
      <c r="I1881" t="s">
        <v>2401</v>
      </c>
      <c r="K1881" s="24">
        <f t="shared" si="32"/>
        <v>100748.49</v>
      </c>
    </row>
    <row r="1882" spans="1:11" hidden="1" x14ac:dyDescent="0.3">
      <c r="A1882" s="21">
        <v>45345</v>
      </c>
      <c r="B1882" t="s">
        <v>2206</v>
      </c>
      <c r="C1882" s="22" t="s">
        <v>1536</v>
      </c>
      <c r="D1882" s="23">
        <v>40</v>
      </c>
      <c r="E1882" s="23">
        <v>0</v>
      </c>
      <c r="F1882" s="23">
        <v>3666.68</v>
      </c>
      <c r="G1882" s="22" t="s">
        <v>2408</v>
      </c>
      <c r="H1882" s="22"/>
      <c r="I1882" t="s">
        <v>2401</v>
      </c>
      <c r="K1882" s="24">
        <f t="shared" si="32"/>
        <v>0</v>
      </c>
    </row>
    <row r="1883" spans="1:11" hidden="1" x14ac:dyDescent="0.3">
      <c r="A1883" s="21">
        <v>45347</v>
      </c>
      <c r="B1883" t="s">
        <v>2207</v>
      </c>
      <c r="C1883" s="22" t="s">
        <v>1536</v>
      </c>
      <c r="D1883" s="23">
        <v>2000</v>
      </c>
      <c r="E1883" s="23">
        <v>0</v>
      </c>
      <c r="F1883" s="23">
        <v>1666.68</v>
      </c>
      <c r="G1883" s="22" t="s">
        <v>2611</v>
      </c>
      <c r="H1883" s="22"/>
      <c r="I1883" t="s">
        <v>2401</v>
      </c>
      <c r="K1883" s="24">
        <f t="shared" si="32"/>
        <v>0</v>
      </c>
    </row>
    <row r="1884" spans="1:11" hidden="1" x14ac:dyDescent="0.3">
      <c r="A1884" s="21">
        <v>45348</v>
      </c>
      <c r="B1884" t="s">
        <v>496</v>
      </c>
      <c r="C1884" s="22"/>
      <c r="D1884" s="23">
        <v>0</v>
      </c>
      <c r="E1884" s="23">
        <v>7777.98</v>
      </c>
      <c r="F1884" s="23">
        <v>112273.15</v>
      </c>
      <c r="G1884" s="22" t="s">
        <v>2406</v>
      </c>
      <c r="H1884" s="22"/>
      <c r="I1884" t="s">
        <v>2403</v>
      </c>
      <c r="K1884" s="24">
        <f t="shared" si="32"/>
        <v>-102828.48999999999</v>
      </c>
    </row>
    <row r="1885" spans="1:11" hidden="1" x14ac:dyDescent="0.3">
      <c r="A1885" s="21">
        <v>45348</v>
      </c>
      <c r="B1885" t="s">
        <v>133</v>
      </c>
      <c r="C1885" s="22"/>
      <c r="D1885" s="23">
        <v>8031.85</v>
      </c>
      <c r="E1885" s="23">
        <v>0</v>
      </c>
      <c r="F1885" s="23">
        <v>104241.3</v>
      </c>
      <c r="G1885" s="22" t="s">
        <v>2406</v>
      </c>
      <c r="H1885" s="22"/>
      <c r="I1885" t="s">
        <v>2403</v>
      </c>
      <c r="K1885" s="24">
        <f t="shared" si="32"/>
        <v>0</v>
      </c>
    </row>
    <row r="1886" spans="1:11" hidden="1" x14ac:dyDescent="0.3">
      <c r="A1886" s="21">
        <v>45349</v>
      </c>
      <c r="B1886" t="s">
        <v>496</v>
      </c>
      <c r="C1886" s="22"/>
      <c r="D1886" s="23">
        <v>0</v>
      </c>
      <c r="E1886" s="23">
        <v>25818.62</v>
      </c>
      <c r="F1886" s="23">
        <v>130059.92</v>
      </c>
      <c r="G1886" s="22" t="s">
        <v>2406</v>
      </c>
      <c r="H1886" s="22"/>
      <c r="I1886" t="s">
        <v>2403</v>
      </c>
      <c r="K1886" s="24">
        <f t="shared" si="32"/>
        <v>0</v>
      </c>
    </row>
    <row r="1887" spans="1:11" hidden="1" x14ac:dyDescent="0.3">
      <c r="A1887" s="21">
        <v>45349</v>
      </c>
      <c r="B1887" t="s">
        <v>133</v>
      </c>
      <c r="C1887" s="22"/>
      <c r="D1887" s="23">
        <v>138.19</v>
      </c>
      <c r="E1887" s="23">
        <v>0</v>
      </c>
      <c r="F1887" s="23">
        <v>129921.73</v>
      </c>
      <c r="G1887" s="22" t="s">
        <v>2406</v>
      </c>
      <c r="H1887" s="22"/>
      <c r="I1887" t="s">
        <v>2403</v>
      </c>
      <c r="K1887" s="24">
        <f t="shared" si="32"/>
        <v>0</v>
      </c>
    </row>
    <row r="1888" spans="1:11" hidden="1" x14ac:dyDescent="0.3">
      <c r="A1888" s="21">
        <v>45349</v>
      </c>
      <c r="B1888" t="s">
        <v>948</v>
      </c>
      <c r="C1888" s="22"/>
      <c r="D1888" s="23">
        <v>0</v>
      </c>
      <c r="E1888" s="23">
        <v>230</v>
      </c>
      <c r="F1888" s="23">
        <v>130151.73</v>
      </c>
      <c r="G1888" s="22" t="s">
        <v>2409</v>
      </c>
      <c r="H1888" s="22"/>
      <c r="I1888" t="s">
        <v>2403</v>
      </c>
      <c r="K1888" s="24">
        <f t="shared" si="32"/>
        <v>0</v>
      </c>
    </row>
    <row r="1889" spans="1:11" hidden="1" x14ac:dyDescent="0.3">
      <c r="A1889" s="21">
        <v>45349</v>
      </c>
      <c r="B1889" t="s">
        <v>133</v>
      </c>
      <c r="C1889" s="22"/>
      <c r="D1889" s="23">
        <v>16855.75</v>
      </c>
      <c r="E1889" s="23">
        <v>0</v>
      </c>
      <c r="F1889" s="23">
        <v>113295.98</v>
      </c>
      <c r="G1889" s="22" t="s">
        <v>2406</v>
      </c>
      <c r="H1889" s="22"/>
      <c r="I1889" t="s">
        <v>2403</v>
      </c>
      <c r="K1889" s="24">
        <f t="shared" si="32"/>
        <v>0</v>
      </c>
    </row>
    <row r="1890" spans="1:11" hidden="1" x14ac:dyDescent="0.3">
      <c r="A1890" s="21">
        <v>45349</v>
      </c>
      <c r="B1890" t="s">
        <v>2208</v>
      </c>
      <c r="C1890" s="22" t="s">
        <v>1536</v>
      </c>
      <c r="D1890" s="23">
        <v>80</v>
      </c>
      <c r="E1890" s="23">
        <v>0</v>
      </c>
      <c r="F1890" s="23">
        <v>1586.68</v>
      </c>
      <c r="G1890" s="22" t="s">
        <v>2408</v>
      </c>
      <c r="H1890" s="22"/>
      <c r="I1890" t="s">
        <v>2401</v>
      </c>
      <c r="K1890" s="24">
        <f t="shared" si="32"/>
        <v>111629.3</v>
      </c>
    </row>
    <row r="1891" spans="1:11" hidden="1" x14ac:dyDescent="0.3">
      <c r="A1891" s="21">
        <v>45349</v>
      </c>
      <c r="B1891" t="s">
        <v>2642</v>
      </c>
      <c r="C1891" s="22"/>
      <c r="D1891" s="23">
        <v>0</v>
      </c>
      <c r="E1891" s="23">
        <v>125</v>
      </c>
      <c r="F1891" s="23">
        <v>66999.87</v>
      </c>
      <c r="G1891" s="22" t="s">
        <v>2409</v>
      </c>
      <c r="H1891" s="22"/>
      <c r="I1891" t="s">
        <v>2400</v>
      </c>
      <c r="K1891" s="24">
        <f t="shared" si="32"/>
        <v>-65288.189999999995</v>
      </c>
    </row>
    <row r="1892" spans="1:11" hidden="1" x14ac:dyDescent="0.3">
      <c r="A1892" s="21">
        <v>45349</v>
      </c>
      <c r="B1892" t="s">
        <v>2643</v>
      </c>
      <c r="C1892" s="22"/>
      <c r="D1892" s="23">
        <v>0</v>
      </c>
      <c r="E1892" s="23">
        <v>240</v>
      </c>
      <c r="F1892" s="23">
        <v>67239.87</v>
      </c>
      <c r="G1892" s="22" t="s">
        <v>2409</v>
      </c>
      <c r="H1892" s="22"/>
      <c r="I1892" t="s">
        <v>2400</v>
      </c>
      <c r="K1892" s="24">
        <f t="shared" si="32"/>
        <v>0</v>
      </c>
    </row>
    <row r="1893" spans="1:11" hidden="1" x14ac:dyDescent="0.3">
      <c r="A1893" s="21">
        <v>45350</v>
      </c>
      <c r="B1893" t="s">
        <v>496</v>
      </c>
      <c r="C1893" s="22"/>
      <c r="D1893" s="23">
        <v>0</v>
      </c>
      <c r="E1893" s="23">
        <v>45377.68</v>
      </c>
      <c r="F1893" s="23">
        <v>158673.66</v>
      </c>
      <c r="G1893" s="22" t="s">
        <v>2406</v>
      </c>
      <c r="H1893" s="22"/>
      <c r="I1893" t="s">
        <v>2403</v>
      </c>
      <c r="K1893" s="24">
        <f t="shared" si="32"/>
        <v>-46056.110000000015</v>
      </c>
    </row>
    <row r="1894" spans="1:11" hidden="1" x14ac:dyDescent="0.3">
      <c r="A1894" s="21">
        <v>45350</v>
      </c>
      <c r="B1894" t="s">
        <v>952</v>
      </c>
      <c r="C1894" s="22"/>
      <c r="D1894" s="23">
        <v>5000</v>
      </c>
      <c r="E1894" s="23">
        <v>0</v>
      </c>
      <c r="F1894" s="23">
        <v>153673.66</v>
      </c>
      <c r="G1894" s="22" t="s">
        <v>2442</v>
      </c>
      <c r="H1894" s="22"/>
      <c r="I1894" t="s">
        <v>2403</v>
      </c>
      <c r="K1894" s="24">
        <f t="shared" si="32"/>
        <v>0</v>
      </c>
    </row>
    <row r="1895" spans="1:11" hidden="1" x14ac:dyDescent="0.3">
      <c r="A1895" s="21">
        <v>45350</v>
      </c>
      <c r="B1895" t="s">
        <v>133</v>
      </c>
      <c r="C1895" s="22"/>
      <c r="D1895" s="23">
        <v>140.76</v>
      </c>
      <c r="E1895" s="23">
        <v>0</v>
      </c>
      <c r="F1895" s="23">
        <v>153532.9</v>
      </c>
      <c r="G1895" s="22" t="s">
        <v>2406</v>
      </c>
      <c r="H1895" s="22"/>
      <c r="I1895" t="s">
        <v>2403</v>
      </c>
      <c r="K1895" s="24">
        <f t="shared" si="32"/>
        <v>0</v>
      </c>
    </row>
    <row r="1896" spans="1:11" hidden="1" x14ac:dyDescent="0.3">
      <c r="A1896" s="21">
        <v>45350</v>
      </c>
      <c r="B1896" t="s">
        <v>133</v>
      </c>
      <c r="C1896" s="22"/>
      <c r="D1896" s="23">
        <v>49984.6</v>
      </c>
      <c r="E1896" s="23">
        <v>0</v>
      </c>
      <c r="F1896" s="23">
        <v>103548.3</v>
      </c>
      <c r="G1896" s="22" t="s">
        <v>2406</v>
      </c>
      <c r="H1896" s="22"/>
      <c r="I1896" t="s">
        <v>2403</v>
      </c>
      <c r="K1896" s="24">
        <f t="shared" si="32"/>
        <v>0</v>
      </c>
    </row>
    <row r="1897" spans="1:11" hidden="1" x14ac:dyDescent="0.3">
      <c r="A1897" s="21">
        <v>45350</v>
      </c>
      <c r="B1897" t="s">
        <v>2209</v>
      </c>
      <c r="C1897" s="22" t="s">
        <v>1536</v>
      </c>
      <c r="D1897" s="23">
        <v>30</v>
      </c>
      <c r="E1897" s="23">
        <v>0</v>
      </c>
      <c r="F1897" s="23">
        <v>1556.68</v>
      </c>
      <c r="G1897" s="22" t="s">
        <v>2408</v>
      </c>
      <c r="H1897" s="22"/>
      <c r="I1897" t="s">
        <v>2401</v>
      </c>
      <c r="K1897" s="24">
        <f t="shared" si="32"/>
        <v>101961.62000000001</v>
      </c>
    </row>
    <row r="1898" spans="1:11" hidden="1" x14ac:dyDescent="0.3">
      <c r="A1898" s="21">
        <v>45350</v>
      </c>
      <c r="B1898" t="s">
        <v>2210</v>
      </c>
      <c r="C1898" s="22" t="s">
        <v>1536</v>
      </c>
      <c r="D1898" s="23">
        <v>40</v>
      </c>
      <c r="E1898" s="23">
        <v>0</v>
      </c>
      <c r="F1898" s="23">
        <v>1516.68</v>
      </c>
      <c r="G1898" s="22" t="s">
        <v>2408</v>
      </c>
      <c r="H1898" s="22"/>
      <c r="I1898" t="s">
        <v>2401</v>
      </c>
      <c r="K1898" s="24">
        <f t="shared" si="32"/>
        <v>0</v>
      </c>
    </row>
    <row r="1899" spans="1:11" hidden="1" x14ac:dyDescent="0.3">
      <c r="A1899" s="21">
        <v>45350</v>
      </c>
      <c r="B1899" t="s">
        <v>2211</v>
      </c>
      <c r="C1899" s="22" t="s">
        <v>1536</v>
      </c>
      <c r="D1899" s="23">
        <v>50</v>
      </c>
      <c r="E1899" s="23">
        <v>0</v>
      </c>
      <c r="F1899" s="23">
        <v>1466.68</v>
      </c>
      <c r="G1899" s="22" t="s">
        <v>2408</v>
      </c>
      <c r="H1899" s="22"/>
      <c r="I1899" t="s">
        <v>2401</v>
      </c>
      <c r="K1899" s="24">
        <f t="shared" si="32"/>
        <v>0</v>
      </c>
    </row>
    <row r="1900" spans="1:11" hidden="1" x14ac:dyDescent="0.3">
      <c r="A1900" s="21">
        <v>45351</v>
      </c>
      <c r="B1900" t="s">
        <v>956</v>
      </c>
      <c r="C1900" s="22"/>
      <c r="D1900" s="23">
        <v>5000</v>
      </c>
      <c r="E1900" s="23">
        <v>0</v>
      </c>
      <c r="F1900" s="23">
        <v>98548.3</v>
      </c>
      <c r="G1900" s="22" t="s">
        <v>2442</v>
      </c>
      <c r="H1900" s="22"/>
      <c r="I1900" t="s">
        <v>2403</v>
      </c>
      <c r="K1900" s="24">
        <f t="shared" si="32"/>
        <v>-102081.62</v>
      </c>
    </row>
    <row r="1901" spans="1:11" hidden="1" x14ac:dyDescent="0.3">
      <c r="A1901" s="21">
        <v>45351</v>
      </c>
      <c r="B1901" t="s">
        <v>133</v>
      </c>
      <c r="C1901" s="22"/>
      <c r="D1901" s="23">
        <v>122.95</v>
      </c>
      <c r="E1901" s="23">
        <v>0</v>
      </c>
      <c r="F1901" s="23">
        <v>98425.35</v>
      </c>
      <c r="G1901" s="22" t="s">
        <v>2406</v>
      </c>
      <c r="H1901" s="22"/>
      <c r="I1901" t="s">
        <v>2403</v>
      </c>
      <c r="K1901" s="24">
        <f t="shared" si="32"/>
        <v>0</v>
      </c>
    </row>
    <row r="1902" spans="1:11" hidden="1" x14ac:dyDescent="0.3">
      <c r="A1902" s="21">
        <v>45351</v>
      </c>
      <c r="B1902" t="s">
        <v>959</v>
      </c>
      <c r="C1902" s="22"/>
      <c r="D1902" s="23">
        <v>0</v>
      </c>
      <c r="E1902" s="23">
        <v>63</v>
      </c>
      <c r="F1902" s="23">
        <v>98488.35</v>
      </c>
      <c r="G1902" s="22" t="s">
        <v>2409</v>
      </c>
      <c r="H1902" s="22"/>
      <c r="I1902" t="s">
        <v>2403</v>
      </c>
      <c r="K1902" s="24">
        <f t="shared" si="32"/>
        <v>0</v>
      </c>
    </row>
    <row r="1903" spans="1:11" hidden="1" x14ac:dyDescent="0.3">
      <c r="A1903" s="21">
        <v>45351</v>
      </c>
      <c r="B1903" t="s">
        <v>334</v>
      </c>
      <c r="C1903" s="22"/>
      <c r="D1903" s="23">
        <v>0</v>
      </c>
      <c r="E1903" s="23">
        <v>50000</v>
      </c>
      <c r="F1903" s="23">
        <v>148488.35</v>
      </c>
      <c r="G1903" s="22" t="s">
        <v>2422</v>
      </c>
      <c r="H1903" s="22"/>
      <c r="I1903" t="s">
        <v>2403</v>
      </c>
      <c r="K1903" s="24">
        <f t="shared" si="32"/>
        <v>0</v>
      </c>
    </row>
    <row r="1904" spans="1:11" hidden="1" x14ac:dyDescent="0.3">
      <c r="A1904" s="21">
        <v>45351</v>
      </c>
      <c r="B1904" t="s">
        <v>2212</v>
      </c>
      <c r="C1904" s="22" t="s">
        <v>1536</v>
      </c>
      <c r="D1904" s="23">
        <v>150</v>
      </c>
      <c r="E1904" s="23">
        <v>0</v>
      </c>
      <c r="F1904" s="23">
        <v>1316.68</v>
      </c>
      <c r="G1904" s="22" t="s">
        <v>2399</v>
      </c>
      <c r="H1904" s="22"/>
      <c r="I1904" t="s">
        <v>2401</v>
      </c>
      <c r="K1904" s="24">
        <f t="shared" si="32"/>
        <v>147021.67000000001</v>
      </c>
    </row>
    <row r="1905" spans="1:11" hidden="1" x14ac:dyDescent="0.3">
      <c r="A1905" s="21">
        <v>45351</v>
      </c>
      <c r="B1905" t="s">
        <v>2213</v>
      </c>
      <c r="C1905" s="22" t="s">
        <v>1536</v>
      </c>
      <c r="D1905" s="23">
        <v>140</v>
      </c>
      <c r="E1905" s="23">
        <v>0</v>
      </c>
      <c r="F1905" s="23">
        <v>1176.68</v>
      </c>
      <c r="G1905" s="22" t="s">
        <v>2399</v>
      </c>
      <c r="H1905" s="22"/>
      <c r="I1905" t="s">
        <v>2401</v>
      </c>
      <c r="K1905" s="24">
        <f t="shared" si="32"/>
        <v>0</v>
      </c>
    </row>
    <row r="1906" spans="1:11" hidden="1" x14ac:dyDescent="0.3">
      <c r="A1906" s="21">
        <v>45351</v>
      </c>
      <c r="B1906" t="s">
        <v>2214</v>
      </c>
      <c r="C1906" s="22" t="s">
        <v>1536</v>
      </c>
      <c r="D1906" s="23">
        <v>40</v>
      </c>
      <c r="E1906" s="23">
        <v>0</v>
      </c>
      <c r="F1906" s="23">
        <v>1136.68</v>
      </c>
      <c r="G1906" s="22" t="s">
        <v>2408</v>
      </c>
      <c r="H1906" s="22"/>
      <c r="I1906" t="s">
        <v>2401</v>
      </c>
      <c r="K1906" s="24">
        <f t="shared" si="32"/>
        <v>0</v>
      </c>
    </row>
    <row r="1907" spans="1:11" hidden="1" x14ac:dyDescent="0.3">
      <c r="A1907" s="21">
        <v>45351</v>
      </c>
      <c r="B1907" t="s">
        <v>2215</v>
      </c>
      <c r="C1907" s="22" t="s">
        <v>1536</v>
      </c>
      <c r="D1907" s="23">
        <v>100</v>
      </c>
      <c r="E1907" s="23">
        <v>0</v>
      </c>
      <c r="F1907" s="23">
        <v>1036.68</v>
      </c>
      <c r="G1907" s="22" t="s">
        <v>2399</v>
      </c>
      <c r="H1907" s="22"/>
      <c r="I1907" t="s">
        <v>2401</v>
      </c>
      <c r="K1907" s="24">
        <f t="shared" si="32"/>
        <v>0</v>
      </c>
    </row>
    <row r="1908" spans="1:11" hidden="1" x14ac:dyDescent="0.3">
      <c r="A1908" s="21">
        <v>45351</v>
      </c>
      <c r="B1908" t="s">
        <v>2216</v>
      </c>
      <c r="C1908" s="22" t="s">
        <v>1536</v>
      </c>
      <c r="D1908" s="23">
        <v>85</v>
      </c>
      <c r="E1908" s="23">
        <v>0</v>
      </c>
      <c r="F1908" s="23">
        <v>951.68</v>
      </c>
      <c r="G1908" s="22" t="s">
        <v>2408</v>
      </c>
      <c r="H1908" s="22"/>
      <c r="I1908" t="s">
        <v>2401</v>
      </c>
      <c r="K1908" s="24">
        <f t="shared" si="32"/>
        <v>0</v>
      </c>
    </row>
    <row r="1909" spans="1:11" hidden="1" x14ac:dyDescent="0.3">
      <c r="A1909" s="21">
        <v>45351</v>
      </c>
      <c r="B1909" t="s">
        <v>2217</v>
      </c>
      <c r="C1909" s="22" t="s">
        <v>1536</v>
      </c>
      <c r="D1909" s="23">
        <v>80</v>
      </c>
      <c r="E1909" s="23">
        <v>0</v>
      </c>
      <c r="F1909" s="23">
        <v>871.68</v>
      </c>
      <c r="G1909" s="22" t="s">
        <v>2408</v>
      </c>
      <c r="H1909" s="22"/>
      <c r="I1909" t="s">
        <v>2401</v>
      </c>
      <c r="K1909" s="24">
        <f t="shared" si="32"/>
        <v>0</v>
      </c>
    </row>
    <row r="1910" spans="1:11" hidden="1" x14ac:dyDescent="0.3">
      <c r="A1910" s="21">
        <v>45351</v>
      </c>
      <c r="B1910" t="s">
        <v>2644</v>
      </c>
      <c r="C1910" s="22" t="s">
        <v>1181</v>
      </c>
      <c r="D1910" s="23">
        <v>0</v>
      </c>
      <c r="E1910" s="23">
        <v>150</v>
      </c>
      <c r="F1910" s="23">
        <v>67389.87</v>
      </c>
      <c r="G1910" s="22" t="s">
        <v>2399</v>
      </c>
      <c r="H1910" s="22"/>
      <c r="I1910" t="s">
        <v>2400</v>
      </c>
      <c r="K1910" s="24">
        <f t="shared" si="32"/>
        <v>-66368.19</v>
      </c>
    </row>
    <row r="1911" spans="1:11" hidden="1" x14ac:dyDescent="0.3">
      <c r="A1911" s="21">
        <v>45352</v>
      </c>
      <c r="B1911" t="s">
        <v>496</v>
      </c>
      <c r="C1911" s="22" t="s">
        <v>962</v>
      </c>
      <c r="D1911" s="23">
        <v>0</v>
      </c>
      <c r="E1911" s="23">
        <v>13227.26</v>
      </c>
      <c r="F1911" s="23">
        <v>161715.60999999999</v>
      </c>
      <c r="G1911" s="22" t="s">
        <v>2406</v>
      </c>
      <c r="H1911" s="22"/>
      <c r="I1911" t="s">
        <v>2403</v>
      </c>
      <c r="K1911" s="24">
        <f t="shared" si="32"/>
        <v>-81098.48</v>
      </c>
    </row>
    <row r="1912" spans="1:11" hidden="1" x14ac:dyDescent="0.3">
      <c r="A1912" s="21">
        <v>45352</v>
      </c>
      <c r="B1912" t="s">
        <v>496</v>
      </c>
      <c r="C1912" s="22" t="s">
        <v>963</v>
      </c>
      <c r="D1912" s="23">
        <v>0</v>
      </c>
      <c r="E1912" s="23">
        <v>36237.339999999997</v>
      </c>
      <c r="F1912" s="23">
        <v>197952.95</v>
      </c>
      <c r="G1912" s="22" t="s">
        <v>2406</v>
      </c>
      <c r="H1912" s="22"/>
      <c r="I1912" t="s">
        <v>2403</v>
      </c>
      <c r="K1912" s="24">
        <f t="shared" si="32"/>
        <v>0</v>
      </c>
    </row>
    <row r="1913" spans="1:11" hidden="1" x14ac:dyDescent="0.3">
      <c r="A1913" s="21">
        <v>45352</v>
      </c>
      <c r="B1913" t="s">
        <v>133</v>
      </c>
      <c r="C1913" s="22" t="s">
        <v>964</v>
      </c>
      <c r="D1913" s="23">
        <v>122.95</v>
      </c>
      <c r="E1913" s="23">
        <v>0</v>
      </c>
      <c r="F1913" s="23">
        <v>197830</v>
      </c>
      <c r="G1913" s="22" t="s">
        <v>2406</v>
      </c>
      <c r="H1913" s="22"/>
      <c r="I1913" t="s">
        <v>2403</v>
      </c>
      <c r="K1913" s="24">
        <f t="shared" si="32"/>
        <v>0</v>
      </c>
    </row>
    <row r="1914" spans="1:11" hidden="1" x14ac:dyDescent="0.3">
      <c r="A1914" s="21">
        <v>45352</v>
      </c>
      <c r="B1914" t="s">
        <v>965</v>
      </c>
      <c r="C1914" s="22" t="s">
        <v>966</v>
      </c>
      <c r="D1914" s="23">
        <v>0</v>
      </c>
      <c r="E1914" s="23">
        <v>84</v>
      </c>
      <c r="F1914" s="23">
        <v>197914</v>
      </c>
      <c r="G1914" s="22" t="s">
        <v>2409</v>
      </c>
      <c r="H1914" s="22"/>
      <c r="I1914" t="s">
        <v>2403</v>
      </c>
      <c r="K1914" s="24">
        <f t="shared" si="32"/>
        <v>0</v>
      </c>
    </row>
    <row r="1915" spans="1:11" hidden="1" x14ac:dyDescent="0.3">
      <c r="A1915" s="21">
        <v>45352</v>
      </c>
      <c r="B1915" t="s">
        <v>496</v>
      </c>
      <c r="C1915" s="22" t="s">
        <v>967</v>
      </c>
      <c r="D1915" s="23">
        <v>0</v>
      </c>
      <c r="E1915" s="23">
        <v>1807.09</v>
      </c>
      <c r="F1915" s="23">
        <v>199721.09</v>
      </c>
      <c r="G1915" s="22" t="s">
        <v>2406</v>
      </c>
      <c r="H1915" s="22"/>
      <c r="I1915" t="s">
        <v>2403</v>
      </c>
      <c r="K1915" s="24">
        <f t="shared" si="32"/>
        <v>0</v>
      </c>
    </row>
    <row r="1916" spans="1:11" hidden="1" x14ac:dyDescent="0.3">
      <c r="A1916" s="21">
        <v>45352</v>
      </c>
      <c r="B1916" t="s">
        <v>2218</v>
      </c>
      <c r="C1916" s="22" t="s">
        <v>1536</v>
      </c>
      <c r="D1916" s="23">
        <v>20</v>
      </c>
      <c r="E1916" s="23">
        <v>0</v>
      </c>
      <c r="F1916" s="23">
        <v>851.68</v>
      </c>
      <c r="G1916" s="22" t="s">
        <v>2408</v>
      </c>
      <c r="H1916" s="22"/>
      <c r="I1916" t="s">
        <v>2401</v>
      </c>
      <c r="K1916" s="24">
        <f t="shared" si="32"/>
        <v>198849.41</v>
      </c>
    </row>
    <row r="1917" spans="1:11" hidden="1" x14ac:dyDescent="0.3">
      <c r="A1917" s="21">
        <v>45352</v>
      </c>
      <c r="B1917" t="s">
        <v>2219</v>
      </c>
      <c r="C1917" s="22" t="s">
        <v>1536</v>
      </c>
      <c r="D1917" s="23">
        <v>126</v>
      </c>
      <c r="E1917" s="23">
        <v>0</v>
      </c>
      <c r="F1917" s="23">
        <v>725.68</v>
      </c>
      <c r="G1917" s="22" t="s">
        <v>2399</v>
      </c>
      <c r="H1917" s="22"/>
      <c r="I1917" t="s">
        <v>2401</v>
      </c>
      <c r="K1917" s="24">
        <f t="shared" si="32"/>
        <v>0</v>
      </c>
    </row>
    <row r="1918" spans="1:11" hidden="1" x14ac:dyDescent="0.3">
      <c r="A1918" s="21">
        <v>45352</v>
      </c>
      <c r="B1918" t="s">
        <v>2220</v>
      </c>
      <c r="C1918" s="22" t="s">
        <v>1536</v>
      </c>
      <c r="D1918" s="23">
        <v>0</v>
      </c>
      <c r="E1918" s="23">
        <v>22500</v>
      </c>
      <c r="F1918" s="23">
        <v>23225.68</v>
      </c>
      <c r="G1918" s="22" t="s">
        <v>2581</v>
      </c>
      <c r="H1918" s="22"/>
      <c r="I1918" t="s">
        <v>2401</v>
      </c>
      <c r="K1918" s="24">
        <f t="shared" si="32"/>
        <v>0</v>
      </c>
    </row>
    <row r="1919" spans="1:11" hidden="1" x14ac:dyDescent="0.3">
      <c r="A1919" s="21">
        <v>45352</v>
      </c>
      <c r="B1919" t="s">
        <v>2221</v>
      </c>
      <c r="C1919" s="22" t="s">
        <v>1536</v>
      </c>
      <c r="D1919" s="23">
        <v>200</v>
      </c>
      <c r="E1919" s="23">
        <v>0</v>
      </c>
      <c r="F1919" s="23">
        <v>23025.68</v>
      </c>
      <c r="G1919" s="22" t="s">
        <v>2399</v>
      </c>
      <c r="H1919" s="22"/>
      <c r="I1919" t="s">
        <v>2401</v>
      </c>
      <c r="K1919" s="24">
        <f t="shared" si="32"/>
        <v>0</v>
      </c>
    </row>
    <row r="1920" spans="1:11" hidden="1" x14ac:dyDescent="0.3">
      <c r="A1920" s="21">
        <v>45352</v>
      </c>
      <c r="B1920" t="s">
        <v>2222</v>
      </c>
      <c r="C1920" s="22" t="s">
        <v>1536</v>
      </c>
      <c r="D1920" s="23">
        <v>1240</v>
      </c>
      <c r="E1920" s="23">
        <v>0</v>
      </c>
      <c r="F1920" s="23">
        <v>21785.68</v>
      </c>
      <c r="G1920" s="22" t="s">
        <v>2399</v>
      </c>
      <c r="H1920" s="22"/>
      <c r="I1920" t="s">
        <v>2401</v>
      </c>
      <c r="K1920" s="24">
        <f t="shared" si="32"/>
        <v>0</v>
      </c>
    </row>
    <row r="1921" spans="1:11" hidden="1" x14ac:dyDescent="0.3">
      <c r="A1921" s="21">
        <v>45352</v>
      </c>
      <c r="B1921" t="s">
        <v>2223</v>
      </c>
      <c r="C1921" s="22" t="s">
        <v>1536</v>
      </c>
      <c r="D1921" s="23">
        <v>100</v>
      </c>
      <c r="E1921" s="23">
        <v>0</v>
      </c>
      <c r="F1921" s="23">
        <v>21685.68</v>
      </c>
      <c r="G1921" s="22" t="s">
        <v>2408</v>
      </c>
      <c r="H1921" s="22"/>
      <c r="I1921" t="s">
        <v>2401</v>
      </c>
      <c r="K1921" s="24">
        <f t="shared" si="32"/>
        <v>0</v>
      </c>
    </row>
    <row r="1922" spans="1:11" hidden="1" x14ac:dyDescent="0.3">
      <c r="A1922" s="21">
        <v>45352</v>
      </c>
      <c r="B1922" t="s">
        <v>2224</v>
      </c>
      <c r="C1922" s="22" t="s">
        <v>1536</v>
      </c>
      <c r="D1922" s="23">
        <v>746</v>
      </c>
      <c r="E1922" s="23">
        <v>0</v>
      </c>
      <c r="F1922" s="23">
        <v>20939.68</v>
      </c>
      <c r="G1922" s="22" t="s">
        <v>2399</v>
      </c>
      <c r="H1922" s="22"/>
      <c r="I1922" t="s">
        <v>2401</v>
      </c>
      <c r="K1922" s="24">
        <f t="shared" si="32"/>
        <v>0</v>
      </c>
    </row>
    <row r="1923" spans="1:11" hidden="1" x14ac:dyDescent="0.3">
      <c r="A1923" s="21">
        <v>45352</v>
      </c>
      <c r="B1923" t="s">
        <v>2658</v>
      </c>
      <c r="C1923" s="22"/>
      <c r="D1923" s="23">
        <v>1859.05</v>
      </c>
      <c r="E1923" s="23">
        <v>0</v>
      </c>
      <c r="F1923" s="23">
        <v>65530.82</v>
      </c>
      <c r="G1923" s="41" t="s">
        <v>2419</v>
      </c>
      <c r="H1923" s="22"/>
      <c r="I1923" t="s">
        <v>2400</v>
      </c>
      <c r="K1923" s="24">
        <f t="shared" ref="K1923:K1986" si="33">F1922-D1923+E1923-F1923</f>
        <v>-46450.19</v>
      </c>
    </row>
    <row r="1924" spans="1:11" hidden="1" x14ac:dyDescent="0.3">
      <c r="A1924" s="21">
        <v>45353</v>
      </c>
      <c r="B1924" t="s">
        <v>968</v>
      </c>
      <c r="C1924" s="22" t="s">
        <v>969</v>
      </c>
      <c r="D1924" s="23">
        <v>50000</v>
      </c>
      <c r="E1924" s="23">
        <v>0</v>
      </c>
      <c r="F1924" s="23">
        <v>149721.09</v>
      </c>
      <c r="G1924" s="22" t="s">
        <v>2414</v>
      </c>
      <c r="H1924" s="22"/>
      <c r="I1924" t="s">
        <v>2403</v>
      </c>
      <c r="K1924" s="24">
        <f t="shared" si="33"/>
        <v>-134190.26999999999</v>
      </c>
    </row>
    <row r="1925" spans="1:11" hidden="1" x14ac:dyDescent="0.3">
      <c r="A1925" s="21">
        <v>45353</v>
      </c>
      <c r="B1925" t="s">
        <v>970</v>
      </c>
      <c r="C1925" s="22" t="s">
        <v>971</v>
      </c>
      <c r="D1925" s="23">
        <v>10000</v>
      </c>
      <c r="E1925" s="23">
        <v>0</v>
      </c>
      <c r="F1925" s="23">
        <v>139721.09</v>
      </c>
      <c r="G1925" s="22" t="s">
        <v>2510</v>
      </c>
      <c r="H1925" s="22"/>
      <c r="I1925" t="s">
        <v>2403</v>
      </c>
      <c r="K1925" s="24">
        <f t="shared" si="33"/>
        <v>0</v>
      </c>
    </row>
    <row r="1926" spans="1:11" hidden="1" x14ac:dyDescent="0.3">
      <c r="A1926" s="21">
        <v>45353</v>
      </c>
      <c r="B1926" t="s">
        <v>133</v>
      </c>
      <c r="C1926" s="22" t="s">
        <v>972</v>
      </c>
      <c r="D1926" s="23">
        <v>7149.85</v>
      </c>
      <c r="E1926" s="23">
        <v>0</v>
      </c>
      <c r="F1926" s="23">
        <v>132571.24</v>
      </c>
      <c r="G1926" s="22" t="s">
        <v>2406</v>
      </c>
      <c r="H1926" s="22"/>
      <c r="I1926" t="s">
        <v>2403</v>
      </c>
      <c r="K1926" s="24">
        <f t="shared" si="33"/>
        <v>0</v>
      </c>
    </row>
    <row r="1927" spans="1:11" hidden="1" x14ac:dyDescent="0.3">
      <c r="A1927" s="21">
        <v>45353</v>
      </c>
      <c r="B1927" t="s">
        <v>2225</v>
      </c>
      <c r="C1927" s="22" t="s">
        <v>1536</v>
      </c>
      <c r="D1927" s="23">
        <v>12</v>
      </c>
      <c r="E1927" s="23">
        <v>0</v>
      </c>
      <c r="F1927" s="23">
        <v>20927.68</v>
      </c>
      <c r="G1927" s="22" t="s">
        <v>2408</v>
      </c>
      <c r="H1927" s="22"/>
      <c r="I1927" t="s">
        <v>2401</v>
      </c>
      <c r="K1927" s="24">
        <f t="shared" si="33"/>
        <v>111631.56</v>
      </c>
    </row>
    <row r="1928" spans="1:11" hidden="1" x14ac:dyDescent="0.3">
      <c r="A1928" s="21">
        <v>45353</v>
      </c>
      <c r="B1928" t="s">
        <v>2226</v>
      </c>
      <c r="C1928" s="22" t="s">
        <v>1536</v>
      </c>
      <c r="D1928" s="23">
        <v>699</v>
      </c>
      <c r="E1928" s="23">
        <v>0</v>
      </c>
      <c r="F1928" s="23">
        <v>20228.68</v>
      </c>
      <c r="G1928" s="22" t="s">
        <v>2399</v>
      </c>
      <c r="H1928" s="22"/>
      <c r="I1928" t="s">
        <v>2401</v>
      </c>
      <c r="K1928" s="24">
        <f t="shared" si="33"/>
        <v>0</v>
      </c>
    </row>
    <row r="1929" spans="1:11" hidden="1" x14ac:dyDescent="0.3">
      <c r="A1929" s="21">
        <v>45353</v>
      </c>
      <c r="B1929" t="s">
        <v>2227</v>
      </c>
      <c r="C1929" s="22" t="s">
        <v>1536</v>
      </c>
      <c r="D1929" s="23">
        <v>62</v>
      </c>
      <c r="E1929" s="23">
        <v>0</v>
      </c>
      <c r="F1929" s="23">
        <v>20166.68</v>
      </c>
      <c r="G1929" s="22" t="s">
        <v>2408</v>
      </c>
      <c r="H1929" s="22"/>
      <c r="I1929" t="s">
        <v>2401</v>
      </c>
      <c r="K1929" s="24">
        <f t="shared" si="33"/>
        <v>0</v>
      </c>
    </row>
    <row r="1930" spans="1:11" hidden="1" x14ac:dyDescent="0.3">
      <c r="A1930" s="21">
        <v>45353</v>
      </c>
      <c r="B1930" t="s">
        <v>2228</v>
      </c>
      <c r="C1930" s="22" t="s">
        <v>1536</v>
      </c>
      <c r="D1930" s="23">
        <v>578</v>
      </c>
      <c r="E1930" s="23">
        <v>0</v>
      </c>
      <c r="F1930" s="23">
        <v>19588.68</v>
      </c>
      <c r="G1930" s="22" t="s">
        <v>2399</v>
      </c>
      <c r="H1930" s="22"/>
      <c r="I1930" t="s">
        <v>2401</v>
      </c>
      <c r="K1930" s="24">
        <f t="shared" si="33"/>
        <v>0</v>
      </c>
    </row>
    <row r="1931" spans="1:11" hidden="1" x14ac:dyDescent="0.3">
      <c r="A1931" s="21">
        <v>45353</v>
      </c>
      <c r="B1931" t="s">
        <v>2229</v>
      </c>
      <c r="C1931" s="22" t="s">
        <v>1536</v>
      </c>
      <c r="D1931" s="23">
        <v>484.25</v>
      </c>
      <c r="E1931" s="23">
        <v>0</v>
      </c>
      <c r="F1931" s="23">
        <v>19104.43</v>
      </c>
      <c r="G1931" s="22" t="s">
        <v>2399</v>
      </c>
      <c r="H1931" s="22"/>
      <c r="I1931" t="s">
        <v>2401</v>
      </c>
      <c r="K1931" s="24">
        <f t="shared" si="33"/>
        <v>0</v>
      </c>
    </row>
    <row r="1932" spans="1:11" hidden="1" x14ac:dyDescent="0.3">
      <c r="A1932" s="21">
        <v>45354</v>
      </c>
      <c r="B1932" t="s">
        <v>2230</v>
      </c>
      <c r="C1932" s="22" t="s">
        <v>1536</v>
      </c>
      <c r="D1932" s="23">
        <v>371</v>
      </c>
      <c r="E1932" s="23">
        <v>0</v>
      </c>
      <c r="F1932" s="23">
        <v>18733.43</v>
      </c>
      <c r="G1932" s="22" t="s">
        <v>2399</v>
      </c>
      <c r="H1932" s="22"/>
      <c r="I1932" t="s">
        <v>2401</v>
      </c>
      <c r="K1932" s="24">
        <f t="shared" si="33"/>
        <v>0</v>
      </c>
    </row>
    <row r="1933" spans="1:11" hidden="1" x14ac:dyDescent="0.3">
      <c r="A1933" s="21">
        <v>45354</v>
      </c>
      <c r="B1933" t="s">
        <v>2231</v>
      </c>
      <c r="C1933" s="22" t="s">
        <v>1536</v>
      </c>
      <c r="D1933" s="23">
        <v>263</v>
      </c>
      <c r="E1933" s="23">
        <v>0</v>
      </c>
      <c r="F1933" s="23">
        <v>18470.43</v>
      </c>
      <c r="G1933" s="22" t="s">
        <v>2399</v>
      </c>
      <c r="H1933" s="22"/>
      <c r="I1933" t="s">
        <v>2401</v>
      </c>
      <c r="K1933" s="24">
        <f t="shared" si="33"/>
        <v>0</v>
      </c>
    </row>
    <row r="1934" spans="1:11" hidden="1" x14ac:dyDescent="0.3">
      <c r="A1934" s="21">
        <v>45354</v>
      </c>
      <c r="B1934" t="s">
        <v>2232</v>
      </c>
      <c r="C1934" s="22" t="s">
        <v>1536</v>
      </c>
      <c r="D1934" s="23">
        <v>1000</v>
      </c>
      <c r="E1934" s="23">
        <v>0</v>
      </c>
      <c r="F1934" s="23">
        <v>17470.43</v>
      </c>
      <c r="G1934" s="22" t="s">
        <v>2602</v>
      </c>
      <c r="H1934" s="22"/>
      <c r="I1934" t="s">
        <v>2401</v>
      </c>
      <c r="K1934" s="24">
        <f t="shared" si="33"/>
        <v>0</v>
      </c>
    </row>
    <row r="1935" spans="1:11" hidden="1" x14ac:dyDescent="0.3">
      <c r="A1935" s="21">
        <v>45354</v>
      </c>
      <c r="B1935" t="s">
        <v>2233</v>
      </c>
      <c r="C1935" s="22" t="s">
        <v>1536</v>
      </c>
      <c r="D1935" s="23">
        <v>477</v>
      </c>
      <c r="E1935" s="23">
        <v>0</v>
      </c>
      <c r="F1935" s="23">
        <v>16993.43</v>
      </c>
      <c r="G1935" s="22" t="s">
        <v>2399</v>
      </c>
      <c r="H1935" s="22"/>
      <c r="I1935" t="s">
        <v>2401</v>
      </c>
      <c r="K1935" s="24">
        <f t="shared" si="33"/>
        <v>0</v>
      </c>
    </row>
    <row r="1936" spans="1:11" hidden="1" x14ac:dyDescent="0.3">
      <c r="A1936" s="21">
        <v>45354</v>
      </c>
      <c r="B1936" t="s">
        <v>2234</v>
      </c>
      <c r="C1936" s="22" t="s">
        <v>1536</v>
      </c>
      <c r="D1936" s="23">
        <v>103</v>
      </c>
      <c r="E1936" s="23">
        <v>0</v>
      </c>
      <c r="F1936" s="23">
        <v>16890.43</v>
      </c>
      <c r="G1936" s="22" t="s">
        <v>2399</v>
      </c>
      <c r="H1936" s="22"/>
      <c r="I1936" t="s">
        <v>2401</v>
      </c>
      <c r="K1936" s="24">
        <f t="shared" si="33"/>
        <v>0</v>
      </c>
    </row>
    <row r="1937" spans="1:11" hidden="1" x14ac:dyDescent="0.3">
      <c r="A1937" s="21">
        <v>45354</v>
      </c>
      <c r="B1937" t="s">
        <v>2235</v>
      </c>
      <c r="C1937" s="22" t="s">
        <v>1536</v>
      </c>
      <c r="D1937" s="23">
        <v>156</v>
      </c>
      <c r="E1937" s="23">
        <v>0</v>
      </c>
      <c r="F1937" s="23">
        <v>16734.43</v>
      </c>
      <c r="G1937" s="22" t="s">
        <v>2399</v>
      </c>
      <c r="H1937" s="22"/>
      <c r="I1937" t="s">
        <v>2401</v>
      </c>
      <c r="K1937" s="24">
        <f t="shared" si="33"/>
        <v>0</v>
      </c>
    </row>
    <row r="1938" spans="1:11" hidden="1" x14ac:dyDescent="0.3">
      <c r="A1938" s="21">
        <v>45354</v>
      </c>
      <c r="B1938" t="s">
        <v>2236</v>
      </c>
      <c r="C1938" s="22" t="s">
        <v>1536</v>
      </c>
      <c r="D1938" s="23">
        <v>32.58</v>
      </c>
      <c r="E1938" s="23">
        <v>0</v>
      </c>
      <c r="F1938" s="23">
        <v>16701.849999999999</v>
      </c>
      <c r="G1938" s="22" t="s">
        <v>2408</v>
      </c>
      <c r="H1938" s="22"/>
      <c r="I1938" t="s">
        <v>2401</v>
      </c>
      <c r="K1938" s="24">
        <f t="shared" si="33"/>
        <v>0</v>
      </c>
    </row>
    <row r="1939" spans="1:11" hidden="1" x14ac:dyDescent="0.3">
      <c r="A1939" s="21">
        <v>45354</v>
      </c>
      <c r="B1939" t="s">
        <v>2659</v>
      </c>
      <c r="C1939" s="22"/>
      <c r="D1939" s="23">
        <v>0</v>
      </c>
      <c r="E1939" s="23">
        <v>3500</v>
      </c>
      <c r="F1939" s="23">
        <v>69030.820000000007</v>
      </c>
      <c r="G1939" s="41" t="s">
        <v>2419</v>
      </c>
      <c r="H1939" s="22"/>
      <c r="I1939" t="s">
        <v>2400</v>
      </c>
      <c r="K1939" s="24">
        <f t="shared" si="33"/>
        <v>-48828.970000000008</v>
      </c>
    </row>
    <row r="1940" spans="1:11" hidden="1" x14ac:dyDescent="0.3">
      <c r="A1940" s="21">
        <v>45355</v>
      </c>
      <c r="B1940" t="s">
        <v>133</v>
      </c>
      <c r="C1940" s="22" t="s">
        <v>973</v>
      </c>
      <c r="D1940" s="23">
        <v>349.17</v>
      </c>
      <c r="E1940" s="23">
        <v>0</v>
      </c>
      <c r="F1940" s="23">
        <v>132222.07</v>
      </c>
      <c r="G1940" s="22" t="s">
        <v>2406</v>
      </c>
      <c r="H1940" s="22"/>
      <c r="I1940" t="s">
        <v>2403</v>
      </c>
      <c r="K1940" s="24">
        <f t="shared" si="33"/>
        <v>-63540.42</v>
      </c>
    </row>
    <row r="1941" spans="1:11" hidden="1" x14ac:dyDescent="0.3">
      <c r="A1941" s="21">
        <v>45355</v>
      </c>
      <c r="B1941" t="s">
        <v>2237</v>
      </c>
      <c r="C1941" s="22" t="s">
        <v>1536</v>
      </c>
      <c r="D1941" s="23">
        <v>43.05</v>
      </c>
      <c r="E1941" s="23">
        <v>0</v>
      </c>
      <c r="F1941" s="23">
        <v>16658.8</v>
      </c>
      <c r="G1941" s="22" t="s">
        <v>2408</v>
      </c>
      <c r="H1941" s="22"/>
      <c r="I1941" t="s">
        <v>2401</v>
      </c>
      <c r="K1941" s="24">
        <f t="shared" si="33"/>
        <v>115520.22000000002</v>
      </c>
    </row>
    <row r="1942" spans="1:11" hidden="1" x14ac:dyDescent="0.3">
      <c r="A1942" s="21">
        <v>45355</v>
      </c>
      <c r="B1942" t="s">
        <v>2238</v>
      </c>
      <c r="C1942" s="22" t="s">
        <v>1536</v>
      </c>
      <c r="D1942" s="23">
        <v>906</v>
      </c>
      <c r="E1942" s="23">
        <v>0</v>
      </c>
      <c r="F1942" s="23">
        <v>15752.8</v>
      </c>
      <c r="G1942" s="22" t="s">
        <v>2399</v>
      </c>
      <c r="H1942" s="22"/>
      <c r="I1942" t="s">
        <v>2401</v>
      </c>
      <c r="K1942" s="24">
        <f t="shared" si="33"/>
        <v>0</v>
      </c>
    </row>
    <row r="1943" spans="1:11" hidden="1" x14ac:dyDescent="0.3">
      <c r="A1943" s="21">
        <v>45355</v>
      </c>
      <c r="B1943" t="s">
        <v>2660</v>
      </c>
      <c r="C1943" s="22"/>
      <c r="D1943" s="23">
        <v>215</v>
      </c>
      <c r="E1943" s="23">
        <v>0</v>
      </c>
      <c r="F1943" s="23">
        <v>68815.820000000007</v>
      </c>
      <c r="G1943" s="41" t="s">
        <v>2419</v>
      </c>
      <c r="H1943" s="22"/>
      <c r="I1943" t="s">
        <v>2400</v>
      </c>
      <c r="K1943" s="24">
        <f t="shared" si="33"/>
        <v>-53278.020000000004</v>
      </c>
    </row>
    <row r="1944" spans="1:11" hidden="1" x14ac:dyDescent="0.3">
      <c r="A1944" s="21">
        <v>45356</v>
      </c>
      <c r="B1944" t="s">
        <v>133</v>
      </c>
      <c r="C1944" s="22" t="s">
        <v>974</v>
      </c>
      <c r="D1944" s="23">
        <v>228</v>
      </c>
      <c r="E1944" s="23">
        <v>0</v>
      </c>
      <c r="F1944" s="23">
        <v>131994.07</v>
      </c>
      <c r="G1944" s="22" t="s">
        <v>2406</v>
      </c>
      <c r="H1944" s="22"/>
      <c r="I1944" t="s">
        <v>2403</v>
      </c>
      <c r="K1944" s="24">
        <f t="shared" si="33"/>
        <v>-63406.25</v>
      </c>
    </row>
    <row r="1945" spans="1:11" hidden="1" x14ac:dyDescent="0.3">
      <c r="A1945" s="21">
        <v>45356</v>
      </c>
      <c r="B1945" t="s">
        <v>133</v>
      </c>
      <c r="C1945" s="22" t="s">
        <v>975</v>
      </c>
      <c r="D1945" s="23">
        <v>122.56</v>
      </c>
      <c r="E1945" s="23">
        <v>0</v>
      </c>
      <c r="F1945" s="23">
        <v>131871.51</v>
      </c>
      <c r="G1945" s="22" t="s">
        <v>2406</v>
      </c>
      <c r="H1945" s="22"/>
      <c r="I1945" t="s">
        <v>2403</v>
      </c>
      <c r="K1945" s="24">
        <f t="shared" si="33"/>
        <v>0</v>
      </c>
    </row>
    <row r="1946" spans="1:11" hidden="1" x14ac:dyDescent="0.3">
      <c r="A1946" s="21">
        <v>45356</v>
      </c>
      <c r="B1946" t="s">
        <v>133</v>
      </c>
      <c r="C1946" s="22" t="s">
        <v>976</v>
      </c>
      <c r="D1946" s="23">
        <v>412.95</v>
      </c>
      <c r="E1946" s="23">
        <v>0</v>
      </c>
      <c r="F1946" s="23">
        <v>131458.56</v>
      </c>
      <c r="G1946" s="22" t="s">
        <v>2406</v>
      </c>
      <c r="H1946" s="22"/>
      <c r="I1946" t="s">
        <v>2403</v>
      </c>
      <c r="K1946" s="24">
        <f t="shared" si="33"/>
        <v>0</v>
      </c>
    </row>
    <row r="1947" spans="1:11" hidden="1" x14ac:dyDescent="0.3">
      <c r="A1947" s="21">
        <v>45356</v>
      </c>
      <c r="B1947" t="s">
        <v>2239</v>
      </c>
      <c r="C1947" s="22" t="s">
        <v>1536</v>
      </c>
      <c r="D1947" s="23">
        <v>115</v>
      </c>
      <c r="E1947" s="23">
        <v>0</v>
      </c>
      <c r="F1947" s="23">
        <v>15637.8</v>
      </c>
      <c r="G1947" s="22" t="s">
        <v>2399</v>
      </c>
      <c r="H1947" s="22"/>
      <c r="I1947" t="s">
        <v>2401</v>
      </c>
      <c r="K1947" s="24">
        <f t="shared" si="33"/>
        <v>115705.76</v>
      </c>
    </row>
    <row r="1948" spans="1:11" hidden="1" x14ac:dyDescent="0.3">
      <c r="A1948" s="21">
        <v>45356</v>
      </c>
      <c r="B1948" t="s">
        <v>2240</v>
      </c>
      <c r="C1948" s="22" t="s">
        <v>1536</v>
      </c>
      <c r="D1948" s="23">
        <v>156</v>
      </c>
      <c r="E1948" s="23">
        <v>0</v>
      </c>
      <c r="F1948" s="23">
        <v>15481.8</v>
      </c>
      <c r="G1948" s="22" t="s">
        <v>2399</v>
      </c>
      <c r="H1948" s="22"/>
      <c r="I1948" t="s">
        <v>2401</v>
      </c>
      <c r="K1948" s="24">
        <f t="shared" si="33"/>
        <v>0</v>
      </c>
    </row>
    <row r="1949" spans="1:11" hidden="1" x14ac:dyDescent="0.3">
      <c r="A1949" s="21">
        <v>45356</v>
      </c>
      <c r="B1949" t="s">
        <v>2241</v>
      </c>
      <c r="C1949" s="22" t="s">
        <v>1536</v>
      </c>
      <c r="D1949" s="23">
        <v>110</v>
      </c>
      <c r="E1949" s="23">
        <v>0</v>
      </c>
      <c r="F1949" s="23">
        <v>15371.8</v>
      </c>
      <c r="G1949" s="22" t="s">
        <v>2399</v>
      </c>
      <c r="H1949" s="22"/>
      <c r="I1949" t="s">
        <v>2401</v>
      </c>
      <c r="K1949" s="24">
        <f t="shared" si="33"/>
        <v>0</v>
      </c>
    </row>
    <row r="1950" spans="1:11" hidden="1" x14ac:dyDescent="0.3">
      <c r="A1950" s="21">
        <v>45356</v>
      </c>
      <c r="B1950" t="s">
        <v>2242</v>
      </c>
      <c r="C1950" s="22" t="s">
        <v>1536</v>
      </c>
      <c r="D1950" s="23">
        <v>437</v>
      </c>
      <c r="E1950" s="23">
        <v>0</v>
      </c>
      <c r="F1950" s="23">
        <v>14934.8</v>
      </c>
      <c r="G1950" s="22" t="s">
        <v>2399</v>
      </c>
      <c r="H1950" s="22"/>
      <c r="I1950" t="s">
        <v>2401</v>
      </c>
      <c r="K1950" s="24">
        <f t="shared" si="33"/>
        <v>0</v>
      </c>
    </row>
    <row r="1951" spans="1:11" hidden="1" x14ac:dyDescent="0.3">
      <c r="A1951" s="21">
        <v>45357</v>
      </c>
      <c r="B1951" t="s">
        <v>133</v>
      </c>
      <c r="C1951" s="22" t="s">
        <v>977</v>
      </c>
      <c r="D1951" s="23">
        <v>122.41</v>
      </c>
      <c r="E1951" s="23">
        <v>0</v>
      </c>
      <c r="F1951" s="23">
        <v>131336.15</v>
      </c>
      <c r="G1951" s="22" t="s">
        <v>2406</v>
      </c>
      <c r="H1951" s="22"/>
      <c r="I1951" t="s">
        <v>2403</v>
      </c>
      <c r="K1951" s="24">
        <f t="shared" si="33"/>
        <v>-116523.76</v>
      </c>
    </row>
    <row r="1952" spans="1:11" hidden="1" x14ac:dyDescent="0.3">
      <c r="A1952" s="21">
        <v>45357</v>
      </c>
      <c r="B1952" t="s">
        <v>133</v>
      </c>
      <c r="C1952" s="22" t="s">
        <v>978</v>
      </c>
      <c r="D1952" s="23">
        <v>2509.54</v>
      </c>
      <c r="E1952" s="23">
        <v>0</v>
      </c>
      <c r="F1952" s="23">
        <v>128826.61</v>
      </c>
      <c r="G1952" s="22" t="s">
        <v>2406</v>
      </c>
      <c r="H1952" s="22"/>
      <c r="I1952" t="s">
        <v>2403</v>
      </c>
      <c r="K1952" s="24">
        <f t="shared" si="33"/>
        <v>0</v>
      </c>
    </row>
    <row r="1953" spans="1:11" hidden="1" x14ac:dyDescent="0.3">
      <c r="A1953" s="21">
        <v>45357</v>
      </c>
      <c r="B1953" t="s">
        <v>2243</v>
      </c>
      <c r="C1953" s="22" t="s">
        <v>1536</v>
      </c>
      <c r="D1953" s="23">
        <v>152.25</v>
      </c>
      <c r="E1953" s="23">
        <v>0</v>
      </c>
      <c r="F1953" s="23">
        <v>14782.55</v>
      </c>
      <c r="G1953" s="22" t="s">
        <v>2399</v>
      </c>
      <c r="H1953" s="22"/>
      <c r="I1953" t="s">
        <v>2401</v>
      </c>
      <c r="K1953" s="24">
        <f t="shared" si="33"/>
        <v>113891.81</v>
      </c>
    </row>
    <row r="1954" spans="1:11" hidden="1" x14ac:dyDescent="0.3">
      <c r="A1954" s="21">
        <v>45357</v>
      </c>
      <c r="B1954" t="s">
        <v>2244</v>
      </c>
      <c r="C1954" s="22" t="s">
        <v>1536</v>
      </c>
      <c r="D1954" s="23">
        <v>156</v>
      </c>
      <c r="E1954" s="23">
        <v>0</v>
      </c>
      <c r="F1954" s="23">
        <v>14626.55</v>
      </c>
      <c r="G1954" s="22" t="s">
        <v>2399</v>
      </c>
      <c r="H1954" s="22"/>
      <c r="I1954" t="s">
        <v>2401</v>
      </c>
      <c r="K1954" s="24">
        <f t="shared" si="33"/>
        <v>0</v>
      </c>
    </row>
    <row r="1955" spans="1:11" hidden="1" x14ac:dyDescent="0.3">
      <c r="A1955" s="21">
        <v>45357</v>
      </c>
      <c r="B1955" t="s">
        <v>2245</v>
      </c>
      <c r="C1955" s="22" t="s">
        <v>1536</v>
      </c>
      <c r="D1955" s="23">
        <v>290</v>
      </c>
      <c r="E1955" s="23">
        <v>0</v>
      </c>
      <c r="F1955" s="23">
        <v>14336.55</v>
      </c>
      <c r="G1955" s="22" t="s">
        <v>2399</v>
      </c>
      <c r="H1955" s="22"/>
      <c r="I1955" t="s">
        <v>2401</v>
      </c>
      <c r="K1955" s="24">
        <f t="shared" si="33"/>
        <v>0</v>
      </c>
    </row>
    <row r="1956" spans="1:11" hidden="1" x14ac:dyDescent="0.3">
      <c r="A1956" s="21">
        <v>45357</v>
      </c>
      <c r="B1956" t="s">
        <v>2246</v>
      </c>
      <c r="C1956" s="22" t="s">
        <v>1536</v>
      </c>
      <c r="D1956" s="23">
        <v>35</v>
      </c>
      <c r="E1956" s="23">
        <v>0</v>
      </c>
      <c r="F1956" s="23">
        <v>14301.55</v>
      </c>
      <c r="G1956" s="22" t="s">
        <v>2408</v>
      </c>
      <c r="H1956" s="22"/>
      <c r="I1956" t="s">
        <v>2401</v>
      </c>
      <c r="K1956" s="24">
        <f t="shared" si="33"/>
        <v>0</v>
      </c>
    </row>
    <row r="1957" spans="1:11" hidden="1" x14ac:dyDescent="0.3">
      <c r="A1957" s="21">
        <v>45357</v>
      </c>
      <c r="B1957" t="s">
        <v>2247</v>
      </c>
      <c r="C1957" s="22" t="s">
        <v>1536</v>
      </c>
      <c r="D1957" s="23">
        <v>183.7</v>
      </c>
      <c r="E1957" s="23">
        <v>0</v>
      </c>
      <c r="F1957" s="23">
        <v>14117.85</v>
      </c>
      <c r="G1957" s="22" t="s">
        <v>2399</v>
      </c>
      <c r="H1957" s="22"/>
      <c r="I1957" t="s">
        <v>2401</v>
      </c>
      <c r="K1957" s="24">
        <f t="shared" si="33"/>
        <v>0</v>
      </c>
    </row>
    <row r="1958" spans="1:11" hidden="1" x14ac:dyDescent="0.3">
      <c r="A1958" s="21">
        <v>45358</v>
      </c>
      <c r="B1958" t="s">
        <v>979</v>
      </c>
      <c r="C1958" s="22" t="s">
        <v>149</v>
      </c>
      <c r="D1958" s="23">
        <v>102250</v>
      </c>
      <c r="E1958" s="23">
        <v>0</v>
      </c>
      <c r="F1958" s="23">
        <v>26576.61</v>
      </c>
      <c r="G1958" s="22" t="s">
        <v>2646</v>
      </c>
      <c r="H1958" s="22"/>
      <c r="I1958" t="s">
        <v>2403</v>
      </c>
      <c r="K1958" s="24">
        <f t="shared" si="33"/>
        <v>-114708.76</v>
      </c>
    </row>
    <row r="1959" spans="1:11" hidden="1" x14ac:dyDescent="0.3">
      <c r="A1959" s="21">
        <v>45358</v>
      </c>
      <c r="B1959" t="s">
        <v>496</v>
      </c>
      <c r="C1959" s="22" t="s">
        <v>980</v>
      </c>
      <c r="D1959" s="23">
        <v>0</v>
      </c>
      <c r="E1959" s="23">
        <v>21341.39</v>
      </c>
      <c r="F1959" s="23">
        <v>47918</v>
      </c>
      <c r="G1959" s="22" t="s">
        <v>2406</v>
      </c>
      <c r="H1959" s="22"/>
      <c r="I1959" t="s">
        <v>2403</v>
      </c>
      <c r="K1959" s="24">
        <f t="shared" si="33"/>
        <v>0</v>
      </c>
    </row>
    <row r="1960" spans="1:11" hidden="1" x14ac:dyDescent="0.3">
      <c r="A1960" s="21">
        <v>45358</v>
      </c>
      <c r="B1960" t="s">
        <v>133</v>
      </c>
      <c r="C1960" s="22" t="s">
        <v>981</v>
      </c>
      <c r="D1960" s="23">
        <v>121.52</v>
      </c>
      <c r="E1960" s="23">
        <v>0</v>
      </c>
      <c r="F1960" s="23">
        <v>47796.480000000003</v>
      </c>
      <c r="G1960" s="22" t="s">
        <v>2406</v>
      </c>
      <c r="H1960" s="22"/>
      <c r="I1960" t="s">
        <v>2403</v>
      </c>
      <c r="K1960" s="24">
        <f t="shared" si="33"/>
        <v>0</v>
      </c>
    </row>
    <row r="1961" spans="1:11" hidden="1" x14ac:dyDescent="0.3">
      <c r="A1961" s="21">
        <v>45358</v>
      </c>
      <c r="B1961" t="s">
        <v>982</v>
      </c>
      <c r="C1961" s="22" t="s">
        <v>983</v>
      </c>
      <c r="D1961" s="23">
        <v>0</v>
      </c>
      <c r="E1961" s="23">
        <v>1880</v>
      </c>
      <c r="F1961" s="23">
        <v>49676.480000000003</v>
      </c>
      <c r="G1961" s="22" t="s">
        <v>2422</v>
      </c>
      <c r="H1961" s="22"/>
      <c r="I1961" t="s">
        <v>2403</v>
      </c>
      <c r="K1961" s="24">
        <f t="shared" si="33"/>
        <v>0</v>
      </c>
    </row>
    <row r="1962" spans="1:11" hidden="1" x14ac:dyDescent="0.3">
      <c r="A1962" s="21">
        <v>45358</v>
      </c>
      <c r="B1962" t="s">
        <v>133</v>
      </c>
      <c r="C1962" s="22" t="s">
        <v>984</v>
      </c>
      <c r="D1962" s="23">
        <v>28006.35</v>
      </c>
      <c r="E1962" s="23">
        <v>0</v>
      </c>
      <c r="F1962" s="23">
        <v>21670.13</v>
      </c>
      <c r="G1962" s="22" t="s">
        <v>2406</v>
      </c>
      <c r="H1962" s="22"/>
      <c r="I1962" t="s">
        <v>2403</v>
      </c>
      <c r="K1962" s="24">
        <f t="shared" si="33"/>
        <v>0</v>
      </c>
    </row>
    <row r="1963" spans="1:11" hidden="1" x14ac:dyDescent="0.3">
      <c r="A1963" s="21">
        <v>45358</v>
      </c>
      <c r="B1963" t="s">
        <v>2248</v>
      </c>
      <c r="C1963" s="22" t="s">
        <v>1536</v>
      </c>
      <c r="D1963" s="23">
        <v>60</v>
      </c>
      <c r="E1963" s="23">
        <v>0</v>
      </c>
      <c r="F1963" s="23">
        <v>14057.85</v>
      </c>
      <c r="G1963" s="22" t="s">
        <v>2408</v>
      </c>
      <c r="H1963" s="22"/>
      <c r="I1963" t="s">
        <v>2401</v>
      </c>
      <c r="K1963" s="24">
        <f t="shared" si="33"/>
        <v>7552.2800000000007</v>
      </c>
    </row>
    <row r="1964" spans="1:11" hidden="1" x14ac:dyDescent="0.3">
      <c r="A1964" s="21">
        <v>45358</v>
      </c>
      <c r="B1964" t="s">
        <v>2249</v>
      </c>
      <c r="C1964" s="22" t="s">
        <v>1536</v>
      </c>
      <c r="D1964" s="23">
        <v>353</v>
      </c>
      <c r="E1964" s="23">
        <v>0</v>
      </c>
      <c r="F1964" s="23">
        <v>13704.85</v>
      </c>
      <c r="G1964" s="22" t="s">
        <v>2399</v>
      </c>
      <c r="H1964" s="22"/>
      <c r="I1964" t="s">
        <v>2401</v>
      </c>
      <c r="K1964" s="24">
        <f t="shared" si="33"/>
        <v>0</v>
      </c>
    </row>
    <row r="1965" spans="1:11" hidden="1" x14ac:dyDescent="0.3">
      <c r="A1965" s="21">
        <v>45358</v>
      </c>
      <c r="B1965" t="s">
        <v>2250</v>
      </c>
      <c r="C1965" s="22" t="s">
        <v>1536</v>
      </c>
      <c r="D1965" s="23">
        <v>40</v>
      </c>
      <c r="E1965" s="23">
        <v>0</v>
      </c>
      <c r="F1965" s="23">
        <v>13664.85</v>
      </c>
      <c r="G1965" s="22" t="s">
        <v>2408</v>
      </c>
      <c r="H1965" s="22"/>
      <c r="I1965" t="s">
        <v>2401</v>
      </c>
      <c r="K1965" s="24">
        <f t="shared" si="33"/>
        <v>0</v>
      </c>
    </row>
    <row r="1966" spans="1:11" hidden="1" x14ac:dyDescent="0.3">
      <c r="A1966" s="21">
        <v>45358</v>
      </c>
      <c r="B1966" t="s">
        <v>2251</v>
      </c>
      <c r="C1966" s="22" t="s">
        <v>1536</v>
      </c>
      <c r="D1966" s="23">
        <v>301</v>
      </c>
      <c r="E1966" s="23">
        <v>0</v>
      </c>
      <c r="F1966" s="23">
        <v>13363.85</v>
      </c>
      <c r="G1966" s="22" t="s">
        <v>2399</v>
      </c>
      <c r="H1966" s="22"/>
      <c r="I1966" t="s">
        <v>2401</v>
      </c>
      <c r="K1966" s="24">
        <f t="shared" si="33"/>
        <v>0</v>
      </c>
    </row>
    <row r="1967" spans="1:11" hidden="1" x14ac:dyDescent="0.3">
      <c r="A1967" s="21">
        <v>45358</v>
      </c>
      <c r="B1967" t="s">
        <v>2252</v>
      </c>
      <c r="C1967" s="22" t="s">
        <v>1536</v>
      </c>
      <c r="D1967" s="23">
        <v>354.42</v>
      </c>
      <c r="E1967" s="23">
        <v>0</v>
      </c>
      <c r="F1967" s="23">
        <v>13009.43</v>
      </c>
      <c r="G1967" s="22" t="s">
        <v>2399</v>
      </c>
      <c r="H1967" s="22"/>
      <c r="I1967" t="s">
        <v>2401</v>
      </c>
      <c r="K1967" s="24">
        <f t="shared" si="33"/>
        <v>0</v>
      </c>
    </row>
    <row r="1968" spans="1:11" hidden="1" x14ac:dyDescent="0.3">
      <c r="A1968" s="21">
        <v>45358</v>
      </c>
      <c r="B1968" t="s">
        <v>2661</v>
      </c>
      <c r="C1968" s="22"/>
      <c r="D1968" s="23">
        <v>3000</v>
      </c>
      <c r="E1968" s="23">
        <v>0</v>
      </c>
      <c r="F1968" s="23">
        <v>65815.820000000007</v>
      </c>
      <c r="G1968" s="41" t="s">
        <v>2686</v>
      </c>
      <c r="H1968" s="22"/>
      <c r="I1968" t="s">
        <v>2400</v>
      </c>
      <c r="K1968" s="24">
        <f t="shared" si="33"/>
        <v>-55806.390000000007</v>
      </c>
    </row>
    <row r="1969" spans="1:11" hidden="1" x14ac:dyDescent="0.3">
      <c r="A1969" s="21">
        <v>45359</v>
      </c>
      <c r="B1969" t="s">
        <v>2253</v>
      </c>
      <c r="C1969" s="22" t="s">
        <v>1536</v>
      </c>
      <c r="D1969" s="23">
        <v>50</v>
      </c>
      <c r="E1969" s="23">
        <v>0</v>
      </c>
      <c r="F1969" s="23">
        <v>12959.43</v>
      </c>
      <c r="G1969" s="22" t="s">
        <v>2408</v>
      </c>
      <c r="H1969" s="22"/>
      <c r="I1969" t="s">
        <v>2401</v>
      </c>
      <c r="K1969" s="24">
        <f t="shared" si="33"/>
        <v>52806.390000000007</v>
      </c>
    </row>
    <row r="1970" spans="1:11" hidden="1" x14ac:dyDescent="0.3">
      <c r="A1970" s="21">
        <v>45359</v>
      </c>
      <c r="B1970" t="s">
        <v>2254</v>
      </c>
      <c r="C1970" s="22" t="s">
        <v>1536</v>
      </c>
      <c r="D1970" s="23">
        <v>80</v>
      </c>
      <c r="E1970" s="23">
        <v>0</v>
      </c>
      <c r="F1970" s="23">
        <v>12879.43</v>
      </c>
      <c r="G1970" s="22" t="s">
        <v>2408</v>
      </c>
      <c r="H1970" s="22"/>
      <c r="I1970" t="s">
        <v>2401</v>
      </c>
      <c r="K1970" s="24">
        <f t="shared" si="33"/>
        <v>0</v>
      </c>
    </row>
    <row r="1971" spans="1:11" hidden="1" x14ac:dyDescent="0.3">
      <c r="A1971" s="21">
        <v>45359</v>
      </c>
      <c r="B1971" t="s">
        <v>2255</v>
      </c>
      <c r="C1971" s="22" t="s">
        <v>1536</v>
      </c>
      <c r="D1971" s="23">
        <v>176.17</v>
      </c>
      <c r="E1971" s="23">
        <v>0</v>
      </c>
      <c r="F1971" s="23">
        <v>12703.26</v>
      </c>
      <c r="G1971" s="22" t="s">
        <v>2399</v>
      </c>
      <c r="H1971" s="22"/>
      <c r="I1971" t="s">
        <v>2401</v>
      </c>
      <c r="K1971" s="24">
        <f t="shared" si="33"/>
        <v>0</v>
      </c>
    </row>
    <row r="1972" spans="1:11" hidden="1" x14ac:dyDescent="0.3">
      <c r="A1972" s="21">
        <v>45359</v>
      </c>
      <c r="B1972" t="s">
        <v>2256</v>
      </c>
      <c r="C1972" s="22" t="s">
        <v>1536</v>
      </c>
      <c r="D1972" s="23">
        <v>206.42</v>
      </c>
      <c r="E1972" s="23">
        <v>0</v>
      </c>
      <c r="F1972" s="23">
        <v>12496.84</v>
      </c>
      <c r="G1972" s="22" t="s">
        <v>2399</v>
      </c>
      <c r="H1972" s="22"/>
      <c r="I1972" t="s">
        <v>2401</v>
      </c>
      <c r="K1972" s="24">
        <f t="shared" si="33"/>
        <v>0</v>
      </c>
    </row>
    <row r="1973" spans="1:11" hidden="1" x14ac:dyDescent="0.3">
      <c r="A1973" s="21">
        <v>45359</v>
      </c>
      <c r="B1973" t="s">
        <v>2662</v>
      </c>
      <c r="C1973" s="22"/>
      <c r="D1973" s="23">
        <v>0</v>
      </c>
      <c r="E1973" s="23">
        <v>642.88</v>
      </c>
      <c r="F1973" s="23">
        <v>66458.7</v>
      </c>
      <c r="G1973" s="41" t="s">
        <v>2419</v>
      </c>
      <c r="H1973" s="22"/>
      <c r="I1973" t="s">
        <v>2400</v>
      </c>
      <c r="K1973" s="24">
        <f t="shared" si="33"/>
        <v>-53318.979999999996</v>
      </c>
    </row>
    <row r="1974" spans="1:11" hidden="1" x14ac:dyDescent="0.3">
      <c r="A1974" s="21">
        <v>45360</v>
      </c>
      <c r="B1974" t="s">
        <v>2257</v>
      </c>
      <c r="C1974" s="22" t="s">
        <v>1536</v>
      </c>
      <c r="D1974" s="23">
        <v>56</v>
      </c>
      <c r="E1974" s="23">
        <v>0</v>
      </c>
      <c r="F1974" s="23">
        <v>12440.84</v>
      </c>
      <c r="G1974" s="22" t="s">
        <v>2408</v>
      </c>
      <c r="H1974" s="22"/>
      <c r="I1974" t="s">
        <v>2401</v>
      </c>
      <c r="K1974" s="24">
        <f t="shared" si="33"/>
        <v>53961.86</v>
      </c>
    </row>
    <row r="1975" spans="1:11" hidden="1" x14ac:dyDescent="0.3">
      <c r="A1975" s="21">
        <v>45360</v>
      </c>
      <c r="B1975" t="s">
        <v>2258</v>
      </c>
      <c r="C1975" s="22" t="s">
        <v>1536</v>
      </c>
      <c r="D1975" s="23">
        <v>406.75</v>
      </c>
      <c r="E1975" s="23">
        <v>0</v>
      </c>
      <c r="F1975" s="23">
        <v>12034.09</v>
      </c>
      <c r="G1975" s="22" t="s">
        <v>2399</v>
      </c>
      <c r="H1975" s="22"/>
      <c r="I1975" t="s">
        <v>2401</v>
      </c>
      <c r="K1975" s="24">
        <f t="shared" si="33"/>
        <v>0</v>
      </c>
    </row>
    <row r="1976" spans="1:11" hidden="1" x14ac:dyDescent="0.3">
      <c r="A1976" s="21">
        <v>45360</v>
      </c>
      <c r="B1976" t="s">
        <v>2259</v>
      </c>
      <c r="C1976" s="22" t="s">
        <v>1536</v>
      </c>
      <c r="D1976" s="23">
        <v>201</v>
      </c>
      <c r="E1976" s="23">
        <v>0</v>
      </c>
      <c r="F1976" s="23">
        <v>11833.09</v>
      </c>
      <c r="G1976" s="22" t="s">
        <v>2399</v>
      </c>
      <c r="H1976" s="22"/>
      <c r="I1976" t="s">
        <v>2401</v>
      </c>
      <c r="K1976" s="24">
        <f t="shared" si="33"/>
        <v>0</v>
      </c>
    </row>
    <row r="1977" spans="1:11" hidden="1" x14ac:dyDescent="0.3">
      <c r="A1977" s="21">
        <v>45360</v>
      </c>
      <c r="B1977" t="s">
        <v>2260</v>
      </c>
      <c r="C1977" s="22" t="s">
        <v>1536</v>
      </c>
      <c r="D1977" s="23">
        <v>53</v>
      </c>
      <c r="E1977" s="23">
        <v>0</v>
      </c>
      <c r="F1977" s="23">
        <v>11780.09</v>
      </c>
      <c r="G1977" s="22" t="s">
        <v>2408</v>
      </c>
      <c r="H1977" s="22"/>
      <c r="I1977" t="s">
        <v>2401</v>
      </c>
      <c r="K1977" s="24">
        <f t="shared" si="33"/>
        <v>0</v>
      </c>
    </row>
    <row r="1978" spans="1:11" hidden="1" x14ac:dyDescent="0.3">
      <c r="A1978" s="21">
        <v>45360</v>
      </c>
      <c r="B1978" t="s">
        <v>2261</v>
      </c>
      <c r="C1978" s="22" t="s">
        <v>1536</v>
      </c>
      <c r="D1978" s="23">
        <v>2904</v>
      </c>
      <c r="E1978" s="23">
        <v>0</v>
      </c>
      <c r="F1978" s="23">
        <v>8876.09</v>
      </c>
      <c r="G1978" s="22" t="s">
        <v>2399</v>
      </c>
      <c r="H1978" s="22"/>
      <c r="I1978" t="s">
        <v>2401</v>
      </c>
      <c r="K1978" s="24">
        <f t="shared" si="33"/>
        <v>0</v>
      </c>
    </row>
    <row r="1979" spans="1:11" hidden="1" x14ac:dyDescent="0.3">
      <c r="A1979" s="21">
        <v>45360</v>
      </c>
      <c r="B1979" t="s">
        <v>2262</v>
      </c>
      <c r="C1979" s="22" t="s">
        <v>1536</v>
      </c>
      <c r="D1979" s="23">
        <v>41</v>
      </c>
      <c r="E1979" s="23">
        <v>0</v>
      </c>
      <c r="F1979" s="23">
        <v>8835.09</v>
      </c>
      <c r="G1979" s="22" t="s">
        <v>2408</v>
      </c>
      <c r="H1979" s="22"/>
      <c r="I1979" t="s">
        <v>2401</v>
      </c>
      <c r="K1979" s="24">
        <f t="shared" si="33"/>
        <v>0</v>
      </c>
    </row>
    <row r="1980" spans="1:11" hidden="1" x14ac:dyDescent="0.3">
      <c r="A1980" s="21">
        <v>45360</v>
      </c>
      <c r="B1980" t="s">
        <v>2263</v>
      </c>
      <c r="C1980" s="22" t="s">
        <v>1536</v>
      </c>
      <c r="D1980" s="23">
        <v>635</v>
      </c>
      <c r="E1980" s="23">
        <v>0</v>
      </c>
      <c r="F1980" s="23">
        <v>8200.09</v>
      </c>
      <c r="G1980" s="22" t="s">
        <v>2399</v>
      </c>
      <c r="H1980" s="22"/>
      <c r="I1980" t="s">
        <v>2401</v>
      </c>
      <c r="K1980" s="24">
        <f t="shared" si="33"/>
        <v>0</v>
      </c>
    </row>
    <row r="1981" spans="1:11" hidden="1" x14ac:dyDescent="0.3">
      <c r="A1981" s="21">
        <v>45360</v>
      </c>
      <c r="B1981" t="s">
        <v>2264</v>
      </c>
      <c r="C1981" s="22" t="s">
        <v>1536</v>
      </c>
      <c r="D1981" s="23">
        <v>35</v>
      </c>
      <c r="E1981" s="23">
        <v>0</v>
      </c>
      <c r="F1981" s="23">
        <v>8165.09</v>
      </c>
      <c r="G1981" s="22" t="s">
        <v>2408</v>
      </c>
      <c r="H1981" s="22"/>
      <c r="I1981" t="s">
        <v>2401</v>
      </c>
      <c r="K1981" s="24">
        <f t="shared" si="33"/>
        <v>0</v>
      </c>
    </row>
    <row r="1982" spans="1:11" hidden="1" x14ac:dyDescent="0.3">
      <c r="A1982" s="21">
        <v>45360</v>
      </c>
      <c r="B1982" t="s">
        <v>2265</v>
      </c>
      <c r="C1982" s="22" t="s">
        <v>1536</v>
      </c>
      <c r="D1982" s="23">
        <v>292.07</v>
      </c>
      <c r="E1982" s="23">
        <v>0</v>
      </c>
      <c r="F1982" s="23">
        <v>7873.02</v>
      </c>
      <c r="G1982" s="22" t="s">
        <v>2399</v>
      </c>
      <c r="H1982" s="22"/>
      <c r="I1982" t="s">
        <v>2401</v>
      </c>
      <c r="K1982" s="24">
        <f t="shared" si="33"/>
        <v>0</v>
      </c>
    </row>
    <row r="1983" spans="1:11" hidden="1" x14ac:dyDescent="0.3">
      <c r="A1983" s="21">
        <v>45361</v>
      </c>
      <c r="B1983" t="s">
        <v>985</v>
      </c>
      <c r="C1983" s="22" t="s">
        <v>986</v>
      </c>
      <c r="D1983" s="23">
        <v>0</v>
      </c>
      <c r="E1983" s="23">
        <v>10000</v>
      </c>
      <c r="F1983" s="23">
        <v>31670.13</v>
      </c>
      <c r="G1983" s="22" t="s">
        <v>2422</v>
      </c>
      <c r="H1983" s="22"/>
      <c r="I1983" t="s">
        <v>2403</v>
      </c>
      <c r="K1983" s="24">
        <f t="shared" si="33"/>
        <v>-13797.11</v>
      </c>
    </row>
    <row r="1984" spans="1:11" hidden="1" x14ac:dyDescent="0.3">
      <c r="A1984" s="21">
        <v>45361</v>
      </c>
      <c r="B1984" t="s">
        <v>2266</v>
      </c>
      <c r="C1984" s="22" t="s">
        <v>1536</v>
      </c>
      <c r="D1984" s="23">
        <v>10</v>
      </c>
      <c r="E1984" s="23">
        <v>0</v>
      </c>
      <c r="F1984" s="23">
        <v>7863.02</v>
      </c>
      <c r="G1984" s="22" t="s">
        <v>2408</v>
      </c>
      <c r="H1984" s="22"/>
      <c r="I1984" t="s">
        <v>2401</v>
      </c>
      <c r="K1984" s="24">
        <f t="shared" si="33"/>
        <v>23797.11</v>
      </c>
    </row>
    <row r="1985" spans="1:11" hidden="1" x14ac:dyDescent="0.3">
      <c r="A1985" s="21">
        <v>45361</v>
      </c>
      <c r="B1985" t="s">
        <v>2267</v>
      </c>
      <c r="C1985" s="22" t="s">
        <v>1536</v>
      </c>
      <c r="D1985" s="23">
        <v>105</v>
      </c>
      <c r="E1985" s="23">
        <v>0</v>
      </c>
      <c r="F1985" s="23">
        <v>7758.02</v>
      </c>
      <c r="G1985" s="22" t="s">
        <v>2399</v>
      </c>
      <c r="H1985" s="22"/>
      <c r="I1985" t="s">
        <v>2401</v>
      </c>
      <c r="K1985" s="24">
        <f t="shared" si="33"/>
        <v>0</v>
      </c>
    </row>
    <row r="1986" spans="1:11" hidden="1" x14ac:dyDescent="0.3">
      <c r="A1986" s="21">
        <v>45361</v>
      </c>
      <c r="B1986" t="s">
        <v>2268</v>
      </c>
      <c r="C1986" s="22" t="s">
        <v>1536</v>
      </c>
      <c r="D1986" s="23">
        <v>10</v>
      </c>
      <c r="E1986" s="23">
        <v>0</v>
      </c>
      <c r="F1986" s="23">
        <v>7748.02</v>
      </c>
      <c r="G1986" s="22" t="s">
        <v>2408</v>
      </c>
      <c r="H1986" s="22"/>
      <c r="I1986" t="s">
        <v>2401</v>
      </c>
      <c r="K1986" s="24">
        <f t="shared" si="33"/>
        <v>0</v>
      </c>
    </row>
    <row r="1987" spans="1:11" hidden="1" x14ac:dyDescent="0.3">
      <c r="A1987" s="21">
        <v>45361</v>
      </c>
      <c r="B1987" t="s">
        <v>2269</v>
      </c>
      <c r="C1987" s="22" t="s">
        <v>1536</v>
      </c>
      <c r="D1987" s="23">
        <v>41</v>
      </c>
      <c r="E1987" s="23">
        <v>0</v>
      </c>
      <c r="F1987" s="23">
        <v>7707.02</v>
      </c>
      <c r="G1987" s="22" t="s">
        <v>2408</v>
      </c>
      <c r="H1987" s="22"/>
      <c r="I1987" t="s">
        <v>2401</v>
      </c>
      <c r="K1987" s="24">
        <f t="shared" ref="K1987:K2050" si="34">F1986-D1987+E1987-F1987</f>
        <v>0</v>
      </c>
    </row>
    <row r="1988" spans="1:11" hidden="1" x14ac:dyDescent="0.3">
      <c r="A1988" s="21">
        <v>45361</v>
      </c>
      <c r="B1988" t="s">
        <v>2270</v>
      </c>
      <c r="C1988" s="22" t="s">
        <v>1536</v>
      </c>
      <c r="D1988" s="23">
        <v>600</v>
      </c>
      <c r="E1988" s="23">
        <v>0</v>
      </c>
      <c r="F1988" s="23">
        <v>7107.02</v>
      </c>
      <c r="G1988" s="22" t="s">
        <v>2399</v>
      </c>
      <c r="H1988" s="22"/>
      <c r="I1988" t="s">
        <v>2401</v>
      </c>
      <c r="K1988" s="24">
        <f t="shared" si="34"/>
        <v>0</v>
      </c>
    </row>
    <row r="1989" spans="1:11" hidden="1" x14ac:dyDescent="0.3">
      <c r="A1989" s="21">
        <v>45361</v>
      </c>
      <c r="B1989" t="s">
        <v>2271</v>
      </c>
      <c r="C1989" s="22" t="s">
        <v>1536</v>
      </c>
      <c r="D1989" s="23">
        <v>105</v>
      </c>
      <c r="E1989" s="23">
        <v>0</v>
      </c>
      <c r="F1989" s="23">
        <v>7002.02</v>
      </c>
      <c r="G1989" s="22" t="s">
        <v>2399</v>
      </c>
      <c r="H1989" s="22"/>
      <c r="I1989" t="s">
        <v>2401</v>
      </c>
      <c r="K1989" s="24">
        <f t="shared" si="34"/>
        <v>0</v>
      </c>
    </row>
    <row r="1990" spans="1:11" hidden="1" x14ac:dyDescent="0.3">
      <c r="A1990" s="21">
        <v>45361</v>
      </c>
      <c r="B1990" t="s">
        <v>2272</v>
      </c>
      <c r="C1990" s="22" t="s">
        <v>1536</v>
      </c>
      <c r="D1990" s="23">
        <v>506.17</v>
      </c>
      <c r="E1990" s="23">
        <v>0</v>
      </c>
      <c r="F1990" s="23">
        <v>6495.85</v>
      </c>
      <c r="G1990" s="22" t="s">
        <v>2399</v>
      </c>
      <c r="H1990" s="22"/>
      <c r="I1990" t="s">
        <v>2401</v>
      </c>
      <c r="K1990" s="24">
        <f t="shared" si="34"/>
        <v>0</v>
      </c>
    </row>
    <row r="1991" spans="1:11" hidden="1" x14ac:dyDescent="0.3">
      <c r="A1991" s="21">
        <v>45361</v>
      </c>
      <c r="B1991" t="s">
        <v>2663</v>
      </c>
      <c r="C1991" s="22"/>
      <c r="D1991" s="23">
        <v>18000</v>
      </c>
      <c r="E1991" s="23">
        <v>0</v>
      </c>
      <c r="F1991" s="23">
        <v>48458.7</v>
      </c>
      <c r="G1991" s="41" t="s">
        <v>2686</v>
      </c>
      <c r="H1991" s="22"/>
      <c r="I1991" t="s">
        <v>2400</v>
      </c>
      <c r="K1991" s="24">
        <f t="shared" si="34"/>
        <v>-59962.85</v>
      </c>
    </row>
    <row r="1992" spans="1:11" hidden="1" x14ac:dyDescent="0.3">
      <c r="A1992" s="21">
        <v>45361</v>
      </c>
      <c r="B1992" t="s">
        <v>2664</v>
      </c>
      <c r="C1992" s="22"/>
      <c r="D1992" s="23">
        <v>0</v>
      </c>
      <c r="E1992" s="23">
        <v>90</v>
      </c>
      <c r="F1992" s="23">
        <v>48548.7</v>
      </c>
      <c r="G1992" s="41" t="s">
        <v>2419</v>
      </c>
      <c r="H1992" s="22"/>
      <c r="I1992" t="s">
        <v>2400</v>
      </c>
      <c r="K1992" s="24">
        <f t="shared" si="34"/>
        <v>0</v>
      </c>
    </row>
    <row r="1993" spans="1:11" hidden="1" x14ac:dyDescent="0.3">
      <c r="A1993" s="21">
        <v>45362</v>
      </c>
      <c r="B1993" t="s">
        <v>133</v>
      </c>
      <c r="C1993" s="22" t="s">
        <v>987</v>
      </c>
      <c r="D1993" s="23">
        <v>446.16</v>
      </c>
      <c r="E1993" s="23">
        <v>0</v>
      </c>
      <c r="F1993" s="23">
        <v>31223.97</v>
      </c>
      <c r="G1993" s="22" t="s">
        <v>2406</v>
      </c>
      <c r="H1993" s="22"/>
      <c r="I1993" t="s">
        <v>2403</v>
      </c>
      <c r="K1993" s="24">
        <f t="shared" si="34"/>
        <v>16878.569999999992</v>
      </c>
    </row>
    <row r="1994" spans="1:11" hidden="1" x14ac:dyDescent="0.3">
      <c r="A1994" s="21">
        <v>45362</v>
      </c>
      <c r="B1994" t="s">
        <v>133</v>
      </c>
      <c r="C1994" s="22" t="s">
        <v>988</v>
      </c>
      <c r="D1994" s="23">
        <v>22735.05</v>
      </c>
      <c r="E1994" s="23">
        <v>0</v>
      </c>
      <c r="F1994" s="23">
        <v>8488.92</v>
      </c>
      <c r="G1994" s="22" t="s">
        <v>2406</v>
      </c>
      <c r="H1994" s="22"/>
      <c r="I1994" t="s">
        <v>2403</v>
      </c>
      <c r="K1994" s="24">
        <f t="shared" si="34"/>
        <v>0</v>
      </c>
    </row>
    <row r="1995" spans="1:11" hidden="1" x14ac:dyDescent="0.3">
      <c r="A1995" s="21">
        <v>45362</v>
      </c>
      <c r="B1995" t="s">
        <v>133</v>
      </c>
      <c r="C1995" s="22" t="s">
        <v>989</v>
      </c>
      <c r="D1995" s="23">
        <v>2667.69</v>
      </c>
      <c r="E1995" s="23">
        <v>0</v>
      </c>
      <c r="F1995" s="23">
        <v>5821.23</v>
      </c>
      <c r="G1995" s="22" t="s">
        <v>2406</v>
      </c>
      <c r="H1995" s="22"/>
      <c r="I1995" t="s">
        <v>2403</v>
      </c>
      <c r="K1995" s="24">
        <f t="shared" si="34"/>
        <v>0</v>
      </c>
    </row>
    <row r="1996" spans="1:11" hidden="1" x14ac:dyDescent="0.3">
      <c r="A1996" s="21">
        <v>45362</v>
      </c>
      <c r="B1996" t="s">
        <v>2273</v>
      </c>
      <c r="C1996" s="22" t="s">
        <v>1536</v>
      </c>
      <c r="D1996" s="23">
        <v>60</v>
      </c>
      <c r="E1996" s="23">
        <v>0</v>
      </c>
      <c r="F1996" s="23">
        <v>6435.85</v>
      </c>
      <c r="G1996" s="22" t="s">
        <v>2408</v>
      </c>
      <c r="H1996" s="22"/>
      <c r="I1996" t="s">
        <v>2401</v>
      </c>
      <c r="K1996" s="24">
        <f t="shared" si="34"/>
        <v>-674.6200000000008</v>
      </c>
    </row>
    <row r="1997" spans="1:11" hidden="1" x14ac:dyDescent="0.3">
      <c r="A1997" s="21">
        <v>45362</v>
      </c>
      <c r="B1997" t="s">
        <v>2274</v>
      </c>
      <c r="C1997" s="22" t="s">
        <v>1536</v>
      </c>
      <c r="D1997" s="23">
        <v>90</v>
      </c>
      <c r="E1997" s="23">
        <v>0</v>
      </c>
      <c r="F1997" s="23">
        <v>6345.85</v>
      </c>
      <c r="G1997" s="22" t="s">
        <v>2408</v>
      </c>
      <c r="H1997" s="22"/>
      <c r="I1997" t="s">
        <v>2401</v>
      </c>
      <c r="K1997" s="24">
        <f t="shared" si="34"/>
        <v>0</v>
      </c>
    </row>
    <row r="1998" spans="1:11" hidden="1" x14ac:dyDescent="0.3">
      <c r="A1998" s="21">
        <v>45362</v>
      </c>
      <c r="B1998" t="s">
        <v>2275</v>
      </c>
      <c r="C1998" s="22" t="s">
        <v>1536</v>
      </c>
      <c r="D1998" s="23">
        <v>27</v>
      </c>
      <c r="E1998" s="23">
        <v>0</v>
      </c>
      <c r="F1998" s="23">
        <v>6318.85</v>
      </c>
      <c r="G1998" s="22" t="s">
        <v>2408</v>
      </c>
      <c r="H1998" s="22"/>
      <c r="I1998" t="s">
        <v>2401</v>
      </c>
      <c r="K1998" s="24">
        <f t="shared" si="34"/>
        <v>0</v>
      </c>
    </row>
    <row r="1999" spans="1:11" hidden="1" x14ac:dyDescent="0.3">
      <c r="A1999" s="21">
        <v>45362</v>
      </c>
      <c r="B1999" t="s">
        <v>2276</v>
      </c>
      <c r="C1999" s="22" t="s">
        <v>1536</v>
      </c>
      <c r="D1999" s="23">
        <v>784.18</v>
      </c>
      <c r="E1999" s="23">
        <v>0</v>
      </c>
      <c r="F1999" s="23">
        <v>5534.67</v>
      </c>
      <c r="G1999" s="22" t="s">
        <v>2399</v>
      </c>
      <c r="H1999" s="22"/>
      <c r="I1999" t="s">
        <v>2401</v>
      </c>
      <c r="K1999" s="24">
        <f t="shared" si="34"/>
        <v>0</v>
      </c>
    </row>
    <row r="2000" spans="1:11" hidden="1" x14ac:dyDescent="0.3">
      <c r="A2000" s="21">
        <v>45362</v>
      </c>
      <c r="B2000" t="s">
        <v>2277</v>
      </c>
      <c r="C2000" s="22" t="s">
        <v>1536</v>
      </c>
      <c r="D2000" s="23">
        <v>40</v>
      </c>
      <c r="E2000" s="23">
        <v>0</v>
      </c>
      <c r="F2000" s="23">
        <v>5494.67</v>
      </c>
      <c r="G2000" s="22" t="s">
        <v>2408</v>
      </c>
      <c r="H2000" s="22"/>
      <c r="I2000" t="s">
        <v>2401</v>
      </c>
      <c r="K2000" s="24">
        <f t="shared" si="34"/>
        <v>0</v>
      </c>
    </row>
    <row r="2001" spans="1:11" hidden="1" x14ac:dyDescent="0.3">
      <c r="A2001" s="21">
        <v>45363</v>
      </c>
      <c r="B2001" t="s">
        <v>990</v>
      </c>
      <c r="C2001" s="22" t="s">
        <v>991</v>
      </c>
      <c r="D2001" s="23">
        <v>0</v>
      </c>
      <c r="E2001" s="23">
        <v>600</v>
      </c>
      <c r="F2001" s="23">
        <v>6421.23</v>
      </c>
      <c r="G2001" s="22" t="s">
        <v>2409</v>
      </c>
      <c r="H2001" s="22"/>
      <c r="I2001" t="s">
        <v>2403</v>
      </c>
      <c r="K2001" s="24">
        <f t="shared" si="34"/>
        <v>-326.55999999999949</v>
      </c>
    </row>
    <row r="2002" spans="1:11" hidden="1" x14ac:dyDescent="0.3">
      <c r="A2002" s="21">
        <v>45363</v>
      </c>
      <c r="B2002" t="s">
        <v>133</v>
      </c>
      <c r="C2002" s="22" t="s">
        <v>992</v>
      </c>
      <c r="D2002" s="23">
        <v>1818.06</v>
      </c>
      <c r="E2002" s="23">
        <v>0</v>
      </c>
      <c r="F2002" s="23">
        <v>4603.17</v>
      </c>
      <c r="G2002" s="22" t="s">
        <v>2406</v>
      </c>
      <c r="H2002" s="22"/>
      <c r="I2002" t="s">
        <v>2403</v>
      </c>
      <c r="K2002" s="24">
        <f t="shared" si="34"/>
        <v>0</v>
      </c>
    </row>
    <row r="2003" spans="1:11" hidden="1" x14ac:dyDescent="0.3">
      <c r="A2003" s="21">
        <v>45363</v>
      </c>
      <c r="B2003" t="s">
        <v>2278</v>
      </c>
      <c r="C2003" s="22" t="s">
        <v>1536</v>
      </c>
      <c r="D2003" s="23">
        <v>10</v>
      </c>
      <c r="E2003" s="23">
        <v>0</v>
      </c>
      <c r="F2003" s="23">
        <v>5484.67</v>
      </c>
      <c r="G2003" s="22" t="s">
        <v>2408</v>
      </c>
      <c r="H2003" s="22"/>
      <c r="I2003" t="s">
        <v>2401</v>
      </c>
      <c r="K2003" s="24">
        <f t="shared" si="34"/>
        <v>-891.5</v>
      </c>
    </row>
    <row r="2004" spans="1:11" hidden="1" x14ac:dyDescent="0.3">
      <c r="A2004" s="21">
        <v>45363</v>
      </c>
      <c r="B2004" t="s">
        <v>2279</v>
      </c>
      <c r="C2004" s="22" t="s">
        <v>1536</v>
      </c>
      <c r="D2004" s="23">
        <v>160</v>
      </c>
      <c r="E2004" s="23">
        <v>0</v>
      </c>
      <c r="F2004" s="23">
        <v>5324.67</v>
      </c>
      <c r="G2004" s="22" t="s">
        <v>2399</v>
      </c>
      <c r="H2004" s="22"/>
      <c r="I2004" t="s">
        <v>2401</v>
      </c>
      <c r="K2004" s="24">
        <f t="shared" si="34"/>
        <v>0</v>
      </c>
    </row>
    <row r="2005" spans="1:11" hidden="1" x14ac:dyDescent="0.3">
      <c r="A2005" s="21">
        <v>45363</v>
      </c>
      <c r="B2005" t="s">
        <v>2280</v>
      </c>
      <c r="C2005" s="22" t="s">
        <v>1536</v>
      </c>
      <c r="D2005" s="23">
        <v>25</v>
      </c>
      <c r="E2005" s="23">
        <v>0</v>
      </c>
      <c r="F2005" s="23">
        <v>5299.67</v>
      </c>
      <c r="G2005" s="22" t="s">
        <v>2408</v>
      </c>
      <c r="H2005" s="22"/>
      <c r="I2005" t="s">
        <v>2401</v>
      </c>
      <c r="K2005" s="24">
        <f t="shared" si="34"/>
        <v>0</v>
      </c>
    </row>
    <row r="2006" spans="1:11" hidden="1" x14ac:dyDescent="0.3">
      <c r="A2006" s="21">
        <v>45363</v>
      </c>
      <c r="B2006" t="s">
        <v>2281</v>
      </c>
      <c r="C2006" s="22" t="s">
        <v>1536</v>
      </c>
      <c r="D2006" s="23">
        <v>300</v>
      </c>
      <c r="E2006" s="23">
        <v>0</v>
      </c>
      <c r="F2006" s="23">
        <v>4999.67</v>
      </c>
      <c r="G2006" s="22" t="s">
        <v>2399</v>
      </c>
      <c r="H2006" s="22"/>
      <c r="I2006" t="s">
        <v>2401</v>
      </c>
      <c r="K2006" s="24">
        <f t="shared" si="34"/>
        <v>0</v>
      </c>
    </row>
    <row r="2007" spans="1:11" hidden="1" x14ac:dyDescent="0.3">
      <c r="A2007" s="21">
        <v>45363</v>
      </c>
      <c r="B2007" t="s">
        <v>2282</v>
      </c>
      <c r="C2007" s="22" t="s">
        <v>1536</v>
      </c>
      <c r="D2007" s="23">
        <v>43</v>
      </c>
      <c r="E2007" s="23">
        <v>0</v>
      </c>
      <c r="F2007" s="23">
        <v>4956.67</v>
      </c>
      <c r="G2007" s="22" t="s">
        <v>2408</v>
      </c>
      <c r="H2007" s="22"/>
      <c r="I2007" t="s">
        <v>2401</v>
      </c>
      <c r="K2007" s="24">
        <f t="shared" si="34"/>
        <v>0</v>
      </c>
    </row>
    <row r="2008" spans="1:11" hidden="1" x14ac:dyDescent="0.3">
      <c r="A2008" s="21">
        <v>45363</v>
      </c>
      <c r="B2008" t="s">
        <v>2283</v>
      </c>
      <c r="C2008" s="22" t="s">
        <v>1536</v>
      </c>
      <c r="D2008" s="23">
        <v>35</v>
      </c>
      <c r="E2008" s="23">
        <v>0</v>
      </c>
      <c r="F2008" s="23">
        <v>4921.67</v>
      </c>
      <c r="G2008" s="22" t="s">
        <v>2408</v>
      </c>
      <c r="H2008" s="22"/>
      <c r="I2008" t="s">
        <v>2401</v>
      </c>
      <c r="K2008" s="24">
        <f t="shared" si="34"/>
        <v>0</v>
      </c>
    </row>
    <row r="2009" spans="1:11" hidden="1" x14ac:dyDescent="0.3">
      <c r="A2009" s="21">
        <v>45363</v>
      </c>
      <c r="B2009" t="s">
        <v>2284</v>
      </c>
      <c r="C2009" s="22" t="s">
        <v>1536</v>
      </c>
      <c r="D2009" s="23">
        <v>20</v>
      </c>
      <c r="E2009" s="23">
        <v>0</v>
      </c>
      <c r="F2009" s="23">
        <v>4901.67</v>
      </c>
      <c r="G2009" s="22" t="s">
        <v>2408</v>
      </c>
      <c r="H2009" s="22"/>
      <c r="I2009" t="s">
        <v>2401</v>
      </c>
      <c r="K2009" s="24">
        <f t="shared" si="34"/>
        <v>0</v>
      </c>
    </row>
    <row r="2010" spans="1:11" hidden="1" x14ac:dyDescent="0.3">
      <c r="A2010" s="21">
        <v>45363</v>
      </c>
      <c r="B2010" t="s">
        <v>2665</v>
      </c>
      <c r="C2010" s="22"/>
      <c r="D2010" s="23">
        <v>0</v>
      </c>
      <c r="E2010" s="23">
        <v>80</v>
      </c>
      <c r="F2010" s="23">
        <v>48628.7</v>
      </c>
      <c r="G2010" s="41" t="s">
        <v>2419</v>
      </c>
      <c r="H2010" s="22"/>
      <c r="I2010" t="s">
        <v>2400</v>
      </c>
      <c r="K2010" s="24">
        <f t="shared" si="34"/>
        <v>-43647.03</v>
      </c>
    </row>
    <row r="2011" spans="1:11" hidden="1" x14ac:dyDescent="0.3">
      <c r="A2011" s="21">
        <v>45364</v>
      </c>
      <c r="B2011" t="s">
        <v>496</v>
      </c>
      <c r="C2011" s="22" t="s">
        <v>993</v>
      </c>
      <c r="D2011" s="23">
        <v>0</v>
      </c>
      <c r="E2011" s="23">
        <v>41461.06</v>
      </c>
      <c r="F2011" s="23">
        <v>46064.23</v>
      </c>
      <c r="G2011" s="22" t="s">
        <v>2406</v>
      </c>
      <c r="H2011" s="22"/>
      <c r="I2011" t="s">
        <v>2403</v>
      </c>
      <c r="K2011" s="24">
        <f t="shared" si="34"/>
        <v>44025.529999999992</v>
      </c>
    </row>
    <row r="2012" spans="1:11" hidden="1" x14ac:dyDescent="0.3">
      <c r="A2012" s="21">
        <v>45364</v>
      </c>
      <c r="B2012" t="s">
        <v>994</v>
      </c>
      <c r="C2012" s="22" t="s">
        <v>995</v>
      </c>
      <c r="D2012" s="23">
        <v>0</v>
      </c>
      <c r="E2012" s="23">
        <v>10000</v>
      </c>
      <c r="F2012" s="23">
        <v>56064.23</v>
      </c>
      <c r="G2012" s="22" t="s">
        <v>2422</v>
      </c>
      <c r="H2012" s="22"/>
      <c r="I2012" t="s">
        <v>2403</v>
      </c>
      <c r="K2012" s="24">
        <f t="shared" si="34"/>
        <v>0</v>
      </c>
    </row>
    <row r="2013" spans="1:11" hidden="1" x14ac:dyDescent="0.3">
      <c r="A2013" s="21">
        <v>45364</v>
      </c>
      <c r="B2013" t="s">
        <v>996</v>
      </c>
      <c r="C2013" s="22" t="s">
        <v>997</v>
      </c>
      <c r="D2013" s="23">
        <v>20000</v>
      </c>
      <c r="E2013" s="23">
        <v>0</v>
      </c>
      <c r="F2013" s="23">
        <v>36064.230000000003</v>
      </c>
      <c r="G2013" s="22" t="s">
        <v>2414</v>
      </c>
      <c r="H2013" s="22"/>
      <c r="I2013" t="s">
        <v>2403</v>
      </c>
      <c r="K2013" s="24">
        <f t="shared" si="34"/>
        <v>0</v>
      </c>
    </row>
    <row r="2014" spans="1:11" hidden="1" x14ac:dyDescent="0.3">
      <c r="A2014" s="21">
        <v>45364</v>
      </c>
      <c r="B2014" t="s">
        <v>133</v>
      </c>
      <c r="C2014" s="22" t="s">
        <v>998</v>
      </c>
      <c r="D2014" s="23">
        <v>137.99</v>
      </c>
      <c r="E2014" s="23">
        <v>0</v>
      </c>
      <c r="F2014" s="23">
        <v>35926.239999999998</v>
      </c>
      <c r="G2014" s="22" t="s">
        <v>2406</v>
      </c>
      <c r="H2014" s="22"/>
      <c r="I2014" t="s">
        <v>2403</v>
      </c>
      <c r="K2014" s="24">
        <f t="shared" si="34"/>
        <v>0</v>
      </c>
    </row>
    <row r="2015" spans="1:11" hidden="1" x14ac:dyDescent="0.3">
      <c r="A2015" s="21">
        <v>45364</v>
      </c>
      <c r="B2015" t="s">
        <v>999</v>
      </c>
      <c r="C2015" s="22" t="s">
        <v>149</v>
      </c>
      <c r="D2015" s="23">
        <v>1706.62</v>
      </c>
      <c r="E2015" s="23">
        <v>0</v>
      </c>
      <c r="F2015" s="23">
        <v>34219.620000000003</v>
      </c>
      <c r="G2015" s="22" t="s">
        <v>2410</v>
      </c>
      <c r="H2015" s="22"/>
      <c r="I2015" t="s">
        <v>2403</v>
      </c>
      <c r="K2015" s="24">
        <f t="shared" si="34"/>
        <v>0</v>
      </c>
    </row>
    <row r="2016" spans="1:11" hidden="1" x14ac:dyDescent="0.3">
      <c r="A2016" s="21">
        <v>45364</v>
      </c>
      <c r="B2016" t="s">
        <v>133</v>
      </c>
      <c r="C2016" s="22" t="s">
        <v>1000</v>
      </c>
      <c r="D2016" s="23">
        <v>12617.13</v>
      </c>
      <c r="E2016" s="23">
        <v>0</v>
      </c>
      <c r="F2016" s="23">
        <v>21602.49</v>
      </c>
      <c r="G2016" s="22" t="s">
        <v>2406</v>
      </c>
      <c r="H2016" s="22"/>
      <c r="I2016" t="s">
        <v>2403</v>
      </c>
      <c r="K2016" s="24">
        <f t="shared" si="34"/>
        <v>0</v>
      </c>
    </row>
    <row r="2017" spans="1:11" hidden="1" x14ac:dyDescent="0.3">
      <c r="A2017" s="21">
        <v>45364</v>
      </c>
      <c r="B2017" t="s">
        <v>2285</v>
      </c>
      <c r="C2017" s="22" t="s">
        <v>1536</v>
      </c>
      <c r="D2017" s="23">
        <v>30</v>
      </c>
      <c r="E2017" s="23">
        <v>0</v>
      </c>
      <c r="F2017" s="23">
        <v>4871.67</v>
      </c>
      <c r="G2017" s="22" t="s">
        <v>2408</v>
      </c>
      <c r="H2017" s="22"/>
      <c r="I2017" t="s">
        <v>2401</v>
      </c>
      <c r="K2017" s="24">
        <f t="shared" si="34"/>
        <v>16700.82</v>
      </c>
    </row>
    <row r="2018" spans="1:11" hidden="1" x14ac:dyDescent="0.3">
      <c r="A2018" s="21">
        <v>45364</v>
      </c>
      <c r="B2018" t="s">
        <v>2286</v>
      </c>
      <c r="C2018" s="22" t="s">
        <v>1536</v>
      </c>
      <c r="D2018" s="23">
        <v>40</v>
      </c>
      <c r="E2018" s="23">
        <v>0</v>
      </c>
      <c r="F2018" s="23">
        <v>4831.67</v>
      </c>
      <c r="G2018" s="22" t="s">
        <v>2408</v>
      </c>
      <c r="H2018" s="22"/>
      <c r="I2018" t="s">
        <v>2401</v>
      </c>
      <c r="K2018" s="24">
        <f t="shared" si="34"/>
        <v>0</v>
      </c>
    </row>
    <row r="2019" spans="1:11" hidden="1" x14ac:dyDescent="0.3">
      <c r="A2019" s="21">
        <v>45364</v>
      </c>
      <c r="B2019" t="s">
        <v>2666</v>
      </c>
      <c r="C2019" s="22"/>
      <c r="D2019" s="23">
        <v>75</v>
      </c>
      <c r="E2019" s="23">
        <v>0</v>
      </c>
      <c r="F2019" s="23">
        <v>48553.7</v>
      </c>
      <c r="G2019" s="41" t="s">
        <v>2419</v>
      </c>
      <c r="H2019" s="22"/>
      <c r="I2019" t="s">
        <v>2400</v>
      </c>
      <c r="K2019" s="24">
        <f t="shared" si="34"/>
        <v>-43797.03</v>
      </c>
    </row>
    <row r="2020" spans="1:11" hidden="1" x14ac:dyDescent="0.3">
      <c r="A2020" s="21">
        <v>45364</v>
      </c>
      <c r="B2020" t="s">
        <v>2667</v>
      </c>
      <c r="C2020" s="22"/>
      <c r="D2020" s="23">
        <v>25</v>
      </c>
      <c r="E2020" s="23">
        <v>0</v>
      </c>
      <c r="F2020" s="23">
        <v>48528.7</v>
      </c>
      <c r="G2020" s="41" t="s">
        <v>2419</v>
      </c>
      <c r="H2020" s="22"/>
      <c r="I2020" t="s">
        <v>2400</v>
      </c>
      <c r="K2020" s="24">
        <f t="shared" si="34"/>
        <v>0</v>
      </c>
    </row>
    <row r="2021" spans="1:11" hidden="1" x14ac:dyDescent="0.3">
      <c r="A2021" s="21">
        <v>45365</v>
      </c>
      <c r="B2021" t="s">
        <v>133</v>
      </c>
      <c r="C2021" s="22" t="s">
        <v>1001</v>
      </c>
      <c r="D2021" s="23">
        <v>133.5</v>
      </c>
      <c r="E2021" s="23">
        <v>0</v>
      </c>
      <c r="F2021" s="23">
        <v>21468.99</v>
      </c>
      <c r="G2021" s="22" t="s">
        <v>2406</v>
      </c>
      <c r="H2021" s="22"/>
      <c r="I2021" t="s">
        <v>2403</v>
      </c>
      <c r="K2021" s="24">
        <f t="shared" si="34"/>
        <v>26926.209999999995</v>
      </c>
    </row>
    <row r="2022" spans="1:11" hidden="1" x14ac:dyDescent="0.3">
      <c r="A2022" s="21">
        <v>45365</v>
      </c>
      <c r="B2022" t="s">
        <v>2287</v>
      </c>
      <c r="C2022" s="22" t="s">
        <v>1536</v>
      </c>
      <c r="D2022" s="23">
        <v>20</v>
      </c>
      <c r="E2022" s="23">
        <v>0</v>
      </c>
      <c r="F2022" s="23">
        <v>4811.67</v>
      </c>
      <c r="G2022" s="22" t="s">
        <v>2408</v>
      </c>
      <c r="H2022" s="22"/>
      <c r="I2022" t="s">
        <v>2401</v>
      </c>
      <c r="K2022" s="24">
        <f t="shared" si="34"/>
        <v>16637.32</v>
      </c>
    </row>
    <row r="2023" spans="1:11" hidden="1" x14ac:dyDescent="0.3">
      <c r="A2023" s="21">
        <v>45365</v>
      </c>
      <c r="B2023" t="s">
        <v>2288</v>
      </c>
      <c r="C2023" s="22" t="s">
        <v>1536</v>
      </c>
      <c r="D2023" s="23">
        <v>75</v>
      </c>
      <c r="E2023" s="23">
        <v>0</v>
      </c>
      <c r="F2023" s="23">
        <v>4736.67</v>
      </c>
      <c r="G2023" s="22" t="s">
        <v>2408</v>
      </c>
      <c r="H2023" s="22"/>
      <c r="I2023" t="s">
        <v>2401</v>
      </c>
      <c r="K2023" s="24">
        <f t="shared" si="34"/>
        <v>0</v>
      </c>
    </row>
    <row r="2024" spans="1:11" hidden="1" x14ac:dyDescent="0.3">
      <c r="A2024" s="21">
        <v>45365</v>
      </c>
      <c r="B2024" t="s">
        <v>2289</v>
      </c>
      <c r="C2024" s="22" t="s">
        <v>1536</v>
      </c>
      <c r="D2024" s="23">
        <v>2274</v>
      </c>
      <c r="E2024" s="23">
        <v>0</v>
      </c>
      <c r="F2024" s="23">
        <v>2462.67</v>
      </c>
      <c r="G2024" s="22" t="s">
        <v>2399</v>
      </c>
      <c r="H2024" s="22"/>
      <c r="I2024" t="s">
        <v>2401</v>
      </c>
      <c r="J2024" s="24">
        <f>F2024-E2024+D2024</f>
        <v>4736.67</v>
      </c>
      <c r="K2024" s="24">
        <f t="shared" si="34"/>
        <v>0</v>
      </c>
    </row>
    <row r="2025" spans="1:11" hidden="1" x14ac:dyDescent="0.3">
      <c r="A2025" s="21">
        <v>45366</v>
      </c>
      <c r="B2025" t="s">
        <v>496</v>
      </c>
      <c r="C2025" s="22" t="s">
        <v>1002</v>
      </c>
      <c r="D2025" s="23">
        <v>0</v>
      </c>
      <c r="E2025" s="23">
        <v>5523.9</v>
      </c>
      <c r="F2025" s="23">
        <v>26992.89</v>
      </c>
      <c r="G2025" s="22" t="s">
        <v>2406</v>
      </c>
      <c r="H2025" s="22"/>
      <c r="I2025" t="s">
        <v>2403</v>
      </c>
      <c r="K2025" s="24">
        <f t="shared" si="34"/>
        <v>-19006.32</v>
      </c>
    </row>
    <row r="2026" spans="1:11" hidden="1" x14ac:dyDescent="0.3">
      <c r="A2026" s="21">
        <v>45366</v>
      </c>
      <c r="B2026" t="s">
        <v>133</v>
      </c>
      <c r="C2026" s="22" t="s">
        <v>1003</v>
      </c>
      <c r="D2026" s="23">
        <v>138.61000000000001</v>
      </c>
      <c r="E2026" s="23">
        <v>0</v>
      </c>
      <c r="F2026" s="23">
        <v>26854.28</v>
      </c>
      <c r="G2026" s="22" t="s">
        <v>2406</v>
      </c>
      <c r="H2026" s="22"/>
      <c r="I2026" t="s">
        <v>2403</v>
      </c>
      <c r="K2026" s="24">
        <f t="shared" si="34"/>
        <v>0</v>
      </c>
    </row>
    <row r="2027" spans="1:11" hidden="1" x14ac:dyDescent="0.3">
      <c r="A2027" s="21">
        <v>45366</v>
      </c>
      <c r="B2027" t="s">
        <v>496</v>
      </c>
      <c r="C2027" s="22" t="s">
        <v>1004</v>
      </c>
      <c r="D2027" s="23">
        <v>0</v>
      </c>
      <c r="E2027" s="23">
        <v>751.22</v>
      </c>
      <c r="F2027" s="23">
        <v>27605.5</v>
      </c>
      <c r="G2027" s="22" t="s">
        <v>2406</v>
      </c>
      <c r="H2027" s="22"/>
      <c r="I2027" t="s">
        <v>2403</v>
      </c>
      <c r="K2027" s="24">
        <f t="shared" si="34"/>
        <v>0</v>
      </c>
    </row>
    <row r="2028" spans="1:11" hidden="1" x14ac:dyDescent="0.3">
      <c r="A2028" s="21">
        <v>45366</v>
      </c>
      <c r="B2028" t="s">
        <v>2290</v>
      </c>
      <c r="C2028" s="22" t="s">
        <v>1536</v>
      </c>
      <c r="D2028" s="23">
        <v>2099</v>
      </c>
      <c r="E2028" s="23">
        <v>0</v>
      </c>
      <c r="F2028" s="23">
        <v>363.67</v>
      </c>
      <c r="G2028" s="22" t="s">
        <v>2399</v>
      </c>
      <c r="H2028" s="22"/>
      <c r="I2028" t="s">
        <v>2401</v>
      </c>
      <c r="K2028" s="24">
        <f t="shared" si="34"/>
        <v>25142.83</v>
      </c>
    </row>
    <row r="2029" spans="1:11" hidden="1" x14ac:dyDescent="0.3">
      <c r="A2029" s="21">
        <v>45366</v>
      </c>
      <c r="B2029" t="s">
        <v>2291</v>
      </c>
      <c r="C2029" s="22" t="s">
        <v>1536</v>
      </c>
      <c r="D2029" s="23">
        <v>0</v>
      </c>
      <c r="E2029" s="23">
        <v>275</v>
      </c>
      <c r="F2029" s="23">
        <v>638.66999999999996</v>
      </c>
      <c r="G2029" s="22" t="s">
        <v>2408</v>
      </c>
      <c r="H2029" s="22"/>
      <c r="I2029" t="s">
        <v>2401</v>
      </c>
      <c r="K2029" s="24">
        <f t="shared" si="34"/>
        <v>0</v>
      </c>
    </row>
    <row r="2030" spans="1:11" hidden="1" x14ac:dyDescent="0.3">
      <c r="A2030" s="21">
        <v>45366</v>
      </c>
      <c r="B2030" t="s">
        <v>2292</v>
      </c>
      <c r="C2030" s="22" t="s">
        <v>1536</v>
      </c>
      <c r="D2030" s="23">
        <v>0</v>
      </c>
      <c r="E2030" s="23">
        <v>5000</v>
      </c>
      <c r="F2030" s="23">
        <v>5638.67</v>
      </c>
      <c r="G2030" s="22" t="s">
        <v>2408</v>
      </c>
      <c r="H2030" s="22"/>
      <c r="I2030" t="s">
        <v>2401</v>
      </c>
      <c r="K2030" s="24">
        <f t="shared" si="34"/>
        <v>0</v>
      </c>
    </row>
    <row r="2031" spans="1:11" hidden="1" x14ac:dyDescent="0.3">
      <c r="A2031" s="21">
        <v>45366</v>
      </c>
      <c r="B2031" t="s">
        <v>2293</v>
      </c>
      <c r="C2031" s="22" t="s">
        <v>1536</v>
      </c>
      <c r="D2031" s="23">
        <v>2000</v>
      </c>
      <c r="E2031" s="23">
        <v>0</v>
      </c>
      <c r="F2031" s="23">
        <v>3638.67</v>
      </c>
      <c r="G2031" s="22" t="s">
        <v>2602</v>
      </c>
      <c r="H2031" s="22"/>
      <c r="I2031" t="s">
        <v>2401</v>
      </c>
      <c r="K2031" s="24">
        <f t="shared" si="34"/>
        <v>0</v>
      </c>
    </row>
    <row r="2032" spans="1:11" hidden="1" x14ac:dyDescent="0.3">
      <c r="A2032" s="21">
        <v>45366</v>
      </c>
      <c r="B2032" t="s">
        <v>2294</v>
      </c>
      <c r="C2032" s="22" t="s">
        <v>1536</v>
      </c>
      <c r="D2032" s="23">
        <v>10</v>
      </c>
      <c r="E2032" s="23">
        <v>0</v>
      </c>
      <c r="F2032" s="23">
        <v>3628.67</v>
      </c>
      <c r="G2032" s="22" t="s">
        <v>2408</v>
      </c>
      <c r="H2032" s="22"/>
      <c r="I2032" t="s">
        <v>2401</v>
      </c>
      <c r="K2032" s="24">
        <f t="shared" si="34"/>
        <v>0</v>
      </c>
    </row>
    <row r="2033" spans="1:11" hidden="1" x14ac:dyDescent="0.3">
      <c r="A2033" s="21">
        <v>45366</v>
      </c>
      <c r="B2033" t="s">
        <v>2295</v>
      </c>
      <c r="C2033" s="22" t="s">
        <v>1536</v>
      </c>
      <c r="D2033" s="23">
        <v>0</v>
      </c>
      <c r="E2033" s="23">
        <v>1999</v>
      </c>
      <c r="F2033" s="23">
        <v>5627.67</v>
      </c>
      <c r="G2033" s="22" t="s">
        <v>2408</v>
      </c>
      <c r="H2033" s="22"/>
      <c r="I2033" t="s">
        <v>2401</v>
      </c>
      <c r="K2033" s="24">
        <f t="shared" si="34"/>
        <v>0</v>
      </c>
    </row>
    <row r="2034" spans="1:11" hidden="1" x14ac:dyDescent="0.3">
      <c r="A2034" s="21">
        <v>45366</v>
      </c>
      <c r="B2034" t="s">
        <v>2296</v>
      </c>
      <c r="C2034" s="22" t="s">
        <v>1536</v>
      </c>
      <c r="D2034" s="23">
        <v>90</v>
      </c>
      <c r="E2034" s="23">
        <v>0</v>
      </c>
      <c r="F2034" s="23">
        <v>5537.67</v>
      </c>
      <c r="G2034" s="22" t="s">
        <v>2408</v>
      </c>
      <c r="H2034" s="22"/>
      <c r="I2034" t="s">
        <v>2401</v>
      </c>
      <c r="K2034" s="24">
        <f t="shared" si="34"/>
        <v>0</v>
      </c>
    </row>
    <row r="2035" spans="1:11" hidden="1" x14ac:dyDescent="0.3">
      <c r="A2035" s="21">
        <v>45366</v>
      </c>
      <c r="B2035" t="s">
        <v>2297</v>
      </c>
      <c r="C2035" s="22" t="s">
        <v>1536</v>
      </c>
      <c r="D2035" s="23">
        <v>110</v>
      </c>
      <c r="E2035" s="23">
        <v>0</v>
      </c>
      <c r="F2035" s="23">
        <v>5427.67</v>
      </c>
      <c r="G2035" s="22" t="s">
        <v>2399</v>
      </c>
      <c r="H2035" s="22"/>
      <c r="I2035" t="s">
        <v>2401</v>
      </c>
      <c r="K2035" s="24">
        <f t="shared" si="34"/>
        <v>0</v>
      </c>
    </row>
    <row r="2036" spans="1:11" hidden="1" x14ac:dyDescent="0.3">
      <c r="A2036" s="21">
        <v>45366</v>
      </c>
      <c r="B2036" t="s">
        <v>2298</v>
      </c>
      <c r="C2036" s="22" t="s">
        <v>1536</v>
      </c>
      <c r="D2036" s="23">
        <v>40</v>
      </c>
      <c r="E2036" s="23">
        <v>0</v>
      </c>
      <c r="F2036" s="23">
        <v>5387.67</v>
      </c>
      <c r="G2036" s="22" t="s">
        <v>2408</v>
      </c>
      <c r="H2036" s="22"/>
      <c r="I2036" t="s">
        <v>2401</v>
      </c>
      <c r="K2036" s="24">
        <f t="shared" si="34"/>
        <v>0</v>
      </c>
    </row>
    <row r="2037" spans="1:11" hidden="1" x14ac:dyDescent="0.3">
      <c r="A2037" s="21">
        <v>45366</v>
      </c>
      <c r="B2037" t="s">
        <v>1465</v>
      </c>
      <c r="C2037" s="22" t="s">
        <v>1466</v>
      </c>
      <c r="D2037" s="23">
        <v>0</v>
      </c>
      <c r="E2037" s="23">
        <v>9109</v>
      </c>
      <c r="F2037" s="23">
        <v>9109</v>
      </c>
      <c r="G2037" s="22" t="s">
        <v>2402</v>
      </c>
      <c r="H2037" s="22">
        <v>1</v>
      </c>
      <c r="I2037" t="s">
        <v>2645</v>
      </c>
      <c r="K2037" s="24">
        <f t="shared" si="34"/>
        <v>5387.67</v>
      </c>
    </row>
    <row r="2038" spans="1:11" hidden="1" x14ac:dyDescent="0.3">
      <c r="A2038" s="21">
        <v>45366</v>
      </c>
      <c r="B2038" t="s">
        <v>2668</v>
      </c>
      <c r="C2038" s="22"/>
      <c r="D2038" s="23">
        <v>5000</v>
      </c>
      <c r="E2038" s="23">
        <v>0</v>
      </c>
      <c r="F2038" s="23">
        <v>43528.7</v>
      </c>
      <c r="G2038" s="41" t="s">
        <v>2419</v>
      </c>
      <c r="H2038" s="22"/>
      <c r="I2038" t="s">
        <v>2400</v>
      </c>
      <c r="K2038" s="24">
        <f t="shared" si="34"/>
        <v>-39419.699999999997</v>
      </c>
    </row>
    <row r="2039" spans="1:11" hidden="1" x14ac:dyDescent="0.3">
      <c r="A2039" s="21">
        <v>45368</v>
      </c>
      <c r="B2039" t="s">
        <v>2299</v>
      </c>
      <c r="C2039" s="22" t="s">
        <v>1536</v>
      </c>
      <c r="D2039" s="23">
        <v>50</v>
      </c>
      <c r="E2039" s="23">
        <v>0</v>
      </c>
      <c r="F2039" s="23">
        <v>5337.67</v>
      </c>
      <c r="G2039" s="22" t="s">
        <v>2408</v>
      </c>
      <c r="H2039" s="22"/>
      <c r="I2039" t="s">
        <v>2401</v>
      </c>
      <c r="K2039" s="24">
        <f t="shared" si="34"/>
        <v>38141.03</v>
      </c>
    </row>
    <row r="2040" spans="1:11" hidden="1" x14ac:dyDescent="0.3">
      <c r="A2040" s="21">
        <v>45368</v>
      </c>
      <c r="B2040" t="s">
        <v>2300</v>
      </c>
      <c r="C2040" s="22" t="s">
        <v>1536</v>
      </c>
      <c r="D2040" s="23">
        <v>52.79</v>
      </c>
      <c r="E2040" s="23">
        <v>0</v>
      </c>
      <c r="F2040" s="23">
        <v>5284.88</v>
      </c>
      <c r="G2040" s="22" t="s">
        <v>2408</v>
      </c>
      <c r="H2040" s="22"/>
      <c r="I2040" t="s">
        <v>2401</v>
      </c>
      <c r="K2040" s="24">
        <f t="shared" si="34"/>
        <v>0</v>
      </c>
    </row>
    <row r="2041" spans="1:11" hidden="1" x14ac:dyDescent="0.3">
      <c r="A2041" s="21">
        <v>45368</v>
      </c>
      <c r="B2041" t="s">
        <v>2301</v>
      </c>
      <c r="C2041" s="22" t="s">
        <v>1536</v>
      </c>
      <c r="D2041" s="23">
        <v>561</v>
      </c>
      <c r="E2041" s="23">
        <v>0</v>
      </c>
      <c r="F2041" s="23">
        <v>4723.88</v>
      </c>
      <c r="G2041" s="22" t="s">
        <v>2399</v>
      </c>
      <c r="H2041" s="22"/>
      <c r="I2041" t="s">
        <v>2401</v>
      </c>
      <c r="K2041" s="24">
        <f t="shared" si="34"/>
        <v>0</v>
      </c>
    </row>
    <row r="2042" spans="1:11" hidden="1" x14ac:dyDescent="0.3">
      <c r="A2042" s="21">
        <v>45368</v>
      </c>
      <c r="B2042" t="s">
        <v>2302</v>
      </c>
      <c r="C2042" s="22" t="s">
        <v>1536</v>
      </c>
      <c r="D2042" s="23">
        <v>0</v>
      </c>
      <c r="E2042" s="23">
        <v>300</v>
      </c>
      <c r="F2042" s="23">
        <v>5023.88</v>
      </c>
      <c r="G2042" s="22" t="s">
        <v>2408</v>
      </c>
      <c r="H2042" s="22"/>
      <c r="I2042" t="s">
        <v>2401</v>
      </c>
      <c r="K2042" s="24">
        <f t="shared" si="34"/>
        <v>0</v>
      </c>
    </row>
    <row r="2043" spans="1:11" hidden="1" x14ac:dyDescent="0.3">
      <c r="A2043" s="21">
        <v>45368</v>
      </c>
      <c r="B2043" t="s">
        <v>2303</v>
      </c>
      <c r="C2043" s="22" t="s">
        <v>1536</v>
      </c>
      <c r="D2043" s="23">
        <v>64.02</v>
      </c>
      <c r="E2043" s="23">
        <v>0</v>
      </c>
      <c r="F2043" s="23">
        <v>4959.8599999999997</v>
      </c>
      <c r="G2043" s="22" t="s">
        <v>2408</v>
      </c>
      <c r="H2043" s="22"/>
      <c r="I2043" t="s">
        <v>2401</v>
      </c>
      <c r="K2043" s="24">
        <f t="shared" si="34"/>
        <v>0</v>
      </c>
    </row>
    <row r="2044" spans="1:11" hidden="1" x14ac:dyDescent="0.3">
      <c r="A2044" s="21">
        <v>45369</v>
      </c>
      <c r="B2044" t="s">
        <v>133</v>
      </c>
      <c r="C2044" s="22" t="s">
        <v>1005</v>
      </c>
      <c r="D2044" s="23">
        <v>422.52</v>
      </c>
      <c r="E2044" s="23">
        <v>0</v>
      </c>
      <c r="F2044" s="23">
        <v>27182.98</v>
      </c>
      <c r="G2044" s="22" t="s">
        <v>2406</v>
      </c>
      <c r="H2044" s="22"/>
      <c r="I2044" t="s">
        <v>2403</v>
      </c>
      <c r="K2044" s="24">
        <f t="shared" si="34"/>
        <v>-22645.64</v>
      </c>
    </row>
    <row r="2045" spans="1:11" hidden="1" x14ac:dyDescent="0.3">
      <c r="A2045" s="21">
        <v>45369</v>
      </c>
      <c r="B2045" t="s">
        <v>133</v>
      </c>
      <c r="C2045" s="22" t="s">
        <v>1006</v>
      </c>
      <c r="D2045" s="23">
        <v>2206.38</v>
      </c>
      <c r="E2045" s="23">
        <v>0</v>
      </c>
      <c r="F2045" s="23">
        <v>24976.6</v>
      </c>
      <c r="G2045" s="22" t="s">
        <v>2406</v>
      </c>
      <c r="H2045" s="22"/>
      <c r="I2045" t="s">
        <v>2403</v>
      </c>
      <c r="K2045" s="24">
        <f t="shared" si="34"/>
        <v>0</v>
      </c>
    </row>
    <row r="2046" spans="1:11" hidden="1" x14ac:dyDescent="0.3">
      <c r="A2046" s="21">
        <v>45369</v>
      </c>
      <c r="B2046" t="s">
        <v>2304</v>
      </c>
      <c r="C2046" s="22" t="s">
        <v>1536</v>
      </c>
      <c r="D2046" s="23">
        <v>40</v>
      </c>
      <c r="E2046" s="23">
        <v>0</v>
      </c>
      <c r="F2046" s="23">
        <v>4919.8599999999997</v>
      </c>
      <c r="G2046" s="22" t="s">
        <v>2408</v>
      </c>
      <c r="H2046" s="22"/>
      <c r="I2046" t="s">
        <v>2401</v>
      </c>
      <c r="K2046" s="24">
        <f t="shared" si="34"/>
        <v>20016.739999999998</v>
      </c>
    </row>
    <row r="2047" spans="1:11" hidden="1" x14ac:dyDescent="0.3">
      <c r="A2047" s="21">
        <v>45369</v>
      </c>
      <c r="B2047" t="s">
        <v>2305</v>
      </c>
      <c r="C2047" s="22" t="s">
        <v>1536</v>
      </c>
      <c r="D2047" s="23">
        <v>0</v>
      </c>
      <c r="E2047" s="23">
        <v>1</v>
      </c>
      <c r="F2047" s="23">
        <v>4920.8599999999997</v>
      </c>
      <c r="G2047" s="22" t="s">
        <v>2408</v>
      </c>
      <c r="H2047" s="22"/>
      <c r="I2047" t="s">
        <v>2401</v>
      </c>
      <c r="K2047" s="24">
        <f t="shared" si="34"/>
        <v>0</v>
      </c>
    </row>
    <row r="2048" spans="1:11" hidden="1" x14ac:dyDescent="0.3">
      <c r="A2048" s="21">
        <v>45369</v>
      </c>
      <c r="B2048" t="s">
        <v>2306</v>
      </c>
      <c r="C2048" s="22" t="s">
        <v>1536</v>
      </c>
      <c r="D2048" s="23">
        <v>60</v>
      </c>
      <c r="E2048" s="23">
        <v>0</v>
      </c>
      <c r="F2048" s="23">
        <v>4860.8599999999997</v>
      </c>
      <c r="G2048" s="22" t="s">
        <v>2408</v>
      </c>
      <c r="H2048" s="22"/>
      <c r="I2048" t="s">
        <v>2401</v>
      </c>
      <c r="K2048" s="24">
        <f t="shared" si="34"/>
        <v>0</v>
      </c>
    </row>
    <row r="2049" spans="1:11" hidden="1" x14ac:dyDescent="0.3">
      <c r="A2049" s="21">
        <v>45369</v>
      </c>
      <c r="B2049" t="s">
        <v>2307</v>
      </c>
      <c r="C2049" s="22" t="s">
        <v>1536</v>
      </c>
      <c r="D2049" s="23">
        <v>37.700000000000003</v>
      </c>
      <c r="E2049" s="23">
        <v>0</v>
      </c>
      <c r="F2049" s="23">
        <v>4823.16</v>
      </c>
      <c r="G2049" s="22" t="s">
        <v>2408</v>
      </c>
      <c r="H2049" s="22"/>
      <c r="I2049" t="s">
        <v>2401</v>
      </c>
      <c r="K2049" s="24">
        <f t="shared" si="34"/>
        <v>0</v>
      </c>
    </row>
    <row r="2050" spans="1:11" hidden="1" x14ac:dyDescent="0.3">
      <c r="A2050" s="21">
        <v>45369</v>
      </c>
      <c r="B2050" t="s">
        <v>2308</v>
      </c>
      <c r="C2050" s="22" t="s">
        <v>1536</v>
      </c>
      <c r="D2050" s="23">
        <v>40</v>
      </c>
      <c r="E2050" s="23">
        <v>0</v>
      </c>
      <c r="F2050" s="23">
        <v>4783.16</v>
      </c>
      <c r="G2050" s="22" t="s">
        <v>2408</v>
      </c>
      <c r="H2050" s="22"/>
      <c r="I2050" t="s">
        <v>2401</v>
      </c>
      <c r="K2050" s="24">
        <f t="shared" si="34"/>
        <v>0</v>
      </c>
    </row>
    <row r="2051" spans="1:11" hidden="1" x14ac:dyDescent="0.3">
      <c r="A2051" s="21">
        <v>45369</v>
      </c>
      <c r="B2051" t="s">
        <v>1467</v>
      </c>
      <c r="C2051" s="22" t="s">
        <v>1468</v>
      </c>
      <c r="D2051" s="23">
        <v>1</v>
      </c>
      <c r="E2051" s="23">
        <v>0</v>
      </c>
      <c r="F2051" s="23">
        <v>9108</v>
      </c>
      <c r="G2051" s="22" t="s">
        <v>2402</v>
      </c>
      <c r="H2051" s="22"/>
      <c r="I2051" t="s">
        <v>2645</v>
      </c>
      <c r="K2051" s="24">
        <f t="shared" ref="K2051:K2114" si="35">F2050-D2051+E2051-F2051</f>
        <v>-4325.84</v>
      </c>
    </row>
    <row r="2052" spans="1:11" hidden="1" x14ac:dyDescent="0.3">
      <c r="A2052" s="21">
        <v>45369</v>
      </c>
      <c r="B2052" t="s">
        <v>1469</v>
      </c>
      <c r="C2052" s="22" t="s">
        <v>1470</v>
      </c>
      <c r="D2052" s="23">
        <v>4999</v>
      </c>
      <c r="E2052" s="23">
        <v>0</v>
      </c>
      <c r="F2052" s="23">
        <v>4109</v>
      </c>
      <c r="G2052" s="22" t="s">
        <v>2402</v>
      </c>
      <c r="H2052" s="22"/>
      <c r="I2052" t="s">
        <v>2645</v>
      </c>
      <c r="K2052" s="24">
        <f t="shared" si="35"/>
        <v>0</v>
      </c>
    </row>
    <row r="2053" spans="1:11" hidden="1" x14ac:dyDescent="0.3">
      <c r="A2053" s="21">
        <v>45369</v>
      </c>
      <c r="B2053" t="s">
        <v>2669</v>
      </c>
      <c r="C2053" s="22"/>
      <c r="D2053" s="23">
        <v>0</v>
      </c>
      <c r="E2053" s="23">
        <v>4999</v>
      </c>
      <c r="F2053" s="23">
        <v>48527.7</v>
      </c>
      <c r="G2053" s="22" t="s">
        <v>2402</v>
      </c>
      <c r="H2053" s="22"/>
      <c r="I2053" t="s">
        <v>2400</v>
      </c>
      <c r="K2053" s="24">
        <f t="shared" si="35"/>
        <v>-39419.699999999997</v>
      </c>
    </row>
    <row r="2054" spans="1:11" hidden="1" x14ac:dyDescent="0.3">
      <c r="A2054" s="21">
        <v>45370</v>
      </c>
      <c r="B2054" t="s">
        <v>133</v>
      </c>
      <c r="C2054" s="22" t="s">
        <v>1007</v>
      </c>
      <c r="D2054" s="23">
        <v>140.06</v>
      </c>
      <c r="E2054" s="23">
        <v>0</v>
      </c>
      <c r="F2054" s="23">
        <v>24836.54</v>
      </c>
      <c r="G2054" s="22" t="s">
        <v>2406</v>
      </c>
      <c r="H2054" s="22"/>
      <c r="I2054" t="s">
        <v>2403</v>
      </c>
      <c r="K2054" s="24">
        <f t="shared" si="35"/>
        <v>23551.1</v>
      </c>
    </row>
    <row r="2055" spans="1:11" hidden="1" x14ac:dyDescent="0.3">
      <c r="A2055" s="21">
        <v>45370</v>
      </c>
      <c r="B2055" t="s">
        <v>133</v>
      </c>
      <c r="C2055" s="22" t="s">
        <v>1008</v>
      </c>
      <c r="D2055" s="23">
        <v>594.47</v>
      </c>
      <c r="E2055" s="23">
        <v>0</v>
      </c>
      <c r="F2055" s="23">
        <v>24242.07</v>
      </c>
      <c r="G2055" s="22" t="s">
        <v>2406</v>
      </c>
      <c r="H2055" s="22"/>
      <c r="I2055" t="s">
        <v>2403</v>
      </c>
      <c r="K2055" s="24">
        <f t="shared" si="35"/>
        <v>0</v>
      </c>
    </row>
    <row r="2056" spans="1:11" hidden="1" x14ac:dyDescent="0.3">
      <c r="A2056" s="21">
        <v>45370</v>
      </c>
      <c r="B2056" t="s">
        <v>133</v>
      </c>
      <c r="C2056" s="22" t="s">
        <v>1009</v>
      </c>
      <c r="D2056" s="23">
        <v>213.09</v>
      </c>
      <c r="E2056" s="23">
        <v>0</v>
      </c>
      <c r="F2056" s="23">
        <v>24028.98</v>
      </c>
      <c r="G2056" s="22" t="s">
        <v>2406</v>
      </c>
      <c r="H2056" s="22"/>
      <c r="I2056" t="s">
        <v>2403</v>
      </c>
      <c r="K2056" s="24">
        <f t="shared" si="35"/>
        <v>0</v>
      </c>
    </row>
    <row r="2057" spans="1:11" hidden="1" x14ac:dyDescent="0.3">
      <c r="A2057" s="21">
        <v>45370</v>
      </c>
      <c r="B2057" t="s">
        <v>2309</v>
      </c>
      <c r="C2057" s="22" t="s">
        <v>1536</v>
      </c>
      <c r="D2057" s="23">
        <v>152.25</v>
      </c>
      <c r="E2057" s="23">
        <v>0</v>
      </c>
      <c r="F2057" s="23">
        <v>4630.91</v>
      </c>
      <c r="G2057" s="22" t="s">
        <v>2399</v>
      </c>
      <c r="H2057" s="22"/>
      <c r="I2057" t="s">
        <v>2401</v>
      </c>
      <c r="K2057" s="24">
        <f t="shared" si="35"/>
        <v>19245.82</v>
      </c>
    </row>
    <row r="2058" spans="1:11" hidden="1" x14ac:dyDescent="0.3">
      <c r="A2058" s="21">
        <v>45370</v>
      </c>
      <c r="B2058" t="s">
        <v>2310</v>
      </c>
      <c r="C2058" s="22" t="s">
        <v>1536</v>
      </c>
      <c r="D2058" s="23">
        <v>54.3</v>
      </c>
      <c r="E2058" s="23">
        <v>0</v>
      </c>
      <c r="F2058" s="23">
        <v>4576.6099999999997</v>
      </c>
      <c r="G2058" s="22" t="s">
        <v>2408</v>
      </c>
      <c r="H2058" s="22"/>
      <c r="I2058" t="s">
        <v>2401</v>
      </c>
      <c r="K2058" s="24">
        <f t="shared" si="35"/>
        <v>0</v>
      </c>
    </row>
    <row r="2059" spans="1:11" hidden="1" x14ac:dyDescent="0.3">
      <c r="A2059" s="21">
        <v>45370</v>
      </c>
      <c r="B2059" t="s">
        <v>2311</v>
      </c>
      <c r="C2059" s="22" t="s">
        <v>1536</v>
      </c>
      <c r="D2059" s="23">
        <v>59.93</v>
      </c>
      <c r="E2059" s="23">
        <v>0</v>
      </c>
      <c r="F2059" s="23">
        <v>4516.68</v>
      </c>
      <c r="G2059" s="22" t="s">
        <v>2408</v>
      </c>
      <c r="H2059" s="22"/>
      <c r="I2059" t="s">
        <v>2401</v>
      </c>
      <c r="K2059" s="24">
        <f t="shared" si="35"/>
        <v>0</v>
      </c>
    </row>
    <row r="2060" spans="1:11" hidden="1" x14ac:dyDescent="0.3">
      <c r="A2060" s="21">
        <v>45370</v>
      </c>
      <c r="B2060" t="s">
        <v>1471</v>
      </c>
      <c r="C2060" s="22" t="s">
        <v>1472</v>
      </c>
      <c r="D2060" s="23">
        <v>4109</v>
      </c>
      <c r="E2060" s="23">
        <v>0</v>
      </c>
      <c r="F2060" s="23">
        <v>0</v>
      </c>
      <c r="G2060" s="22" t="s">
        <v>2402</v>
      </c>
      <c r="H2060" s="22"/>
      <c r="I2060" t="s">
        <v>2645</v>
      </c>
      <c r="K2060" s="24">
        <f t="shared" si="35"/>
        <v>407.68000000000029</v>
      </c>
    </row>
    <row r="2061" spans="1:11" hidden="1" x14ac:dyDescent="0.3">
      <c r="A2061" s="21">
        <v>45370</v>
      </c>
      <c r="B2061" t="s">
        <v>2670</v>
      </c>
      <c r="C2061" s="22"/>
      <c r="D2061" s="23">
        <v>0</v>
      </c>
      <c r="E2061" s="23">
        <v>4109</v>
      </c>
      <c r="F2061" s="23">
        <v>52636.7</v>
      </c>
      <c r="G2061" s="22" t="s">
        <v>2402</v>
      </c>
      <c r="H2061" s="22"/>
      <c r="I2061" t="s">
        <v>2400</v>
      </c>
      <c r="K2061" s="24">
        <f t="shared" si="35"/>
        <v>-48527.7</v>
      </c>
    </row>
    <row r="2062" spans="1:11" hidden="1" x14ac:dyDescent="0.3">
      <c r="A2062" s="21">
        <v>45371</v>
      </c>
      <c r="B2062" t="s">
        <v>1010</v>
      </c>
      <c r="C2062" s="22" t="s">
        <v>1011</v>
      </c>
      <c r="D2062" s="23">
        <v>0</v>
      </c>
      <c r="E2062" s="23">
        <v>74144.56</v>
      </c>
      <c r="F2062" s="23">
        <v>98173.54</v>
      </c>
      <c r="G2062" s="22" t="s">
        <v>2601</v>
      </c>
      <c r="H2062" s="22"/>
      <c r="I2062" t="s">
        <v>2403</v>
      </c>
      <c r="K2062" s="24">
        <f t="shared" si="35"/>
        <v>28607.72</v>
      </c>
    </row>
    <row r="2063" spans="1:11" hidden="1" x14ac:dyDescent="0.3">
      <c r="A2063" s="21">
        <v>45371</v>
      </c>
      <c r="B2063" t="s">
        <v>1012</v>
      </c>
      <c r="C2063" s="22" t="s">
        <v>1013</v>
      </c>
      <c r="D2063" s="23">
        <v>0</v>
      </c>
      <c r="E2063" s="23">
        <v>293411.76</v>
      </c>
      <c r="F2063" s="23">
        <v>391585.3</v>
      </c>
      <c r="G2063" s="22" t="s">
        <v>2646</v>
      </c>
      <c r="H2063" s="22"/>
      <c r="I2063" t="s">
        <v>2403</v>
      </c>
      <c r="K2063" s="24">
        <f t="shared" si="35"/>
        <v>0</v>
      </c>
    </row>
    <row r="2064" spans="1:11" hidden="1" x14ac:dyDescent="0.3">
      <c r="A2064" s="21">
        <v>45371</v>
      </c>
      <c r="B2064" t="s">
        <v>1014</v>
      </c>
      <c r="C2064" s="22" t="s">
        <v>1015</v>
      </c>
      <c r="D2064" s="23">
        <v>0</v>
      </c>
      <c r="E2064" s="23">
        <v>117705.12</v>
      </c>
      <c r="F2064" s="23">
        <v>509290.42</v>
      </c>
      <c r="G2064" s="22" t="s">
        <v>2646</v>
      </c>
      <c r="H2064" s="22"/>
      <c r="I2064" t="s">
        <v>2403</v>
      </c>
      <c r="K2064" s="24">
        <f t="shared" si="35"/>
        <v>0</v>
      </c>
    </row>
    <row r="2065" spans="1:11" hidden="1" x14ac:dyDescent="0.3">
      <c r="A2065" s="21">
        <v>45371</v>
      </c>
      <c r="B2065" t="s">
        <v>133</v>
      </c>
      <c r="C2065" s="22" t="s">
        <v>1016</v>
      </c>
      <c r="D2065" s="23">
        <v>139.85</v>
      </c>
      <c r="E2065" s="23">
        <v>0</v>
      </c>
      <c r="F2065" s="23">
        <v>509150.57</v>
      </c>
      <c r="G2065" s="22" t="s">
        <v>2406</v>
      </c>
      <c r="H2065" s="22"/>
      <c r="I2065" t="s">
        <v>2403</v>
      </c>
      <c r="K2065" s="24">
        <f t="shared" si="35"/>
        <v>0</v>
      </c>
    </row>
    <row r="2066" spans="1:11" hidden="1" x14ac:dyDescent="0.3">
      <c r="A2066" s="21">
        <v>45371</v>
      </c>
      <c r="B2066" t="s">
        <v>1017</v>
      </c>
      <c r="C2066" s="22" t="s">
        <v>1018</v>
      </c>
      <c r="D2066" s="23">
        <v>100000</v>
      </c>
      <c r="E2066" s="23">
        <v>0</v>
      </c>
      <c r="F2066" s="23">
        <v>409150.57</v>
      </c>
      <c r="G2066" s="22" t="s">
        <v>2646</v>
      </c>
      <c r="H2066" s="22"/>
      <c r="I2066" t="s">
        <v>2403</v>
      </c>
      <c r="K2066" s="24">
        <f t="shared" si="35"/>
        <v>0</v>
      </c>
    </row>
    <row r="2067" spans="1:11" hidden="1" x14ac:dyDescent="0.3">
      <c r="A2067" s="21">
        <v>45371</v>
      </c>
      <c r="B2067" t="s">
        <v>1019</v>
      </c>
      <c r="C2067" s="22" t="s">
        <v>1020</v>
      </c>
      <c r="D2067" s="23">
        <v>50000</v>
      </c>
      <c r="E2067" s="23">
        <v>0</v>
      </c>
      <c r="F2067" s="23">
        <v>359150.57</v>
      </c>
      <c r="G2067" s="22" t="s">
        <v>2411</v>
      </c>
      <c r="H2067" s="22"/>
      <c r="I2067" t="s">
        <v>2403</v>
      </c>
      <c r="K2067" s="24">
        <f t="shared" si="35"/>
        <v>0</v>
      </c>
    </row>
    <row r="2068" spans="1:11" hidden="1" x14ac:dyDescent="0.3">
      <c r="A2068" s="21">
        <v>45371</v>
      </c>
      <c r="B2068" t="s">
        <v>565</v>
      </c>
      <c r="C2068" s="22" t="s">
        <v>1021</v>
      </c>
      <c r="D2068" s="23">
        <v>50000</v>
      </c>
      <c r="E2068" s="23">
        <v>0</v>
      </c>
      <c r="F2068" s="23">
        <v>309150.57</v>
      </c>
      <c r="G2068" s="22" t="s">
        <v>2510</v>
      </c>
      <c r="H2068" s="22"/>
      <c r="I2068" t="s">
        <v>2403</v>
      </c>
      <c r="K2068" s="24">
        <f t="shared" si="35"/>
        <v>0</v>
      </c>
    </row>
    <row r="2069" spans="1:11" hidden="1" x14ac:dyDescent="0.3">
      <c r="A2069" s="21">
        <v>45371</v>
      </c>
      <c r="B2069" t="s">
        <v>968</v>
      </c>
      <c r="C2069" s="22" t="s">
        <v>1022</v>
      </c>
      <c r="D2069" s="23">
        <v>100000</v>
      </c>
      <c r="E2069" s="23">
        <v>0</v>
      </c>
      <c r="F2069" s="23">
        <v>209150.57</v>
      </c>
      <c r="G2069" s="22" t="s">
        <v>2414</v>
      </c>
      <c r="H2069" s="22"/>
      <c r="I2069" t="s">
        <v>2403</v>
      </c>
      <c r="K2069" s="24">
        <f t="shared" si="35"/>
        <v>0</v>
      </c>
    </row>
    <row r="2070" spans="1:11" hidden="1" x14ac:dyDescent="0.3">
      <c r="A2070" s="21">
        <v>45371</v>
      </c>
      <c r="B2070" t="s">
        <v>133</v>
      </c>
      <c r="C2070" s="22" t="s">
        <v>1023</v>
      </c>
      <c r="D2070" s="23">
        <v>56641.91</v>
      </c>
      <c r="E2070" s="23">
        <v>0</v>
      </c>
      <c r="F2070" s="23">
        <v>152508.66</v>
      </c>
      <c r="G2070" s="22" t="s">
        <v>2406</v>
      </c>
      <c r="H2070" s="22"/>
      <c r="I2070" t="s">
        <v>2403</v>
      </c>
      <c r="K2070" s="24">
        <f t="shared" si="35"/>
        <v>0</v>
      </c>
    </row>
    <row r="2071" spans="1:11" hidden="1" x14ac:dyDescent="0.3">
      <c r="A2071" s="21">
        <v>45371</v>
      </c>
      <c r="B2071" t="s">
        <v>2312</v>
      </c>
      <c r="C2071" s="22" t="s">
        <v>1536</v>
      </c>
      <c r="D2071" s="23">
        <v>10</v>
      </c>
      <c r="E2071" s="23">
        <v>0</v>
      </c>
      <c r="F2071" s="23">
        <v>4506.68</v>
      </c>
      <c r="G2071" s="22" t="s">
        <v>2408</v>
      </c>
      <c r="H2071" s="22"/>
      <c r="I2071" t="s">
        <v>2401</v>
      </c>
      <c r="K2071" s="24">
        <f t="shared" si="35"/>
        <v>147991.98000000001</v>
      </c>
    </row>
    <row r="2072" spans="1:11" hidden="1" x14ac:dyDescent="0.3">
      <c r="A2072" s="21">
        <v>45371</v>
      </c>
      <c r="B2072" t="s">
        <v>2313</v>
      </c>
      <c r="C2072" s="22" t="s">
        <v>1536</v>
      </c>
      <c r="D2072" s="23">
        <v>110</v>
      </c>
      <c r="E2072" s="23">
        <v>0</v>
      </c>
      <c r="F2072" s="23">
        <v>4396.68</v>
      </c>
      <c r="G2072" s="22" t="s">
        <v>2399</v>
      </c>
      <c r="H2072" s="22"/>
      <c r="I2072" t="s">
        <v>2401</v>
      </c>
      <c r="K2072" s="24">
        <f t="shared" si="35"/>
        <v>0</v>
      </c>
    </row>
    <row r="2073" spans="1:11" hidden="1" x14ac:dyDescent="0.3">
      <c r="A2073" s="21">
        <v>45371</v>
      </c>
      <c r="B2073" t="s">
        <v>2314</v>
      </c>
      <c r="C2073" s="22" t="s">
        <v>1536</v>
      </c>
      <c r="D2073" s="23">
        <v>100</v>
      </c>
      <c r="E2073" s="23">
        <v>0</v>
      </c>
      <c r="F2073" s="23">
        <v>4296.68</v>
      </c>
      <c r="G2073" s="22" t="s">
        <v>2408</v>
      </c>
      <c r="H2073" s="22"/>
      <c r="I2073" t="s">
        <v>2401</v>
      </c>
      <c r="K2073" s="24">
        <f t="shared" si="35"/>
        <v>0</v>
      </c>
    </row>
    <row r="2074" spans="1:11" hidden="1" x14ac:dyDescent="0.3">
      <c r="A2074" s="21">
        <v>45371</v>
      </c>
      <c r="B2074" t="s">
        <v>2315</v>
      </c>
      <c r="C2074" s="22" t="s">
        <v>1536</v>
      </c>
      <c r="D2074" s="23">
        <v>40</v>
      </c>
      <c r="E2074" s="23">
        <v>0</v>
      </c>
      <c r="F2074" s="23">
        <v>4256.68</v>
      </c>
      <c r="G2074" s="22" t="s">
        <v>2408</v>
      </c>
      <c r="H2074" s="22"/>
      <c r="I2074" t="s">
        <v>2401</v>
      </c>
      <c r="K2074" s="24">
        <f t="shared" si="35"/>
        <v>0</v>
      </c>
    </row>
    <row r="2075" spans="1:11" hidden="1" x14ac:dyDescent="0.3">
      <c r="A2075" s="21">
        <v>45372</v>
      </c>
      <c r="B2075" t="s">
        <v>496</v>
      </c>
      <c r="C2075" s="22" t="s">
        <v>1024</v>
      </c>
      <c r="D2075" s="23">
        <v>0</v>
      </c>
      <c r="E2075" s="23">
        <v>30000</v>
      </c>
      <c r="F2075" s="23">
        <v>182508.66</v>
      </c>
      <c r="G2075" s="22" t="s">
        <v>2406</v>
      </c>
      <c r="H2075" s="22"/>
      <c r="I2075" t="s">
        <v>2403</v>
      </c>
      <c r="K2075" s="24">
        <f t="shared" si="35"/>
        <v>-148251.98000000001</v>
      </c>
    </row>
    <row r="2076" spans="1:11" hidden="1" x14ac:dyDescent="0.3">
      <c r="A2076" s="21">
        <v>45372</v>
      </c>
      <c r="B2076" t="s">
        <v>1025</v>
      </c>
      <c r="C2076" s="22" t="s">
        <v>1026</v>
      </c>
      <c r="D2076" s="23">
        <v>50000</v>
      </c>
      <c r="E2076" s="23">
        <v>0</v>
      </c>
      <c r="F2076" s="23">
        <v>132508.66</v>
      </c>
      <c r="G2076" s="22" t="s">
        <v>2646</v>
      </c>
      <c r="H2076" s="22"/>
      <c r="I2076" t="s">
        <v>2403</v>
      </c>
      <c r="K2076" s="24">
        <f t="shared" si="35"/>
        <v>0</v>
      </c>
    </row>
    <row r="2077" spans="1:11" hidden="1" x14ac:dyDescent="0.3">
      <c r="A2077" s="21">
        <v>45372</v>
      </c>
      <c r="B2077" t="s">
        <v>133</v>
      </c>
      <c r="C2077" s="22" t="s">
        <v>1027</v>
      </c>
      <c r="D2077" s="23">
        <v>119.67</v>
      </c>
      <c r="E2077" s="23">
        <v>0</v>
      </c>
      <c r="F2077" s="23">
        <v>132388.99</v>
      </c>
      <c r="G2077" s="22" t="s">
        <v>2406</v>
      </c>
      <c r="H2077" s="22"/>
      <c r="I2077" t="s">
        <v>2403</v>
      </c>
      <c r="K2077" s="24">
        <f t="shared" si="35"/>
        <v>0</v>
      </c>
    </row>
    <row r="2078" spans="1:11" hidden="1" x14ac:dyDescent="0.3">
      <c r="A2078" s="21">
        <v>45372</v>
      </c>
      <c r="B2078" t="s">
        <v>133</v>
      </c>
      <c r="C2078" s="22" t="s">
        <v>1028</v>
      </c>
      <c r="D2078" s="23">
        <v>20343.95</v>
      </c>
      <c r="E2078" s="23">
        <v>0</v>
      </c>
      <c r="F2078" s="23">
        <v>112045.04</v>
      </c>
      <c r="G2078" s="22" t="s">
        <v>2406</v>
      </c>
      <c r="H2078" s="22"/>
      <c r="I2078" t="s">
        <v>2403</v>
      </c>
      <c r="K2078" s="24">
        <f t="shared" si="35"/>
        <v>0</v>
      </c>
    </row>
    <row r="2079" spans="1:11" hidden="1" x14ac:dyDescent="0.3">
      <c r="A2079" s="21">
        <v>45372</v>
      </c>
      <c r="B2079" t="s">
        <v>133</v>
      </c>
      <c r="C2079" s="22" t="s">
        <v>1029</v>
      </c>
      <c r="D2079" s="23">
        <v>69314.38</v>
      </c>
      <c r="E2079" s="23">
        <v>0</v>
      </c>
      <c r="F2079" s="23">
        <v>42730.66</v>
      </c>
      <c r="G2079" s="22" t="s">
        <v>2406</v>
      </c>
      <c r="H2079" s="22"/>
      <c r="I2079" t="s">
        <v>2403</v>
      </c>
      <c r="K2079" s="24">
        <f t="shared" si="35"/>
        <v>0</v>
      </c>
    </row>
    <row r="2080" spans="1:11" hidden="1" x14ac:dyDescent="0.3">
      <c r="A2080" s="21">
        <v>45372</v>
      </c>
      <c r="B2080" t="s">
        <v>2316</v>
      </c>
      <c r="C2080" s="22" t="s">
        <v>1536</v>
      </c>
      <c r="D2080" s="23">
        <v>180</v>
      </c>
      <c r="E2080" s="23">
        <v>0</v>
      </c>
      <c r="F2080" s="23">
        <v>4076.68</v>
      </c>
      <c r="G2080" s="22" t="s">
        <v>2399</v>
      </c>
      <c r="H2080" s="22"/>
      <c r="I2080" t="s">
        <v>2401</v>
      </c>
      <c r="K2080" s="24">
        <f t="shared" si="35"/>
        <v>38473.980000000003</v>
      </c>
    </row>
    <row r="2081" spans="1:11" hidden="1" x14ac:dyDescent="0.3">
      <c r="A2081" s="21">
        <v>45372</v>
      </c>
      <c r="B2081" t="s">
        <v>2317</v>
      </c>
      <c r="C2081" s="22" t="s">
        <v>1536</v>
      </c>
      <c r="D2081" s="23">
        <v>114</v>
      </c>
      <c r="E2081" s="23">
        <v>0</v>
      </c>
      <c r="F2081" s="23">
        <v>3962.68</v>
      </c>
      <c r="G2081" s="22" t="s">
        <v>2399</v>
      </c>
      <c r="H2081" s="22"/>
      <c r="I2081" t="s">
        <v>2401</v>
      </c>
      <c r="K2081" s="24">
        <f t="shared" si="35"/>
        <v>0</v>
      </c>
    </row>
    <row r="2082" spans="1:11" hidden="1" x14ac:dyDescent="0.3">
      <c r="A2082" s="21">
        <v>45372</v>
      </c>
      <c r="B2082" t="s">
        <v>2318</v>
      </c>
      <c r="C2082" s="22" t="s">
        <v>1536</v>
      </c>
      <c r="D2082" s="23">
        <v>700</v>
      </c>
      <c r="E2082" s="23">
        <v>0</v>
      </c>
      <c r="F2082" s="23">
        <v>3262.68</v>
      </c>
      <c r="G2082" s="22" t="s">
        <v>2399</v>
      </c>
      <c r="H2082" s="22"/>
      <c r="I2082" t="s">
        <v>2401</v>
      </c>
      <c r="K2082" s="24">
        <f t="shared" si="35"/>
        <v>0</v>
      </c>
    </row>
    <row r="2083" spans="1:11" hidden="1" x14ac:dyDescent="0.3">
      <c r="A2083" s="21">
        <v>45372</v>
      </c>
      <c r="B2083" t="s">
        <v>2319</v>
      </c>
      <c r="C2083" s="22" t="s">
        <v>1536</v>
      </c>
      <c r="D2083" s="23">
        <v>500</v>
      </c>
      <c r="E2083" s="23">
        <v>0</v>
      </c>
      <c r="F2083" s="23">
        <v>2762.68</v>
      </c>
      <c r="G2083" s="22" t="s">
        <v>2399</v>
      </c>
      <c r="H2083" s="22"/>
      <c r="I2083" t="s">
        <v>2401</v>
      </c>
      <c r="K2083" s="24">
        <f t="shared" si="35"/>
        <v>0</v>
      </c>
    </row>
    <row r="2084" spans="1:11" hidden="1" x14ac:dyDescent="0.3">
      <c r="A2084" s="21">
        <v>45372</v>
      </c>
      <c r="B2084" t="s">
        <v>2320</v>
      </c>
      <c r="C2084" s="22" t="s">
        <v>1536</v>
      </c>
      <c r="D2084" s="23">
        <v>548</v>
      </c>
      <c r="E2084" s="23">
        <v>0</v>
      </c>
      <c r="F2084" s="23">
        <v>2214.6799999999998</v>
      </c>
      <c r="G2084" s="22" t="s">
        <v>2399</v>
      </c>
      <c r="H2084" s="22"/>
      <c r="I2084" t="s">
        <v>2401</v>
      </c>
      <c r="K2084" s="24">
        <f t="shared" si="35"/>
        <v>0</v>
      </c>
    </row>
    <row r="2085" spans="1:11" hidden="1" x14ac:dyDescent="0.3">
      <c r="A2085" s="21">
        <v>45372</v>
      </c>
      <c r="B2085" t="s">
        <v>2321</v>
      </c>
      <c r="C2085" s="22" t="s">
        <v>1536</v>
      </c>
      <c r="D2085" s="23">
        <v>51</v>
      </c>
      <c r="E2085" s="23">
        <v>0</v>
      </c>
      <c r="F2085" s="23">
        <v>2163.6799999999998</v>
      </c>
      <c r="G2085" s="22" t="s">
        <v>2408</v>
      </c>
      <c r="H2085" s="22"/>
      <c r="I2085" t="s">
        <v>2401</v>
      </c>
      <c r="K2085" s="24">
        <f t="shared" si="35"/>
        <v>0</v>
      </c>
    </row>
    <row r="2086" spans="1:11" hidden="1" x14ac:dyDescent="0.3">
      <c r="A2086" s="21">
        <v>45372</v>
      </c>
      <c r="B2086" t="s">
        <v>2322</v>
      </c>
      <c r="C2086" s="22" t="s">
        <v>1536</v>
      </c>
      <c r="D2086" s="23">
        <v>20</v>
      </c>
      <c r="E2086" s="23">
        <v>0</v>
      </c>
      <c r="F2086" s="23">
        <v>2143.6799999999998</v>
      </c>
      <c r="G2086" s="22" t="s">
        <v>2408</v>
      </c>
      <c r="H2086" s="22"/>
      <c r="I2086" t="s">
        <v>2401</v>
      </c>
      <c r="K2086" s="24">
        <f t="shared" si="35"/>
        <v>0</v>
      </c>
    </row>
    <row r="2087" spans="1:11" hidden="1" x14ac:dyDescent="0.3">
      <c r="A2087" s="21">
        <v>45372</v>
      </c>
      <c r="B2087" t="s">
        <v>2323</v>
      </c>
      <c r="C2087" s="22" t="s">
        <v>1536</v>
      </c>
      <c r="D2087" s="23">
        <v>86</v>
      </c>
      <c r="E2087" s="23">
        <v>0</v>
      </c>
      <c r="F2087" s="23">
        <v>2057.6799999999998</v>
      </c>
      <c r="G2087" s="22" t="s">
        <v>2408</v>
      </c>
      <c r="H2087" s="22"/>
      <c r="I2087" t="s">
        <v>2401</v>
      </c>
      <c r="K2087" s="24">
        <f t="shared" si="35"/>
        <v>0</v>
      </c>
    </row>
    <row r="2088" spans="1:11" hidden="1" x14ac:dyDescent="0.3">
      <c r="A2088" s="21">
        <v>45373</v>
      </c>
      <c r="B2088" t="s">
        <v>133</v>
      </c>
      <c r="C2088" s="22" t="s">
        <v>1030</v>
      </c>
      <c r="D2088" s="23">
        <v>94.99</v>
      </c>
      <c r="E2088" s="23">
        <v>0</v>
      </c>
      <c r="F2088" s="23">
        <v>42635.67</v>
      </c>
      <c r="G2088" s="22" t="s">
        <v>2406</v>
      </c>
      <c r="H2088" s="22"/>
      <c r="I2088" t="s">
        <v>2403</v>
      </c>
      <c r="K2088" s="24">
        <f t="shared" si="35"/>
        <v>-40672.979999999996</v>
      </c>
    </row>
    <row r="2089" spans="1:11" hidden="1" x14ac:dyDescent="0.3">
      <c r="A2089" s="21">
        <v>45373</v>
      </c>
      <c r="B2089" t="s">
        <v>133</v>
      </c>
      <c r="C2089" s="22" t="s">
        <v>1031</v>
      </c>
      <c r="D2089" s="23">
        <v>175.21</v>
      </c>
      <c r="E2089" s="23">
        <v>0</v>
      </c>
      <c r="F2089" s="23">
        <v>42460.46</v>
      </c>
      <c r="G2089" s="22" t="s">
        <v>2406</v>
      </c>
      <c r="H2089" s="22"/>
      <c r="I2089" t="s">
        <v>2403</v>
      </c>
      <c r="K2089" s="24">
        <f t="shared" si="35"/>
        <v>0</v>
      </c>
    </row>
    <row r="2090" spans="1:11" hidden="1" x14ac:dyDescent="0.3">
      <c r="A2090" s="21">
        <v>45373</v>
      </c>
      <c r="B2090" t="s">
        <v>2324</v>
      </c>
      <c r="C2090" s="22" t="s">
        <v>1536</v>
      </c>
      <c r="D2090" s="23">
        <v>10</v>
      </c>
      <c r="E2090" s="23">
        <v>0</v>
      </c>
      <c r="F2090" s="23">
        <v>2047.68</v>
      </c>
      <c r="G2090" s="22" t="s">
        <v>2408</v>
      </c>
      <c r="H2090" s="22"/>
      <c r="I2090" t="s">
        <v>2401</v>
      </c>
      <c r="K2090" s="24">
        <f t="shared" si="35"/>
        <v>40402.78</v>
      </c>
    </row>
    <row r="2091" spans="1:11" hidden="1" x14ac:dyDescent="0.3">
      <c r="A2091" s="21">
        <v>45373</v>
      </c>
      <c r="B2091" t="s">
        <v>2325</v>
      </c>
      <c r="C2091" s="22" t="s">
        <v>1536</v>
      </c>
      <c r="D2091" s="23">
        <v>10</v>
      </c>
      <c r="E2091" s="23">
        <v>0</v>
      </c>
      <c r="F2091" s="23">
        <v>2037.68</v>
      </c>
      <c r="G2091" s="22" t="s">
        <v>2408</v>
      </c>
      <c r="H2091" s="22"/>
      <c r="I2091" t="s">
        <v>2401</v>
      </c>
      <c r="K2091" s="24">
        <f t="shared" si="35"/>
        <v>0</v>
      </c>
    </row>
    <row r="2092" spans="1:11" hidden="1" x14ac:dyDescent="0.3">
      <c r="A2092" s="21">
        <v>45373</v>
      </c>
      <c r="B2092" t="s">
        <v>2326</v>
      </c>
      <c r="C2092" s="22" t="s">
        <v>1536</v>
      </c>
      <c r="D2092" s="23">
        <v>40</v>
      </c>
      <c r="E2092" s="23">
        <v>0</v>
      </c>
      <c r="F2092" s="23">
        <v>1997.68</v>
      </c>
      <c r="G2092" s="22" t="s">
        <v>2408</v>
      </c>
      <c r="H2092" s="22"/>
      <c r="I2092" t="s">
        <v>2401</v>
      </c>
      <c r="K2092" s="24">
        <f t="shared" si="35"/>
        <v>0</v>
      </c>
    </row>
    <row r="2093" spans="1:11" hidden="1" x14ac:dyDescent="0.3">
      <c r="A2093" s="21">
        <v>45373</v>
      </c>
      <c r="B2093" t="s">
        <v>2327</v>
      </c>
      <c r="C2093" s="22" t="s">
        <v>1536</v>
      </c>
      <c r="D2093" s="23">
        <v>35</v>
      </c>
      <c r="E2093" s="23">
        <v>0</v>
      </c>
      <c r="F2093" s="23">
        <v>1962.68</v>
      </c>
      <c r="G2093" s="22" t="s">
        <v>2408</v>
      </c>
      <c r="H2093" s="22"/>
      <c r="I2093" t="s">
        <v>2401</v>
      </c>
      <c r="K2093" s="24">
        <f t="shared" si="35"/>
        <v>0</v>
      </c>
    </row>
    <row r="2094" spans="1:11" hidden="1" x14ac:dyDescent="0.3">
      <c r="A2094" s="21">
        <v>45373</v>
      </c>
      <c r="B2094" t="s">
        <v>2328</v>
      </c>
      <c r="C2094" s="22" t="s">
        <v>1536</v>
      </c>
      <c r="D2094" s="23">
        <v>0</v>
      </c>
      <c r="E2094" s="23">
        <v>2000</v>
      </c>
      <c r="F2094" s="23">
        <v>3962.68</v>
      </c>
      <c r="G2094" s="22" t="s">
        <v>2408</v>
      </c>
      <c r="H2094" s="22"/>
      <c r="I2094" t="s">
        <v>2401</v>
      </c>
      <c r="K2094" s="24">
        <f t="shared" si="35"/>
        <v>0</v>
      </c>
    </row>
    <row r="2095" spans="1:11" hidden="1" x14ac:dyDescent="0.3">
      <c r="A2095" s="21">
        <v>45373</v>
      </c>
      <c r="B2095" t="s">
        <v>2330</v>
      </c>
      <c r="C2095" s="22" t="s">
        <v>1536</v>
      </c>
      <c r="D2095" s="23">
        <v>0</v>
      </c>
      <c r="E2095" s="23">
        <v>113</v>
      </c>
      <c r="F2095" s="23">
        <v>3942.28</v>
      </c>
      <c r="G2095" s="22" t="s">
        <v>2423</v>
      </c>
      <c r="H2095" s="22"/>
      <c r="I2095" t="s">
        <v>2401</v>
      </c>
      <c r="K2095" s="24">
        <f t="shared" si="35"/>
        <v>133.39999999999964</v>
      </c>
    </row>
    <row r="2096" spans="1:11" hidden="1" x14ac:dyDescent="0.3">
      <c r="A2096" s="21">
        <v>45373</v>
      </c>
      <c r="B2096" t="s">
        <v>2671</v>
      </c>
      <c r="C2096" s="22"/>
      <c r="D2096" s="23">
        <v>1384.05</v>
      </c>
      <c r="E2096" s="23">
        <v>0</v>
      </c>
      <c r="F2096" s="23">
        <v>51252.65</v>
      </c>
      <c r="G2096" s="41" t="s">
        <v>2419</v>
      </c>
      <c r="H2096" s="22"/>
      <c r="I2096" t="s">
        <v>2400</v>
      </c>
      <c r="K2096" s="24">
        <f t="shared" si="35"/>
        <v>-48694.42</v>
      </c>
    </row>
    <row r="2097" spans="1:11" hidden="1" x14ac:dyDescent="0.3">
      <c r="A2097" s="21">
        <v>45373</v>
      </c>
      <c r="B2097" t="s">
        <v>2672</v>
      </c>
      <c r="C2097" s="22"/>
      <c r="D2097" s="23">
        <v>0</v>
      </c>
      <c r="E2097" s="23">
        <v>1384.05</v>
      </c>
      <c r="F2097" s="23">
        <v>52636.7</v>
      </c>
      <c r="G2097" s="41" t="s">
        <v>2419</v>
      </c>
      <c r="H2097" s="22"/>
      <c r="I2097" t="s">
        <v>2400</v>
      </c>
      <c r="K2097" s="24">
        <f t="shared" si="35"/>
        <v>0</v>
      </c>
    </row>
    <row r="2098" spans="1:11" hidden="1" x14ac:dyDescent="0.3">
      <c r="A2098" s="21">
        <v>45373</v>
      </c>
      <c r="B2098" t="s">
        <v>2673</v>
      </c>
      <c r="C2098" s="22"/>
      <c r="D2098" s="23">
        <v>152.25</v>
      </c>
      <c r="E2098" s="23">
        <v>0</v>
      </c>
      <c r="F2098" s="23">
        <v>52484.45</v>
      </c>
      <c r="G2098" s="41" t="s">
        <v>2419</v>
      </c>
      <c r="H2098" s="22"/>
      <c r="I2098" t="s">
        <v>2400</v>
      </c>
      <c r="K2098" s="24">
        <f t="shared" si="35"/>
        <v>0</v>
      </c>
    </row>
    <row r="2099" spans="1:11" hidden="1" x14ac:dyDescent="0.3">
      <c r="A2099" s="21">
        <v>45373</v>
      </c>
      <c r="B2099" t="s">
        <v>2674</v>
      </c>
      <c r="C2099" s="22"/>
      <c r="D2099" s="23">
        <v>140</v>
      </c>
      <c r="E2099" s="23">
        <v>0</v>
      </c>
      <c r="F2099" s="23">
        <v>52344.45</v>
      </c>
      <c r="G2099" s="41" t="s">
        <v>2419</v>
      </c>
      <c r="H2099" s="22"/>
      <c r="I2099" t="s">
        <v>2400</v>
      </c>
      <c r="K2099" s="24">
        <f t="shared" si="35"/>
        <v>0</v>
      </c>
    </row>
    <row r="2100" spans="1:11" hidden="1" x14ac:dyDescent="0.3">
      <c r="A2100" s="21">
        <v>45373</v>
      </c>
      <c r="B2100" t="s">
        <v>2675</v>
      </c>
      <c r="C2100" s="22"/>
      <c r="D2100" s="23">
        <v>2000</v>
      </c>
      <c r="E2100" s="23">
        <v>0</v>
      </c>
      <c r="F2100" s="23">
        <v>50344.45</v>
      </c>
      <c r="G2100" s="41" t="s">
        <v>2419</v>
      </c>
      <c r="H2100" s="22"/>
      <c r="I2100" t="s">
        <v>2400</v>
      </c>
      <c r="K2100" s="24">
        <f t="shared" si="35"/>
        <v>0</v>
      </c>
    </row>
    <row r="2101" spans="1:11" hidden="1" x14ac:dyDescent="0.3">
      <c r="A2101" s="21">
        <v>45374</v>
      </c>
      <c r="B2101" t="s">
        <v>2329</v>
      </c>
      <c r="C2101" s="22" t="s">
        <v>1536</v>
      </c>
      <c r="D2101" s="23">
        <v>133.4</v>
      </c>
      <c r="E2101" s="23">
        <v>0</v>
      </c>
      <c r="F2101" s="23">
        <v>3829.28</v>
      </c>
      <c r="G2101" s="22" t="s">
        <v>2399</v>
      </c>
      <c r="H2101" s="22"/>
      <c r="I2101" t="s">
        <v>2401</v>
      </c>
      <c r="K2101" s="24">
        <f t="shared" si="35"/>
        <v>46381.77</v>
      </c>
    </row>
    <row r="2102" spans="1:11" hidden="1" x14ac:dyDescent="0.3">
      <c r="A2102" s="21">
        <v>45374</v>
      </c>
      <c r="B2102" t="s">
        <v>2331</v>
      </c>
      <c r="C2102" s="22" t="s">
        <v>1536</v>
      </c>
      <c r="D2102" s="23">
        <v>0</v>
      </c>
      <c r="E2102" s="23">
        <v>1.01</v>
      </c>
      <c r="F2102" s="23">
        <v>3943.29</v>
      </c>
      <c r="G2102" s="22" t="s">
        <v>2555</v>
      </c>
      <c r="H2102" s="22"/>
      <c r="I2102" t="s">
        <v>2401</v>
      </c>
      <c r="K2102" s="24">
        <f t="shared" si="35"/>
        <v>-112.99999999999955</v>
      </c>
    </row>
    <row r="2103" spans="1:11" hidden="1" x14ac:dyDescent="0.3">
      <c r="A2103" s="21">
        <v>45374</v>
      </c>
      <c r="B2103" t="s">
        <v>2332</v>
      </c>
      <c r="C2103" s="22" t="s">
        <v>1536</v>
      </c>
      <c r="D2103" s="23">
        <v>2000</v>
      </c>
      <c r="E2103" s="23">
        <v>0</v>
      </c>
      <c r="F2103" s="23">
        <v>1943.29</v>
      </c>
      <c r="G2103" s="22" t="s">
        <v>2602</v>
      </c>
      <c r="H2103" s="22"/>
      <c r="I2103" t="s">
        <v>2401</v>
      </c>
      <c r="K2103" s="24">
        <f t="shared" si="35"/>
        <v>0</v>
      </c>
    </row>
    <row r="2104" spans="1:11" hidden="1" x14ac:dyDescent="0.3">
      <c r="A2104" s="21">
        <v>45374</v>
      </c>
      <c r="B2104" t="s">
        <v>2333</v>
      </c>
      <c r="C2104" s="22" t="s">
        <v>1536</v>
      </c>
      <c r="D2104" s="23">
        <v>25</v>
      </c>
      <c r="E2104" s="23">
        <v>0</v>
      </c>
      <c r="F2104" s="23">
        <v>1918.29</v>
      </c>
      <c r="G2104" s="22" t="s">
        <v>2408</v>
      </c>
      <c r="H2104" s="22"/>
      <c r="I2104" t="s">
        <v>2401</v>
      </c>
      <c r="K2104" s="24">
        <f t="shared" si="35"/>
        <v>0</v>
      </c>
    </row>
    <row r="2105" spans="1:11" hidden="1" x14ac:dyDescent="0.3">
      <c r="A2105" s="21">
        <v>45374</v>
      </c>
      <c r="B2105" t="s">
        <v>2334</v>
      </c>
      <c r="C2105" s="22" t="s">
        <v>1536</v>
      </c>
      <c r="D2105" s="23">
        <v>49</v>
      </c>
      <c r="E2105" s="23">
        <v>0</v>
      </c>
      <c r="F2105" s="23">
        <v>1869.29</v>
      </c>
      <c r="G2105" s="22" t="s">
        <v>2408</v>
      </c>
      <c r="H2105" s="22"/>
      <c r="I2105" t="s">
        <v>2401</v>
      </c>
      <c r="K2105" s="24">
        <f t="shared" si="35"/>
        <v>0</v>
      </c>
    </row>
    <row r="2106" spans="1:11" hidden="1" x14ac:dyDescent="0.3">
      <c r="A2106" s="21">
        <v>45374</v>
      </c>
      <c r="B2106" t="s">
        <v>2335</v>
      </c>
      <c r="C2106" s="22" t="s">
        <v>1536</v>
      </c>
      <c r="D2106" s="23">
        <v>70</v>
      </c>
      <c r="E2106" s="23">
        <v>0</v>
      </c>
      <c r="F2106" s="23">
        <v>1799.29</v>
      </c>
      <c r="G2106" s="22" t="s">
        <v>2408</v>
      </c>
      <c r="H2106" s="22"/>
      <c r="I2106" t="s">
        <v>2401</v>
      </c>
      <c r="K2106" s="24">
        <f t="shared" si="35"/>
        <v>0</v>
      </c>
    </row>
    <row r="2107" spans="1:11" hidden="1" x14ac:dyDescent="0.3">
      <c r="A2107" s="21">
        <v>45374</v>
      </c>
      <c r="B2107" t="s">
        <v>2336</v>
      </c>
      <c r="C2107" s="22" t="s">
        <v>1536</v>
      </c>
      <c r="D2107" s="23">
        <v>20</v>
      </c>
      <c r="E2107" s="23">
        <v>0</v>
      </c>
      <c r="F2107" s="23">
        <v>1779.29</v>
      </c>
      <c r="G2107" s="22" t="s">
        <v>2408</v>
      </c>
      <c r="H2107" s="22"/>
      <c r="I2107" t="s">
        <v>2401</v>
      </c>
      <c r="K2107" s="24">
        <f t="shared" si="35"/>
        <v>0</v>
      </c>
    </row>
    <row r="2108" spans="1:11" hidden="1" x14ac:dyDescent="0.3">
      <c r="A2108" s="21">
        <v>45374</v>
      </c>
      <c r="B2108" t="s">
        <v>1473</v>
      </c>
      <c r="C2108" s="22" t="s">
        <v>1474</v>
      </c>
      <c r="D2108" s="23">
        <v>0</v>
      </c>
      <c r="E2108" s="23">
        <v>1.01</v>
      </c>
      <c r="F2108" s="23">
        <v>1.01</v>
      </c>
      <c r="G2108" s="22" t="s">
        <v>2555</v>
      </c>
      <c r="H2108" s="22"/>
      <c r="I2108" t="s">
        <v>2645</v>
      </c>
      <c r="K2108" s="24">
        <f t="shared" si="35"/>
        <v>1779.29</v>
      </c>
    </row>
    <row r="2109" spans="1:11" hidden="1" x14ac:dyDescent="0.3">
      <c r="A2109" s="21">
        <v>45375</v>
      </c>
      <c r="B2109" t="s">
        <v>2337</v>
      </c>
      <c r="C2109" s="22" t="s">
        <v>1536</v>
      </c>
      <c r="D2109" s="23">
        <v>40</v>
      </c>
      <c r="E2109" s="23">
        <v>0</v>
      </c>
      <c r="F2109" s="23">
        <v>1739.29</v>
      </c>
      <c r="G2109" s="22" t="s">
        <v>2408</v>
      </c>
      <c r="H2109" s="22"/>
      <c r="I2109" t="s">
        <v>2401</v>
      </c>
      <c r="K2109" s="24">
        <f t="shared" si="35"/>
        <v>-1778.28</v>
      </c>
    </row>
    <row r="2110" spans="1:11" hidden="1" x14ac:dyDescent="0.3">
      <c r="A2110" s="21">
        <v>45375</v>
      </c>
      <c r="B2110" t="s">
        <v>2338</v>
      </c>
      <c r="C2110" s="22" t="s">
        <v>1536</v>
      </c>
      <c r="D2110" s="23">
        <v>42</v>
      </c>
      <c r="E2110" s="23">
        <v>0</v>
      </c>
      <c r="F2110" s="23">
        <v>1697.29</v>
      </c>
      <c r="G2110" s="22" t="s">
        <v>2408</v>
      </c>
      <c r="H2110" s="22"/>
      <c r="I2110" t="s">
        <v>2401</v>
      </c>
      <c r="K2110" s="24">
        <f t="shared" si="35"/>
        <v>0</v>
      </c>
    </row>
    <row r="2111" spans="1:11" hidden="1" x14ac:dyDescent="0.3">
      <c r="A2111" s="21">
        <v>45375</v>
      </c>
      <c r="B2111" t="s">
        <v>2339</v>
      </c>
      <c r="C2111" s="22" t="s">
        <v>1536</v>
      </c>
      <c r="D2111" s="23">
        <v>40</v>
      </c>
      <c r="E2111" s="23">
        <v>0</v>
      </c>
      <c r="F2111" s="23">
        <v>1657.29</v>
      </c>
      <c r="G2111" s="22" t="s">
        <v>2408</v>
      </c>
      <c r="H2111" s="22"/>
      <c r="I2111" t="s">
        <v>2401</v>
      </c>
      <c r="K2111" s="24">
        <f t="shared" si="35"/>
        <v>0</v>
      </c>
    </row>
    <row r="2112" spans="1:11" hidden="1" x14ac:dyDescent="0.3">
      <c r="A2112" s="21">
        <v>45375</v>
      </c>
      <c r="B2112" t="s">
        <v>2340</v>
      </c>
      <c r="C2112" s="22" t="s">
        <v>1536</v>
      </c>
      <c r="D2112" s="23">
        <v>120</v>
      </c>
      <c r="E2112" s="23">
        <v>0</v>
      </c>
      <c r="F2112" s="23">
        <v>1537.29</v>
      </c>
      <c r="G2112" s="22" t="s">
        <v>2399</v>
      </c>
      <c r="H2112" s="22"/>
      <c r="I2112" t="s">
        <v>2401</v>
      </c>
      <c r="K2112" s="24">
        <f t="shared" si="35"/>
        <v>0</v>
      </c>
    </row>
    <row r="2113" spans="1:11" hidden="1" x14ac:dyDescent="0.3">
      <c r="A2113" s="21">
        <v>45375</v>
      </c>
      <c r="B2113" t="s">
        <v>2341</v>
      </c>
      <c r="C2113" s="22" t="s">
        <v>1536</v>
      </c>
      <c r="D2113" s="23">
        <v>20</v>
      </c>
      <c r="E2113" s="23">
        <v>0</v>
      </c>
      <c r="F2113" s="23">
        <v>1517.29</v>
      </c>
      <c r="G2113" s="22" t="s">
        <v>2408</v>
      </c>
      <c r="H2113" s="22"/>
      <c r="I2113" t="s">
        <v>2401</v>
      </c>
      <c r="K2113" s="24">
        <f t="shared" si="35"/>
        <v>0</v>
      </c>
    </row>
    <row r="2114" spans="1:11" hidden="1" x14ac:dyDescent="0.3">
      <c r="A2114" s="21">
        <v>45375</v>
      </c>
      <c r="B2114" t="s">
        <v>2342</v>
      </c>
      <c r="C2114" s="22" t="s">
        <v>1536</v>
      </c>
      <c r="D2114" s="23">
        <v>48</v>
      </c>
      <c r="E2114" s="23">
        <v>0</v>
      </c>
      <c r="F2114" s="23">
        <v>1469.29</v>
      </c>
      <c r="G2114" s="22" t="s">
        <v>2408</v>
      </c>
      <c r="H2114" s="22"/>
      <c r="I2114" t="s">
        <v>2401</v>
      </c>
      <c r="K2114" s="24">
        <f t="shared" si="35"/>
        <v>0</v>
      </c>
    </row>
    <row r="2115" spans="1:11" hidden="1" x14ac:dyDescent="0.3">
      <c r="A2115" s="21">
        <v>45375</v>
      </c>
      <c r="B2115" t="s">
        <v>2343</v>
      </c>
      <c r="C2115" s="22" t="s">
        <v>1536</v>
      </c>
      <c r="D2115" s="23">
        <v>75.2</v>
      </c>
      <c r="E2115" s="23">
        <v>0</v>
      </c>
      <c r="F2115" s="23">
        <v>1394.09</v>
      </c>
      <c r="G2115" s="22" t="s">
        <v>2408</v>
      </c>
      <c r="H2115" s="22"/>
      <c r="I2115" t="s">
        <v>2401</v>
      </c>
      <c r="K2115" s="24">
        <f t="shared" ref="K2115:K2174" si="36">F2114-D2115+E2115-F2115</f>
        <v>0</v>
      </c>
    </row>
    <row r="2116" spans="1:11" hidden="1" x14ac:dyDescent="0.3">
      <c r="A2116" s="21">
        <v>45376</v>
      </c>
      <c r="B2116" t="s">
        <v>2344</v>
      </c>
      <c r="C2116" s="22" t="s">
        <v>1536</v>
      </c>
      <c r="D2116" s="23">
        <v>200</v>
      </c>
      <c r="E2116" s="23">
        <v>0</v>
      </c>
      <c r="F2116" s="23">
        <v>1194.0899999999999</v>
      </c>
      <c r="G2116" s="22" t="s">
        <v>2399</v>
      </c>
      <c r="H2116" s="22"/>
      <c r="I2116" t="s">
        <v>2401</v>
      </c>
      <c r="K2116" s="24">
        <f t="shared" si="36"/>
        <v>0</v>
      </c>
    </row>
    <row r="2117" spans="1:11" hidden="1" x14ac:dyDescent="0.3">
      <c r="A2117" s="21">
        <v>45376</v>
      </c>
      <c r="B2117" t="s">
        <v>2345</v>
      </c>
      <c r="C2117" s="22" t="s">
        <v>1536</v>
      </c>
      <c r="D2117" s="23">
        <v>99</v>
      </c>
      <c r="E2117" s="23">
        <v>0</v>
      </c>
      <c r="F2117" s="23">
        <v>1095.0899999999999</v>
      </c>
      <c r="G2117" s="22" t="s">
        <v>2408</v>
      </c>
      <c r="H2117" s="22"/>
      <c r="I2117" t="s">
        <v>2401</v>
      </c>
      <c r="K2117" s="24">
        <f t="shared" si="36"/>
        <v>0</v>
      </c>
    </row>
    <row r="2118" spans="1:11" hidden="1" x14ac:dyDescent="0.3">
      <c r="A2118" s="21">
        <v>45376</v>
      </c>
      <c r="B2118" t="s">
        <v>2346</v>
      </c>
      <c r="C2118" s="22" t="s">
        <v>1536</v>
      </c>
      <c r="D2118" s="23">
        <v>25</v>
      </c>
      <c r="E2118" s="23">
        <v>0</v>
      </c>
      <c r="F2118" s="23">
        <v>1070.0899999999999</v>
      </c>
      <c r="G2118" s="22" t="s">
        <v>2408</v>
      </c>
      <c r="H2118" s="22"/>
      <c r="I2118" t="s">
        <v>2401</v>
      </c>
      <c r="K2118" s="24">
        <f t="shared" si="36"/>
        <v>0</v>
      </c>
    </row>
    <row r="2119" spans="1:11" hidden="1" x14ac:dyDescent="0.3">
      <c r="A2119" s="21">
        <v>45376</v>
      </c>
      <c r="B2119" t="s">
        <v>2347</v>
      </c>
      <c r="C2119" s="22" t="s">
        <v>1536</v>
      </c>
      <c r="D2119" s="23">
        <v>100</v>
      </c>
      <c r="E2119" s="23">
        <v>0</v>
      </c>
      <c r="F2119" s="23">
        <v>970.09</v>
      </c>
      <c r="G2119" s="22" t="s">
        <v>2408</v>
      </c>
      <c r="H2119" s="22"/>
      <c r="I2119" t="s">
        <v>2401</v>
      </c>
      <c r="K2119" s="24">
        <f t="shared" si="36"/>
        <v>0</v>
      </c>
    </row>
    <row r="2120" spans="1:11" hidden="1" x14ac:dyDescent="0.3">
      <c r="A2120" s="21">
        <v>45376</v>
      </c>
      <c r="B2120" t="s">
        <v>2676</v>
      </c>
      <c r="C2120" s="22"/>
      <c r="D2120" s="23">
        <v>0</v>
      </c>
      <c r="E2120" s="23">
        <v>45</v>
      </c>
      <c r="F2120" s="23">
        <v>50389.45</v>
      </c>
      <c r="G2120" s="41" t="s">
        <v>2419</v>
      </c>
      <c r="H2120" s="22"/>
      <c r="I2120" t="s">
        <v>2400</v>
      </c>
      <c r="K2120" s="24">
        <f t="shared" si="36"/>
        <v>-49374.36</v>
      </c>
    </row>
    <row r="2121" spans="1:11" hidden="1" x14ac:dyDescent="0.3">
      <c r="A2121" s="21">
        <v>45376</v>
      </c>
      <c r="B2121" t="s">
        <v>1085</v>
      </c>
      <c r="C2121" s="22"/>
      <c r="D2121" s="23">
        <v>0</v>
      </c>
      <c r="E2121" s="23">
        <v>429</v>
      </c>
      <c r="F2121" s="23">
        <v>50818.45</v>
      </c>
      <c r="G2121" s="41" t="s">
        <v>2423</v>
      </c>
      <c r="H2121" s="22"/>
      <c r="I2121" t="s">
        <v>2400</v>
      </c>
      <c r="K2121" s="24">
        <f t="shared" si="36"/>
        <v>0</v>
      </c>
    </row>
    <row r="2122" spans="1:11" hidden="1" x14ac:dyDescent="0.3">
      <c r="A2122" s="21">
        <v>45377</v>
      </c>
      <c r="B2122" t="s">
        <v>496</v>
      </c>
      <c r="C2122" s="22" t="s">
        <v>1032</v>
      </c>
      <c r="D2122" s="23">
        <v>0</v>
      </c>
      <c r="E2122" s="23">
        <v>21837.43</v>
      </c>
      <c r="F2122" s="23">
        <v>64297.89</v>
      </c>
      <c r="G2122" s="22" t="s">
        <v>2406</v>
      </c>
      <c r="H2122" s="22"/>
      <c r="I2122" t="s">
        <v>2403</v>
      </c>
      <c r="K2122" s="24">
        <f t="shared" si="36"/>
        <v>8357.9900000000052</v>
      </c>
    </row>
    <row r="2123" spans="1:11" hidden="1" x14ac:dyDescent="0.3">
      <c r="A2123" s="21">
        <v>45377</v>
      </c>
      <c r="B2123" t="s">
        <v>133</v>
      </c>
      <c r="C2123" s="22" t="s">
        <v>1033</v>
      </c>
      <c r="D2123" s="23">
        <v>635.6</v>
      </c>
      <c r="E2123" s="23">
        <v>0</v>
      </c>
      <c r="F2123" s="23">
        <v>63662.29</v>
      </c>
      <c r="G2123" s="22" t="s">
        <v>2406</v>
      </c>
      <c r="H2123" s="22"/>
      <c r="I2123" t="s">
        <v>2403</v>
      </c>
      <c r="K2123" s="24">
        <f t="shared" si="36"/>
        <v>0</v>
      </c>
    </row>
    <row r="2124" spans="1:11" hidden="1" x14ac:dyDescent="0.3">
      <c r="A2124" s="21">
        <v>45377</v>
      </c>
      <c r="B2124" t="s">
        <v>133</v>
      </c>
      <c r="C2124" s="22" t="s">
        <v>1034</v>
      </c>
      <c r="D2124" s="23">
        <v>1671.29</v>
      </c>
      <c r="E2124" s="23">
        <v>0</v>
      </c>
      <c r="F2124" s="23">
        <v>61991</v>
      </c>
      <c r="G2124" s="22" t="s">
        <v>2406</v>
      </c>
      <c r="H2124" s="22"/>
      <c r="I2124" t="s">
        <v>2403</v>
      </c>
      <c r="K2124" s="24">
        <f t="shared" si="36"/>
        <v>0</v>
      </c>
    </row>
    <row r="2125" spans="1:11" hidden="1" x14ac:dyDescent="0.3">
      <c r="A2125" s="21">
        <v>45377</v>
      </c>
      <c r="B2125" t="s">
        <v>2348</v>
      </c>
      <c r="C2125" s="22" t="s">
        <v>1536</v>
      </c>
      <c r="D2125" s="23">
        <v>110</v>
      </c>
      <c r="E2125" s="23">
        <v>0</v>
      </c>
      <c r="F2125" s="23">
        <v>860.09</v>
      </c>
      <c r="G2125" s="22" t="s">
        <v>2399</v>
      </c>
      <c r="H2125" s="22"/>
      <c r="I2125" t="s">
        <v>2401</v>
      </c>
      <c r="K2125" s="24">
        <f t="shared" si="36"/>
        <v>61020.91</v>
      </c>
    </row>
    <row r="2126" spans="1:11" hidden="1" x14ac:dyDescent="0.3">
      <c r="A2126" s="21">
        <v>45377</v>
      </c>
      <c r="B2126" t="s">
        <v>2349</v>
      </c>
      <c r="C2126" s="22" t="s">
        <v>1536</v>
      </c>
      <c r="D2126" s="23">
        <v>39</v>
      </c>
      <c r="E2126" s="23">
        <v>0</v>
      </c>
      <c r="F2126" s="23">
        <v>821.09</v>
      </c>
      <c r="G2126" s="22" t="s">
        <v>2408</v>
      </c>
      <c r="H2126" s="22"/>
      <c r="I2126" t="s">
        <v>2401</v>
      </c>
      <c r="K2126" s="24">
        <f t="shared" si="36"/>
        <v>0</v>
      </c>
    </row>
    <row r="2127" spans="1:11" hidden="1" x14ac:dyDescent="0.3">
      <c r="A2127" s="21">
        <v>45377</v>
      </c>
      <c r="B2127" t="s">
        <v>2350</v>
      </c>
      <c r="C2127" s="22" t="s">
        <v>1536</v>
      </c>
      <c r="D2127" s="23">
        <v>36</v>
      </c>
      <c r="E2127" s="23">
        <v>0</v>
      </c>
      <c r="F2127" s="23">
        <v>785.09</v>
      </c>
      <c r="G2127" s="22" t="s">
        <v>2408</v>
      </c>
      <c r="H2127" s="22"/>
      <c r="I2127" t="s">
        <v>2401</v>
      </c>
      <c r="K2127" s="24">
        <f t="shared" si="36"/>
        <v>0</v>
      </c>
    </row>
    <row r="2128" spans="1:11" hidden="1" x14ac:dyDescent="0.3">
      <c r="A2128" s="21">
        <v>45377</v>
      </c>
      <c r="B2128" t="s">
        <v>2351</v>
      </c>
      <c r="C2128" s="22" t="s">
        <v>1536</v>
      </c>
      <c r="D2128" s="23">
        <v>25</v>
      </c>
      <c r="E2128" s="23">
        <v>0</v>
      </c>
      <c r="F2128" s="23">
        <v>760.09</v>
      </c>
      <c r="G2128" s="22" t="s">
        <v>2408</v>
      </c>
      <c r="H2128" s="22"/>
      <c r="I2128" t="s">
        <v>2401</v>
      </c>
      <c r="K2128" s="24">
        <f t="shared" si="36"/>
        <v>0</v>
      </c>
    </row>
    <row r="2129" spans="1:11" hidden="1" x14ac:dyDescent="0.3">
      <c r="A2129" s="21">
        <v>45377</v>
      </c>
      <c r="B2129" t="s">
        <v>2677</v>
      </c>
      <c r="C2129" s="22"/>
      <c r="D2129" s="23">
        <v>0</v>
      </c>
      <c r="E2129" s="23">
        <v>40</v>
      </c>
      <c r="F2129" s="23">
        <v>50858.45</v>
      </c>
      <c r="G2129" s="41" t="s">
        <v>2419</v>
      </c>
      <c r="H2129" s="22"/>
      <c r="I2129" t="s">
        <v>2400</v>
      </c>
      <c r="K2129" s="24">
        <f t="shared" si="36"/>
        <v>-50058.36</v>
      </c>
    </row>
    <row r="2130" spans="1:11" hidden="1" x14ac:dyDescent="0.3">
      <c r="A2130" s="21">
        <v>45378</v>
      </c>
      <c r="B2130" t="s">
        <v>133</v>
      </c>
      <c r="C2130" s="22" t="s">
        <v>1035</v>
      </c>
      <c r="D2130" s="23">
        <v>158.31</v>
      </c>
      <c r="E2130" s="23">
        <v>0</v>
      </c>
      <c r="F2130" s="23">
        <v>61832.69</v>
      </c>
      <c r="G2130" s="22" t="s">
        <v>2406</v>
      </c>
      <c r="H2130" s="22"/>
      <c r="I2130" t="s">
        <v>2403</v>
      </c>
      <c r="K2130" s="24">
        <f t="shared" si="36"/>
        <v>-11132.550000000003</v>
      </c>
    </row>
    <row r="2131" spans="1:11" hidden="1" x14ac:dyDescent="0.3">
      <c r="A2131" s="21">
        <v>45378</v>
      </c>
      <c r="B2131" t="s">
        <v>133</v>
      </c>
      <c r="C2131" s="22" t="s">
        <v>1036</v>
      </c>
      <c r="D2131" s="23">
        <v>10731.98</v>
      </c>
      <c r="E2131" s="23">
        <v>0</v>
      </c>
      <c r="F2131" s="23">
        <v>51100.71</v>
      </c>
      <c r="G2131" s="22" t="s">
        <v>2406</v>
      </c>
      <c r="H2131" s="22"/>
      <c r="I2131" t="s">
        <v>2403</v>
      </c>
      <c r="K2131" s="24">
        <f t="shared" si="36"/>
        <v>0</v>
      </c>
    </row>
    <row r="2132" spans="1:11" hidden="1" x14ac:dyDescent="0.3">
      <c r="A2132" s="21">
        <v>45378</v>
      </c>
      <c r="B2132" t="s">
        <v>2352</v>
      </c>
      <c r="C2132" s="22" t="s">
        <v>1536</v>
      </c>
      <c r="D2132" s="23">
        <v>70</v>
      </c>
      <c r="E2132" s="23">
        <v>0</v>
      </c>
      <c r="F2132" s="23">
        <v>690.09</v>
      </c>
      <c r="G2132" s="22" t="s">
        <v>2408</v>
      </c>
      <c r="H2132" s="22"/>
      <c r="I2132" t="s">
        <v>2401</v>
      </c>
      <c r="K2132" s="24">
        <f t="shared" si="36"/>
        <v>50340.62</v>
      </c>
    </row>
    <row r="2133" spans="1:11" hidden="1" x14ac:dyDescent="0.3">
      <c r="A2133" s="21">
        <v>45378</v>
      </c>
      <c r="B2133" t="s">
        <v>2353</v>
      </c>
      <c r="C2133" s="22" t="s">
        <v>1536</v>
      </c>
      <c r="D2133" s="23">
        <v>25</v>
      </c>
      <c r="E2133" s="23">
        <v>0</v>
      </c>
      <c r="F2133" s="23">
        <v>665.09</v>
      </c>
      <c r="G2133" s="22" t="s">
        <v>2408</v>
      </c>
      <c r="H2133" s="22"/>
      <c r="I2133" t="s">
        <v>2401</v>
      </c>
      <c r="K2133" s="24">
        <f t="shared" si="36"/>
        <v>0</v>
      </c>
    </row>
    <row r="2134" spans="1:11" hidden="1" x14ac:dyDescent="0.3">
      <c r="A2134" s="21">
        <v>45378</v>
      </c>
      <c r="B2134" t="s">
        <v>2354</v>
      </c>
      <c r="C2134" s="22" t="s">
        <v>1536</v>
      </c>
      <c r="D2134" s="23">
        <v>200</v>
      </c>
      <c r="E2134" s="23">
        <v>0</v>
      </c>
      <c r="F2134" s="23">
        <v>465.09</v>
      </c>
      <c r="G2134" s="22" t="s">
        <v>2399</v>
      </c>
      <c r="H2134" s="22"/>
      <c r="I2134" t="s">
        <v>2401</v>
      </c>
      <c r="K2134" s="24">
        <f t="shared" si="36"/>
        <v>0</v>
      </c>
    </row>
    <row r="2135" spans="1:11" hidden="1" x14ac:dyDescent="0.3">
      <c r="A2135" s="21">
        <v>45379</v>
      </c>
      <c r="B2135" t="s">
        <v>1037</v>
      </c>
      <c r="C2135" s="22" t="s">
        <v>1038</v>
      </c>
      <c r="D2135" s="23">
        <v>5000</v>
      </c>
      <c r="E2135" s="23">
        <v>0</v>
      </c>
      <c r="F2135" s="23">
        <v>46100.71</v>
      </c>
      <c r="G2135" s="22" t="s">
        <v>2442</v>
      </c>
      <c r="H2135" s="22"/>
      <c r="I2135" t="s">
        <v>2403</v>
      </c>
      <c r="K2135" s="24">
        <f t="shared" si="36"/>
        <v>-50635.619999999995</v>
      </c>
    </row>
    <row r="2136" spans="1:11" hidden="1" x14ac:dyDescent="0.3">
      <c r="A2136" s="21">
        <v>45379</v>
      </c>
      <c r="B2136" t="s">
        <v>133</v>
      </c>
      <c r="C2136" s="22" t="s">
        <v>1039</v>
      </c>
      <c r="D2136" s="23">
        <v>154.47999999999999</v>
      </c>
      <c r="E2136" s="23">
        <v>0</v>
      </c>
      <c r="F2136" s="23">
        <v>45946.23</v>
      </c>
      <c r="G2136" s="22" t="s">
        <v>2406</v>
      </c>
      <c r="H2136" s="22"/>
      <c r="I2136" t="s">
        <v>2403</v>
      </c>
      <c r="K2136" s="24">
        <f t="shared" si="36"/>
        <v>0</v>
      </c>
    </row>
    <row r="2137" spans="1:11" hidden="1" x14ac:dyDescent="0.3">
      <c r="A2137" s="21">
        <v>45379</v>
      </c>
      <c r="B2137" t="s">
        <v>496</v>
      </c>
      <c r="C2137" s="22" t="s">
        <v>1040</v>
      </c>
      <c r="D2137" s="23">
        <v>0</v>
      </c>
      <c r="E2137" s="23">
        <v>11656.66</v>
      </c>
      <c r="F2137" s="23">
        <v>57602.89</v>
      </c>
      <c r="G2137" s="22" t="s">
        <v>2406</v>
      </c>
      <c r="H2137" s="22"/>
      <c r="I2137" t="s">
        <v>2403</v>
      </c>
      <c r="K2137" s="24">
        <f t="shared" si="36"/>
        <v>0</v>
      </c>
    </row>
    <row r="2138" spans="1:11" hidden="1" x14ac:dyDescent="0.3">
      <c r="A2138" s="21">
        <v>45379</v>
      </c>
      <c r="B2138" t="s">
        <v>2355</v>
      </c>
      <c r="C2138" s="22" t="s">
        <v>1536</v>
      </c>
      <c r="D2138" s="23">
        <v>99</v>
      </c>
      <c r="E2138" s="23">
        <v>0</v>
      </c>
      <c r="F2138" s="23">
        <v>366.09</v>
      </c>
      <c r="G2138" s="22" t="s">
        <v>2408</v>
      </c>
      <c r="H2138" s="22"/>
      <c r="I2138" t="s">
        <v>2401</v>
      </c>
      <c r="K2138" s="24">
        <f t="shared" si="36"/>
        <v>57137.8</v>
      </c>
    </row>
    <row r="2139" spans="1:11" hidden="1" x14ac:dyDescent="0.3">
      <c r="A2139" s="21">
        <v>45379</v>
      </c>
      <c r="B2139" t="s">
        <v>2356</v>
      </c>
      <c r="C2139" s="22" t="s">
        <v>1536</v>
      </c>
      <c r="D2139" s="23">
        <v>35</v>
      </c>
      <c r="E2139" s="23">
        <v>0</v>
      </c>
      <c r="F2139" s="23">
        <v>331.09</v>
      </c>
      <c r="G2139" s="22" t="s">
        <v>2408</v>
      </c>
      <c r="H2139" s="22"/>
      <c r="I2139" t="s">
        <v>2401</v>
      </c>
      <c r="K2139" s="24">
        <f t="shared" si="36"/>
        <v>0</v>
      </c>
    </row>
    <row r="2140" spans="1:11" hidden="1" x14ac:dyDescent="0.3">
      <c r="A2140" s="21">
        <v>45379</v>
      </c>
      <c r="B2140" t="s">
        <v>2357</v>
      </c>
      <c r="C2140" s="22" t="s">
        <v>1536</v>
      </c>
      <c r="D2140" s="23">
        <v>10</v>
      </c>
      <c r="E2140" s="23">
        <v>0</v>
      </c>
      <c r="F2140" s="23">
        <v>321.08999999999997</v>
      </c>
      <c r="G2140" s="22" t="s">
        <v>2408</v>
      </c>
      <c r="H2140" s="22"/>
      <c r="I2140" t="s">
        <v>2401</v>
      </c>
      <c r="K2140" s="24">
        <f t="shared" si="36"/>
        <v>0</v>
      </c>
    </row>
    <row r="2141" spans="1:11" hidden="1" x14ac:dyDescent="0.3">
      <c r="A2141" s="21">
        <v>45379</v>
      </c>
      <c r="B2141" t="s">
        <v>2358</v>
      </c>
      <c r="C2141" s="22" t="s">
        <v>1536</v>
      </c>
      <c r="D2141" s="23">
        <v>35</v>
      </c>
      <c r="E2141" s="23">
        <v>0</v>
      </c>
      <c r="F2141" s="23">
        <v>286.08999999999997</v>
      </c>
      <c r="G2141" s="22" t="s">
        <v>2408</v>
      </c>
      <c r="H2141" s="22"/>
      <c r="I2141" t="s">
        <v>2401</v>
      </c>
      <c r="K2141" s="24">
        <f t="shared" si="36"/>
        <v>0</v>
      </c>
    </row>
    <row r="2142" spans="1:11" hidden="1" x14ac:dyDescent="0.3">
      <c r="A2142" s="21">
        <v>45379</v>
      </c>
      <c r="B2142" t="s">
        <v>2359</v>
      </c>
      <c r="C2142" s="22" t="s">
        <v>1536</v>
      </c>
      <c r="D2142" s="23">
        <v>40</v>
      </c>
      <c r="E2142" s="23">
        <v>0</v>
      </c>
      <c r="F2142" s="23">
        <v>246.09</v>
      </c>
      <c r="G2142" s="22" t="s">
        <v>2408</v>
      </c>
      <c r="H2142" s="22"/>
      <c r="I2142" t="s">
        <v>2401</v>
      </c>
      <c r="K2142" s="24">
        <f t="shared" si="36"/>
        <v>0</v>
      </c>
    </row>
    <row r="2143" spans="1:11" hidden="1" x14ac:dyDescent="0.3">
      <c r="A2143" s="21">
        <v>45379</v>
      </c>
      <c r="B2143" t="s">
        <v>2678</v>
      </c>
      <c r="C2143" s="22"/>
      <c r="D2143" s="23">
        <v>0</v>
      </c>
      <c r="E2143" s="23">
        <v>60</v>
      </c>
      <c r="F2143" s="23">
        <v>50918.45</v>
      </c>
      <c r="G2143" s="41" t="s">
        <v>2409</v>
      </c>
      <c r="H2143" s="22"/>
      <c r="I2143" t="s">
        <v>2400</v>
      </c>
      <c r="K2143" s="24">
        <f t="shared" si="36"/>
        <v>-50612.36</v>
      </c>
    </row>
    <row r="2144" spans="1:11" hidden="1" x14ac:dyDescent="0.3">
      <c r="A2144" s="21">
        <v>45380</v>
      </c>
      <c r="B2144" t="s">
        <v>2360</v>
      </c>
      <c r="C2144" s="22" t="s">
        <v>1536</v>
      </c>
      <c r="D2144" s="23">
        <v>10</v>
      </c>
      <c r="E2144" s="23">
        <v>0</v>
      </c>
      <c r="F2144" s="23">
        <v>236.09</v>
      </c>
      <c r="G2144" s="22" t="s">
        <v>2408</v>
      </c>
      <c r="H2144" s="22"/>
      <c r="I2144" t="s">
        <v>2401</v>
      </c>
      <c r="K2144" s="24">
        <f t="shared" si="36"/>
        <v>50672.36</v>
      </c>
    </row>
    <row r="2145" spans="1:11" hidden="1" x14ac:dyDescent="0.3">
      <c r="A2145" s="21">
        <v>45380</v>
      </c>
      <c r="B2145" t="s">
        <v>2361</v>
      </c>
      <c r="C2145" s="22" t="s">
        <v>1536</v>
      </c>
      <c r="D2145" s="23">
        <v>70</v>
      </c>
      <c r="E2145" s="23">
        <v>0</v>
      </c>
      <c r="F2145" s="23">
        <v>166.09</v>
      </c>
      <c r="G2145" s="22" t="s">
        <v>2408</v>
      </c>
      <c r="H2145" s="22"/>
      <c r="I2145" t="s">
        <v>2401</v>
      </c>
      <c r="K2145" s="24">
        <f t="shared" si="36"/>
        <v>0</v>
      </c>
    </row>
    <row r="2146" spans="1:11" hidden="1" x14ac:dyDescent="0.3">
      <c r="A2146" s="21">
        <v>45380</v>
      </c>
      <c r="B2146" t="s">
        <v>2362</v>
      </c>
      <c r="C2146" s="22" t="s">
        <v>1536</v>
      </c>
      <c r="D2146" s="23">
        <v>50</v>
      </c>
      <c r="E2146" s="23">
        <v>0</v>
      </c>
      <c r="F2146" s="23">
        <v>116.09</v>
      </c>
      <c r="G2146" s="22" t="s">
        <v>2408</v>
      </c>
      <c r="H2146" s="22"/>
      <c r="I2146" t="s">
        <v>2401</v>
      </c>
      <c r="K2146" s="24">
        <f t="shared" si="36"/>
        <v>0</v>
      </c>
    </row>
    <row r="2147" spans="1:11" hidden="1" x14ac:dyDescent="0.3">
      <c r="A2147" s="21">
        <v>45380</v>
      </c>
      <c r="B2147" t="s">
        <v>1475</v>
      </c>
      <c r="C2147" s="22" t="s">
        <v>1476</v>
      </c>
      <c r="D2147" s="23">
        <v>0</v>
      </c>
      <c r="E2147" s="23">
        <v>63942</v>
      </c>
      <c r="F2147" s="23">
        <v>63943.01</v>
      </c>
      <c r="G2147" s="22" t="s">
        <v>2647</v>
      </c>
      <c r="H2147" s="22"/>
      <c r="I2147" t="s">
        <v>2645</v>
      </c>
      <c r="K2147" s="24">
        <f t="shared" si="36"/>
        <v>115.07999999999447</v>
      </c>
    </row>
    <row r="2148" spans="1:11" hidden="1" x14ac:dyDescent="0.3">
      <c r="A2148" s="21">
        <v>45380</v>
      </c>
      <c r="B2148" t="s">
        <v>2679</v>
      </c>
      <c r="C2148" s="22"/>
      <c r="D2148" s="23">
        <v>171.67</v>
      </c>
      <c r="E2148" s="23">
        <v>0</v>
      </c>
      <c r="F2148" s="23">
        <v>50746.78</v>
      </c>
      <c r="G2148" s="41" t="s">
        <v>2419</v>
      </c>
      <c r="H2148" s="22"/>
      <c r="I2148" t="s">
        <v>2400</v>
      </c>
      <c r="K2148" s="24">
        <f t="shared" si="36"/>
        <v>13024.560000000005</v>
      </c>
    </row>
    <row r="2149" spans="1:11" hidden="1" x14ac:dyDescent="0.3">
      <c r="A2149" s="21">
        <v>45381</v>
      </c>
      <c r="B2149" t="s">
        <v>1041</v>
      </c>
      <c r="C2149" s="22" t="s">
        <v>1042</v>
      </c>
      <c r="D2149" s="23">
        <v>0</v>
      </c>
      <c r="E2149" s="23">
        <v>54</v>
      </c>
      <c r="F2149" s="23">
        <v>57656.89</v>
      </c>
      <c r="G2149" s="22" t="s">
        <v>2409</v>
      </c>
      <c r="H2149" s="22"/>
      <c r="I2149" t="s">
        <v>2403</v>
      </c>
      <c r="K2149" s="24">
        <f t="shared" si="36"/>
        <v>-6856.1100000000006</v>
      </c>
    </row>
    <row r="2150" spans="1:11" hidden="1" x14ac:dyDescent="0.3">
      <c r="A2150" s="21">
        <v>45381</v>
      </c>
      <c r="B2150" t="s">
        <v>2363</v>
      </c>
      <c r="C2150" s="22" t="s">
        <v>1536</v>
      </c>
      <c r="D2150" s="23">
        <v>20</v>
      </c>
      <c r="E2150" s="23">
        <v>0</v>
      </c>
      <c r="F2150" s="23">
        <v>96.09</v>
      </c>
      <c r="G2150" s="22" t="s">
        <v>2408</v>
      </c>
      <c r="H2150" s="22"/>
      <c r="I2150" t="s">
        <v>2401</v>
      </c>
      <c r="K2150" s="24">
        <f t="shared" si="36"/>
        <v>57540.800000000003</v>
      </c>
    </row>
    <row r="2151" spans="1:11" hidden="1" x14ac:dyDescent="0.3">
      <c r="A2151" s="21">
        <v>45381</v>
      </c>
      <c r="B2151" t="s">
        <v>2364</v>
      </c>
      <c r="C2151" s="22" t="s">
        <v>1536</v>
      </c>
      <c r="D2151" s="23">
        <v>35</v>
      </c>
      <c r="E2151" s="23">
        <v>0</v>
      </c>
      <c r="F2151" s="23">
        <v>61.09</v>
      </c>
      <c r="G2151" s="22" t="s">
        <v>2408</v>
      </c>
      <c r="H2151" s="22"/>
      <c r="I2151" t="s">
        <v>2401</v>
      </c>
      <c r="K2151" s="24">
        <f t="shared" si="36"/>
        <v>0</v>
      </c>
    </row>
    <row r="2152" spans="1:11" hidden="1" x14ac:dyDescent="0.3">
      <c r="A2152" s="21">
        <v>45381</v>
      </c>
      <c r="B2152" t="s">
        <v>2365</v>
      </c>
      <c r="C2152" s="22" t="s">
        <v>1536</v>
      </c>
      <c r="D2152" s="23">
        <v>60</v>
      </c>
      <c r="E2152" s="23">
        <v>0</v>
      </c>
      <c r="F2152" s="23">
        <v>1.0900000000000001</v>
      </c>
      <c r="G2152" s="22" t="s">
        <v>2408</v>
      </c>
      <c r="H2152" s="22"/>
      <c r="I2152" t="s">
        <v>2401</v>
      </c>
      <c r="K2152" s="24">
        <f t="shared" si="36"/>
        <v>3.3306690738754696E-15</v>
      </c>
    </row>
    <row r="2153" spans="1:11" hidden="1" x14ac:dyDescent="0.3">
      <c r="A2153" s="21">
        <v>45381</v>
      </c>
      <c r="B2153" t="s">
        <v>2366</v>
      </c>
      <c r="C2153" s="22" t="s">
        <v>1536</v>
      </c>
      <c r="D2153" s="23">
        <v>0</v>
      </c>
      <c r="E2153" s="23">
        <v>1</v>
      </c>
      <c r="F2153" s="23">
        <v>2.09</v>
      </c>
      <c r="G2153" s="22" t="s">
        <v>2402</v>
      </c>
      <c r="H2153" s="22"/>
      <c r="I2153" t="s">
        <v>2401</v>
      </c>
      <c r="K2153" s="24">
        <f t="shared" si="36"/>
        <v>0</v>
      </c>
    </row>
    <row r="2154" spans="1:11" hidden="1" x14ac:dyDescent="0.3">
      <c r="A2154" s="21">
        <v>45381</v>
      </c>
      <c r="B2154" t="s">
        <v>2367</v>
      </c>
      <c r="C2154" s="22" t="s">
        <v>1536</v>
      </c>
      <c r="D2154" s="23">
        <v>0</v>
      </c>
      <c r="E2154" s="23">
        <v>1998</v>
      </c>
      <c r="F2154" s="23">
        <v>2000.09</v>
      </c>
      <c r="G2154" s="22" t="s">
        <v>2402</v>
      </c>
      <c r="H2154" s="26"/>
      <c r="I2154" t="s">
        <v>2401</v>
      </c>
      <c r="K2154" s="24">
        <f t="shared" si="36"/>
        <v>0</v>
      </c>
    </row>
    <row r="2155" spans="1:11" hidden="1" x14ac:dyDescent="0.3">
      <c r="A2155" s="21">
        <v>45381</v>
      </c>
      <c r="B2155" t="s">
        <v>1477</v>
      </c>
      <c r="C2155" s="22" t="s">
        <v>1478</v>
      </c>
      <c r="D2155" s="23">
        <v>1</v>
      </c>
      <c r="E2155" s="23">
        <v>0</v>
      </c>
      <c r="F2155" s="23">
        <v>63942.01</v>
      </c>
      <c r="G2155" s="22" t="s">
        <v>2402</v>
      </c>
      <c r="H2155" s="22"/>
      <c r="I2155" t="s">
        <v>2645</v>
      </c>
      <c r="K2155" s="24">
        <f t="shared" si="36"/>
        <v>-61942.920000000006</v>
      </c>
    </row>
    <row r="2156" spans="1:11" hidden="1" x14ac:dyDescent="0.3">
      <c r="A2156" s="21">
        <v>45381</v>
      </c>
      <c r="B2156" t="s">
        <v>1479</v>
      </c>
      <c r="C2156" s="22" t="s">
        <v>1480</v>
      </c>
      <c r="D2156" s="23">
        <v>1998</v>
      </c>
      <c r="E2156" s="23">
        <v>0</v>
      </c>
      <c r="F2156" s="23">
        <v>61944.01</v>
      </c>
      <c r="G2156" s="22" t="s">
        <v>2402</v>
      </c>
      <c r="H2156" s="22"/>
      <c r="I2156" t="s">
        <v>2645</v>
      </c>
      <c r="K2156" s="24">
        <f t="shared" si="36"/>
        <v>0</v>
      </c>
    </row>
    <row r="2157" spans="1:11" hidden="1" x14ac:dyDescent="0.3">
      <c r="A2157" s="21">
        <v>45381</v>
      </c>
      <c r="B2157" t="s">
        <v>1481</v>
      </c>
      <c r="C2157" s="22" t="s">
        <v>1482</v>
      </c>
      <c r="D2157" s="23">
        <v>1998</v>
      </c>
      <c r="E2157" s="23">
        <v>0</v>
      </c>
      <c r="F2157" s="23">
        <v>59946.01</v>
      </c>
      <c r="G2157" s="22" t="s">
        <v>2402</v>
      </c>
      <c r="H2157" s="22"/>
      <c r="I2157" t="s">
        <v>2645</v>
      </c>
      <c r="K2157" s="24">
        <f t="shared" si="36"/>
        <v>0</v>
      </c>
    </row>
    <row r="2158" spans="1:11" hidden="1" x14ac:dyDescent="0.3">
      <c r="A2158" s="21">
        <v>45381</v>
      </c>
      <c r="B2158" t="s">
        <v>2680</v>
      </c>
      <c r="C2158" s="22"/>
      <c r="D2158" s="23">
        <v>280</v>
      </c>
      <c r="E2158" s="23">
        <v>0</v>
      </c>
      <c r="F2158" s="23">
        <v>50466.78</v>
      </c>
      <c r="G2158" s="41" t="s">
        <v>2419</v>
      </c>
      <c r="H2158" s="22"/>
      <c r="I2158" t="s">
        <v>2400</v>
      </c>
      <c r="K2158" s="24">
        <f t="shared" si="36"/>
        <v>9199.2300000000032</v>
      </c>
    </row>
    <row r="2159" spans="1:11" hidden="1" x14ac:dyDescent="0.3">
      <c r="A2159" s="21">
        <v>45381</v>
      </c>
      <c r="B2159" t="s">
        <v>2681</v>
      </c>
      <c r="C2159" s="22"/>
      <c r="D2159" s="23">
        <v>0</v>
      </c>
      <c r="E2159" s="23">
        <v>200</v>
      </c>
      <c r="F2159" s="23">
        <v>50666.78</v>
      </c>
      <c r="G2159" s="41" t="s">
        <v>2419</v>
      </c>
      <c r="H2159" s="22"/>
      <c r="I2159" t="s">
        <v>2400</v>
      </c>
      <c r="K2159" s="24">
        <f t="shared" si="36"/>
        <v>0</v>
      </c>
    </row>
    <row r="2160" spans="1:11" hidden="1" x14ac:dyDescent="0.3">
      <c r="A2160" s="21">
        <v>45381</v>
      </c>
      <c r="B2160" t="s">
        <v>2682</v>
      </c>
      <c r="C2160" s="22"/>
      <c r="D2160" s="23">
        <v>40</v>
      </c>
      <c r="E2160" s="23">
        <v>0</v>
      </c>
      <c r="F2160" s="23">
        <v>50626.78</v>
      </c>
      <c r="G2160" s="41" t="s">
        <v>2419</v>
      </c>
      <c r="H2160" s="22"/>
      <c r="I2160" t="s">
        <v>2400</v>
      </c>
      <c r="K2160" s="24">
        <f t="shared" si="36"/>
        <v>0</v>
      </c>
    </row>
    <row r="2161" spans="1:11" hidden="1" x14ac:dyDescent="0.3">
      <c r="A2161" s="21">
        <v>45381</v>
      </c>
      <c r="B2161" t="s">
        <v>2683</v>
      </c>
      <c r="C2161" s="22"/>
      <c r="D2161" s="23">
        <v>0</v>
      </c>
      <c r="E2161" s="23">
        <v>1998</v>
      </c>
      <c r="F2161" s="23">
        <v>52624.78</v>
      </c>
      <c r="G2161" s="41" t="s">
        <v>2402</v>
      </c>
      <c r="H2161" s="22"/>
      <c r="I2161" t="s">
        <v>2400</v>
      </c>
      <c r="K2161" s="24">
        <f t="shared" si="36"/>
        <v>0</v>
      </c>
    </row>
    <row r="2162" spans="1:11" hidden="1" x14ac:dyDescent="0.3">
      <c r="A2162" s="21">
        <v>45382</v>
      </c>
      <c r="B2162" t="s">
        <v>47</v>
      </c>
      <c r="C2162" s="22"/>
      <c r="D2162" s="23">
        <v>0</v>
      </c>
      <c r="E2162" s="23">
        <v>125</v>
      </c>
      <c r="F2162" s="23">
        <v>16847.21</v>
      </c>
      <c r="G2162" s="22" t="s">
        <v>2423</v>
      </c>
      <c r="H2162" s="41" t="s">
        <v>2657</v>
      </c>
      <c r="I2162" t="s">
        <v>2404</v>
      </c>
      <c r="K2162" s="24">
        <f t="shared" si="36"/>
        <v>35902.57</v>
      </c>
    </row>
    <row r="2163" spans="1:11" hidden="1" x14ac:dyDescent="0.3">
      <c r="A2163" s="21">
        <v>45382</v>
      </c>
      <c r="B2163" t="s">
        <v>1043</v>
      </c>
      <c r="C2163" s="22" t="s">
        <v>1044</v>
      </c>
      <c r="D2163" s="23">
        <v>15000</v>
      </c>
      <c r="E2163" s="23">
        <v>0</v>
      </c>
      <c r="F2163" s="23">
        <v>42656.89</v>
      </c>
      <c r="G2163" s="22" t="s">
        <v>2646</v>
      </c>
      <c r="H2163" s="22"/>
      <c r="I2163" t="s">
        <v>2403</v>
      </c>
      <c r="K2163" s="24">
        <f t="shared" si="36"/>
        <v>-40809.68</v>
      </c>
    </row>
    <row r="2164" spans="1:11" hidden="1" x14ac:dyDescent="0.3">
      <c r="A2164" s="21">
        <v>45382</v>
      </c>
      <c r="B2164" t="s">
        <v>2368</v>
      </c>
      <c r="C2164" s="22" t="s">
        <v>1536</v>
      </c>
      <c r="D2164" s="23">
        <v>80</v>
      </c>
      <c r="E2164" s="23">
        <v>0</v>
      </c>
      <c r="F2164" s="23">
        <v>1920.09</v>
      </c>
      <c r="G2164" s="22" t="s">
        <v>2408</v>
      </c>
      <c r="H2164" s="22"/>
      <c r="I2164" t="s">
        <v>2401</v>
      </c>
      <c r="K2164" s="24">
        <f t="shared" si="36"/>
        <v>40656.800000000003</v>
      </c>
    </row>
    <row r="2165" spans="1:11" hidden="1" x14ac:dyDescent="0.3">
      <c r="A2165" s="21">
        <v>45382</v>
      </c>
      <c r="B2165" t="s">
        <v>2369</v>
      </c>
      <c r="C2165" s="22" t="s">
        <v>1536</v>
      </c>
      <c r="D2165" s="23">
        <v>30</v>
      </c>
      <c r="E2165" s="23">
        <v>0</v>
      </c>
      <c r="F2165" s="23">
        <v>1890.09</v>
      </c>
      <c r="G2165" s="22" t="s">
        <v>2408</v>
      </c>
      <c r="H2165" s="22"/>
      <c r="I2165" t="s">
        <v>2401</v>
      </c>
      <c r="K2165" s="24">
        <f t="shared" si="36"/>
        <v>0</v>
      </c>
    </row>
    <row r="2166" spans="1:11" hidden="1" x14ac:dyDescent="0.3">
      <c r="A2166" s="21">
        <v>45382</v>
      </c>
      <c r="B2166" t="s">
        <v>2370</v>
      </c>
      <c r="C2166" s="22" t="s">
        <v>1536</v>
      </c>
      <c r="D2166" s="23">
        <v>593</v>
      </c>
      <c r="E2166" s="23">
        <v>0</v>
      </c>
      <c r="F2166" s="23">
        <v>1297.0899999999999</v>
      </c>
      <c r="G2166" s="22" t="s">
        <v>2399</v>
      </c>
      <c r="H2166" s="22"/>
      <c r="I2166" t="s">
        <v>2401</v>
      </c>
      <c r="K2166" s="24">
        <f t="shared" si="36"/>
        <v>0</v>
      </c>
    </row>
    <row r="2167" spans="1:11" hidden="1" x14ac:dyDescent="0.3">
      <c r="A2167" s="21">
        <v>45382</v>
      </c>
      <c r="B2167" t="s">
        <v>2371</v>
      </c>
      <c r="C2167" s="22" t="s">
        <v>1536</v>
      </c>
      <c r="D2167" s="23">
        <v>335</v>
      </c>
      <c r="E2167" s="23">
        <v>0</v>
      </c>
      <c r="F2167" s="23">
        <v>962.09</v>
      </c>
      <c r="G2167" s="22" t="s">
        <v>2399</v>
      </c>
      <c r="H2167" s="22"/>
      <c r="I2167" t="s">
        <v>2401</v>
      </c>
      <c r="K2167" s="24">
        <f t="shared" si="36"/>
        <v>0</v>
      </c>
    </row>
    <row r="2168" spans="1:11" hidden="1" x14ac:dyDescent="0.3">
      <c r="A2168" s="21">
        <v>45382</v>
      </c>
      <c r="B2168" t="s">
        <v>2372</v>
      </c>
      <c r="C2168" s="22" t="s">
        <v>1536</v>
      </c>
      <c r="D2168" s="23">
        <v>35</v>
      </c>
      <c r="E2168" s="23">
        <v>0</v>
      </c>
      <c r="F2168" s="23">
        <v>927.09</v>
      </c>
      <c r="G2168" s="22" t="s">
        <v>2408</v>
      </c>
      <c r="H2168" s="22"/>
      <c r="I2168" t="s">
        <v>2401</v>
      </c>
      <c r="K2168" s="24">
        <f t="shared" si="36"/>
        <v>0</v>
      </c>
    </row>
    <row r="2169" spans="1:11" hidden="1" x14ac:dyDescent="0.3">
      <c r="A2169" s="21">
        <v>45382</v>
      </c>
      <c r="B2169" t="s">
        <v>2373</v>
      </c>
      <c r="C2169" s="22" t="s">
        <v>1536</v>
      </c>
      <c r="D2169" s="23">
        <v>16</v>
      </c>
      <c r="E2169" s="23">
        <v>0</v>
      </c>
      <c r="F2169" s="23">
        <v>911.09</v>
      </c>
      <c r="G2169" s="22" t="s">
        <v>2408</v>
      </c>
      <c r="H2169" s="41" t="s">
        <v>2657</v>
      </c>
      <c r="I2169" t="s">
        <v>2401</v>
      </c>
      <c r="K2169" s="24">
        <f t="shared" si="36"/>
        <v>0</v>
      </c>
    </row>
    <row r="2170" spans="1:11" hidden="1" x14ac:dyDescent="0.3">
      <c r="A2170" s="21">
        <v>45382</v>
      </c>
      <c r="B2170" t="s">
        <v>1483</v>
      </c>
      <c r="C2170" s="22">
        <v>409115178316</v>
      </c>
      <c r="D2170" s="23">
        <v>245</v>
      </c>
      <c r="E2170" s="23">
        <v>0</v>
      </c>
      <c r="F2170" s="23">
        <v>59701.01</v>
      </c>
      <c r="G2170" s="22" t="s">
        <v>2646</v>
      </c>
      <c r="H2170" s="22"/>
      <c r="I2170" t="s">
        <v>2645</v>
      </c>
      <c r="K2170" s="24">
        <f t="shared" si="36"/>
        <v>-59034.920000000006</v>
      </c>
    </row>
    <row r="2171" spans="1:11" hidden="1" x14ac:dyDescent="0.3">
      <c r="A2171" s="21">
        <v>45382</v>
      </c>
      <c r="B2171" t="s">
        <v>2684</v>
      </c>
      <c r="C2171" s="22"/>
      <c r="D2171" s="23">
        <v>0</v>
      </c>
      <c r="E2171" s="23">
        <v>81</v>
      </c>
      <c r="F2171" s="23">
        <v>52705.78</v>
      </c>
      <c r="G2171" s="41" t="s">
        <v>2419</v>
      </c>
      <c r="H2171" s="22"/>
      <c r="I2171" t="s">
        <v>2400</v>
      </c>
      <c r="K2171" s="24">
        <f t="shared" si="36"/>
        <v>7076.2300000000032</v>
      </c>
    </row>
    <row r="2172" spans="1:11" hidden="1" x14ac:dyDescent="0.3">
      <c r="A2172" s="21">
        <v>45382</v>
      </c>
      <c r="B2172" t="s">
        <v>2685</v>
      </c>
      <c r="C2172" s="22"/>
      <c r="D2172" s="23">
        <v>100</v>
      </c>
      <c r="E2172" s="23">
        <v>0</v>
      </c>
      <c r="F2172" s="23">
        <v>52605.78</v>
      </c>
      <c r="G2172" s="41" t="s">
        <v>2419</v>
      </c>
      <c r="H2172" s="22"/>
      <c r="I2172" t="s">
        <v>2400</v>
      </c>
      <c r="K2172" s="24">
        <f t="shared" si="36"/>
        <v>0</v>
      </c>
    </row>
    <row r="2173" spans="1:11" hidden="1" x14ac:dyDescent="0.3">
      <c r="A2173" s="21">
        <v>45383</v>
      </c>
      <c r="B2173" t="s">
        <v>343</v>
      </c>
      <c r="C2173" s="22" t="s">
        <v>149</v>
      </c>
      <c r="D2173" s="23">
        <v>0</v>
      </c>
      <c r="E2173" s="23">
        <v>394</v>
      </c>
      <c r="F2173" s="23">
        <v>43050.89</v>
      </c>
      <c r="G2173" s="22" t="s">
        <v>2423</v>
      </c>
      <c r="H2173" s="41" t="s">
        <v>2657</v>
      </c>
      <c r="I2173" t="s">
        <v>2403</v>
      </c>
      <c r="K2173" s="24">
        <f t="shared" si="36"/>
        <v>9948.89</v>
      </c>
    </row>
    <row r="2174" spans="1:11" hidden="1" x14ac:dyDescent="0.3">
      <c r="A2174" s="21">
        <v>45383</v>
      </c>
      <c r="B2174" t="s">
        <v>1484</v>
      </c>
      <c r="C2174" s="22"/>
      <c r="D2174" s="23">
        <v>0</v>
      </c>
      <c r="E2174" s="23">
        <v>21</v>
      </c>
      <c r="F2174" s="23">
        <v>59722.01</v>
      </c>
      <c r="G2174" s="22" t="s">
        <v>2423</v>
      </c>
      <c r="H2174" s="41" t="s">
        <v>2657</v>
      </c>
      <c r="I2174" t="s">
        <v>2645</v>
      </c>
      <c r="K2174" s="24">
        <f t="shared" si="36"/>
        <v>-16650.120000000003</v>
      </c>
    </row>
    <row r="2176" spans="1:11" x14ac:dyDescent="0.3">
      <c r="G2176">
        <v>2089</v>
      </c>
      <c r="H2176" s="2">
        <f>SUMIFS($E$344:$E$2174,$I$344:$I$2174,I2176,$G$344:$G$2174,"Bank Interest")</f>
        <v>2122</v>
      </c>
      <c r="I2176" t="s">
        <v>2400</v>
      </c>
    </row>
    <row r="2177" spans="7:9" x14ac:dyDescent="0.3">
      <c r="G2177">
        <v>1748</v>
      </c>
      <c r="H2177" s="2">
        <f t="shared" ref="H2177:H2181" si="37">SUMIFS($E$344:$E$2174,$I$344:$I$2174,I2177,$G$344:$G$2174,"Bank Interest")</f>
        <v>1748</v>
      </c>
      <c r="I2177" t="s">
        <v>2403</v>
      </c>
    </row>
    <row r="2178" spans="7:9" x14ac:dyDescent="0.3">
      <c r="G2178">
        <v>1197</v>
      </c>
      <c r="H2178" s="2">
        <f t="shared" si="37"/>
        <v>1197</v>
      </c>
      <c r="I2178" t="s">
        <v>2404</v>
      </c>
    </row>
    <row r="2179" spans="7:9" x14ac:dyDescent="0.3">
      <c r="G2179">
        <v>333</v>
      </c>
      <c r="H2179" s="2">
        <f t="shared" si="37"/>
        <v>332</v>
      </c>
      <c r="I2179" t="s">
        <v>2401</v>
      </c>
    </row>
    <row r="2180" spans="7:9" x14ac:dyDescent="0.3">
      <c r="G2180">
        <v>21</v>
      </c>
      <c r="H2180" s="2">
        <f t="shared" si="37"/>
        <v>21</v>
      </c>
      <c r="I2180" t="s">
        <v>2645</v>
      </c>
    </row>
    <row r="2181" spans="7:9" x14ac:dyDescent="0.3">
      <c r="G2181">
        <v>12</v>
      </c>
      <c r="H2181" s="2">
        <f t="shared" si="37"/>
        <v>0</v>
      </c>
      <c r="I2181" t="s">
        <v>2687</v>
      </c>
    </row>
  </sheetData>
  <autoFilter ref="A3:I2174" xr:uid="{3863A9E0-A346-4D28-9C82-57A5FFC98F17}">
    <filterColumn colId="6">
      <filters>
        <filter val="ATM Withdrawal"/>
        <filter val="Cash Withdrawal"/>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C28C2-9B7E-4318-89CA-929C051F3E2B}">
  <dimension ref="B2:K89"/>
  <sheetViews>
    <sheetView tabSelected="1" workbookViewId="0">
      <selection activeCell="B7" sqref="B7"/>
    </sheetView>
  </sheetViews>
  <sheetFormatPr defaultRowHeight="14.4" x14ac:dyDescent="0.3"/>
  <cols>
    <col min="2" max="2" width="23.33203125" bestFit="1" customWidth="1"/>
    <col min="3" max="3" width="13.109375" bestFit="1" customWidth="1"/>
    <col min="4" max="4" width="23.33203125" bestFit="1" customWidth="1"/>
    <col min="5" max="5" width="13.109375" bestFit="1" customWidth="1"/>
    <col min="10" max="10" width="9.88671875" bestFit="1" customWidth="1"/>
    <col min="11" max="11" width="9" bestFit="1" customWidth="1"/>
  </cols>
  <sheetData>
    <row r="2" spans="2:11" ht="15" thickBot="1" x14ac:dyDescent="0.35"/>
    <row r="3" spans="2:11" ht="15" thickBot="1" x14ac:dyDescent="0.35">
      <c r="B3" s="46" t="s">
        <v>2649</v>
      </c>
      <c r="C3" s="47"/>
      <c r="D3" s="47"/>
      <c r="E3" s="48"/>
    </row>
    <row r="4" spans="2:11" ht="15" thickBot="1" x14ac:dyDescent="0.35">
      <c r="B4" s="46" t="s">
        <v>2650</v>
      </c>
      <c r="C4" s="47"/>
      <c r="D4" s="47"/>
      <c r="E4" s="48"/>
    </row>
    <row r="5" spans="2:11" ht="15" thickBot="1" x14ac:dyDescent="0.35">
      <c r="B5" s="46" t="s">
        <v>2653</v>
      </c>
      <c r="C5" s="47"/>
      <c r="D5" s="47"/>
      <c r="E5" s="48"/>
    </row>
    <row r="6" spans="2:11" ht="15" thickBot="1" x14ac:dyDescent="0.35">
      <c r="B6" s="27" t="s">
        <v>1529</v>
      </c>
      <c r="C6" s="27" t="s">
        <v>2651</v>
      </c>
      <c r="D6" s="27" t="s">
        <v>1529</v>
      </c>
      <c r="E6" s="27" t="s">
        <v>2651</v>
      </c>
    </row>
    <row r="7" spans="2:11" x14ac:dyDescent="0.3">
      <c r="B7" s="28" t="s">
        <v>2652</v>
      </c>
      <c r="C7" s="29">
        <f>J13</f>
        <v>233551.97999999998</v>
      </c>
      <c r="D7" s="30"/>
      <c r="E7" s="31"/>
      <c r="J7" t="s">
        <v>2654</v>
      </c>
      <c r="K7" t="s">
        <v>2655</v>
      </c>
    </row>
    <row r="8" spans="2:11" x14ac:dyDescent="0.3">
      <c r="B8" s="32"/>
      <c r="C8" s="32"/>
      <c r="D8" s="32"/>
      <c r="E8" s="32"/>
      <c r="I8" s="39" t="s">
        <v>2404</v>
      </c>
      <c r="J8" s="40">
        <v>25508.679999999993</v>
      </c>
      <c r="K8" s="40">
        <v>16847.21</v>
      </c>
    </row>
    <row r="9" spans="2:11" x14ac:dyDescent="0.3">
      <c r="B9" s="33" t="s">
        <v>2402</v>
      </c>
      <c r="C9" s="34">
        <f>SUMIFS(Conso!$E:$E,Conso!$G:$G,B9)</f>
        <v>122214</v>
      </c>
      <c r="D9" t="s">
        <v>2402</v>
      </c>
      <c r="E9" s="34">
        <f>SUMIFS(Conso!$D:$D,Conso!$G:$G,D9)</f>
        <v>113106</v>
      </c>
      <c r="F9" s="38">
        <f>C9-E9</f>
        <v>9108</v>
      </c>
      <c r="I9" s="39" t="s">
        <v>2403</v>
      </c>
      <c r="J9" s="40">
        <v>83618.17</v>
      </c>
      <c r="K9" s="40">
        <v>43050.89</v>
      </c>
    </row>
    <row r="10" spans="2:11" x14ac:dyDescent="0.3">
      <c r="B10" s="33" t="s">
        <v>2399</v>
      </c>
      <c r="C10" s="34">
        <f>SUMIFS(Conso!$E:$E,Conso!$G:$G,B10)</f>
        <v>71195.139999999985</v>
      </c>
      <c r="D10" t="s">
        <v>2399</v>
      </c>
      <c r="E10" s="34">
        <f>SUMIFS(Conso!$D:$D,Conso!$G:$G,D10)</f>
        <v>315109.26</v>
      </c>
      <c r="I10" s="39" t="s">
        <v>2401</v>
      </c>
      <c r="J10" s="40">
        <v>29.86</v>
      </c>
      <c r="K10" s="40">
        <v>911.08999999999992</v>
      </c>
    </row>
    <row r="11" spans="2:11" x14ac:dyDescent="0.3">
      <c r="B11" s="33" t="s">
        <v>2405</v>
      </c>
      <c r="C11" s="34">
        <f>SUMIFS(Conso!$E:$E,Conso!$G:$G,B11)</f>
        <v>57999</v>
      </c>
      <c r="D11" t="s">
        <v>2405</v>
      </c>
      <c r="E11" s="34">
        <f>SUMIFS(Conso!$D:$D,Conso!$G:$G,D11)</f>
        <v>0</v>
      </c>
      <c r="I11" s="39" t="s">
        <v>2645</v>
      </c>
      <c r="J11" s="40">
        <v>0</v>
      </c>
      <c r="K11" s="40">
        <v>59722.01</v>
      </c>
    </row>
    <row r="12" spans="2:11" x14ac:dyDescent="0.3">
      <c r="B12" s="33" t="s">
        <v>2406</v>
      </c>
      <c r="C12" s="34">
        <f>SUMIFS(Conso!$E:$E,Conso!$G:$G,B12)</f>
        <v>2186206.9000000008</v>
      </c>
      <c r="D12" t="s">
        <v>2406</v>
      </c>
      <c r="E12" s="34">
        <f>SUMIFS(Conso!$D:$D,Conso!$G:$G,D12)</f>
        <v>2581041.3700000006</v>
      </c>
      <c r="I12" s="39" t="s">
        <v>2400</v>
      </c>
      <c r="J12" s="40">
        <v>124395.27</v>
      </c>
      <c r="K12" s="40">
        <v>52605.78</v>
      </c>
    </row>
    <row r="13" spans="2:11" x14ac:dyDescent="0.3">
      <c r="B13" s="33" t="s">
        <v>2407</v>
      </c>
      <c r="C13" s="34">
        <f>SUMIFS(Conso!$E:$E,Conso!$G:$G,B13)</f>
        <v>20680</v>
      </c>
      <c r="D13" s="33" t="s">
        <v>2407</v>
      </c>
      <c r="E13" s="34">
        <f>SUMIFS(Conso!$D:$D,Conso!$G:$G,D13)</f>
        <v>0</v>
      </c>
      <c r="J13" s="2">
        <f>SUM(J8:J12)</f>
        <v>233551.97999999998</v>
      </c>
      <c r="K13" s="2">
        <f>SUM(K8:K12)</f>
        <v>173136.97999999998</v>
      </c>
    </row>
    <row r="14" spans="2:11" x14ac:dyDescent="0.3">
      <c r="B14" s="33" t="s">
        <v>2408</v>
      </c>
      <c r="C14" s="34">
        <f>SUMIFS(Conso!$E:$E,Conso!$G:$G,B14)</f>
        <v>9575</v>
      </c>
      <c r="D14" s="33" t="s">
        <v>2408</v>
      </c>
      <c r="E14" s="34">
        <f>SUMIFS(Conso!$D:$D,Conso!$G:$G,D14)</f>
        <v>19319.29</v>
      </c>
      <c r="J14" s="2">
        <f>Conso!E2-Conso!D2</f>
        <v>-60415.000000004657</v>
      </c>
    </row>
    <row r="15" spans="2:11" x14ac:dyDescent="0.3">
      <c r="B15" s="33" t="s">
        <v>2409</v>
      </c>
      <c r="C15" s="34">
        <f>SUMIFS(Conso!$E:$E,Conso!$G:$G,B15)</f>
        <v>17179.05</v>
      </c>
      <c r="D15" s="33" t="s">
        <v>2409</v>
      </c>
      <c r="E15" s="34">
        <f>SUMIFS(Conso!$D:$D,Conso!$G:$G,D15)</f>
        <v>0</v>
      </c>
      <c r="J15" s="3"/>
    </row>
    <row r="16" spans="2:11" x14ac:dyDescent="0.3">
      <c r="B16" s="33" t="s">
        <v>2410</v>
      </c>
      <c r="C16" s="34">
        <f>SUMIFS(Conso!$E:$E,Conso!$G:$G,B16)</f>
        <v>0</v>
      </c>
      <c r="D16" s="33" t="s">
        <v>2410</v>
      </c>
      <c r="E16" s="34">
        <f>SUMIFS(Conso!$D:$D,Conso!$G:$G,D16)</f>
        <v>12419.169999999998</v>
      </c>
    </row>
    <row r="17" spans="2:5" x14ac:dyDescent="0.3">
      <c r="B17" s="33" t="s">
        <v>2411</v>
      </c>
      <c r="C17" s="34">
        <f>SUMIFS(Conso!$E:$E,Conso!$G:$G,B17)</f>
        <v>0</v>
      </c>
      <c r="D17" s="33" t="s">
        <v>2411</v>
      </c>
      <c r="E17" s="34">
        <f>SUMIFS(Conso!$D:$D,Conso!$G:$G,D17)</f>
        <v>75000</v>
      </c>
    </row>
    <row r="18" spans="2:5" x14ac:dyDescent="0.3">
      <c r="B18" s="35" t="s">
        <v>2412</v>
      </c>
      <c r="C18" s="34">
        <f>SUMIFS(Conso!$E:$E,Conso!$G:$G,B18)</f>
        <v>0</v>
      </c>
      <c r="D18" s="35" t="s">
        <v>2412</v>
      </c>
      <c r="E18" s="34">
        <f>SUMIFS(Conso!$D:$D,Conso!$G:$G,D18)</f>
        <v>21500</v>
      </c>
    </row>
    <row r="19" spans="2:5" x14ac:dyDescent="0.3">
      <c r="B19" s="33" t="s">
        <v>2413</v>
      </c>
      <c r="C19" s="34">
        <f>SUMIFS(Conso!$E:$E,Conso!$G:$G,B19)</f>
        <v>0</v>
      </c>
      <c r="D19" s="33" t="s">
        <v>2413</v>
      </c>
      <c r="E19" s="34">
        <f>SUMIFS(Conso!$D:$D,Conso!$G:$G,D19)</f>
        <v>30000</v>
      </c>
    </row>
    <row r="20" spans="2:5" x14ac:dyDescent="0.3">
      <c r="B20" s="33" t="s">
        <v>2414</v>
      </c>
      <c r="C20" s="34">
        <f>SUMIFS(Conso!$E:$E,Conso!$G:$G,B20)</f>
        <v>0</v>
      </c>
      <c r="D20" s="33" t="s">
        <v>2414</v>
      </c>
      <c r="E20" s="34">
        <f>SUMIFS(Conso!$D:$D,Conso!$G:$G,D20)</f>
        <v>325000</v>
      </c>
    </row>
    <row r="21" spans="2:5" x14ac:dyDescent="0.3">
      <c r="B21" s="33" t="s">
        <v>2415</v>
      </c>
      <c r="C21" s="34">
        <f>SUMIFS(Conso!$E:$E,Conso!$G:$G,B21)</f>
        <v>0</v>
      </c>
      <c r="D21" s="33" t="s">
        <v>2415</v>
      </c>
      <c r="E21" s="34">
        <f>SUMIFS(Conso!$D:$D,Conso!$G:$G,D21)</f>
        <v>2369.2200000000003</v>
      </c>
    </row>
    <row r="22" spans="2:5" x14ac:dyDescent="0.3">
      <c r="B22" s="33" t="s">
        <v>2416</v>
      </c>
      <c r="C22" s="34">
        <f>SUMIFS(Conso!$E:$E,Conso!$G:$G,B22)</f>
        <v>25000</v>
      </c>
      <c r="D22" s="33" t="s">
        <v>2416</v>
      </c>
      <c r="E22" s="34">
        <f>SUMIFS(Conso!$D:$D,Conso!$G:$G,D22)</f>
        <v>0</v>
      </c>
    </row>
    <row r="23" spans="2:5" x14ac:dyDescent="0.3">
      <c r="B23" s="33" t="s">
        <v>2417</v>
      </c>
      <c r="C23" s="34">
        <f>SUMIFS(Conso!$E:$E,Conso!$G:$G,B23)</f>
        <v>120000</v>
      </c>
      <c r="D23" s="33" t="s">
        <v>2417</v>
      </c>
      <c r="E23" s="34">
        <f>SUMIFS(Conso!$D:$D,Conso!$G:$G,D23)</f>
        <v>0</v>
      </c>
    </row>
    <row r="24" spans="2:5" x14ac:dyDescent="0.3">
      <c r="B24" s="33" t="s">
        <v>2646</v>
      </c>
      <c r="C24" s="34">
        <v>424157.82</v>
      </c>
      <c r="D24" s="33" t="s">
        <v>2646</v>
      </c>
      <c r="E24" s="34">
        <v>267495</v>
      </c>
    </row>
    <row r="25" spans="2:5" x14ac:dyDescent="0.3">
      <c r="B25" s="33" t="s">
        <v>2418</v>
      </c>
      <c r="C25" s="34">
        <f>SUMIFS(Conso!$E:$E,Conso!$G:$G,B25)</f>
        <v>0</v>
      </c>
      <c r="D25" s="33" t="s">
        <v>2418</v>
      </c>
      <c r="E25" s="34">
        <f>SUMIFS(Conso!$D:$D,Conso!$G:$G,D25)</f>
        <v>33000</v>
      </c>
    </row>
    <row r="26" spans="2:5" x14ac:dyDescent="0.3">
      <c r="B26" s="33" t="s">
        <v>2419</v>
      </c>
      <c r="C26" s="34">
        <f>SUMIFS(Conso!$E:$E,Conso!$G:$G,B26)</f>
        <v>6194.93</v>
      </c>
      <c r="D26" s="33" t="s">
        <v>2419</v>
      </c>
      <c r="E26" s="34">
        <f>SUMIFS(Conso!$D:$D,Conso!$G:$G,D26)</f>
        <v>22983.889999999996</v>
      </c>
    </row>
    <row r="27" spans="2:5" x14ac:dyDescent="0.3">
      <c r="B27" s="35" t="s">
        <v>2555</v>
      </c>
      <c r="C27" s="34">
        <f>SUMIFS(Conso!$E:$E,Conso!$G:$G,B27)</f>
        <v>247.29999999999998</v>
      </c>
      <c r="D27" s="35" t="s">
        <v>2555</v>
      </c>
      <c r="E27" s="34">
        <f>SUMIFS(Conso!$D:$D,Conso!$G:$G,D27)</f>
        <v>0</v>
      </c>
    </row>
    <row r="28" spans="2:5" x14ac:dyDescent="0.3">
      <c r="B28" s="33" t="s">
        <v>2420</v>
      </c>
      <c r="C28" s="34">
        <f>SUMIFS(Conso!$E:$E,Conso!$G:$G,B28)</f>
        <v>36042.33</v>
      </c>
      <c r="D28" s="33" t="s">
        <v>2420</v>
      </c>
      <c r="E28" s="34">
        <f>SUMIFS(Conso!$D:$D,Conso!$G:$G,D28)</f>
        <v>0</v>
      </c>
    </row>
    <row r="29" spans="2:5" x14ac:dyDescent="0.3">
      <c r="B29" s="33" t="s">
        <v>2421</v>
      </c>
      <c r="C29" s="34">
        <f>SUMIFS(Conso!$E:$E,Conso!$G:$G,B29)</f>
        <v>996880</v>
      </c>
      <c r="D29" s="33" t="s">
        <v>2421</v>
      </c>
      <c r="E29" s="34">
        <f>SUMIFS(Conso!$D:$D,Conso!$G:$G,D29)</f>
        <v>20000</v>
      </c>
    </row>
    <row r="30" spans="2:5" x14ac:dyDescent="0.3">
      <c r="B30" s="33" t="s">
        <v>2423</v>
      </c>
      <c r="C30" s="34">
        <f>SUMIFS(Conso!$E:$E,Conso!$G:$G,B30)</f>
        <v>5420</v>
      </c>
      <c r="D30" s="33" t="s">
        <v>2423</v>
      </c>
      <c r="E30" s="34">
        <f>SUMIFS(Conso!$D:$D,Conso!$G:$G,D30)</f>
        <v>0</v>
      </c>
    </row>
    <row r="31" spans="2:5" x14ac:dyDescent="0.3">
      <c r="B31" s="33" t="s">
        <v>2424</v>
      </c>
      <c r="C31" s="34">
        <f>SUMIFS(Conso!$E:$E,Conso!$G:$G,B31)</f>
        <v>10000</v>
      </c>
      <c r="D31" s="33" t="s">
        <v>2424</v>
      </c>
      <c r="E31" s="34">
        <f>SUMIFS(Conso!$D:$D,Conso!$G:$G,D31)</f>
        <v>0</v>
      </c>
    </row>
    <row r="32" spans="2:5" x14ac:dyDescent="0.3">
      <c r="B32" s="35" t="s">
        <v>2425</v>
      </c>
      <c r="C32" s="34">
        <f>SUMIFS(Conso!$E:$E,Conso!$G:$G,B32)</f>
        <v>5644.08</v>
      </c>
      <c r="D32" s="35" t="s">
        <v>2425</v>
      </c>
      <c r="E32" s="34">
        <f>SUMIFS(Conso!$D:$D,Conso!$G:$G,D32)</f>
        <v>0</v>
      </c>
    </row>
    <row r="33" spans="2:5" x14ac:dyDescent="0.3">
      <c r="B33" s="33" t="s">
        <v>2426</v>
      </c>
      <c r="C33" s="34">
        <f>SUMIFS(Conso!$E:$E,Conso!$G:$G,B33)</f>
        <v>0</v>
      </c>
      <c r="D33" s="33" t="s">
        <v>2426</v>
      </c>
      <c r="E33" s="34">
        <f>SUMIFS(Conso!$D:$D,Conso!$G:$G,D33)</f>
        <v>306000</v>
      </c>
    </row>
    <row r="34" spans="2:5" x14ac:dyDescent="0.3">
      <c r="B34" s="35" t="s">
        <v>2442</v>
      </c>
      <c r="C34" s="34">
        <f>SUMIFS(Conso!$E:$E,Conso!$G:$G,B34)</f>
        <v>0</v>
      </c>
      <c r="D34" s="35" t="s">
        <v>2442</v>
      </c>
      <c r="E34" s="34">
        <f>SUMIFS(Conso!$D:$D,Conso!$G:$G,D34)</f>
        <v>65000</v>
      </c>
    </row>
    <row r="35" spans="2:5" x14ac:dyDescent="0.3">
      <c r="B35" s="35" t="s">
        <v>2447</v>
      </c>
      <c r="C35" s="34">
        <f>SUMIFS(Conso!$E:$E,Conso!$G:$G,B35)</f>
        <v>0</v>
      </c>
      <c r="D35" s="35" t="s">
        <v>2447</v>
      </c>
      <c r="E35" s="34">
        <f>SUMIFS(Conso!$D:$D,Conso!$G:$G,D35)</f>
        <v>20000</v>
      </c>
    </row>
    <row r="36" spans="2:5" x14ac:dyDescent="0.3">
      <c r="B36" s="35" t="s">
        <v>2460</v>
      </c>
      <c r="C36" s="34">
        <f>SUMIFS(Conso!$E:$E,Conso!$G:$G,B36)</f>
        <v>7590</v>
      </c>
      <c r="D36" s="35" t="s">
        <v>2460</v>
      </c>
      <c r="E36" s="34">
        <f>SUMIFS(Conso!$D:$D,Conso!$G:$G,D36)</f>
        <v>0</v>
      </c>
    </row>
    <row r="37" spans="2:5" x14ac:dyDescent="0.3">
      <c r="B37" s="35" t="s">
        <v>2465</v>
      </c>
      <c r="C37" s="34">
        <f>SUMIFS(Conso!$E:$E,Conso!$G:$G,B37)</f>
        <v>0</v>
      </c>
      <c r="D37" s="35" t="s">
        <v>2465</v>
      </c>
      <c r="E37" s="34">
        <f>SUMIFS(Conso!$D:$D,Conso!$G:$G,D37)</f>
        <v>44034</v>
      </c>
    </row>
    <row r="38" spans="2:5" x14ac:dyDescent="0.3">
      <c r="B38" s="35" t="s">
        <v>2499</v>
      </c>
      <c r="C38" s="34">
        <f>SUMIFS(Conso!$E:$E,Conso!$G:$G,B38)</f>
        <v>0</v>
      </c>
      <c r="D38" s="35" t="s">
        <v>2499</v>
      </c>
      <c r="E38" s="34">
        <f>SUMIFS(Conso!$D:$D,Conso!$G:$G,D38)</f>
        <v>2500</v>
      </c>
    </row>
    <row r="39" spans="2:5" x14ac:dyDescent="0.3">
      <c r="B39" s="35" t="s">
        <v>2510</v>
      </c>
      <c r="C39" s="34">
        <f>SUMIFS(Conso!$E:$E,Conso!$G:$G,B39)</f>
        <v>0</v>
      </c>
      <c r="D39" s="35" t="s">
        <v>2510</v>
      </c>
      <c r="E39" s="34">
        <f>SUMIFS(Conso!$D:$D,Conso!$G:$G,D39)</f>
        <v>150000</v>
      </c>
    </row>
    <row r="40" spans="2:5" x14ac:dyDescent="0.3">
      <c r="B40" s="35" t="s">
        <v>2535</v>
      </c>
      <c r="C40" s="34">
        <f>SUMIFS(Conso!$E:$E,Conso!$G:$G,B40)</f>
        <v>0</v>
      </c>
      <c r="D40" s="35" t="s">
        <v>2535</v>
      </c>
      <c r="E40" s="34">
        <f>SUMIFS(Conso!$D:$D,Conso!$G:$G,D40)</f>
        <v>5114</v>
      </c>
    </row>
    <row r="41" spans="2:5" x14ac:dyDescent="0.3">
      <c r="B41" s="35" t="s">
        <v>2534</v>
      </c>
      <c r="C41" s="34">
        <f>SUMIFS(Conso!$E:$E,Conso!$G:$G,B41)</f>
        <v>29327.95</v>
      </c>
      <c r="D41" s="35" t="s">
        <v>2534</v>
      </c>
      <c r="E41" s="34">
        <f>SUMIFS(Conso!$D:$D,Conso!$G:$G,D41)</f>
        <v>0</v>
      </c>
    </row>
    <row r="42" spans="2:5" x14ac:dyDescent="0.3">
      <c r="B42" s="35" t="s">
        <v>2536</v>
      </c>
      <c r="C42" s="34">
        <f>SUMIFS(Conso!$E:$E,Conso!$G:$G,B42)</f>
        <v>2000</v>
      </c>
      <c r="D42" s="35" t="s">
        <v>2536</v>
      </c>
      <c r="E42" s="34">
        <f>SUMIFS(Conso!$D:$D,Conso!$G:$G,D42)</f>
        <v>2000</v>
      </c>
    </row>
    <row r="43" spans="2:5" x14ac:dyDescent="0.3">
      <c r="B43" s="35" t="s">
        <v>2537</v>
      </c>
      <c r="C43" s="34">
        <f>SUMIFS(Conso!$E:$E,Conso!$G:$G,B43)</f>
        <v>450</v>
      </c>
      <c r="D43" s="35" t="s">
        <v>2537</v>
      </c>
      <c r="E43" s="34">
        <f>SUMIFS(Conso!$D:$D,Conso!$G:$G,D43)</f>
        <v>450</v>
      </c>
    </row>
    <row r="44" spans="2:5" x14ac:dyDescent="0.3">
      <c r="B44" s="35" t="s">
        <v>2538</v>
      </c>
      <c r="C44" s="34">
        <f>SUMIFS(Conso!$E:$E,Conso!$G:$G,B44)</f>
        <v>1001</v>
      </c>
      <c r="D44" s="35" t="s">
        <v>2538</v>
      </c>
      <c r="E44" s="34">
        <f>SUMIFS(Conso!$D:$D,Conso!$G:$G,D44)</f>
        <v>6000</v>
      </c>
    </row>
    <row r="45" spans="2:5" x14ac:dyDescent="0.3">
      <c r="B45" s="35" t="s">
        <v>2541</v>
      </c>
      <c r="C45" s="34">
        <f>SUMIFS(Conso!$E:$E,Conso!$G:$G,B45)</f>
        <v>100</v>
      </c>
      <c r="D45" s="35" t="s">
        <v>2541</v>
      </c>
      <c r="E45" s="34">
        <f>SUMIFS(Conso!$D:$D,Conso!$G:$G,D45)</f>
        <v>8600</v>
      </c>
    </row>
    <row r="46" spans="2:5" x14ac:dyDescent="0.3">
      <c r="B46" s="35" t="s">
        <v>2544</v>
      </c>
      <c r="C46" s="34">
        <f>SUMIFS(Conso!$E:$E,Conso!$G:$G,B46)</f>
        <v>62026</v>
      </c>
      <c r="D46" s="35" t="s">
        <v>2544</v>
      </c>
      <c r="E46" s="34">
        <f>SUMIFS(Conso!$D:$D,Conso!$G:$G,D46)</f>
        <v>0</v>
      </c>
    </row>
    <row r="47" spans="2:5" x14ac:dyDescent="0.3">
      <c r="B47" s="35" t="s">
        <v>2558</v>
      </c>
      <c r="C47" s="34">
        <f>SUMIFS(Conso!$E:$E,Conso!$G:$G,B47)</f>
        <v>0</v>
      </c>
      <c r="D47" s="35" t="s">
        <v>2558</v>
      </c>
      <c r="E47" s="34">
        <f>SUMIFS(Conso!$D:$D,Conso!$G:$G,D47)</f>
        <v>5000</v>
      </c>
    </row>
    <row r="48" spans="2:5" x14ac:dyDescent="0.3">
      <c r="B48" s="35" t="s">
        <v>2574</v>
      </c>
      <c r="C48" s="34">
        <f>SUMIFS(Conso!$E:$E,Conso!$G:$G,B48)</f>
        <v>0</v>
      </c>
      <c r="D48" s="35" t="s">
        <v>2574</v>
      </c>
      <c r="E48" s="34">
        <f>SUMIFS(Conso!$D:$D,Conso!$G:$G,D48)</f>
        <v>5000</v>
      </c>
    </row>
    <row r="49" spans="2:7" x14ac:dyDescent="0.3">
      <c r="B49" s="35" t="s">
        <v>2575</v>
      </c>
      <c r="C49" s="34">
        <f>SUMIFS(Conso!$E:$E,Conso!$G:$G,B49)</f>
        <v>0</v>
      </c>
      <c r="D49" s="35" t="s">
        <v>2575</v>
      </c>
      <c r="E49" s="34">
        <f>SUMIFS(Conso!$D:$D,Conso!$G:$G,D49)</f>
        <v>5000</v>
      </c>
    </row>
    <row r="50" spans="2:7" x14ac:dyDescent="0.3">
      <c r="B50" s="35" t="s">
        <v>2580</v>
      </c>
      <c r="C50" s="34">
        <f>SUMIFS(Conso!$E:$E,Conso!$G:$G,B50)</f>
        <v>2</v>
      </c>
      <c r="D50" s="35" t="s">
        <v>2580</v>
      </c>
      <c r="E50" s="34">
        <f>SUMIFS(Conso!$D:$D,Conso!$G:$G,D50)</f>
        <v>0</v>
      </c>
    </row>
    <row r="51" spans="2:7" x14ac:dyDescent="0.3">
      <c r="B51" s="35" t="s">
        <v>2581</v>
      </c>
      <c r="C51" s="34">
        <f>SUMIFS(Conso!$E:$E,Conso!$G:$G,B51)</f>
        <v>124112</v>
      </c>
      <c r="D51" s="35" t="s">
        <v>2581</v>
      </c>
      <c r="E51" s="34">
        <f>SUMIFS(Conso!$D:$D,Conso!$G:$G,D51)</f>
        <v>0</v>
      </c>
    </row>
    <row r="52" spans="2:7" x14ac:dyDescent="0.3">
      <c r="B52" s="35" t="s">
        <v>2595</v>
      </c>
      <c r="C52" s="34">
        <f>SUMIFS(Conso!$E:$E,Conso!$G:$G,B52)</f>
        <v>0</v>
      </c>
      <c r="D52" s="35" t="s">
        <v>2595</v>
      </c>
      <c r="E52" s="34">
        <f>SUMIFS(Conso!$D:$D,Conso!$G:$G,D52)</f>
        <v>17200</v>
      </c>
    </row>
    <row r="53" spans="2:7" x14ac:dyDescent="0.3">
      <c r="B53" s="35" t="s">
        <v>2601</v>
      </c>
      <c r="C53" s="34">
        <f>SUMIFS(Conso!$E:$E,Conso!$G:$G,B53)</f>
        <v>192739.7</v>
      </c>
      <c r="D53" s="35" t="s">
        <v>2601</v>
      </c>
      <c r="E53" s="34">
        <f>SUMIFS(Conso!$D:$D,Conso!$G:$G,D53)</f>
        <v>0</v>
      </c>
    </row>
    <row r="54" spans="2:7" x14ac:dyDescent="0.3">
      <c r="B54" s="35" t="s">
        <v>2602</v>
      </c>
      <c r="C54" s="34">
        <f>SUMIFS(Conso!$E:$E,Conso!$G:$G,B54)</f>
        <v>0</v>
      </c>
      <c r="D54" s="35" t="s">
        <v>2602</v>
      </c>
      <c r="E54" s="34">
        <f>SUMIFS(Conso!$D:$D,Conso!$G:$G,D54)</f>
        <v>125000</v>
      </c>
    </row>
    <row r="55" spans="2:7" x14ac:dyDescent="0.3">
      <c r="B55" s="35" t="s">
        <v>2611</v>
      </c>
      <c r="C55" s="34">
        <f>SUMIFS(Conso!$E:$E,Conso!$G:$G,B55)</f>
        <v>0</v>
      </c>
      <c r="D55" s="35" t="s">
        <v>2611</v>
      </c>
      <c r="E55" s="34">
        <f>SUMIFS(Conso!$D:$D,Conso!$G:$G,D55)</f>
        <v>6000</v>
      </c>
    </row>
    <row r="56" spans="2:7" x14ac:dyDescent="0.3">
      <c r="B56" s="35" t="s">
        <v>2621</v>
      </c>
      <c r="C56" s="34">
        <f>SUMIFS(Conso!$E:$E,Conso!$G:$G,B56)</f>
        <v>0</v>
      </c>
      <c r="D56" s="35" t="s">
        <v>2621</v>
      </c>
      <c r="E56" s="34">
        <f>SUMIFS(Conso!$D:$D,Conso!$G:$G,D56)</f>
        <v>27000</v>
      </c>
    </row>
    <row r="57" spans="2:7" x14ac:dyDescent="0.3">
      <c r="B57" s="35" t="s">
        <v>2635</v>
      </c>
      <c r="C57" s="34">
        <f>SUMIFS(Conso!$E:$E,Conso!$G:$G,B57)</f>
        <v>900</v>
      </c>
      <c r="D57" s="35" t="s">
        <v>2635</v>
      </c>
      <c r="E57" s="34">
        <f>SUMIFS(Conso!$D:$D,Conso!$G:$G,D57)</f>
        <v>0</v>
      </c>
    </row>
    <row r="58" spans="2:7" x14ac:dyDescent="0.3">
      <c r="B58" s="35" t="s">
        <v>2647</v>
      </c>
      <c r="C58" s="34">
        <f>SUMIFS(Conso!$E:$E,Conso!$G:$G,B58)</f>
        <v>63942</v>
      </c>
      <c r="D58" s="35" t="s">
        <v>2647</v>
      </c>
      <c r="E58" s="34">
        <f>SUMIFS(Conso!$D:$D,Conso!$G:$G,D58)</f>
        <v>0</v>
      </c>
    </row>
    <row r="59" spans="2:7" x14ac:dyDescent="0.3">
      <c r="B59" s="33" t="s">
        <v>2686</v>
      </c>
      <c r="C59" s="34">
        <f>SUMIFS(Conso!$E:$E,Conso!$G:$G,B59)</f>
        <v>0</v>
      </c>
      <c r="D59" s="33" t="s">
        <v>2686</v>
      </c>
      <c r="E59" s="34">
        <f>SUMIFS(Conso!$D:$D,Conso!$G:$G,D59)</f>
        <v>21000</v>
      </c>
    </row>
    <row r="60" spans="2:7" x14ac:dyDescent="0.3">
      <c r="B60" s="33"/>
      <c r="C60" s="34"/>
      <c r="D60" s="33"/>
      <c r="E60" s="34"/>
    </row>
    <row r="61" spans="2:7" x14ac:dyDescent="0.3">
      <c r="B61" s="33"/>
      <c r="C61" s="34"/>
      <c r="D61" s="33"/>
      <c r="E61" s="34"/>
    </row>
    <row r="62" spans="2:7" x14ac:dyDescent="0.3">
      <c r="B62" s="33"/>
      <c r="C62" s="33"/>
      <c r="D62" s="33" t="s">
        <v>2656</v>
      </c>
      <c r="E62" s="34">
        <f>C64-SUM(E7:E60)</f>
        <v>173136.98000000045</v>
      </c>
      <c r="G62" s="3">
        <f>K13</f>
        <v>173136.97999999998</v>
      </c>
    </row>
    <row r="63" spans="2:7" x14ac:dyDescent="0.3">
      <c r="B63" s="33"/>
      <c r="C63" s="33"/>
      <c r="D63" s="33"/>
      <c r="E63" s="33"/>
      <c r="G63" s="38">
        <f>E62-G62</f>
        <v>4.6566128730773926E-10</v>
      </c>
    </row>
    <row r="64" spans="2:7" ht="15" thickBot="1" x14ac:dyDescent="0.35">
      <c r="B64" s="33"/>
      <c r="C64" s="36">
        <f>SUM(C7:C63)</f>
        <v>4832378.1800000016</v>
      </c>
      <c r="D64" s="33"/>
      <c r="E64" s="36">
        <f>SUM(E7:E63)</f>
        <v>4832378.1800000016</v>
      </c>
    </row>
    <row r="65" spans="2:5" ht="15" thickTop="1" x14ac:dyDescent="0.3">
      <c r="B65" s="33"/>
      <c r="C65" s="33"/>
      <c r="D65" s="33"/>
      <c r="E65" s="33"/>
    </row>
    <row r="66" spans="2:5" ht="15" thickBot="1" x14ac:dyDescent="0.35">
      <c r="B66" s="37"/>
      <c r="C66" s="37"/>
      <c r="D66" s="37"/>
      <c r="E66" s="37"/>
    </row>
    <row r="68" spans="2:5" x14ac:dyDescent="0.3">
      <c r="C68" s="38">
        <f>SUM(C9:C61)</f>
        <v>4598826.2000000011</v>
      </c>
      <c r="E68" s="38">
        <f>SUM(E9:E61)</f>
        <v>4659241.2000000011</v>
      </c>
    </row>
    <row r="69" spans="2:5" x14ac:dyDescent="0.3">
      <c r="C69" s="38">
        <f>Conso!E2</f>
        <v>4598826.1999999993</v>
      </c>
      <c r="E69" s="38">
        <f>Conso!D2</f>
        <v>4659241.2000000039</v>
      </c>
    </row>
    <row r="70" spans="2:5" x14ac:dyDescent="0.3">
      <c r="C70" s="38">
        <f>C68-C69</f>
        <v>0</v>
      </c>
      <c r="E70" s="38">
        <f>E68-E69</f>
        <v>0</v>
      </c>
    </row>
    <row r="71" spans="2:5" x14ac:dyDescent="0.3">
      <c r="E71" s="38"/>
    </row>
    <row r="75" spans="2:5" ht="15" thickBot="1" x14ac:dyDescent="0.35"/>
    <row r="76" spans="2:5" ht="15" thickBot="1" x14ac:dyDescent="0.35">
      <c r="B76" s="46" t="s">
        <v>2688</v>
      </c>
      <c r="C76" s="47"/>
      <c r="D76" s="47"/>
      <c r="E76" s="48"/>
    </row>
    <row r="77" spans="2:5" ht="15" thickBot="1" x14ac:dyDescent="0.35">
      <c r="B77" s="46" t="s">
        <v>2653</v>
      </c>
      <c r="C77" s="47"/>
      <c r="D77" s="47"/>
      <c r="E77" s="48"/>
    </row>
    <row r="78" spans="2:5" ht="15" thickBot="1" x14ac:dyDescent="0.35">
      <c r="B78" s="27" t="s">
        <v>1529</v>
      </c>
      <c r="C78" s="27" t="s">
        <v>2651</v>
      </c>
      <c r="D78" s="27" t="s">
        <v>1529</v>
      </c>
      <c r="E78" s="27" t="s">
        <v>2651</v>
      </c>
    </row>
    <row r="79" spans="2:5" x14ac:dyDescent="0.3">
      <c r="B79" s="28" t="s">
        <v>2652</v>
      </c>
      <c r="C79" s="29">
        <v>38700</v>
      </c>
      <c r="D79" s="30"/>
      <c r="E79" s="31"/>
    </row>
    <row r="80" spans="2:5" x14ac:dyDescent="0.3">
      <c r="B80" s="35"/>
      <c r="C80" s="34"/>
      <c r="D80" s="35" t="s">
        <v>2689</v>
      </c>
      <c r="E80" s="34">
        <v>23500</v>
      </c>
    </row>
    <row r="81" spans="2:5" x14ac:dyDescent="0.3">
      <c r="B81" s="35" t="s">
        <v>2412</v>
      </c>
      <c r="C81" s="34">
        <f>E18+E38</f>
        <v>24000</v>
      </c>
      <c r="D81" s="35"/>
      <c r="E81" s="34"/>
    </row>
    <row r="82" spans="2:5" x14ac:dyDescent="0.3">
      <c r="B82" s="33"/>
      <c r="C82" s="33"/>
      <c r="E82" s="34"/>
    </row>
    <row r="83" spans="2:5" x14ac:dyDescent="0.3">
      <c r="B83" s="33"/>
      <c r="C83" s="33"/>
      <c r="D83" s="33" t="s">
        <v>2656</v>
      </c>
      <c r="E83" s="34">
        <f>C85-SUM(E79:E82)</f>
        <v>39200</v>
      </c>
    </row>
    <row r="84" spans="2:5" x14ac:dyDescent="0.3">
      <c r="B84" s="33"/>
      <c r="C84" s="33"/>
      <c r="D84" s="33"/>
      <c r="E84" s="34"/>
    </row>
    <row r="85" spans="2:5" ht="15" thickBot="1" x14ac:dyDescent="0.35">
      <c r="B85" s="33"/>
      <c r="C85" s="36">
        <f>SUM(C79:C83)</f>
        <v>62700</v>
      </c>
      <c r="D85" s="33"/>
      <c r="E85" s="36">
        <f>SUM(E79:E83)</f>
        <v>62700</v>
      </c>
    </row>
    <row r="86" spans="2:5" ht="15" thickTop="1" x14ac:dyDescent="0.3">
      <c r="B86" s="33"/>
      <c r="C86" s="33"/>
      <c r="D86" s="33"/>
      <c r="E86" s="33"/>
    </row>
    <row r="87" spans="2:5" ht="15" thickBot="1" x14ac:dyDescent="0.35">
      <c r="B87" s="37"/>
      <c r="C87" s="37"/>
      <c r="D87" s="37"/>
      <c r="E87" s="37"/>
    </row>
    <row r="89" spans="2:5" x14ac:dyDescent="0.3">
      <c r="C89" s="38">
        <f>SUM(C29:C81)</f>
        <v>15594865.310000002</v>
      </c>
      <c r="E89" s="38">
        <f>SUM(E29:E81)</f>
        <v>15188395.560000006</v>
      </c>
    </row>
  </sheetData>
  <mergeCells count="5">
    <mergeCell ref="B3:E3"/>
    <mergeCell ref="B4:E4"/>
    <mergeCell ref="B5:E5"/>
    <mergeCell ref="B76:E76"/>
    <mergeCell ref="B77:E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AXIS Aayush Axis Statement 1</vt:lpstr>
      <vt:lpstr>HDFC</vt:lpstr>
      <vt:lpstr>Jupiter</vt:lpstr>
      <vt:lpstr>Kotak_Salary</vt:lpstr>
      <vt:lpstr>SBI_PPF</vt:lpstr>
      <vt:lpstr>SBI_Savings</vt:lpstr>
      <vt:lpstr>Conso</vt:lpstr>
      <vt:lpstr>Bank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Archit Gupta</dc:creator>
  <cp:lastModifiedBy>Archit Gupta</cp:lastModifiedBy>
  <dcterms:created xsi:type="dcterms:W3CDTF">2015-06-05T18:17:20Z</dcterms:created>
  <dcterms:modified xsi:type="dcterms:W3CDTF">2024-07-24T17:07:15Z</dcterms:modified>
</cp:coreProperties>
</file>