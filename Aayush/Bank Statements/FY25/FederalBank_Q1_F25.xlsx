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Tax\FY25\"/>
    </mc:Choice>
  </mc:AlternateContent>
  <xr:revisionPtr revIDLastSave="0" documentId="13_ncr:1_{CF3350E7-2E92-43F6-B6B3-0361E5D24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  <c r="I74" i="1"/>
</calcChain>
</file>

<file path=xl/sharedStrings.xml><?xml version="1.0" encoding="utf-8"?>
<sst xmlns="http://schemas.openxmlformats.org/spreadsheetml/2006/main" count="258" uniqueCount="161">
  <si>
    <t>Nashik, Behind Fame Theatre,,</t>
  </si>
  <si>
    <t>Nasik, Maharashtra, India-422006</t>
  </si>
  <si>
    <t xml:space="preserve">Name </t>
  </si>
  <si>
    <t xml:space="preserve"> AAYUSH KUMAR GUPTA</t>
  </si>
  <si>
    <t xml:space="preserve">Communication Address </t>
  </si>
  <si>
    <t xml:space="preserve"> D-07 Ishwar Paradise Ashoka Marg</t>
  </si>
  <si>
    <t xml:space="preserve">Address Last Updated On </t>
  </si>
  <si>
    <t xml:space="preserve"> 28/10/2021</t>
  </si>
  <si>
    <t xml:space="preserve">Regd. Mobile Number </t>
  </si>
  <si>
    <t xml:space="preserve">Email ID </t>
  </si>
  <si>
    <t xml:space="preserve"> aayushp4396@gmail.com</t>
  </si>
  <si>
    <t xml:space="preserve">Type of Account </t>
  </si>
  <si>
    <t xml:space="preserve"> Savings</t>
  </si>
  <si>
    <t xml:space="preserve">Scheme </t>
  </si>
  <si>
    <t xml:space="preserve"> SALARY-7777</t>
  </si>
  <si>
    <t xml:space="preserve">IFSC </t>
  </si>
  <si>
    <t xml:space="preserve"> FDRL0007777</t>
  </si>
  <si>
    <t xml:space="preserve">MICR Code </t>
  </si>
  <si>
    <t xml:space="preserve">SWIFT Code </t>
  </si>
  <si>
    <t xml:space="preserve"> FDRLINBBIBD</t>
  </si>
  <si>
    <t xml:space="preserve">Available Balance </t>
  </si>
  <si>
    <t xml:space="preserve">Branch Name </t>
  </si>
  <si>
    <t xml:space="preserve"> Neo Banking- Jupiter</t>
  </si>
  <si>
    <t xml:space="preserve">Branch Sol ID </t>
  </si>
  <si>
    <t xml:space="preserve">Account Number </t>
  </si>
  <si>
    <t xml:space="preserve">Customer ID </t>
  </si>
  <si>
    <t xml:space="preserve">Account Open Date </t>
  </si>
  <si>
    <t xml:space="preserve">Account Status </t>
  </si>
  <si>
    <t xml:space="preserve"> Closed</t>
  </si>
  <si>
    <t xml:space="preserve">Mode of Operation </t>
  </si>
  <si>
    <t xml:space="preserve"> Single</t>
  </si>
  <si>
    <t xml:space="preserve">Joint Holders </t>
  </si>
  <si>
    <t xml:space="preserve"> NIL</t>
  </si>
  <si>
    <t xml:space="preserve">Nomination </t>
  </si>
  <si>
    <t xml:space="preserve"> Registered</t>
  </si>
  <si>
    <t xml:space="preserve">Currency </t>
  </si>
  <si>
    <t xml:space="preserve"> INR</t>
  </si>
  <si>
    <t xml:space="preserve">Date of Issue </t>
  </si>
  <si>
    <t xml:space="preserve"> 09/07/2024</t>
  </si>
  <si>
    <t>Statement of Account for the period 01/04/2024 to 30/06/2024</t>
  </si>
  <si>
    <t>Particulars</t>
  </si>
  <si>
    <t>Withdrawals</t>
  </si>
  <si>
    <t>Balance</t>
  </si>
  <si>
    <t>Deposits</t>
  </si>
  <si>
    <t>Opening Balance</t>
  </si>
  <si>
    <t>Closing Balance</t>
  </si>
  <si>
    <t>Date</t>
  </si>
  <si>
    <t>TFR</t>
  </si>
  <si>
    <t>S42025165</t>
  </si>
  <si>
    <t>CR</t>
  </si>
  <si>
    <t>S48246883</t>
  </si>
  <si>
    <t>S53198210</t>
  </si>
  <si>
    <t>S56152098</t>
  </si>
  <si>
    <t>S57936746</t>
  </si>
  <si>
    <t>S60780275</t>
  </si>
  <si>
    <t>S62094747</t>
  </si>
  <si>
    <t>S74184665</t>
  </si>
  <si>
    <t>S80138282</t>
  </si>
  <si>
    <t>S82129552</t>
  </si>
  <si>
    <t>S91955315</t>
  </si>
  <si>
    <t>S784361</t>
  </si>
  <si>
    <t>S844456</t>
  </si>
  <si>
    <t>S6686751</t>
  </si>
  <si>
    <t>S7440599</t>
  </si>
  <si>
    <t>S11699668</t>
  </si>
  <si>
    <t>S17087622</t>
  </si>
  <si>
    <t>S23425230</t>
  </si>
  <si>
    <t>S27052338</t>
  </si>
  <si>
    <t>S28413688</t>
  </si>
  <si>
    <t>S44850155</t>
  </si>
  <si>
    <t>S50146661</t>
  </si>
  <si>
    <t>S51693934</t>
  </si>
  <si>
    <t>S65764867</t>
  </si>
  <si>
    <t>S67023129</t>
  </si>
  <si>
    <t>S68356168</t>
  </si>
  <si>
    <t>S70930899</t>
  </si>
  <si>
    <t>S71100728</t>
  </si>
  <si>
    <t>S74649140</t>
  </si>
  <si>
    <t>S77000559</t>
  </si>
  <si>
    <t>S86646215</t>
  </si>
  <si>
    <t>S94917195</t>
  </si>
  <si>
    <t>S2682374</t>
  </si>
  <si>
    <t>S16186591</t>
  </si>
  <si>
    <t>S91664392</t>
  </si>
  <si>
    <t>FT</t>
  </si>
  <si>
    <t>S35382625</t>
  </si>
  <si>
    <t>S57451820</t>
  </si>
  <si>
    <t>S3274235</t>
  </si>
  <si>
    <t>S13736210</t>
  </si>
  <si>
    <t>S46271576</t>
  </si>
  <si>
    <t>S46287656</t>
  </si>
  <si>
    <t>S46768518</t>
  </si>
  <si>
    <t>S46910638</t>
  </si>
  <si>
    <t>S56349530</t>
  </si>
  <si>
    <t>S57205993</t>
  </si>
  <si>
    <t>S29546151</t>
  </si>
  <si>
    <t>S29765927</t>
  </si>
  <si>
    <r>
      <rPr>
        <b/>
        <sz val="11"/>
        <rFont val="Calibri"/>
        <family val="2"/>
        <scheme val="minor"/>
      </rPr>
      <t>Value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Date</t>
    </r>
  </si>
  <si>
    <r>
      <rPr>
        <b/>
        <sz val="11"/>
        <rFont val="Calibri"/>
        <family val="2"/>
        <scheme val="minor"/>
      </rPr>
      <t>Tran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Type</t>
    </r>
  </si>
  <si>
    <r>
      <rPr>
        <b/>
        <sz val="11"/>
        <rFont val="Calibri"/>
        <family val="2"/>
        <scheme val="minor"/>
      </rPr>
      <t>Tran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ID</t>
    </r>
  </si>
  <si>
    <r>
      <rPr>
        <b/>
        <sz val="11"/>
        <rFont val="Calibri"/>
        <family val="2"/>
        <scheme val="minor"/>
      </rPr>
      <t>Cheque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Details</t>
    </r>
  </si>
  <si>
    <r>
      <rPr>
        <b/>
        <sz val="11"/>
        <rFont val="Calibri"/>
        <family val="2"/>
        <scheme val="minor"/>
      </rPr>
      <t>Dr/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Cr</t>
    </r>
  </si>
  <si>
    <r>
      <rPr>
        <sz val="11"/>
        <rFont val="Calibri"/>
        <family val="2"/>
        <scheme val="minor"/>
      </rPr>
      <t>UPIOUT/409397404482/
paytmqr1dvntqhgaz@ paytm//5462</t>
    </r>
  </si>
  <si>
    <r>
      <rPr>
        <sz val="11"/>
        <rFont val="Calibri"/>
        <family val="2"/>
        <scheme val="minor"/>
      </rPr>
      <t>UPIOUT/409339830970/
gokhana.payu@indus/ UPIIn/7311</t>
    </r>
  </si>
  <si>
    <r>
      <rPr>
        <sz val="11"/>
        <rFont val="Calibri"/>
        <family val="2"/>
        <scheme val="minor"/>
      </rPr>
      <t>UPIOUT/409311132507/
payzomato@hdfcbank/Sent
/5814</t>
    </r>
  </si>
  <si>
    <r>
      <rPr>
        <sz val="11"/>
        <rFont val="Calibri"/>
        <family val="2"/>
        <scheme val="minor"/>
      </rPr>
      <t>UPI IN/409319949339/9594435259
@kotak/MB UPI/0000</t>
    </r>
  </si>
  <si>
    <r>
      <rPr>
        <sz val="11"/>
        <rFont val="Calibri"/>
        <family val="2"/>
        <scheme val="minor"/>
      </rPr>
      <t>UPIOUT/409312264752/
ashokanknk1985@okicici/S/0000</t>
    </r>
  </si>
  <si>
    <r>
      <rPr>
        <sz val="11"/>
        <rFont val="Calibri"/>
        <family val="2"/>
        <scheme val="minor"/>
      </rPr>
      <t>UPIOUT/409313107361/
zomatoltd9.rzp@mairtel/P/5811</t>
    </r>
  </si>
  <si>
    <r>
      <rPr>
        <sz val="11"/>
        <rFont val="Calibri"/>
        <family val="2"/>
        <scheme val="minor"/>
      </rPr>
      <t>UPIOUT/409313529213/rapido.
rzp@icici/Payment/4121</t>
    </r>
  </si>
  <si>
    <r>
      <rPr>
        <sz val="11"/>
        <rFont val="Calibri"/>
        <family val="2"/>
        <scheme val="minor"/>
      </rPr>
      <t>UPIOUT/409418186188/
Q651974618@ybl/Sent via /5814</t>
    </r>
  </si>
  <si>
    <r>
      <rPr>
        <sz val="11"/>
        <rFont val="Calibri"/>
        <family val="2"/>
        <scheme val="minor"/>
      </rPr>
      <t>UPI REFUND RRC 409145904712</t>
    </r>
  </si>
  <si>
    <r>
      <rPr>
        <sz val="11"/>
        <rFont val="Calibri"/>
        <family val="2"/>
        <scheme val="minor"/>
      </rPr>
      <t>UPIOUT/409420241196/
paytmqr3zacjjhvyp@paytm//5462</t>
    </r>
  </si>
  <si>
    <r>
      <rPr>
        <sz val="11"/>
        <rFont val="Calibri"/>
        <family val="2"/>
        <scheme val="minor"/>
      </rPr>
      <t>UPIOUT/409524533570/
zomatoltd9.rzp@mairtel/P/5811</t>
    </r>
  </si>
  <si>
    <r>
      <rPr>
        <sz val="11"/>
        <rFont val="Calibri"/>
        <family val="2"/>
        <scheme val="minor"/>
      </rPr>
      <t>UPI IN/409518581802/9594435259
@kotak/MB UPI/0000</t>
    </r>
  </si>
  <si>
    <r>
      <rPr>
        <sz val="11"/>
        <rFont val="Calibri"/>
        <family val="2"/>
        <scheme val="minor"/>
      </rPr>
      <t>UPIOUT/409527353958/998092
5903@ibl/Sent via /0000</t>
    </r>
  </si>
  <si>
    <r>
      <rPr>
        <sz val="11"/>
        <rFont val="Calibri"/>
        <family val="2"/>
        <scheme val="minor"/>
      </rPr>
      <t>UPIOUT/409528741307/
zomato-order@paytm/ Zomat/5812</t>
    </r>
  </si>
  <si>
    <r>
      <rPr>
        <sz val="11"/>
        <rFont val="Calibri"/>
        <family val="2"/>
        <scheme val="minor"/>
      </rPr>
      <t>UPIOUT/409528978527/938076
1013@paytm/Sent vi/0000</t>
    </r>
  </si>
  <si>
    <r>
      <rPr>
        <sz val="11"/>
        <rFont val="Calibri"/>
        <family val="2"/>
        <scheme val="minor"/>
      </rPr>
      <t>UPIOUT/409631112280/
Q676438340@ybl/Sent via /5812</t>
    </r>
  </si>
  <si>
    <r>
      <rPr>
        <sz val="11"/>
        <rFont val="Calibri"/>
        <family val="2"/>
        <scheme val="minor"/>
      </rPr>
      <t>UPIOUT/409633002087/
zomato-order@paytm/ Zomat/5812</t>
    </r>
  </si>
  <si>
    <r>
      <rPr>
        <sz val="11"/>
        <rFont val="Calibri"/>
        <family val="2"/>
        <scheme val="minor"/>
      </rPr>
      <t>UPIOUT/409634938769/
paytmqr2810050501014ev0m/58 12</t>
    </r>
  </si>
  <si>
    <r>
      <rPr>
        <sz val="11"/>
        <rFont val="Calibri"/>
        <family val="2"/>
        <scheme val="minor"/>
      </rPr>
      <t>UPIOUT/409635741109/rapido.
rzp@icici/Payment/4121</t>
    </r>
  </si>
  <si>
    <r>
      <rPr>
        <sz val="11"/>
        <rFont val="Calibri"/>
        <family val="2"/>
        <scheme val="minor"/>
      </rPr>
      <t>UPIOUT/409635999364/948088
7151@kotak/Sent vi/0000</t>
    </r>
  </si>
  <si>
    <r>
      <rPr>
        <sz val="11"/>
        <rFont val="Calibri"/>
        <family val="2"/>
        <scheme val="minor"/>
      </rPr>
      <t>UPIOUT/409740412335/
dk031089-1@okaxis/Sent v/0000</t>
    </r>
  </si>
  <si>
    <r>
      <rPr>
        <sz val="11"/>
        <rFont val="Calibri"/>
        <family val="2"/>
        <scheme val="minor"/>
      </rPr>
      <t>UPIOUT/409741437061/
zomato-order@paytm/ Zomat/5814</t>
    </r>
  </si>
  <si>
    <r>
      <rPr>
        <sz val="11"/>
        <rFont val="Calibri"/>
        <family val="2"/>
        <scheme val="minor"/>
      </rPr>
      <t>UPIOUT/409741714291/761940
9652@ybl/Sent via /0000</t>
    </r>
  </si>
  <si>
    <r>
      <rPr>
        <sz val="11"/>
        <rFont val="Calibri"/>
        <family val="2"/>
        <scheme val="minor"/>
      </rPr>
      <t>UPIOUT/409845421519/
zomato-order@paytm/ Zomat/5814</t>
    </r>
  </si>
  <si>
    <r>
      <rPr>
        <sz val="11"/>
        <rFont val="Calibri"/>
        <family val="2"/>
        <scheme val="minor"/>
      </rPr>
      <t>UPIOUT/409845708938/
Q674963589@ybl/Sent via /5814</t>
    </r>
  </si>
  <si>
    <r>
      <rPr>
        <sz val="11"/>
        <rFont val="Calibri"/>
        <family val="2"/>
        <scheme val="minor"/>
      </rPr>
      <t>UPI IN/409860235500/
aayush20gupta-2@oksbi/</t>
    </r>
  </si>
  <si>
    <r>
      <rPr>
        <sz val="11"/>
        <rFont val="Calibri"/>
        <family val="2"/>
        <scheme val="minor"/>
      </rPr>
      <t>UPIOUT/409846392126/917619
591582@paytm/Sent /0000</t>
    </r>
  </si>
  <si>
    <r>
      <rPr>
        <sz val="11"/>
        <rFont val="Calibri"/>
        <family val="2"/>
        <scheme val="minor"/>
      </rPr>
      <t>UPIOUT/409846423002/
Q482978637@ybl/Sent via /5812</t>
    </r>
  </si>
  <si>
    <r>
      <rPr>
        <sz val="11"/>
        <rFont val="Calibri"/>
        <family val="2"/>
        <scheme val="minor"/>
      </rPr>
      <t>UPIOUT/409847012370/
zomatoonlineorder.rzp@ic/5811</t>
    </r>
  </si>
  <si>
    <r>
      <rPr>
        <sz val="11"/>
        <rFont val="Calibri"/>
        <family val="2"/>
        <scheme val="minor"/>
      </rPr>
      <t>UPIOUT/409847542255/
ameenuddeen75-1@okaxis/ S/0000</t>
    </r>
  </si>
  <si>
    <r>
      <rPr>
        <sz val="11"/>
        <rFont val="Calibri"/>
        <family val="2"/>
        <scheme val="minor"/>
      </rPr>
      <t>UPIOUT/409950113342/
Q429259031@ybl/Sent via /5814</t>
    </r>
  </si>
  <si>
    <r>
      <rPr>
        <sz val="11"/>
        <rFont val="Calibri"/>
        <family val="2"/>
        <scheme val="minor"/>
      </rPr>
      <t>UPIOUT/409909465458/
bharatpe.90068347282@ fbp/7230</t>
    </r>
  </si>
  <si>
    <r>
      <rPr>
        <sz val="11"/>
        <rFont val="Calibri"/>
        <family val="2"/>
        <scheme val="minor"/>
      </rPr>
      <t>UPI IN/410013514219/
aayush20gupta-3@okicici//0000</t>
    </r>
  </si>
  <si>
    <r>
      <rPr>
        <sz val="11"/>
        <rFont val="Calibri"/>
        <family val="2"/>
        <scheme val="minor"/>
      </rPr>
      <t>UPIOUT/410058801403/
Q403465439@ybl/Sent via /5812</t>
    </r>
  </si>
  <si>
    <r>
      <rPr>
        <sz val="11"/>
        <rFont val="Calibri"/>
        <family val="2"/>
        <scheme val="minor"/>
      </rPr>
      <t>UPI IN/410480092425/9594435259
@jupiteraxis/A/0000</t>
    </r>
  </si>
  <si>
    <r>
      <rPr>
        <sz val="11"/>
        <rFont val="Calibri"/>
        <family val="2"/>
        <scheme val="minor"/>
      </rPr>
      <t>NFT/ NEOSIEXEDDD2024041502302
824034 Mirae Asset Mut</t>
    </r>
  </si>
  <si>
    <r>
      <rPr>
        <sz val="11"/>
        <rFont val="Calibri"/>
        <family val="2"/>
        <scheme val="minor"/>
      </rPr>
      <t>FBBT24106459 4566</t>
    </r>
  </si>
  <si>
    <r>
      <rPr>
        <sz val="11"/>
        <rFont val="Calibri"/>
        <family val="2"/>
        <scheme val="minor"/>
      </rPr>
      <t>UPI IN/410798005765/9594435259
@jupiteraxis/A/0000</t>
    </r>
  </si>
  <si>
    <r>
      <rPr>
        <sz val="11"/>
        <rFont val="Calibri"/>
        <family val="2"/>
        <scheme val="minor"/>
      </rPr>
      <t>UPIOUT/410920147275/
paytmqr1gs01dt6zx@ paytm//5812</t>
    </r>
  </si>
  <si>
    <r>
      <rPr>
        <sz val="11"/>
        <rFont val="Calibri"/>
        <family val="2"/>
        <scheme val="minor"/>
      </rPr>
      <t>UPIOUT/411456275014/
aayush20gupta@oksbi/ Sent/0000</t>
    </r>
  </si>
  <si>
    <r>
      <rPr>
        <sz val="11"/>
        <rFont val="Calibri"/>
        <family val="2"/>
        <scheme val="minor"/>
      </rPr>
      <t>IFN/ INBINBFT20240517063209434
Jupiter Rewards</t>
    </r>
  </si>
  <si>
    <r>
      <rPr>
        <sz val="11"/>
        <rFont val="Calibri"/>
        <family val="2"/>
        <scheme val="minor"/>
      </rPr>
      <t>UPIOUT/413856144623/959443
5259@jupiteraxis/S/0000</t>
    </r>
  </si>
  <si>
    <r>
      <rPr>
        <sz val="11"/>
        <rFont val="Calibri"/>
        <family val="2"/>
        <scheme val="minor"/>
      </rPr>
      <t>IFN/arMpXLmvgPlEKLWZ Withdraw from Interest Pot</t>
    </r>
  </si>
  <si>
    <r>
      <rPr>
        <sz val="11"/>
        <rFont val="Calibri"/>
        <family val="2"/>
        <scheme val="minor"/>
      </rPr>
      <t>UPIOUT/413856342655/959443
5259@jupiteraxis/S/0000</t>
    </r>
  </si>
  <si>
    <r>
      <rPr>
        <sz val="11"/>
        <rFont val="Calibri"/>
        <family val="2"/>
        <scheme val="minor"/>
      </rPr>
      <t>NFT/NAVI REDEMPTION/
N138243045353376/HDFC</t>
    </r>
  </si>
  <si>
    <r>
      <rPr>
        <sz val="11"/>
        <rFont val="Calibri"/>
        <family val="2"/>
        <scheme val="minor"/>
      </rPr>
      <t>N138243045353 376</t>
    </r>
  </si>
  <si>
    <r>
      <rPr>
        <sz val="11"/>
        <rFont val="Calibri"/>
        <family val="2"/>
        <scheme val="minor"/>
      </rPr>
      <t>UPIOUT/413859249444/959443
5259@jupiteraxis/S/0000</t>
    </r>
  </si>
  <si>
    <r>
      <rPr>
        <sz val="11"/>
        <rFont val="Calibri"/>
        <family val="2"/>
        <scheme val="minor"/>
      </rPr>
      <t>SBINT:23-03-2024 to
20-05-2024[77770101840847]</t>
    </r>
  </si>
  <si>
    <r>
      <rPr>
        <sz val="11"/>
        <rFont val="Calibri"/>
        <family val="2"/>
        <scheme val="minor"/>
      </rPr>
      <t>SBIN T</t>
    </r>
  </si>
  <si>
    <r>
      <rPr>
        <sz val="11"/>
        <rFont val="Calibri"/>
        <family val="2"/>
        <scheme val="minor"/>
      </rPr>
      <t>Dr Operative A/c</t>
    </r>
  </si>
  <si>
    <r>
      <rPr>
        <sz val="6"/>
        <rFont val="Arial MT"/>
        <family val="2"/>
      </rPr>
      <t>DISCLAIMER: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computer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contains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particulars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account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have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been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updated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operations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CBS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system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Bank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previous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working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same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reflect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have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occurred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account,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any,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subsequent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thereto.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Federal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Bank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Ltd.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shall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liable/responsible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for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want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full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particulars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generation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statement.</t>
    </r>
  </si>
  <si>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computer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which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need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normally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signed.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Contents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considered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correct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error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reported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within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21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date.</t>
    </r>
  </si>
  <si>
    <r>
      <rPr>
        <sz val="6"/>
        <rFont val="Arial MT"/>
        <family val="2"/>
      </rPr>
      <t>****END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STATEMENT****</t>
    </r>
  </si>
  <si>
    <t>Expenses</t>
  </si>
  <si>
    <t>MF</t>
  </si>
  <si>
    <t>Zerodha</t>
  </si>
  <si>
    <t>Rent</t>
  </si>
  <si>
    <t>PPF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</si>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</sst>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name val="Arial MT"/>
      <family val="2"/>
    </font>
    <font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ABBE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2" borderId="11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 indent="1"/>
    </xf>
    <xf numFmtId="0" fontId="0" fillId="2" borderId="12" xfId="0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right" vertical="top" wrapText="1" indent="1"/>
    </xf>
    <xf numFmtId="0" fontId="2" fillId="2" borderId="11" xfId="0" applyFont="1" applyFill="1" applyBorder="1" applyAlignment="1">
      <alignment horizontal="left" vertical="top" wrapText="1" indent="1"/>
    </xf>
    <xf numFmtId="0" fontId="2" fillId="2" borderId="11" xfId="0" applyFont="1" applyFill="1" applyBorder="1" applyAlignment="1">
      <alignment horizontal="left" vertical="top" wrapText="1" indent="2"/>
    </xf>
    <xf numFmtId="164" fontId="4" fillId="0" borderId="7" xfId="0" applyNumberFormat="1" applyFont="1" applyBorder="1" applyAlignment="1">
      <alignment horizontal="center" vertical="top" shrinkToFit="1"/>
    </xf>
    <xf numFmtId="164" fontId="4" fillId="0" borderId="8" xfId="0" applyNumberFormat="1" applyFont="1" applyBorder="1" applyAlignment="1">
      <alignment horizontal="left" vertical="top" shrinkToFit="1"/>
    </xf>
    <xf numFmtId="0" fontId="3" fillId="0" borderId="8" xfId="0" applyFont="1" applyBorder="1" applyAlignment="1">
      <alignment horizontal="left" vertical="top" wrapText="1"/>
    </xf>
    <xf numFmtId="2" fontId="4" fillId="0" borderId="8" xfId="0" applyNumberFormat="1" applyFont="1" applyBorder="1" applyAlignment="1">
      <alignment horizontal="right" vertical="top" shrinkToFit="1"/>
    </xf>
    <xf numFmtId="0" fontId="3" fillId="0" borderId="9" xfId="0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left" vertical="top" shrinkToFit="1"/>
    </xf>
    <xf numFmtId="0" fontId="3" fillId="0" borderId="5" xfId="0" applyFont="1" applyBorder="1" applyAlignment="1">
      <alignment horizontal="left" vertical="top" wrapText="1"/>
    </xf>
    <xf numFmtId="2" fontId="4" fillId="0" borderId="5" xfId="0" applyNumberFormat="1" applyFont="1" applyBorder="1" applyAlignment="1">
      <alignment horizontal="right" vertical="top" shrinkToFit="1"/>
    </xf>
    <xf numFmtId="0" fontId="3" fillId="0" borderId="6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1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topLeftCell="A62" workbookViewId="0">
      <selection activeCell="F72" sqref="F72:G78"/>
    </sheetView>
  </sheetViews>
  <sheetFormatPr defaultRowHeight="14.4" x14ac:dyDescent="0.3"/>
  <cols>
    <col min="1" max="1" width="22.109375" style="1" bestFit="1" customWidth="1"/>
    <col min="2" max="2" width="30.109375" style="1" bestFit="1" customWidth="1"/>
    <col min="3" max="3" width="27" style="1" bestFit="1" customWidth="1"/>
    <col min="4" max="4" width="17.44140625" style="1" bestFit="1" customWidth="1"/>
    <col min="5" max="5" width="18.44140625" style="1" bestFit="1" customWidth="1"/>
    <col min="6" max="6" width="14.44140625" style="1" bestFit="1" customWidth="1"/>
    <col min="7" max="7" width="12.77734375" style="1" bestFit="1" customWidth="1"/>
    <col min="8" max="8" width="14.6640625" style="1" bestFit="1" customWidth="1"/>
    <col min="9" max="9" width="10.21875" style="1" bestFit="1" customWidth="1"/>
    <col min="10" max="10" width="6" style="1" bestFit="1" customWidth="1"/>
    <col min="11" max="16384" width="8.88671875" style="1"/>
  </cols>
  <sheetData>
    <row r="1" spans="1:5" x14ac:dyDescent="0.3">
      <c r="A1" s="1" t="s">
        <v>2</v>
      </c>
      <c r="B1" s="1" t="s">
        <v>3</v>
      </c>
      <c r="D1" s="1" t="s">
        <v>21</v>
      </c>
      <c r="E1" s="1" t="s">
        <v>22</v>
      </c>
    </row>
    <row r="2" spans="1:5" x14ac:dyDescent="0.3">
      <c r="A2" s="1" t="s">
        <v>4</v>
      </c>
      <c r="B2" s="1" t="s">
        <v>5</v>
      </c>
      <c r="D2" s="1" t="s">
        <v>23</v>
      </c>
      <c r="E2" s="1">
        <v>7777</v>
      </c>
    </row>
    <row r="3" spans="1:5" x14ac:dyDescent="0.3">
      <c r="B3" s="1" t="s">
        <v>0</v>
      </c>
      <c r="D3" s="1" t="s">
        <v>24</v>
      </c>
      <c r="E3" s="3">
        <v>77770101840847</v>
      </c>
    </row>
    <row r="4" spans="1:5" x14ac:dyDescent="0.3">
      <c r="B4" s="1" t="s">
        <v>1</v>
      </c>
      <c r="D4" s="1" t="s">
        <v>25</v>
      </c>
      <c r="E4" s="1">
        <v>135342130</v>
      </c>
    </row>
    <row r="5" spans="1:5" x14ac:dyDescent="0.3">
      <c r="A5" s="1" t="s">
        <v>6</v>
      </c>
      <c r="B5" s="1" t="s">
        <v>7</v>
      </c>
      <c r="D5" s="1" t="s">
        <v>26</v>
      </c>
      <c r="E5" s="1" t="s">
        <v>7</v>
      </c>
    </row>
    <row r="6" spans="1:5" x14ac:dyDescent="0.3">
      <c r="A6" s="1" t="s">
        <v>8</v>
      </c>
      <c r="B6" s="3">
        <v>919594435259</v>
      </c>
      <c r="C6" s="3"/>
      <c r="D6" s="1" t="s">
        <v>27</v>
      </c>
      <c r="E6" s="1" t="s">
        <v>28</v>
      </c>
    </row>
    <row r="7" spans="1:5" x14ac:dyDescent="0.3">
      <c r="A7" s="1" t="s">
        <v>9</v>
      </c>
      <c r="B7" s="1" t="s">
        <v>10</v>
      </c>
      <c r="D7" s="1" t="s">
        <v>29</v>
      </c>
      <c r="E7" s="1" t="s">
        <v>30</v>
      </c>
    </row>
    <row r="8" spans="1:5" x14ac:dyDescent="0.3">
      <c r="A8" s="1" t="s">
        <v>11</v>
      </c>
      <c r="B8" s="1" t="s">
        <v>12</v>
      </c>
      <c r="D8" s="1" t="s">
        <v>31</v>
      </c>
      <c r="E8" s="1" t="s">
        <v>32</v>
      </c>
    </row>
    <row r="9" spans="1:5" x14ac:dyDescent="0.3">
      <c r="A9" s="1" t="s">
        <v>13</v>
      </c>
      <c r="B9" s="1" t="s">
        <v>14</v>
      </c>
    </row>
    <row r="10" spans="1:5" x14ac:dyDescent="0.3">
      <c r="A10" s="1" t="s">
        <v>15</v>
      </c>
      <c r="B10" s="1" t="s">
        <v>16</v>
      </c>
    </row>
    <row r="11" spans="1:5" x14ac:dyDescent="0.3">
      <c r="A11" s="1" t="s">
        <v>17</v>
      </c>
      <c r="B11" s="1">
        <v>682049069</v>
      </c>
      <c r="D11" s="1" t="s">
        <v>33</v>
      </c>
      <c r="E11" s="1" t="s">
        <v>34</v>
      </c>
    </row>
    <row r="12" spans="1:5" x14ac:dyDescent="0.3">
      <c r="A12" s="1" t="s">
        <v>18</v>
      </c>
      <c r="B12" s="1" t="s">
        <v>19</v>
      </c>
      <c r="D12" s="1" t="s">
        <v>35</v>
      </c>
      <c r="E12" s="1" t="s">
        <v>36</v>
      </c>
    </row>
    <row r="13" spans="1:5" x14ac:dyDescent="0.3">
      <c r="A13" s="1" t="s">
        <v>44</v>
      </c>
      <c r="B13" s="1">
        <v>771.09</v>
      </c>
      <c r="D13" s="1" t="s">
        <v>37</v>
      </c>
      <c r="E13" s="1" t="s">
        <v>38</v>
      </c>
    </row>
    <row r="14" spans="1:5" x14ac:dyDescent="0.3">
      <c r="A14" s="1" t="s">
        <v>20</v>
      </c>
      <c r="B14" s="1">
        <v>0</v>
      </c>
    </row>
    <row r="17" spans="1:10" x14ac:dyDescent="0.3">
      <c r="A17" s="31" t="s">
        <v>39</v>
      </c>
      <c r="B17" s="31"/>
      <c r="C17" s="31"/>
      <c r="D17" s="31"/>
      <c r="E17" s="31"/>
      <c r="F17" s="31"/>
      <c r="G17" s="31"/>
      <c r="H17" s="31"/>
      <c r="I17" s="31"/>
      <c r="J17" s="31"/>
    </row>
    <row r="18" spans="1:10" s="4" customFormat="1" x14ac:dyDescent="0.3">
      <c r="A18" s="11" t="s">
        <v>46</v>
      </c>
      <c r="B18" s="5" t="s">
        <v>97</v>
      </c>
      <c r="C18" s="12" t="s">
        <v>40</v>
      </c>
      <c r="D18" s="5" t="s">
        <v>98</v>
      </c>
      <c r="E18" s="6" t="s">
        <v>99</v>
      </c>
      <c r="F18" s="5" t="s">
        <v>100</v>
      </c>
      <c r="G18" s="13" t="s">
        <v>41</v>
      </c>
      <c r="H18" s="14" t="s">
        <v>43</v>
      </c>
      <c r="I18" s="15" t="s">
        <v>42</v>
      </c>
      <c r="J18" s="7" t="s">
        <v>101</v>
      </c>
    </row>
    <row r="19" spans="1:10" s="4" customFormat="1" ht="43.2" x14ac:dyDescent="0.3">
      <c r="A19" s="16">
        <v>45384</v>
      </c>
      <c r="B19" s="17">
        <v>45384</v>
      </c>
      <c r="C19" s="8" t="s">
        <v>102</v>
      </c>
      <c r="D19" s="18" t="s">
        <v>47</v>
      </c>
      <c r="E19" s="18" t="s">
        <v>48</v>
      </c>
      <c r="F19" s="8"/>
      <c r="G19" s="19">
        <v>13</v>
      </c>
      <c r="H19" s="8"/>
      <c r="I19" s="19">
        <v>758.09</v>
      </c>
      <c r="J19" s="20" t="s">
        <v>49</v>
      </c>
    </row>
    <row r="20" spans="1:10" s="4" customFormat="1" ht="43.2" x14ac:dyDescent="0.3">
      <c r="A20" s="21">
        <v>45384</v>
      </c>
      <c r="B20" s="22">
        <v>45384</v>
      </c>
      <c r="C20" s="9" t="s">
        <v>103</v>
      </c>
      <c r="D20" s="23" t="s">
        <v>47</v>
      </c>
      <c r="E20" s="23" t="s">
        <v>50</v>
      </c>
      <c r="F20" s="9"/>
      <c r="G20" s="24">
        <v>99</v>
      </c>
      <c r="H20" s="9"/>
      <c r="I20" s="24">
        <v>659.09</v>
      </c>
      <c r="J20" s="25" t="s">
        <v>49</v>
      </c>
    </row>
    <row r="21" spans="1:10" s="4" customFormat="1" ht="43.2" x14ac:dyDescent="0.3">
      <c r="A21" s="21">
        <v>45384</v>
      </c>
      <c r="B21" s="22">
        <v>45384</v>
      </c>
      <c r="C21" s="9" t="s">
        <v>104</v>
      </c>
      <c r="D21" s="23" t="s">
        <v>47</v>
      </c>
      <c r="E21" s="23" t="s">
        <v>51</v>
      </c>
      <c r="F21" s="9"/>
      <c r="G21" s="24">
        <v>175</v>
      </c>
      <c r="H21" s="9"/>
      <c r="I21" s="24">
        <v>484.09</v>
      </c>
      <c r="J21" s="25" t="s">
        <v>49</v>
      </c>
    </row>
    <row r="22" spans="1:10" s="4" customFormat="1" ht="43.2" x14ac:dyDescent="0.3">
      <c r="A22" s="21">
        <v>45384</v>
      </c>
      <c r="B22" s="22">
        <v>45384</v>
      </c>
      <c r="C22" s="9" t="s">
        <v>105</v>
      </c>
      <c r="D22" s="23" t="s">
        <v>47</v>
      </c>
      <c r="E22" s="23" t="s">
        <v>52</v>
      </c>
      <c r="F22" s="9"/>
      <c r="G22" s="9"/>
      <c r="H22" s="24">
        <v>5000</v>
      </c>
      <c r="I22" s="24">
        <v>5484.09</v>
      </c>
      <c r="J22" s="25" t="s">
        <v>49</v>
      </c>
    </row>
    <row r="23" spans="1:10" s="4" customFormat="1" ht="43.2" x14ac:dyDescent="0.3">
      <c r="A23" s="21">
        <v>45384</v>
      </c>
      <c r="B23" s="22">
        <v>45384</v>
      </c>
      <c r="C23" s="9" t="s">
        <v>106</v>
      </c>
      <c r="D23" s="23" t="s">
        <v>47</v>
      </c>
      <c r="E23" s="23" t="s">
        <v>53</v>
      </c>
      <c r="F23" s="9"/>
      <c r="G23" s="24">
        <v>126</v>
      </c>
      <c r="H23" s="9"/>
      <c r="I23" s="24">
        <v>5358.09</v>
      </c>
      <c r="J23" s="25" t="s">
        <v>49</v>
      </c>
    </row>
    <row r="24" spans="1:10" s="4" customFormat="1" ht="43.2" x14ac:dyDescent="0.3">
      <c r="A24" s="21">
        <v>45384</v>
      </c>
      <c r="B24" s="22">
        <v>45384</v>
      </c>
      <c r="C24" s="9" t="s">
        <v>107</v>
      </c>
      <c r="D24" s="23" t="s">
        <v>47</v>
      </c>
      <c r="E24" s="23" t="s">
        <v>54</v>
      </c>
      <c r="F24" s="9"/>
      <c r="G24" s="24">
        <v>3366.53</v>
      </c>
      <c r="H24" s="9"/>
      <c r="I24" s="24">
        <v>1991.56</v>
      </c>
      <c r="J24" s="25" t="s">
        <v>49</v>
      </c>
    </row>
    <row r="25" spans="1:10" s="4" customFormat="1" ht="43.2" x14ac:dyDescent="0.3">
      <c r="A25" s="21">
        <v>45384</v>
      </c>
      <c r="B25" s="22">
        <v>45384</v>
      </c>
      <c r="C25" s="9" t="s">
        <v>108</v>
      </c>
      <c r="D25" s="23" t="s">
        <v>47</v>
      </c>
      <c r="E25" s="23" t="s">
        <v>55</v>
      </c>
      <c r="F25" s="9"/>
      <c r="G25" s="24">
        <v>62</v>
      </c>
      <c r="H25" s="9"/>
      <c r="I25" s="24">
        <v>1929.56</v>
      </c>
      <c r="J25" s="25" t="s">
        <v>49</v>
      </c>
    </row>
    <row r="26" spans="1:10" s="4" customFormat="1" ht="43.2" x14ac:dyDescent="0.3">
      <c r="A26" s="21">
        <v>45385</v>
      </c>
      <c r="B26" s="22">
        <v>45385</v>
      </c>
      <c r="C26" s="9" t="s">
        <v>109</v>
      </c>
      <c r="D26" s="23" t="s">
        <v>47</v>
      </c>
      <c r="E26" s="23" t="s">
        <v>56</v>
      </c>
      <c r="F26" s="9"/>
      <c r="G26" s="24">
        <v>20</v>
      </c>
      <c r="H26" s="9"/>
      <c r="I26" s="24">
        <v>1909.56</v>
      </c>
      <c r="J26" s="25" t="s">
        <v>49</v>
      </c>
    </row>
    <row r="27" spans="1:10" s="4" customFormat="1" ht="28.8" x14ac:dyDescent="0.3">
      <c r="A27" s="21">
        <v>45385</v>
      </c>
      <c r="B27" s="22">
        <v>45385</v>
      </c>
      <c r="C27" s="9" t="s">
        <v>110</v>
      </c>
      <c r="D27" s="23" t="s">
        <v>47</v>
      </c>
      <c r="E27" s="23" t="s">
        <v>57</v>
      </c>
      <c r="F27" s="9"/>
      <c r="G27" s="9"/>
      <c r="H27" s="24">
        <v>399</v>
      </c>
      <c r="I27" s="24">
        <v>2308.56</v>
      </c>
      <c r="J27" s="25" t="s">
        <v>49</v>
      </c>
    </row>
    <row r="28" spans="1:10" s="4" customFormat="1" ht="43.2" x14ac:dyDescent="0.3">
      <c r="A28" s="21">
        <v>45385</v>
      </c>
      <c r="B28" s="22">
        <v>45385</v>
      </c>
      <c r="C28" s="9" t="s">
        <v>111</v>
      </c>
      <c r="D28" s="23" t="s">
        <v>47</v>
      </c>
      <c r="E28" s="23" t="s">
        <v>58</v>
      </c>
      <c r="F28" s="9"/>
      <c r="G28" s="24">
        <v>25</v>
      </c>
      <c r="H28" s="9"/>
      <c r="I28" s="24">
        <v>2283.56</v>
      </c>
      <c r="J28" s="25" t="s">
        <v>49</v>
      </c>
    </row>
    <row r="29" spans="1:10" s="4" customFormat="1" ht="43.2" x14ac:dyDescent="0.3">
      <c r="A29" s="21">
        <v>45386</v>
      </c>
      <c r="B29" s="22">
        <v>45386</v>
      </c>
      <c r="C29" s="9" t="s">
        <v>112</v>
      </c>
      <c r="D29" s="23" t="s">
        <v>47</v>
      </c>
      <c r="E29" s="23" t="s">
        <v>59</v>
      </c>
      <c r="F29" s="9"/>
      <c r="G29" s="24">
        <v>50</v>
      </c>
      <c r="H29" s="9"/>
      <c r="I29" s="24">
        <v>2233.56</v>
      </c>
      <c r="J29" s="25" t="s">
        <v>49</v>
      </c>
    </row>
    <row r="30" spans="1:10" s="4" customFormat="1" ht="43.2" x14ac:dyDescent="0.3">
      <c r="A30" s="21">
        <v>45386</v>
      </c>
      <c r="B30" s="22">
        <v>45386</v>
      </c>
      <c r="C30" s="9" t="s">
        <v>113</v>
      </c>
      <c r="D30" s="23" t="s">
        <v>47</v>
      </c>
      <c r="E30" s="23" t="s">
        <v>60</v>
      </c>
      <c r="F30" s="9"/>
      <c r="G30" s="9"/>
      <c r="H30" s="24">
        <v>2000</v>
      </c>
      <c r="I30" s="24">
        <v>4233.5600000000004</v>
      </c>
      <c r="J30" s="25" t="s">
        <v>49</v>
      </c>
    </row>
    <row r="31" spans="1:10" s="4" customFormat="1" ht="43.2" x14ac:dyDescent="0.3">
      <c r="A31" s="21">
        <v>45386</v>
      </c>
      <c r="B31" s="22">
        <v>45386</v>
      </c>
      <c r="C31" s="9" t="s">
        <v>114</v>
      </c>
      <c r="D31" s="23" t="s">
        <v>47</v>
      </c>
      <c r="E31" s="23" t="s">
        <v>61</v>
      </c>
      <c r="F31" s="9"/>
      <c r="G31" s="24">
        <v>331</v>
      </c>
      <c r="H31" s="9"/>
      <c r="I31" s="24">
        <v>3902.56</v>
      </c>
      <c r="J31" s="25" t="s">
        <v>49</v>
      </c>
    </row>
    <row r="32" spans="1:10" s="4" customFormat="1" ht="43.2" x14ac:dyDescent="0.3">
      <c r="A32" s="21">
        <v>45386</v>
      </c>
      <c r="B32" s="22">
        <v>45386</v>
      </c>
      <c r="C32" s="9" t="s">
        <v>115</v>
      </c>
      <c r="D32" s="23" t="s">
        <v>47</v>
      </c>
      <c r="E32" s="23" t="s">
        <v>62</v>
      </c>
      <c r="F32" s="9"/>
      <c r="G32" s="24">
        <v>2290.4</v>
      </c>
      <c r="H32" s="9"/>
      <c r="I32" s="24">
        <v>1612.16</v>
      </c>
      <c r="J32" s="25" t="s">
        <v>49</v>
      </c>
    </row>
    <row r="33" spans="1:10" s="4" customFormat="1" ht="43.2" x14ac:dyDescent="0.3">
      <c r="A33" s="21">
        <v>45386</v>
      </c>
      <c r="B33" s="22">
        <v>45386</v>
      </c>
      <c r="C33" s="9" t="s">
        <v>116</v>
      </c>
      <c r="D33" s="23" t="s">
        <v>47</v>
      </c>
      <c r="E33" s="23" t="s">
        <v>63</v>
      </c>
      <c r="F33" s="9"/>
      <c r="G33" s="24">
        <v>172</v>
      </c>
      <c r="H33" s="9"/>
      <c r="I33" s="24">
        <v>1440.16</v>
      </c>
      <c r="J33" s="25" t="s">
        <v>49</v>
      </c>
    </row>
    <row r="34" spans="1:10" s="4" customFormat="1" ht="43.2" x14ac:dyDescent="0.3">
      <c r="A34" s="21">
        <v>45387</v>
      </c>
      <c r="B34" s="22">
        <v>45387</v>
      </c>
      <c r="C34" s="9" t="s">
        <v>117</v>
      </c>
      <c r="D34" s="23" t="s">
        <v>47</v>
      </c>
      <c r="E34" s="23" t="s">
        <v>64</v>
      </c>
      <c r="F34" s="9"/>
      <c r="G34" s="24">
        <v>40</v>
      </c>
      <c r="H34" s="9"/>
      <c r="I34" s="24">
        <v>1400.16</v>
      </c>
      <c r="J34" s="25" t="s">
        <v>49</v>
      </c>
    </row>
    <row r="35" spans="1:10" s="4" customFormat="1" ht="43.2" x14ac:dyDescent="0.3">
      <c r="A35" s="21">
        <v>45387</v>
      </c>
      <c r="B35" s="22">
        <v>45387</v>
      </c>
      <c r="C35" s="9" t="s">
        <v>118</v>
      </c>
      <c r="D35" s="23" t="s">
        <v>47</v>
      </c>
      <c r="E35" s="23" t="s">
        <v>65</v>
      </c>
      <c r="F35" s="9"/>
      <c r="G35" s="24">
        <v>149.87</v>
      </c>
      <c r="H35" s="9"/>
      <c r="I35" s="24">
        <v>1250.29</v>
      </c>
      <c r="J35" s="25" t="s">
        <v>49</v>
      </c>
    </row>
    <row r="36" spans="1:10" s="4" customFormat="1" ht="43.2" x14ac:dyDescent="0.3">
      <c r="A36" s="21">
        <v>45387</v>
      </c>
      <c r="B36" s="22">
        <v>45387</v>
      </c>
      <c r="C36" s="9" t="s">
        <v>119</v>
      </c>
      <c r="D36" s="23" t="s">
        <v>47</v>
      </c>
      <c r="E36" s="23" t="s">
        <v>66</v>
      </c>
      <c r="F36" s="9"/>
      <c r="G36" s="24">
        <v>21</v>
      </c>
      <c r="H36" s="9"/>
      <c r="I36" s="24">
        <v>1229.29</v>
      </c>
      <c r="J36" s="25" t="s">
        <v>49</v>
      </c>
    </row>
    <row r="37" spans="1:10" s="4" customFormat="1" ht="43.2" x14ac:dyDescent="0.3">
      <c r="A37" s="21">
        <v>45387</v>
      </c>
      <c r="B37" s="22">
        <v>45387</v>
      </c>
      <c r="C37" s="9" t="s">
        <v>120</v>
      </c>
      <c r="D37" s="23" t="s">
        <v>47</v>
      </c>
      <c r="E37" s="23" t="s">
        <v>67</v>
      </c>
      <c r="F37" s="9"/>
      <c r="G37" s="24">
        <v>74</v>
      </c>
      <c r="H37" s="9"/>
      <c r="I37" s="24">
        <v>1155.29</v>
      </c>
      <c r="J37" s="25" t="s">
        <v>49</v>
      </c>
    </row>
    <row r="38" spans="1:10" s="4" customFormat="1" ht="43.2" x14ac:dyDescent="0.3">
      <c r="A38" s="21">
        <v>45387</v>
      </c>
      <c r="B38" s="22">
        <v>45387</v>
      </c>
      <c r="C38" s="9" t="s">
        <v>121</v>
      </c>
      <c r="D38" s="23" t="s">
        <v>47</v>
      </c>
      <c r="E38" s="23" t="s">
        <v>68</v>
      </c>
      <c r="F38" s="9"/>
      <c r="G38" s="24">
        <v>50</v>
      </c>
      <c r="H38" s="9"/>
      <c r="I38" s="24">
        <v>1105.29</v>
      </c>
      <c r="J38" s="25" t="s">
        <v>49</v>
      </c>
    </row>
    <row r="39" spans="1:10" s="4" customFormat="1" ht="43.2" x14ac:dyDescent="0.3">
      <c r="A39" s="21">
        <v>45388</v>
      </c>
      <c r="B39" s="22">
        <v>45388</v>
      </c>
      <c r="C39" s="9" t="s">
        <v>122</v>
      </c>
      <c r="D39" s="23" t="s">
        <v>47</v>
      </c>
      <c r="E39" s="23" t="s">
        <v>69</v>
      </c>
      <c r="F39" s="9"/>
      <c r="G39" s="24">
        <v>106</v>
      </c>
      <c r="H39" s="9"/>
      <c r="I39" s="24">
        <v>999.29</v>
      </c>
      <c r="J39" s="25" t="s">
        <v>49</v>
      </c>
    </row>
    <row r="40" spans="1:10" s="4" customFormat="1" ht="43.2" x14ac:dyDescent="0.3">
      <c r="A40" s="21">
        <v>45388</v>
      </c>
      <c r="B40" s="22">
        <v>45388</v>
      </c>
      <c r="C40" s="9" t="s">
        <v>123</v>
      </c>
      <c r="D40" s="23" t="s">
        <v>47</v>
      </c>
      <c r="E40" s="23" t="s">
        <v>70</v>
      </c>
      <c r="F40" s="9"/>
      <c r="G40" s="24">
        <v>784.2</v>
      </c>
      <c r="H40" s="9"/>
      <c r="I40" s="24">
        <v>215.09</v>
      </c>
      <c r="J40" s="25" t="s">
        <v>49</v>
      </c>
    </row>
    <row r="41" spans="1:10" s="4" customFormat="1" ht="43.2" x14ac:dyDescent="0.3">
      <c r="A41" s="21">
        <v>45388</v>
      </c>
      <c r="B41" s="22">
        <v>45388</v>
      </c>
      <c r="C41" s="9" t="s">
        <v>124</v>
      </c>
      <c r="D41" s="23" t="s">
        <v>47</v>
      </c>
      <c r="E41" s="23" t="s">
        <v>71</v>
      </c>
      <c r="F41" s="9"/>
      <c r="G41" s="24">
        <v>114</v>
      </c>
      <c r="H41" s="9"/>
      <c r="I41" s="24">
        <v>101.09</v>
      </c>
      <c r="J41" s="25" t="s">
        <v>49</v>
      </c>
    </row>
    <row r="42" spans="1:10" s="4" customFormat="1" ht="43.2" x14ac:dyDescent="0.3">
      <c r="A42" s="21">
        <v>45389</v>
      </c>
      <c r="B42" s="22">
        <v>45389</v>
      </c>
      <c r="C42" s="9" t="s">
        <v>125</v>
      </c>
      <c r="D42" s="23" t="s">
        <v>47</v>
      </c>
      <c r="E42" s="23" t="s">
        <v>72</v>
      </c>
      <c r="F42" s="9"/>
      <c r="G42" s="24">
        <v>50</v>
      </c>
      <c r="H42" s="9"/>
      <c r="I42" s="24">
        <v>51.09</v>
      </c>
      <c r="J42" s="25" t="s">
        <v>49</v>
      </c>
    </row>
    <row r="43" spans="1:10" s="4" customFormat="1" ht="43.2" x14ac:dyDescent="0.3">
      <c r="A43" s="26">
        <v>45389</v>
      </c>
      <c r="B43" s="27">
        <v>45389</v>
      </c>
      <c r="C43" s="10" t="s">
        <v>126</v>
      </c>
      <c r="D43" s="28" t="s">
        <v>47</v>
      </c>
      <c r="E43" s="28" t="s">
        <v>73</v>
      </c>
      <c r="F43" s="10"/>
      <c r="G43" s="29">
        <v>20</v>
      </c>
      <c r="H43" s="10"/>
      <c r="I43" s="29">
        <v>31.09</v>
      </c>
      <c r="J43" s="30" t="s">
        <v>49</v>
      </c>
    </row>
    <row r="44" spans="1:10" s="4" customFormat="1" ht="28.8" x14ac:dyDescent="0.3">
      <c r="A44" s="21">
        <v>45389</v>
      </c>
      <c r="B44" s="22">
        <v>45389</v>
      </c>
      <c r="C44" s="9" t="s">
        <v>127</v>
      </c>
      <c r="D44" s="23" t="s">
        <v>47</v>
      </c>
      <c r="E44" s="23" t="s">
        <v>74</v>
      </c>
      <c r="F44" s="9"/>
      <c r="G44" s="9"/>
      <c r="H44" s="24">
        <v>1000</v>
      </c>
      <c r="I44" s="24">
        <v>1031.0899999999999</v>
      </c>
      <c r="J44" s="25" t="s">
        <v>49</v>
      </c>
    </row>
    <row r="45" spans="1:10" s="4" customFormat="1" ht="43.2" x14ac:dyDescent="0.3">
      <c r="A45" s="21">
        <v>45389</v>
      </c>
      <c r="B45" s="22">
        <v>45389</v>
      </c>
      <c r="C45" s="9" t="s">
        <v>128</v>
      </c>
      <c r="D45" s="23" t="s">
        <v>47</v>
      </c>
      <c r="E45" s="23" t="s">
        <v>75</v>
      </c>
      <c r="F45" s="9"/>
      <c r="G45" s="24">
        <v>80</v>
      </c>
      <c r="H45" s="9"/>
      <c r="I45" s="24">
        <v>951.09</v>
      </c>
      <c r="J45" s="25" t="s">
        <v>49</v>
      </c>
    </row>
    <row r="46" spans="1:10" s="4" customFormat="1" ht="43.2" x14ac:dyDescent="0.3">
      <c r="A46" s="21">
        <v>45389</v>
      </c>
      <c r="B46" s="22">
        <v>45389</v>
      </c>
      <c r="C46" s="9" t="s">
        <v>129</v>
      </c>
      <c r="D46" s="23" t="s">
        <v>47</v>
      </c>
      <c r="E46" s="23" t="s">
        <v>76</v>
      </c>
      <c r="F46" s="9"/>
      <c r="G46" s="24">
        <v>30</v>
      </c>
      <c r="H46" s="9"/>
      <c r="I46" s="24">
        <v>921.09</v>
      </c>
      <c r="J46" s="25" t="s">
        <v>49</v>
      </c>
    </row>
    <row r="47" spans="1:10" s="4" customFormat="1" ht="43.2" x14ac:dyDescent="0.3">
      <c r="A47" s="21">
        <v>45389</v>
      </c>
      <c r="B47" s="22">
        <v>45389</v>
      </c>
      <c r="C47" s="9" t="s">
        <v>130</v>
      </c>
      <c r="D47" s="23" t="s">
        <v>47</v>
      </c>
      <c r="E47" s="23" t="s">
        <v>77</v>
      </c>
      <c r="F47" s="9"/>
      <c r="G47" s="24">
        <v>440.9</v>
      </c>
      <c r="H47" s="9"/>
      <c r="I47" s="24">
        <v>480.19</v>
      </c>
      <c r="J47" s="25" t="s">
        <v>49</v>
      </c>
    </row>
    <row r="48" spans="1:10" s="4" customFormat="1" ht="43.2" x14ac:dyDescent="0.3">
      <c r="A48" s="21">
        <v>45389</v>
      </c>
      <c r="B48" s="22">
        <v>45389</v>
      </c>
      <c r="C48" s="9" t="s">
        <v>131</v>
      </c>
      <c r="D48" s="23" t="s">
        <v>47</v>
      </c>
      <c r="E48" s="23" t="s">
        <v>78</v>
      </c>
      <c r="F48" s="9"/>
      <c r="G48" s="24">
        <v>315</v>
      </c>
      <c r="H48" s="9"/>
      <c r="I48" s="24">
        <v>165.19</v>
      </c>
      <c r="J48" s="25" t="s">
        <v>49</v>
      </c>
    </row>
    <row r="49" spans="1:10" s="4" customFormat="1" ht="43.2" x14ac:dyDescent="0.3">
      <c r="A49" s="21">
        <v>45390</v>
      </c>
      <c r="B49" s="22">
        <v>45390</v>
      </c>
      <c r="C49" s="9" t="s">
        <v>132</v>
      </c>
      <c r="D49" s="23" t="s">
        <v>47</v>
      </c>
      <c r="E49" s="23" t="s">
        <v>79</v>
      </c>
      <c r="F49" s="9"/>
      <c r="G49" s="24">
        <v>50</v>
      </c>
      <c r="H49" s="9"/>
      <c r="I49" s="24">
        <v>115.19</v>
      </c>
      <c r="J49" s="25" t="s">
        <v>49</v>
      </c>
    </row>
    <row r="50" spans="1:10" s="4" customFormat="1" ht="43.2" x14ac:dyDescent="0.3">
      <c r="A50" s="21">
        <v>45390</v>
      </c>
      <c r="B50" s="22">
        <v>45390</v>
      </c>
      <c r="C50" s="9" t="s">
        <v>133</v>
      </c>
      <c r="D50" s="23" t="s">
        <v>47</v>
      </c>
      <c r="E50" s="23" t="s">
        <v>80</v>
      </c>
      <c r="F50" s="9"/>
      <c r="G50" s="24">
        <v>100</v>
      </c>
      <c r="H50" s="9"/>
      <c r="I50" s="24">
        <v>15.19</v>
      </c>
      <c r="J50" s="25" t="s">
        <v>49</v>
      </c>
    </row>
    <row r="51" spans="1:10" s="4" customFormat="1" ht="43.2" x14ac:dyDescent="0.3">
      <c r="A51" s="21">
        <v>45391</v>
      </c>
      <c r="B51" s="22">
        <v>45391</v>
      </c>
      <c r="C51" s="9" t="s">
        <v>134</v>
      </c>
      <c r="D51" s="23" t="s">
        <v>47</v>
      </c>
      <c r="E51" s="23" t="s">
        <v>81</v>
      </c>
      <c r="F51" s="9"/>
      <c r="G51" s="9"/>
      <c r="H51" s="24">
        <v>2000</v>
      </c>
      <c r="I51" s="24">
        <v>2015.19</v>
      </c>
      <c r="J51" s="25" t="s">
        <v>49</v>
      </c>
    </row>
    <row r="52" spans="1:10" s="4" customFormat="1" ht="43.2" x14ac:dyDescent="0.3">
      <c r="A52" s="21">
        <v>45391</v>
      </c>
      <c r="B52" s="22">
        <v>45391</v>
      </c>
      <c r="C52" s="9" t="s">
        <v>135</v>
      </c>
      <c r="D52" s="23" t="s">
        <v>47</v>
      </c>
      <c r="E52" s="23" t="s">
        <v>82</v>
      </c>
      <c r="F52" s="9"/>
      <c r="G52" s="24">
        <v>30</v>
      </c>
      <c r="H52" s="9"/>
      <c r="I52" s="24">
        <v>1985.19</v>
      </c>
      <c r="J52" s="25" t="s">
        <v>49</v>
      </c>
    </row>
    <row r="53" spans="1:10" s="4" customFormat="1" ht="43.2" x14ac:dyDescent="0.3">
      <c r="A53" s="21">
        <v>45395</v>
      </c>
      <c r="B53" s="22">
        <v>45395</v>
      </c>
      <c r="C53" s="9" t="s">
        <v>136</v>
      </c>
      <c r="D53" s="23" t="s">
        <v>47</v>
      </c>
      <c r="E53" s="23" t="s">
        <v>83</v>
      </c>
      <c r="F53" s="9"/>
      <c r="G53" s="9"/>
      <c r="H53" s="24">
        <v>15</v>
      </c>
      <c r="I53" s="24">
        <v>2000.19</v>
      </c>
      <c r="J53" s="25" t="s">
        <v>49</v>
      </c>
    </row>
    <row r="54" spans="1:10" s="4" customFormat="1" ht="43.2" x14ac:dyDescent="0.3">
      <c r="A54" s="21">
        <v>45397</v>
      </c>
      <c r="B54" s="22">
        <v>45397</v>
      </c>
      <c r="C54" s="9" t="s">
        <v>137</v>
      </c>
      <c r="D54" s="23" t="s">
        <v>84</v>
      </c>
      <c r="E54" s="23" t="s">
        <v>85</v>
      </c>
      <c r="F54" s="9" t="s">
        <v>138</v>
      </c>
      <c r="G54" s="24">
        <v>2000</v>
      </c>
      <c r="H54" s="9"/>
      <c r="I54" s="24">
        <v>0.19</v>
      </c>
      <c r="J54" s="25" t="s">
        <v>49</v>
      </c>
    </row>
    <row r="55" spans="1:10" s="4" customFormat="1" ht="43.2" x14ac:dyDescent="0.3">
      <c r="A55" s="21">
        <v>45398</v>
      </c>
      <c r="B55" s="22">
        <v>45398</v>
      </c>
      <c r="C55" s="9" t="s">
        <v>139</v>
      </c>
      <c r="D55" s="23" t="s">
        <v>47</v>
      </c>
      <c r="E55" s="23" t="s">
        <v>86</v>
      </c>
      <c r="F55" s="9"/>
      <c r="G55" s="9"/>
      <c r="H55" s="24">
        <v>2000</v>
      </c>
      <c r="I55" s="24">
        <v>2000.19</v>
      </c>
      <c r="J55" s="25" t="s">
        <v>49</v>
      </c>
    </row>
    <row r="56" spans="1:10" s="4" customFormat="1" ht="43.2" x14ac:dyDescent="0.3">
      <c r="A56" s="21">
        <v>45400</v>
      </c>
      <c r="B56" s="22">
        <v>45400</v>
      </c>
      <c r="C56" s="9" t="s">
        <v>140</v>
      </c>
      <c r="D56" s="23" t="s">
        <v>47</v>
      </c>
      <c r="E56" s="23" t="s">
        <v>87</v>
      </c>
      <c r="F56" s="9"/>
      <c r="G56" s="24">
        <v>50</v>
      </c>
      <c r="H56" s="9"/>
      <c r="I56" s="24">
        <v>1950.19</v>
      </c>
      <c r="J56" s="25" t="s">
        <v>49</v>
      </c>
    </row>
    <row r="57" spans="1:10" s="4" customFormat="1" ht="43.2" x14ac:dyDescent="0.3">
      <c r="A57" s="21">
        <v>45405</v>
      </c>
      <c r="B57" s="22">
        <v>45405</v>
      </c>
      <c r="C57" s="9" t="s">
        <v>141</v>
      </c>
      <c r="D57" s="23" t="s">
        <v>47</v>
      </c>
      <c r="E57" s="23" t="s">
        <v>88</v>
      </c>
      <c r="F57" s="9"/>
      <c r="G57" s="24">
        <v>1950.19</v>
      </c>
      <c r="H57" s="9"/>
      <c r="I57" s="24">
        <v>0</v>
      </c>
      <c r="J57" s="25" t="s">
        <v>49</v>
      </c>
    </row>
    <row r="58" spans="1:10" s="4" customFormat="1" ht="43.2" x14ac:dyDescent="0.3">
      <c r="A58" s="21">
        <v>45429</v>
      </c>
      <c r="B58" s="22">
        <v>45429</v>
      </c>
      <c r="C58" s="9" t="s">
        <v>142</v>
      </c>
      <c r="D58" s="23" t="s">
        <v>47</v>
      </c>
      <c r="E58" s="23" t="s">
        <v>89</v>
      </c>
      <c r="F58" s="9"/>
      <c r="G58" s="9"/>
      <c r="H58" s="24">
        <v>180</v>
      </c>
      <c r="I58" s="24">
        <v>180</v>
      </c>
      <c r="J58" s="25" t="s">
        <v>49</v>
      </c>
    </row>
    <row r="59" spans="1:10" s="4" customFormat="1" ht="43.2" x14ac:dyDescent="0.3">
      <c r="A59" s="21">
        <v>45429</v>
      </c>
      <c r="B59" s="22">
        <v>45429</v>
      </c>
      <c r="C59" s="9" t="s">
        <v>143</v>
      </c>
      <c r="D59" s="23" t="s">
        <v>47</v>
      </c>
      <c r="E59" s="23" t="s">
        <v>90</v>
      </c>
      <c r="F59" s="9"/>
      <c r="G59" s="24">
        <v>180</v>
      </c>
      <c r="H59" s="9"/>
      <c r="I59" s="24">
        <v>0</v>
      </c>
      <c r="J59" s="25" t="s">
        <v>49</v>
      </c>
    </row>
    <row r="60" spans="1:10" s="4" customFormat="1" ht="28.8" x14ac:dyDescent="0.3">
      <c r="A60" s="21">
        <v>45429</v>
      </c>
      <c r="B60" s="22">
        <v>45429</v>
      </c>
      <c r="C60" s="9" t="s">
        <v>144</v>
      </c>
      <c r="D60" s="23" t="s">
        <v>47</v>
      </c>
      <c r="E60" s="23" t="s">
        <v>91</v>
      </c>
      <c r="F60" s="9"/>
      <c r="G60" s="9"/>
      <c r="H60" s="24">
        <v>1</v>
      </c>
      <c r="I60" s="24">
        <v>1</v>
      </c>
      <c r="J60" s="25" t="s">
        <v>49</v>
      </c>
    </row>
    <row r="61" spans="1:10" s="4" customFormat="1" ht="43.2" x14ac:dyDescent="0.3">
      <c r="A61" s="21">
        <v>45429</v>
      </c>
      <c r="B61" s="22">
        <v>45429</v>
      </c>
      <c r="C61" s="9" t="s">
        <v>145</v>
      </c>
      <c r="D61" s="23" t="s">
        <v>47</v>
      </c>
      <c r="E61" s="23" t="s">
        <v>92</v>
      </c>
      <c r="F61" s="9"/>
      <c r="G61" s="24">
        <v>1</v>
      </c>
      <c r="H61" s="9"/>
      <c r="I61" s="24">
        <v>0</v>
      </c>
      <c r="J61" s="25" t="s">
        <v>49</v>
      </c>
    </row>
    <row r="62" spans="1:10" s="4" customFormat="1" ht="28.8" x14ac:dyDescent="0.3">
      <c r="A62" s="21">
        <v>45429</v>
      </c>
      <c r="B62" s="22">
        <v>45429</v>
      </c>
      <c r="C62" s="9" t="s">
        <v>146</v>
      </c>
      <c r="D62" s="23" t="s">
        <v>84</v>
      </c>
      <c r="E62" s="23" t="s">
        <v>93</v>
      </c>
      <c r="F62" s="9" t="s">
        <v>147</v>
      </c>
      <c r="G62" s="9"/>
      <c r="H62" s="24">
        <v>1000</v>
      </c>
      <c r="I62" s="24">
        <v>1000</v>
      </c>
      <c r="J62" s="25" t="s">
        <v>49</v>
      </c>
    </row>
    <row r="63" spans="1:10" s="4" customFormat="1" ht="43.2" x14ac:dyDescent="0.3">
      <c r="A63" s="21">
        <v>45429</v>
      </c>
      <c r="B63" s="22">
        <v>45429</v>
      </c>
      <c r="C63" s="9" t="s">
        <v>148</v>
      </c>
      <c r="D63" s="23" t="s">
        <v>47</v>
      </c>
      <c r="E63" s="23" t="s">
        <v>94</v>
      </c>
      <c r="F63" s="9"/>
      <c r="G63" s="24">
        <v>1000</v>
      </c>
      <c r="H63" s="9"/>
      <c r="I63" s="24">
        <v>0</v>
      </c>
      <c r="J63" s="25" t="s">
        <v>49</v>
      </c>
    </row>
    <row r="64" spans="1:10" s="4" customFormat="1" ht="28.8" x14ac:dyDescent="0.3">
      <c r="A64" s="21">
        <v>45433</v>
      </c>
      <c r="B64" s="22">
        <v>45433</v>
      </c>
      <c r="C64" s="9" t="s">
        <v>149</v>
      </c>
      <c r="D64" s="9" t="s">
        <v>150</v>
      </c>
      <c r="E64" s="23" t="s">
        <v>95</v>
      </c>
      <c r="F64" s="9"/>
      <c r="G64" s="9"/>
      <c r="H64" s="24">
        <v>4</v>
      </c>
      <c r="I64" s="24">
        <v>4</v>
      </c>
      <c r="J64" s="25" t="s">
        <v>49</v>
      </c>
    </row>
    <row r="65" spans="1:10" s="4" customFormat="1" x14ac:dyDescent="0.3">
      <c r="A65" s="21">
        <v>45433</v>
      </c>
      <c r="B65" s="22">
        <v>45433</v>
      </c>
      <c r="C65" s="9" t="s">
        <v>151</v>
      </c>
      <c r="D65" s="23" t="s">
        <v>47</v>
      </c>
      <c r="E65" s="23" t="s">
        <v>96</v>
      </c>
      <c r="F65" s="9"/>
      <c r="G65" s="24">
        <v>4</v>
      </c>
      <c r="H65" s="9"/>
      <c r="I65" s="24">
        <v>0</v>
      </c>
      <c r="J65" s="25" t="s">
        <v>49</v>
      </c>
    </row>
    <row r="66" spans="1:10" x14ac:dyDescent="0.3">
      <c r="H66" s="1" t="s">
        <v>45</v>
      </c>
      <c r="I66" s="1">
        <v>0</v>
      </c>
    </row>
    <row r="69" spans="1:10" x14ac:dyDescent="0.3">
      <c r="A69" s="32" t="s">
        <v>152</v>
      </c>
      <c r="B69" s="32"/>
      <c r="C69" s="32"/>
      <c r="D69" s="32"/>
      <c r="E69" s="32"/>
    </row>
    <row r="70" spans="1:10" x14ac:dyDescent="0.3">
      <c r="A70" s="32" t="s">
        <v>153</v>
      </c>
      <c r="B70" s="32"/>
      <c r="C70" s="32"/>
      <c r="D70" s="32"/>
      <c r="E70" s="32"/>
    </row>
    <row r="71" spans="1:10" x14ac:dyDescent="0.3">
      <c r="A71" s="33" t="s">
        <v>154</v>
      </c>
      <c r="B71" s="33"/>
      <c r="C71" s="33"/>
      <c r="D71" s="33"/>
      <c r="E71" s="33"/>
    </row>
    <row r="72" spans="1:10" x14ac:dyDescent="0.3">
      <c r="F72" s="34"/>
      <c r="H72" s="34">
        <v>45383</v>
      </c>
    </row>
    <row r="73" spans="1:10" x14ac:dyDescent="0.3">
      <c r="H73" t="s">
        <v>157</v>
      </c>
      <c r="I73" s="1">
        <v>0</v>
      </c>
    </row>
    <row r="74" spans="1:10" x14ac:dyDescent="0.3">
      <c r="H74" t="s">
        <v>156</v>
      </c>
      <c r="I74" s="2">
        <f>G54</f>
        <v>2000</v>
      </c>
    </row>
    <row r="75" spans="1:10" x14ac:dyDescent="0.3">
      <c r="H75" t="s">
        <v>155</v>
      </c>
      <c r="I75" s="2">
        <f>SUM(G19:G53,G55:G57)-SUM(H22,H27,H30,H44,H51,H53,H55)</f>
        <v>-1228.9099999999999</v>
      </c>
    </row>
    <row r="76" spans="1:10" x14ac:dyDescent="0.3">
      <c r="F76" s="34"/>
      <c r="H76" t="s">
        <v>158</v>
      </c>
      <c r="I76" s="1">
        <v>0</v>
      </c>
    </row>
    <row r="77" spans="1:10" x14ac:dyDescent="0.3">
      <c r="G77" s="2"/>
      <c r="H77" t="s">
        <v>159</v>
      </c>
      <c r="I77" s="1">
        <v>0</v>
      </c>
    </row>
    <row r="78" spans="1:10" x14ac:dyDescent="0.3">
      <c r="H78" t="s">
        <v>160</v>
      </c>
      <c r="I78" s="1">
        <v>0</v>
      </c>
    </row>
    <row r="79" spans="1:10" x14ac:dyDescent="0.3">
      <c r="H79" s="34">
        <v>45413</v>
      </c>
    </row>
    <row r="80" spans="1:10" x14ac:dyDescent="0.3">
      <c r="F80" s="2"/>
      <c r="G80" s="2"/>
      <c r="H80" t="s">
        <v>157</v>
      </c>
      <c r="I80" s="1">
        <v>0</v>
      </c>
    </row>
    <row r="81" spans="8:9" x14ac:dyDescent="0.3">
      <c r="H81" t="s">
        <v>156</v>
      </c>
      <c r="I81" s="1">
        <v>0</v>
      </c>
    </row>
    <row r="82" spans="8:9" x14ac:dyDescent="0.3">
      <c r="H82" t="s">
        <v>155</v>
      </c>
      <c r="I82" s="1">
        <v>0</v>
      </c>
    </row>
    <row r="83" spans="8:9" x14ac:dyDescent="0.3">
      <c r="H83" t="s">
        <v>158</v>
      </c>
      <c r="I83" s="1">
        <v>0</v>
      </c>
    </row>
    <row r="84" spans="8:9" x14ac:dyDescent="0.3">
      <c r="H84" t="s">
        <v>159</v>
      </c>
      <c r="I84" s="1">
        <v>0</v>
      </c>
    </row>
    <row r="85" spans="8:9" x14ac:dyDescent="0.3">
      <c r="H85" t="s">
        <v>160</v>
      </c>
      <c r="I85" s="1">
        <v>0</v>
      </c>
    </row>
  </sheetData>
  <mergeCells count="4">
    <mergeCell ref="A17:J17"/>
    <mergeCell ref="A69:E69"/>
    <mergeCell ref="A70:E70"/>
    <mergeCell ref="A71:E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Aayush Gupta (P2022PTLP0002)</cp:lastModifiedBy>
  <dcterms:created xsi:type="dcterms:W3CDTF">2015-06-05T18:17:20Z</dcterms:created>
  <dcterms:modified xsi:type="dcterms:W3CDTF">2024-07-13T16:39:09Z</dcterms:modified>
</cp:coreProperties>
</file>