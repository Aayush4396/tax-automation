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IS" sheetId="1" state="visible" r:id="rId1"/>
    <sheet name="HDFC" sheetId="2" state="visible" r:id="rId2"/>
    <sheet name="SBI" sheetId="3" state="visible" r:id="rId3"/>
    <sheet name="For Tally" sheetId="4" state="visible" r:id="rId4"/>
    <sheet name="Conso" sheetId="5" state="visible" r:id="rId5"/>
    <sheet name="Bank Summary" sheetId="6" state="visible" r:id="rId6"/>
    <sheet name="Monthly Pivot" sheetId="7" state="visible" r:id="rId7"/>
    <sheet name="Colour Legend" sheetId="8" state="visible" r:id="rId8"/>
  </sheets>
  <definedNames>
    <definedName name="_xlnm._FilterDatabase" localSheetId="0" hidden="1">'AXIS'!$A$10:$M$107</definedName>
    <definedName name="_xlnm._FilterDatabase" localSheetId="1" hidden="1">'HDFC'!$A$9:$M$824</definedName>
    <definedName name="_xlnm._FilterDatabase" localSheetId="2" hidden="1">'SBI'!$A$5:$M$18</definedName>
    <definedName name="_xlnm._FilterDatabase" localSheetId="3" hidden="1">'For Tally'!$A$13:$M$938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15">
    <font>
      <name val="Calibri"/>
      <family val="2"/>
      <color theme="1"/>
      <sz val="11"/>
      <scheme val="minor"/>
    </font>
    <font>
      <b val="1"/>
      <color rgb="001A1A2E"/>
      <sz val="12"/>
    </font>
    <font>
      <b val="1"/>
      <color rgb="001F3A60"/>
      <sz val="10"/>
    </font>
    <font>
      <b val="1"/>
      <sz val="9"/>
    </font>
    <font>
      <b val="1"/>
      <color rgb="00FFFFFF"/>
      <sz val="10"/>
    </font>
    <font>
      <b val="1"/>
      <color rgb="008B0000"/>
    </font>
    <font>
      <b val="1"/>
      <sz val="12"/>
    </font>
    <font>
      <b val="1"/>
    </font>
    <font>
      <b val="1"/>
      <sz val="14"/>
    </font>
    <font>
      <b val="1"/>
      <color rgb="00FFFFFF"/>
    </font>
    <font>
      <b val="1"/>
      <sz val="11"/>
    </font>
    <font>
      <b val="1"/>
      <color rgb="001B4F72"/>
    </font>
    <font>
      <b val="1"/>
      <color rgb="001A1A2E"/>
      <sz val="14"/>
    </font>
    <font>
      <b val="1"/>
      <color rgb="001F3A60"/>
      <sz val="11"/>
    </font>
    <font>
      <color rgb="00000000"/>
      <sz val="9"/>
    </font>
  </fonts>
  <fills count="58">
    <fill>
      <patternFill/>
    </fill>
    <fill>
      <patternFill patternType="gray125"/>
    </fill>
    <fill>
      <patternFill patternType="solid">
        <fgColor rgb="00D5F5CC"/>
      </patternFill>
    </fill>
    <fill>
      <patternFill patternType="solid">
        <fgColor rgb="00EDE9F6"/>
      </patternFill>
    </fill>
    <fill>
      <patternFill patternType="solid">
        <fgColor rgb="00D0ECF8"/>
      </patternFill>
    </fill>
    <fill>
      <patternFill patternType="solid">
        <fgColor rgb="00FFF0B3"/>
      </patternFill>
    </fill>
    <fill>
      <patternFill patternType="solid">
        <fgColor rgb="00E8F0D5"/>
      </patternFill>
    </fill>
    <fill>
      <patternFill patternType="solid">
        <fgColor rgb="00D5E8F5"/>
      </patternFill>
    </fill>
    <fill>
      <patternFill patternType="solid">
        <fgColor rgb="00F8D7DA"/>
      </patternFill>
    </fill>
    <fill>
      <patternFill patternType="solid">
        <fgColor rgb="00C8F5C8"/>
      </patternFill>
    </fill>
    <fill>
      <patternFill patternType="solid">
        <fgColor rgb="00C4EBF0"/>
      </patternFill>
    </fill>
    <fill>
      <patternFill patternType="solid">
        <fgColor rgb="00CCFFE0"/>
      </patternFill>
    </fill>
    <fill>
      <patternFill patternType="solid">
        <fgColor rgb="00D6F5D6"/>
      </patternFill>
    </fill>
    <fill>
      <patternFill patternType="solid">
        <fgColor rgb="00CCF5FF"/>
      </patternFill>
    </fill>
    <fill>
      <patternFill patternType="solid">
        <fgColor rgb="00CCECFF"/>
      </patternFill>
    </fill>
    <fill>
      <patternFill patternType="solid">
        <fgColor rgb="00D0F5E8"/>
      </patternFill>
    </fill>
    <fill>
      <patternFill patternType="solid">
        <fgColor rgb="00FFCCF5"/>
      </patternFill>
    </fill>
    <fill>
      <patternFill patternType="solid">
        <fgColor rgb="00F5EDD5"/>
      </patternFill>
    </fill>
    <fill>
      <patternFill patternType="solid">
        <fgColor rgb="00F5E6CC"/>
      </patternFill>
    </fill>
    <fill>
      <patternFill patternType="solid">
        <fgColor rgb="00FDDCB5"/>
      </patternFill>
    </fill>
    <fill>
      <patternFill patternType="solid">
        <fgColor rgb="001A1A2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8CC"/>
      </patternFill>
    </fill>
    <fill>
      <patternFill patternType="solid">
        <fgColor rgb="00D4EDDA"/>
      </patternFill>
    </fill>
    <fill>
      <patternFill patternType="solid">
        <fgColor rgb="00E0E0E0"/>
      </patternFill>
    </fill>
    <fill>
      <patternFill patternType="solid">
        <fgColor rgb="00F5D5E8"/>
      </patternFill>
    </fill>
    <fill>
      <patternFill patternType="solid">
        <fgColor rgb="00D5F5E5"/>
      </patternFill>
    </fill>
    <fill>
      <patternFill patternType="solid">
        <fgColor rgb="00CCE5FF"/>
      </patternFill>
    </fill>
    <fill>
      <patternFill patternType="solid">
        <fgColor rgb="00C8DCF5"/>
      </patternFill>
    </fill>
    <fill>
      <patternFill patternType="solid">
        <fgColor rgb="00B8F0C4"/>
      </patternFill>
    </fill>
    <fill>
      <patternFill patternType="solid">
        <fgColor rgb="00F0D5F5"/>
      </patternFill>
    </fill>
    <fill>
      <patternFill patternType="solid">
        <fgColor rgb="00FFFFFF"/>
      </patternFill>
    </fill>
    <fill>
      <patternFill patternType="solid">
        <fgColor rgb="00FFE4C4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FFF3CD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1A5276"/>
      </patternFill>
    </fill>
    <fill>
      <patternFill patternType="solid">
        <fgColor rgb="00E8D5F5"/>
      </patternFill>
    </fill>
    <fill>
      <patternFill patternType="solid">
        <fgColor rgb="00D0F5C8"/>
      </patternFill>
    </fill>
    <fill>
      <patternFill patternType="solid">
        <fgColor rgb="00E8F5CC"/>
      </patternFill>
    </fill>
    <fill>
      <patternFill patternType="solid">
        <fgColor rgb="00FFF5EE"/>
      </patternFill>
    </fill>
    <fill>
      <patternFill patternType="solid">
        <fgColor rgb="00F5C6CB"/>
      </patternFill>
    </fill>
    <fill>
      <patternFill patternType="solid">
        <fgColor rgb="00D5F0E8"/>
      </patternFill>
    </fill>
    <fill>
      <patternFill patternType="solid">
        <fgColor rgb="00F0D9C8"/>
      </patternFill>
    </fill>
    <fill>
      <patternFill patternType="solid">
        <fgColor rgb="00FFE0B2"/>
      </patternFill>
    </fill>
    <fill>
      <patternFill patternType="solid">
        <fgColor rgb="00FFD5CC"/>
      </patternFill>
    </fill>
    <fill>
      <patternFill patternType="solid">
        <fgColor rgb="00FFE5CC"/>
      </patternFill>
    </fill>
    <fill>
      <patternFill patternType="solid">
        <fgColor rgb="00CCF0FF"/>
      </patternFill>
    </fill>
    <fill>
      <patternFill patternType="solid">
        <fgColor rgb="00FFCCCC"/>
      </patternFill>
    </fill>
    <fill>
      <patternFill patternType="solid">
        <fgColor rgb="00E8CCFF"/>
      </patternFill>
    </fill>
    <fill>
      <patternFill patternType="solid">
        <fgColor rgb="00D5FFE8"/>
      </patternFill>
    </fill>
    <fill>
      <patternFill patternType="solid">
        <fgColor rgb="00FFE5B4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9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 wrapText="1"/>
    </xf>
    <xf numFmtId="164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5" fillId="21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22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23" borderId="1" applyAlignment="1" pivotButton="0" quotePrefix="0" xfId="0">
      <alignment vertical="center"/>
    </xf>
    <xf numFmtId="164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23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4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64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164" fontId="0" fillId="11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164" fontId="5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1" borderId="1" applyAlignment="1" pivotButton="0" quotePrefix="0" xfId="0">
      <alignment vertical="center"/>
    </xf>
    <xf numFmtId="164" fontId="0" fillId="13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164" fontId="0" fillId="14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164" fontId="5" fillId="15" borderId="1" applyAlignment="1" pivotButton="0" quotePrefix="0" xfId="0">
      <alignment vertical="center"/>
    </xf>
    <xf numFmtId="0" fontId="5" fillId="15" borderId="1" applyAlignment="1" pivotButton="0" quotePrefix="0" xfId="0">
      <alignment vertical="center"/>
    </xf>
    <xf numFmtId="164" fontId="0" fillId="16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164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17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164" fontId="5" fillId="17" borderId="1" applyAlignment="1" pivotButton="0" quotePrefix="0" xfId="0">
      <alignment vertical="center"/>
    </xf>
    <xf numFmtId="0" fontId="5" fillId="17" borderId="1" applyAlignment="1" pivotButton="0" quotePrefix="0" xfId="0">
      <alignment vertical="center"/>
    </xf>
    <xf numFmtId="164" fontId="5" fillId="18" borderId="1" applyAlignment="1" pivotButton="0" quotePrefix="0" xfId="0">
      <alignment vertical="center"/>
    </xf>
    <xf numFmtId="0" fontId="5" fillId="18" borderId="1" applyAlignment="1" pivotButton="0" quotePrefix="0" xfId="0">
      <alignment vertical="center"/>
    </xf>
    <xf numFmtId="164" fontId="5" fillId="19" borderId="1" applyAlignment="1" pivotButton="0" quotePrefix="0" xfId="0">
      <alignment vertical="center"/>
    </xf>
    <xf numFmtId="0" fontId="5" fillId="19" borderId="1" applyAlignment="1" pivotButton="0" quotePrefix="0" xfId="0">
      <alignment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164" fontId="0" fillId="24" borderId="1" applyAlignment="1" pivotButton="0" quotePrefix="0" xfId="0">
      <alignment vertical="center"/>
    </xf>
    <xf numFmtId="0" fontId="0" fillId="24" borderId="1" applyAlignment="1" pivotButton="0" quotePrefix="0" xfId="0">
      <alignment vertical="center"/>
    </xf>
    <xf numFmtId="164" fontId="0" fillId="25" borderId="1" applyAlignment="1" pivotButton="0" quotePrefix="0" xfId="0">
      <alignment vertical="center"/>
    </xf>
    <xf numFmtId="0" fontId="0" fillId="25" borderId="1" applyAlignment="1" pivotButton="0" quotePrefix="0" xfId="0">
      <alignment vertical="center"/>
    </xf>
    <xf numFmtId="164" fontId="5" fillId="26" borderId="1" applyAlignment="1" pivotButton="0" quotePrefix="0" xfId="0">
      <alignment vertical="center"/>
    </xf>
    <xf numFmtId="0" fontId="5" fillId="26" borderId="1" applyAlignment="1" pivotButton="0" quotePrefix="0" xfId="0">
      <alignment vertical="center"/>
    </xf>
    <xf numFmtId="164" fontId="0" fillId="27" borderId="1" applyAlignment="1" pivotButton="0" quotePrefix="0" xfId="0">
      <alignment vertical="center"/>
    </xf>
    <xf numFmtId="0" fontId="0" fillId="27" borderId="1" applyAlignment="1" pivotButton="0" quotePrefix="0" xfId="0">
      <alignment vertical="center"/>
    </xf>
    <xf numFmtId="164" fontId="5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164" fontId="0" fillId="28" borderId="1" applyAlignment="1" pivotButton="0" quotePrefix="0" xfId="0">
      <alignment vertical="center"/>
    </xf>
    <xf numFmtId="0" fontId="0" fillId="28" borderId="1" applyAlignment="1" pivotButton="0" quotePrefix="0" xfId="0">
      <alignment vertical="center"/>
    </xf>
    <xf numFmtId="164" fontId="0" fillId="29" borderId="1" applyAlignment="1" pivotButton="0" quotePrefix="0" xfId="0">
      <alignment vertical="center"/>
    </xf>
    <xf numFmtId="0" fontId="0" fillId="29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164" fontId="0" fillId="30" borderId="1" applyAlignment="1" pivotButton="0" quotePrefix="0" xfId="0">
      <alignment vertical="center"/>
    </xf>
    <xf numFmtId="0" fontId="0" fillId="30" borderId="1" applyAlignment="1" pivotButton="0" quotePrefix="0" xfId="0">
      <alignment vertical="center"/>
    </xf>
    <xf numFmtId="164" fontId="0" fillId="31" borderId="1" applyAlignment="1" pivotButton="0" quotePrefix="0" xfId="0">
      <alignment vertical="center"/>
    </xf>
    <xf numFmtId="0" fontId="0" fillId="31" borderId="1" applyAlignment="1" pivotButton="0" quotePrefix="0" xfId="0">
      <alignment vertical="center"/>
    </xf>
    <xf numFmtId="164" fontId="5" fillId="32" borderId="1" applyAlignment="1" pivotButton="0" quotePrefix="0" xfId="0">
      <alignment vertical="center"/>
    </xf>
    <xf numFmtId="0" fontId="5" fillId="32" borderId="1" applyAlignment="1" pivotButton="0" quotePrefix="0" xfId="0">
      <alignment vertical="center"/>
    </xf>
    <xf numFmtId="164" fontId="5" fillId="33" borderId="1" applyAlignment="1" pivotButton="0" quotePrefix="0" xfId="0">
      <alignment vertical="center"/>
    </xf>
    <xf numFmtId="0" fontId="5" fillId="33" borderId="1" applyAlignment="1" pivotButton="0" quotePrefix="0" xfId="0">
      <alignment vertical="center"/>
    </xf>
    <xf numFmtId="164" fontId="0" fillId="15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0" fontId="3" fillId="34" borderId="1" applyAlignment="1" pivotButton="0" quotePrefix="0" xfId="0">
      <alignment horizontal="center" vertical="center"/>
    </xf>
    <xf numFmtId="164" fontId="5" fillId="34" borderId="1" applyAlignment="1" pivotButton="0" quotePrefix="0" xfId="0">
      <alignment vertical="center"/>
    </xf>
    <xf numFmtId="0" fontId="5" fillId="34" borderId="1" applyAlignment="1" pivotButton="0" quotePrefix="0" xfId="0">
      <alignment vertical="center"/>
    </xf>
    <xf numFmtId="164" fontId="0" fillId="19" borderId="1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164" fontId="0" fillId="26" borderId="1" applyAlignment="1" pivotButton="0" quotePrefix="0" xfId="0">
      <alignment vertical="center"/>
    </xf>
    <xf numFmtId="0" fontId="0" fillId="2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12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164" fontId="0" fillId="34" borderId="1" applyAlignment="1" pivotButton="0" quotePrefix="0" xfId="0">
      <alignment vertical="center"/>
    </xf>
    <xf numFmtId="0" fontId="0" fillId="34" borderId="1" applyAlignment="1" pivotButton="0" quotePrefix="0" xfId="0">
      <alignment vertical="center"/>
    </xf>
    <xf numFmtId="164" fontId="0" fillId="18" borderId="1" applyAlignment="1" pivotButton="0" quotePrefix="0" xfId="0">
      <alignment vertical="center"/>
    </xf>
    <xf numFmtId="0" fontId="0" fillId="18" borderId="1" applyAlignment="1" pivotButton="0" quotePrefix="0" xfId="0">
      <alignment vertical="center"/>
    </xf>
    <xf numFmtId="164" fontId="0" fillId="32" borderId="1" applyAlignment="1" pivotButton="0" quotePrefix="0" xfId="0">
      <alignment vertical="center"/>
    </xf>
    <xf numFmtId="0" fontId="0" fillId="32" borderId="1" applyAlignment="1" pivotButton="0" quotePrefix="0" xfId="0">
      <alignment vertical="center"/>
    </xf>
    <xf numFmtId="164" fontId="0" fillId="33" borderId="1" applyAlignment="1" pivotButton="0" quotePrefix="0" xfId="0">
      <alignment vertical="center"/>
    </xf>
    <xf numFmtId="0" fontId="0" fillId="33" borderId="1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8" fillId="0" borderId="0" pivotButton="0" quotePrefix="0" xfId="0"/>
    <xf numFmtId="0" fontId="9" fillId="35" borderId="0" applyAlignment="1" pivotButton="0" quotePrefix="0" xfId="0">
      <alignment horizontal="center" vertical="center" wrapText="1"/>
    </xf>
    <xf numFmtId="0" fontId="9" fillId="35" borderId="0" applyAlignment="1" pivotButton="0" quotePrefix="0" xfId="0">
      <alignment vertical="center"/>
    </xf>
    <xf numFmtId="0" fontId="10" fillId="0" borderId="0" pivotButton="0" quotePrefix="0" xfId="0"/>
    <xf numFmtId="0" fontId="9" fillId="36" borderId="0" applyAlignment="1" pivotButton="0" quotePrefix="0" xfId="0">
      <alignment horizontal="center" vertical="center" wrapText="1"/>
    </xf>
    <xf numFmtId="0" fontId="9" fillId="36" borderId="0" pivotButton="0" quotePrefix="0" xfId="0"/>
    <xf numFmtId="165" fontId="0" fillId="31" borderId="1" applyAlignment="1" pivotButton="0" quotePrefix="0" xfId="0">
      <alignment vertical="center"/>
    </xf>
    <xf numFmtId="0" fontId="0" fillId="37" borderId="1" applyAlignment="1" pivotButton="0" quotePrefix="0" xfId="0">
      <alignment vertical="center"/>
    </xf>
    <xf numFmtId="165" fontId="0" fillId="37" borderId="1" applyAlignment="1" pivotButton="0" quotePrefix="0" xfId="0">
      <alignment vertical="center"/>
    </xf>
    <xf numFmtId="165" fontId="0" fillId="8" borderId="1" applyAlignment="1" pivotButton="0" quotePrefix="0" xfId="0">
      <alignment vertical="center"/>
    </xf>
    <xf numFmtId="0" fontId="7" fillId="0" borderId="0" applyAlignment="1" pivotButton="0" quotePrefix="0" xfId="0">
      <alignment horizontal="right"/>
    </xf>
    <xf numFmtId="0" fontId="7" fillId="38" borderId="2" applyAlignment="1" pivotButton="0" quotePrefix="0" xfId="0">
      <alignment horizontal="center"/>
    </xf>
    <xf numFmtId="0" fontId="11" fillId="39" borderId="2" applyAlignment="1" pivotButton="0" quotePrefix="0" xfId="0">
      <alignment horizontal="center"/>
    </xf>
    <xf numFmtId="0" fontId="9" fillId="40" borderId="1" applyAlignment="1" pivotButton="0" quotePrefix="0" xfId="0">
      <alignment horizontal="center" vertical="center" wrapText="1"/>
    </xf>
    <xf numFmtId="0" fontId="9" fillId="41" borderId="1" pivotButton="0" quotePrefix="0" xfId="0"/>
    <xf numFmtId="0" fontId="9" fillId="42" borderId="1" applyAlignment="1" pivotButton="0" quotePrefix="0" xfId="0">
      <alignment horizontal="center" vertical="center" wrapText="1"/>
    </xf>
    <xf numFmtId="0" fontId="9" fillId="42" borderId="1" pivotButton="0" quotePrefix="0" xfId="0"/>
    <xf numFmtId="0" fontId="12" fillId="0" borderId="0" pivotButton="0" quotePrefix="0" xfId="0"/>
    <xf numFmtId="0" fontId="13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14" fillId="31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43" borderId="1" applyAlignment="1" pivotButton="0" quotePrefix="0" xfId="0">
      <alignment horizontal="center" vertical="center"/>
    </xf>
    <xf numFmtId="0" fontId="14" fillId="28" borderId="1" applyAlignment="1" pivotButton="0" quotePrefix="0" xfId="0">
      <alignment horizontal="center" vertical="center"/>
    </xf>
    <xf numFmtId="0" fontId="14" fillId="30" borderId="1" applyAlignment="1" pivotButton="0" quotePrefix="0" xfId="0">
      <alignment horizontal="center" vertical="center"/>
    </xf>
    <xf numFmtId="0" fontId="14" fillId="44" borderId="1" applyAlignment="1" pivotButton="0" quotePrefix="0" xfId="0">
      <alignment horizontal="center" vertical="center"/>
    </xf>
    <xf numFmtId="0" fontId="14" fillId="4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4" fillId="46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4" fillId="29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4" fillId="47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4" fillId="48" borderId="1" applyAlignment="1" pivotButton="0" quotePrefix="0" xfId="0">
      <alignment horizontal="center" vertical="center"/>
    </xf>
    <xf numFmtId="0" fontId="14" fillId="49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4" fillId="2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4" fillId="32" borderId="1" applyAlignment="1" pivotButton="0" quotePrefix="0" xfId="0">
      <alignment horizontal="center" vertical="center"/>
    </xf>
    <xf numFmtId="0" fontId="14" fillId="24" borderId="1" applyAlignment="1" pivotButton="0" quotePrefix="0" xfId="0">
      <alignment horizontal="center" vertical="center"/>
    </xf>
    <xf numFmtId="0" fontId="14" fillId="37" borderId="1" applyAlignment="1" pivotButton="0" quotePrefix="0" xfId="0">
      <alignment horizontal="center" vertical="center"/>
    </xf>
    <xf numFmtId="0" fontId="14" fillId="50" borderId="1" applyAlignment="1" pivotButton="0" quotePrefix="0" xfId="0">
      <alignment horizontal="center" vertical="center"/>
    </xf>
    <xf numFmtId="0" fontId="14" fillId="51" borderId="1" applyAlignment="1" pivotButton="0" quotePrefix="0" xfId="0">
      <alignment horizontal="center" vertical="center"/>
    </xf>
    <xf numFmtId="0" fontId="14" fillId="5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53" borderId="1" applyAlignment="1" pivotButton="0" quotePrefix="0" xfId="0">
      <alignment horizontal="center" vertical="center"/>
    </xf>
    <xf numFmtId="0" fontId="14" fillId="54" borderId="1" applyAlignment="1" pivotButton="0" quotePrefix="0" xfId="0">
      <alignment horizontal="center" vertical="center"/>
    </xf>
    <xf numFmtId="0" fontId="14" fillId="55" borderId="1" applyAlignment="1" pivotButton="0" quotePrefix="0" xfId="0">
      <alignment horizontal="center" vertical="center"/>
    </xf>
    <xf numFmtId="0" fontId="14" fillId="56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4" fillId="5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3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7" customWidth="1" min="3" max="3"/>
    <col hidden="1" width="14" customWidth="1" min="4" max="4"/>
    <col width="12" customWidth="1" min="5" max="5"/>
    <col width="12" customWidth="1" min="6" max="6"/>
    <col hidden="1" width="13" customWidth="1" min="7" max="7"/>
    <col hidden="1" width="25" customWidth="1" min="8" max="8"/>
    <col hidden="1" width="22" customWidth="1" min="9" max="9"/>
    <col width="27" customWidth="1" min="10" max="10"/>
    <col width="27" customWidth="1" min="11" max="11"/>
    <col width="14" customWidth="1" min="12" max="12"/>
    <col width="11" customWidth="1" min="13" max="13"/>
  </cols>
  <sheetData>
    <row r="1">
      <c r="B1" s="1" t="inlineStr">
        <is>
          <t>Axis Bank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UPI - Fresh Produce</t>
        </is>
      </c>
      <c r="C3" s="4" t="inlineStr">
        <is>
          <t>UPI Payment</t>
        </is>
      </c>
      <c r="D3" s="5" t="inlineStr">
        <is>
          <t>NEFT Transfer</t>
        </is>
      </c>
      <c r="E3" s="6" t="inlineStr">
        <is>
          <t>Cash Withdrawal</t>
        </is>
      </c>
      <c r="F3" s="7" t="inlineStr">
        <is>
          <t>Received - Sunita Gupta</t>
        </is>
      </c>
    </row>
    <row r="4">
      <c r="B4" s="5" t="inlineStr">
        <is>
          <t>Zerodha Broking</t>
        </is>
      </c>
      <c r="C4" s="8" t="inlineStr">
        <is>
          <t>Transfer - Ajay Gupta</t>
        </is>
      </c>
      <c r="D4" s="9" t="inlineStr">
        <is>
          <t>Bank Charges</t>
        </is>
      </c>
      <c r="E4" s="10" t="inlineStr">
        <is>
          <t>Bank Interest</t>
        </is>
      </c>
      <c r="F4" s="11" t="inlineStr">
        <is>
          <t>Dividend Income</t>
        </is>
      </c>
    </row>
    <row r="5">
      <c r="B5" s="12" t="inlineStr">
        <is>
          <t>UPI - Pharmacy</t>
        </is>
      </c>
      <c r="C5" s="13" t="inlineStr">
        <is>
          <t>Received - Rakhi Vin</t>
        </is>
      </c>
      <c r="D5" s="13" t="inlineStr">
        <is>
          <t>Received - Deepika U</t>
        </is>
      </c>
      <c r="E5" s="13" t="inlineStr">
        <is>
          <t>Received - Bhutada S</t>
        </is>
      </c>
      <c r="F5" s="13" t="inlineStr">
        <is>
          <t>Received - Aditya Dh</t>
        </is>
      </c>
    </row>
    <row r="6">
      <c r="B6" s="13" t="inlineStr">
        <is>
          <t>Received - Priti Muk</t>
        </is>
      </c>
      <c r="C6" s="13" t="inlineStr">
        <is>
          <t>Received - Deepali A</t>
        </is>
      </c>
      <c r="D6" s="14" t="inlineStr">
        <is>
          <t>UPI - IRCTC</t>
        </is>
      </c>
      <c r="E6" s="15" t="inlineStr">
        <is>
          <t>UPI - Flipkart</t>
        </is>
      </c>
      <c r="F6" s="16" t="inlineStr">
        <is>
          <t>Misc Income</t>
        </is>
      </c>
    </row>
    <row r="7">
      <c r="B7" s="17" t="inlineStr">
        <is>
          <t>UPI - Meesho</t>
        </is>
      </c>
      <c r="C7" s="13" t="inlineStr">
        <is>
          <t>Received - Sharda Ar</t>
        </is>
      </c>
      <c r="D7" s="13" t="inlineStr">
        <is>
          <t>Received - Manjoosha</t>
        </is>
      </c>
      <c r="E7" s="7" t="inlineStr">
        <is>
          <t>Transfer - Sunita Gupta</t>
        </is>
      </c>
      <c r="F7" s="18" t="inlineStr">
        <is>
          <t>Transfer - Archit Gupta</t>
        </is>
      </c>
    </row>
    <row r="8">
      <c r="B8" s="13" t="inlineStr">
        <is>
          <t>Received - Google In</t>
        </is>
      </c>
      <c r="C8" s="18" t="inlineStr">
        <is>
          <t>Received - Archit Gupta</t>
        </is>
      </c>
      <c r="D8" s="19" t="inlineStr">
        <is>
          <t>Shopping - Jewellery</t>
        </is>
      </c>
      <c r="E8" s="20" t="inlineStr">
        <is>
          <t>Health Insurance</t>
        </is>
      </c>
    </row>
    <row r="10">
      <c r="A10" s="21" t="inlineStr">
        <is>
          <t>Date</t>
        </is>
      </c>
      <c r="B10" s="21" t="inlineStr">
        <is>
          <t>Particulars</t>
        </is>
      </c>
      <c r="C10" s="21" t="inlineStr">
        <is>
          <t>Ref</t>
        </is>
      </c>
      <c r="D10" s="21" t="inlineStr">
        <is>
          <t>Value_Date</t>
        </is>
      </c>
      <c r="E10" s="21" t="inlineStr">
        <is>
          <t>DR</t>
        </is>
      </c>
      <c r="F10" s="21" t="inlineStr">
        <is>
          <t>CR</t>
        </is>
      </c>
      <c r="G10" s="21" t="inlineStr">
        <is>
          <t>Balance</t>
        </is>
      </c>
      <c r="H10" s="21" t="inlineStr">
        <is>
          <t>Beneficiary</t>
        </is>
      </c>
      <c r="I10" s="21" t="inlineStr">
        <is>
          <t>Human_Narration</t>
        </is>
      </c>
      <c r="J10" s="21" t="inlineStr">
        <is>
          <t>Auto_Narration</t>
        </is>
      </c>
      <c r="K10" s="21" t="inlineStr">
        <is>
          <t>Account_Head</t>
        </is>
      </c>
      <c r="L10" s="21" t="inlineStr">
        <is>
          <t>Confidence</t>
        </is>
      </c>
      <c r="M10" s="21" t="inlineStr">
        <is>
          <t>Match</t>
        </is>
      </c>
    </row>
    <row r="11">
      <c r="A11" s="22" t="n">
        <v>45388</v>
      </c>
      <c r="B11" s="23" t="inlineStr">
        <is>
          <t>UPI/P2M/409717050341/SHIVBHOLA VEGETABLE E/veg/Yes Bank Ltd</t>
        </is>
      </c>
      <c r="C11" s="23" t="inlineStr">
        <is>
          <t>-</t>
        </is>
      </c>
      <c r="D11" s="22" t="n">
        <v>45388</v>
      </c>
      <c r="E11" s="23" t="n">
        <v>30</v>
      </c>
      <c r="F11" s="23" t="n">
        <v>0</v>
      </c>
      <c r="G11" s="23" t="n">
        <v>9444.620000000001</v>
      </c>
      <c r="H11" s="23" t="inlineStr"/>
      <c r="I11" s="23" t="inlineStr">
        <is>
          <t>Household Expenses</t>
        </is>
      </c>
      <c r="J11" s="23" t="inlineStr">
        <is>
          <t>UPI - Fresh Produce</t>
        </is>
      </c>
      <c r="K11" s="23" t="inlineStr">
        <is>
          <t>Groceries</t>
        </is>
      </c>
      <c r="L11" s="24" t="n">
        <v>0.82</v>
      </c>
      <c r="M11" s="23" t="inlineStr">
        <is>
          <t>[DIFF]</t>
        </is>
      </c>
    </row>
    <row r="12">
      <c r="A12" s="25" t="n">
        <v>45395</v>
      </c>
      <c r="B12" s="26" t="inlineStr">
        <is>
          <t>UPI/P2A/447025620282/DEEPIKA UMESH MUNDADA/kitty/State Bank Of India</t>
        </is>
      </c>
      <c r="C12" s="26" t="inlineStr">
        <is>
          <t>-</t>
        </is>
      </c>
      <c r="D12" s="25" t="n">
        <v>45395</v>
      </c>
      <c r="E12" s="26" t="n">
        <v>1000</v>
      </c>
      <c r="F12" s="26" t="n">
        <v>0</v>
      </c>
      <c r="G12" s="26" t="n">
        <v>8444.620000000001</v>
      </c>
      <c r="H12" s="26" t="inlineStr">
        <is>
          <t>Deepika Umesh Mundada</t>
        </is>
      </c>
      <c r="I12" s="26" t="inlineStr">
        <is>
          <t>Kitty</t>
        </is>
      </c>
      <c r="J12" s="26" t="inlineStr">
        <is>
          <t>UPI Payment</t>
        </is>
      </c>
      <c r="K12" s="26" t="inlineStr">
        <is>
          <t>Personal</t>
        </is>
      </c>
      <c r="L12" s="27" t="n">
        <v>0.55</v>
      </c>
      <c r="M12" s="26" t="inlineStr">
        <is>
          <t>[DIFF]</t>
        </is>
      </c>
    </row>
    <row r="13">
      <c r="A13" s="25" t="n">
        <v>45405</v>
      </c>
      <c r="B13" s="26" t="inlineStr">
        <is>
          <t>UPI/P2A/448073432191/BHARTI RATAN DEVNANI /tiffin/Union Bank of India</t>
        </is>
      </c>
      <c r="C13" s="26" t="inlineStr">
        <is>
          <t>-</t>
        </is>
      </c>
      <c r="D13" s="25" t="n">
        <v>45405</v>
      </c>
      <c r="E13" s="26" t="n">
        <v>390</v>
      </c>
      <c r="F13" s="26" t="n">
        <v>0</v>
      </c>
      <c r="G13" s="26" t="n">
        <v>8054.62</v>
      </c>
      <c r="H13" s="26" t="inlineStr">
        <is>
          <t>Bharti Ratan Devnani</t>
        </is>
      </c>
      <c r="I13" s="26" t="inlineStr">
        <is>
          <t>Household Expenses</t>
        </is>
      </c>
      <c r="J13" s="26" t="inlineStr">
        <is>
          <t>UPI Payment</t>
        </is>
      </c>
      <c r="K13" s="26" t="inlineStr">
        <is>
          <t>Personal</t>
        </is>
      </c>
      <c r="L13" s="27" t="n">
        <v>0.55</v>
      </c>
      <c r="M13" s="26" t="inlineStr">
        <is>
          <t>[DIFF]</t>
        </is>
      </c>
    </row>
    <row r="14">
      <c r="A14" s="25" t="n">
        <v>45406</v>
      </c>
      <c r="B14" s="26" t="inlineStr">
        <is>
          <t>UPI/P2M/448166340115/KUNAL EAKNATH MAKUNE /milk/Yes Bank Ltd</t>
        </is>
      </c>
      <c r="C14" s="26" t="inlineStr">
        <is>
          <t>-</t>
        </is>
      </c>
      <c r="D14" s="25" t="n">
        <v>45406</v>
      </c>
      <c r="E14" s="26" t="n">
        <v>150</v>
      </c>
      <c r="F14" s="26" t="n">
        <v>0</v>
      </c>
      <c r="G14" s="26" t="n">
        <v>7904.62</v>
      </c>
      <c r="H14" s="26" t="inlineStr">
        <is>
          <t>Kunal Eaknath Makune</t>
        </is>
      </c>
      <c r="I14" s="26" t="inlineStr">
        <is>
          <t>Household Expenses</t>
        </is>
      </c>
      <c r="J14" s="26" t="inlineStr">
        <is>
          <t>UPI Payment</t>
        </is>
      </c>
      <c r="K14" s="26" t="inlineStr">
        <is>
          <t>Personal</t>
        </is>
      </c>
      <c r="L14" s="27" t="n">
        <v>0.55</v>
      </c>
      <c r="M14" s="26" t="inlineStr">
        <is>
          <t>[DIFF]</t>
        </is>
      </c>
    </row>
    <row r="15">
      <c r="A15" s="28" t="n">
        <v>45408</v>
      </c>
      <c r="B15" s="29" t="inlineStr">
        <is>
          <t>NEFT/YESB41177892573/ZERODHA BROKING LTD-DSCNB A//YES BANK/YESB0000001</t>
        </is>
      </c>
      <c r="C15" s="29" t="inlineStr">
        <is>
          <t>-</t>
        </is>
      </c>
      <c r="D15" s="28" t="n">
        <v>45408</v>
      </c>
      <c r="E15" s="29" t="n">
        <v>0</v>
      </c>
      <c r="F15" s="29" t="n">
        <v>4251.5</v>
      </c>
      <c r="G15" s="29" t="n">
        <v>12156.12</v>
      </c>
      <c r="H15" s="29" t="inlineStr"/>
      <c r="I15" s="29" t="inlineStr">
        <is>
          <t>Zerodha</t>
        </is>
      </c>
      <c r="J15" s="29" t="inlineStr">
        <is>
          <t>NEFT Transfer</t>
        </is>
      </c>
      <c r="K15" s="29" t="inlineStr">
        <is>
          <t>Transfer</t>
        </is>
      </c>
      <c r="L15" s="24" t="n">
        <v>0.7</v>
      </c>
      <c r="M15" s="29" t="inlineStr">
        <is>
          <t>[DIFF]</t>
        </is>
      </c>
    </row>
    <row r="16">
      <c r="A16" s="30" t="n">
        <v>45415</v>
      </c>
      <c r="B16" s="31" t="inlineStr">
        <is>
          <t>ATM-CASH-AXIS/BPRH265601/1296/030524/NASHIK</t>
        </is>
      </c>
      <c r="C16" s="31" t="inlineStr">
        <is>
          <t>-</t>
        </is>
      </c>
      <c r="D16" s="30" t="n">
        <v>45415</v>
      </c>
      <c r="E16" s="31" t="n">
        <v>2000</v>
      </c>
      <c r="F16" s="31" t="n">
        <v>0</v>
      </c>
      <c r="G16" s="31" t="n">
        <v>10156.12</v>
      </c>
      <c r="H16" s="31" t="inlineStr"/>
      <c r="I16" s="31" t="inlineStr">
        <is>
          <t>ATM Withdrawal</t>
        </is>
      </c>
      <c r="J16" s="31" t="inlineStr">
        <is>
          <t>Cash Withdrawal</t>
        </is>
      </c>
      <c r="K16" s="31" t="inlineStr">
        <is>
          <t>Cash</t>
        </is>
      </c>
      <c r="L16" s="32" t="n">
        <v>0.92</v>
      </c>
      <c r="M16" s="31" t="inlineStr">
        <is>
          <t>[MATCH]</t>
        </is>
      </c>
    </row>
    <row r="17">
      <c r="A17" s="33" t="n">
        <v>45420</v>
      </c>
      <c r="B17" s="34" t="inlineStr">
        <is>
          <t>NEFT/N129243028299413/SUNITA GUPTA/HDFC BANK/Transfer from HDFC</t>
        </is>
      </c>
      <c r="C17" s="34" t="inlineStr">
        <is>
          <t>-</t>
        </is>
      </c>
      <c r="D17" s="33" t="n">
        <v>45420</v>
      </c>
      <c r="E17" s="34" t="n">
        <v>0</v>
      </c>
      <c r="F17" s="34" t="n">
        <v>50000</v>
      </c>
      <c r="G17" s="34" t="n">
        <v>60156.12</v>
      </c>
      <c r="H17" s="34" t="inlineStr"/>
      <c r="I17" s="34" t="inlineStr">
        <is>
          <t>Contra</t>
        </is>
      </c>
      <c r="J17" s="34" t="inlineStr">
        <is>
          <t>Received - Sunita Gupta</t>
        </is>
      </c>
      <c r="K17" s="34" t="inlineStr">
        <is>
          <t>Sunita Gupta</t>
        </is>
      </c>
      <c r="L17" s="35" t="n">
        <v>0.88</v>
      </c>
      <c r="M17" s="34" t="inlineStr">
        <is>
          <t>[DIFF]</t>
        </is>
      </c>
    </row>
    <row r="18">
      <c r="A18" s="28" t="n">
        <v>45420</v>
      </c>
      <c r="B18" s="29" t="inlineStr">
        <is>
          <t>UPI/P2M/412955259759/Zerodha Broking Ltd  /001847/HDFC BANK LTD</t>
        </is>
      </c>
      <c r="C18" s="29" t="inlineStr">
        <is>
          <t>-</t>
        </is>
      </c>
      <c r="D18" s="28" t="n">
        <v>45420</v>
      </c>
      <c r="E18" s="29" t="n">
        <v>50000</v>
      </c>
      <c r="F18" s="29" t="n">
        <v>0</v>
      </c>
      <c r="G18" s="29" t="n">
        <v>10156.12</v>
      </c>
      <c r="H18" s="29" t="inlineStr"/>
      <c r="I18" s="29" t="inlineStr">
        <is>
          <t>Zerodha</t>
        </is>
      </c>
      <c r="J18" s="29" t="inlineStr">
        <is>
          <t>Zerodha Broking</t>
        </is>
      </c>
      <c r="K18" s="29" t="inlineStr">
        <is>
          <t>Zerodha Broking Limited</t>
        </is>
      </c>
      <c r="L18" s="35" t="n">
        <v>0.88</v>
      </c>
      <c r="M18" s="29" t="inlineStr">
        <is>
          <t>[DIFF]</t>
        </is>
      </c>
    </row>
    <row r="19">
      <c r="A19" s="25" t="n">
        <v>45422</v>
      </c>
      <c r="B19" s="26" t="inlineStr">
        <is>
          <t>UPI/P2M/413124576623/PREMJI TRADERS       /UPI/Yes Bank Ltd</t>
        </is>
      </c>
      <c r="C19" s="26" t="inlineStr">
        <is>
          <t>-</t>
        </is>
      </c>
      <c r="D19" s="25" t="n">
        <v>45422</v>
      </c>
      <c r="E19" s="26" t="n">
        <v>1320</v>
      </c>
      <c r="F19" s="26" t="n">
        <v>0</v>
      </c>
      <c r="G19" s="26" t="n">
        <v>8836.120000000001</v>
      </c>
      <c r="H19" s="26" t="inlineStr">
        <is>
          <t>Premji Traders</t>
        </is>
      </c>
      <c r="I19" s="26" t="inlineStr">
        <is>
          <t>Household Expenses</t>
        </is>
      </c>
      <c r="J19" s="26" t="inlineStr">
        <is>
          <t>UPI Payment</t>
        </is>
      </c>
      <c r="K19" s="26" t="inlineStr">
        <is>
          <t>Personal</t>
        </is>
      </c>
      <c r="L19" s="27" t="n">
        <v>0.55</v>
      </c>
      <c r="M19" s="26" t="inlineStr">
        <is>
          <t>[DIFF]</t>
        </is>
      </c>
    </row>
    <row r="20">
      <c r="A20" s="33" t="n">
        <v>45427</v>
      </c>
      <c r="B20" s="34" t="inlineStr">
        <is>
          <t>NEFT/N136243040620640/SUNITA GUPTA/HDFC BANK/frm HDFC to Axis</t>
        </is>
      </c>
      <c r="C20" s="34" t="inlineStr">
        <is>
          <t>-</t>
        </is>
      </c>
      <c r="D20" s="33" t="n">
        <v>45427</v>
      </c>
      <c r="E20" s="34" t="n">
        <v>0</v>
      </c>
      <c r="F20" s="34" t="n">
        <v>100000</v>
      </c>
      <c r="G20" s="34" t="n">
        <v>108836.12</v>
      </c>
      <c r="H20" s="34" t="inlineStr"/>
      <c r="I20" s="34" t="inlineStr">
        <is>
          <t>Contra</t>
        </is>
      </c>
      <c r="J20" s="34" t="inlineStr">
        <is>
          <t>Received - Sunita Gupta</t>
        </is>
      </c>
      <c r="K20" s="34" t="inlineStr">
        <is>
          <t>Sunita Gupta</t>
        </is>
      </c>
      <c r="L20" s="35" t="n">
        <v>0.88</v>
      </c>
      <c r="M20" s="34" t="inlineStr">
        <is>
          <t>[DIFF]</t>
        </is>
      </c>
    </row>
    <row r="21">
      <c r="A21" s="36" t="n">
        <v>45427</v>
      </c>
      <c r="B21" s="37" t="inlineStr">
        <is>
          <t>INB/IFT/Ajay Kumar Gupta/TPARTY TRANSFER</t>
        </is>
      </c>
      <c r="C21" s="37" t="inlineStr">
        <is>
          <t>-</t>
        </is>
      </c>
      <c r="D21" s="36" t="n">
        <v>45427</v>
      </c>
      <c r="E21" s="37" t="n">
        <v>40000</v>
      </c>
      <c r="F21" s="37" t="n">
        <v>0</v>
      </c>
      <c r="G21" s="37" t="n">
        <v>68836.12</v>
      </c>
      <c r="H21" s="37" t="inlineStr"/>
      <c r="I21" s="37" t="inlineStr">
        <is>
          <t>Transfer from Ajay</t>
        </is>
      </c>
      <c r="J21" s="37" t="inlineStr">
        <is>
          <t>Transfer - Ajay Gupta</t>
        </is>
      </c>
      <c r="K21" s="37" t="inlineStr">
        <is>
          <t>Ajay Gupta</t>
        </is>
      </c>
      <c r="L21" s="32" t="n">
        <v>0.88</v>
      </c>
      <c r="M21" s="37" t="inlineStr">
        <is>
          <t>[MATCH]</t>
        </is>
      </c>
    </row>
    <row r="22">
      <c r="A22" s="36" t="n">
        <v>45436</v>
      </c>
      <c r="B22" s="37" t="inlineStr">
        <is>
          <t>INB/IFT/Ajay Kumar Gupta/TPARTY TRANSFER</t>
        </is>
      </c>
      <c r="C22" s="37" t="inlineStr">
        <is>
          <t>-</t>
        </is>
      </c>
      <c r="D22" s="36" t="n">
        <v>45436</v>
      </c>
      <c r="E22" s="37" t="n">
        <v>30000</v>
      </c>
      <c r="F22" s="37" t="n">
        <v>0</v>
      </c>
      <c r="G22" s="37" t="n">
        <v>38836.12</v>
      </c>
      <c r="H22" s="37" t="inlineStr"/>
      <c r="I22" s="37" t="inlineStr">
        <is>
          <t>Transfer from Ajay</t>
        </is>
      </c>
      <c r="J22" s="37" t="inlineStr">
        <is>
          <t>Transfer - Ajay Gupta</t>
        </is>
      </c>
      <c r="K22" s="37" t="inlineStr">
        <is>
          <t>Ajay Gupta</t>
        </is>
      </c>
      <c r="L22" s="32" t="n">
        <v>0.88</v>
      </c>
      <c r="M22" s="37" t="inlineStr">
        <is>
          <t>[MATCH]</t>
        </is>
      </c>
    </row>
    <row r="23">
      <c r="A23" s="28" t="n">
        <v>45451</v>
      </c>
      <c r="B23" s="29" t="inlineStr">
        <is>
          <t>NEFT/YESEB41601792243/ZERODHA BROKING LTD- FOR ZER/YES BANK/12067726cc9f47dca08914 Zerodh</t>
        </is>
      </c>
      <c r="C23" s="29" t="inlineStr">
        <is>
          <t>-</t>
        </is>
      </c>
      <c r="D23" s="28" t="n">
        <v>45451</v>
      </c>
      <c r="E23" s="29" t="n">
        <v>0</v>
      </c>
      <c r="F23" s="29" t="n">
        <v>7726.63</v>
      </c>
      <c r="G23" s="29" t="n">
        <v>46562.75</v>
      </c>
      <c r="H23" s="29" t="inlineStr"/>
      <c r="I23" s="29" t="inlineStr">
        <is>
          <t>Zerodha</t>
        </is>
      </c>
      <c r="J23" s="29" t="inlineStr">
        <is>
          <t>NEFT Transfer</t>
        </is>
      </c>
      <c r="K23" s="29" t="inlineStr">
        <is>
          <t>Transfer</t>
        </is>
      </c>
      <c r="L23" s="24" t="n">
        <v>0.7</v>
      </c>
      <c r="M23" s="29" t="inlineStr">
        <is>
          <t>[DIFF]</t>
        </is>
      </c>
    </row>
    <row r="24">
      <c r="A24" s="38" t="n">
        <v>45453</v>
      </c>
      <c r="B24" s="39" t="inlineStr">
        <is>
          <t>GST @18% on MAB Charge</t>
        </is>
      </c>
      <c r="C24" s="39" t="inlineStr">
        <is>
          <t>-</t>
        </is>
      </c>
      <c r="D24" s="38" t="n">
        <v>45453</v>
      </c>
      <c r="E24" s="39" t="n">
        <v>108</v>
      </c>
      <c r="F24" s="39" t="n">
        <v>0</v>
      </c>
      <c r="G24" s="39" t="n">
        <v>46454.75</v>
      </c>
      <c r="H24" s="39" t="inlineStr"/>
      <c r="I24" s="39" t="inlineStr">
        <is>
          <t>Bank Charges</t>
        </is>
      </c>
      <c r="J24" s="39" t="inlineStr">
        <is>
          <t>Bank Charges</t>
        </is>
      </c>
      <c r="K24" s="39" t="inlineStr">
        <is>
          <t>Bank Charges</t>
        </is>
      </c>
      <c r="L24" s="32" t="n">
        <v>0.88</v>
      </c>
      <c r="M24" s="39" t="inlineStr">
        <is>
          <t>[MATCH]</t>
        </is>
      </c>
    </row>
    <row r="25">
      <c r="A25" s="38" t="n">
        <v>45453</v>
      </c>
      <c r="B25" s="39" t="inlineStr">
        <is>
          <t>Non-Maint Avg bal chgs Apr2024</t>
        </is>
      </c>
      <c r="C25" s="39" t="inlineStr">
        <is>
          <t>-</t>
        </is>
      </c>
      <c r="D25" s="38" t="n">
        <v>45453</v>
      </c>
      <c r="E25" s="39" t="n">
        <v>600</v>
      </c>
      <c r="F25" s="39" t="n">
        <v>0</v>
      </c>
      <c r="G25" s="39" t="n">
        <v>45854.75</v>
      </c>
      <c r="H25" s="39" t="inlineStr"/>
      <c r="I25" s="39" t="inlineStr">
        <is>
          <t>Bank Charges</t>
        </is>
      </c>
      <c r="J25" s="39" t="inlineStr">
        <is>
          <t>Bank Charges</t>
        </is>
      </c>
      <c r="K25" s="39" t="inlineStr">
        <is>
          <t>Bank Charges</t>
        </is>
      </c>
      <c r="L25" s="32" t="n">
        <v>0.88</v>
      </c>
      <c r="M25" s="39" t="inlineStr">
        <is>
          <t>[MATCH]</t>
        </is>
      </c>
    </row>
    <row r="26">
      <c r="A26" s="28" t="n">
        <v>45464</v>
      </c>
      <c r="B26" s="29" t="inlineStr">
        <is>
          <t>UPI/P2M/417362340012/ZERODHA BROKING LIMIT/244473/ICICI Bank</t>
        </is>
      </c>
      <c r="C26" s="29" t="inlineStr">
        <is>
          <t>-</t>
        </is>
      </c>
      <c r="D26" s="28" t="n">
        <v>45464</v>
      </c>
      <c r="E26" s="29" t="n">
        <v>25000</v>
      </c>
      <c r="F26" s="29" t="n">
        <v>0</v>
      </c>
      <c r="G26" s="29" t="n">
        <v>20854.75</v>
      </c>
      <c r="H26" s="29" t="inlineStr"/>
      <c r="I26" s="29" t="inlineStr">
        <is>
          <t>Zerodha</t>
        </is>
      </c>
      <c r="J26" s="29" t="inlineStr">
        <is>
          <t>Zerodha Broking</t>
        </is>
      </c>
      <c r="K26" s="29" t="inlineStr">
        <is>
          <t>Zerodha Broking Limited</t>
        </is>
      </c>
      <c r="L26" s="35" t="n">
        <v>0.88</v>
      </c>
      <c r="M26" s="29" t="inlineStr">
        <is>
          <t>[DIFF]</t>
        </is>
      </c>
    </row>
    <row r="27">
      <c r="A27" s="25" t="n">
        <v>45465</v>
      </c>
      <c r="B27" s="26" t="inlineStr">
        <is>
          <t>UPI/P2A/454025238186/PRERANA MANOJ CHANDAK/kitty/Axis Bank Ltd.</t>
        </is>
      </c>
      <c r="C27" s="26" t="inlineStr">
        <is>
          <t>-</t>
        </is>
      </c>
      <c r="D27" s="25" t="n">
        <v>45465</v>
      </c>
      <c r="E27" s="26" t="n">
        <v>1000</v>
      </c>
      <c r="F27" s="26" t="n">
        <v>0</v>
      </c>
      <c r="G27" s="26" t="n">
        <v>19854.75</v>
      </c>
      <c r="H27" s="26" t="inlineStr">
        <is>
          <t>Prerana Manoj Chandak</t>
        </is>
      </c>
      <c r="I27" s="26" t="inlineStr">
        <is>
          <t>Kitty</t>
        </is>
      </c>
      <c r="J27" s="26" t="inlineStr">
        <is>
          <t>UPI Payment</t>
        </is>
      </c>
      <c r="K27" s="26" t="inlineStr">
        <is>
          <t>Personal</t>
        </is>
      </c>
      <c r="L27" s="27" t="n">
        <v>0.55</v>
      </c>
      <c r="M27" s="26" t="inlineStr">
        <is>
          <t>[DIFF]</t>
        </is>
      </c>
    </row>
    <row r="28">
      <c r="A28" s="33" t="n">
        <v>45467</v>
      </c>
      <c r="B28" s="34" t="inlineStr">
        <is>
          <t>NEFT/N176243108305610/SUNITA GUPTA/HDFC BANK/Trf frm Sunita HDF</t>
        </is>
      </c>
      <c r="C28" s="34" t="inlineStr">
        <is>
          <t>-</t>
        </is>
      </c>
      <c r="D28" s="33" t="n">
        <v>45467</v>
      </c>
      <c r="E28" s="34" t="n">
        <v>0</v>
      </c>
      <c r="F28" s="34" t="n">
        <v>50000</v>
      </c>
      <c r="G28" s="34" t="n">
        <v>69854.75</v>
      </c>
      <c r="H28" s="34" t="inlineStr"/>
      <c r="I28" s="34" t="inlineStr">
        <is>
          <t>Contra</t>
        </is>
      </c>
      <c r="J28" s="34" t="inlineStr">
        <is>
          <t>Received - Sunita Gupta</t>
        </is>
      </c>
      <c r="K28" s="34" t="inlineStr">
        <is>
          <t>Sunita Gupta</t>
        </is>
      </c>
      <c r="L28" s="35" t="n">
        <v>0.88</v>
      </c>
      <c r="M28" s="34" t="inlineStr">
        <is>
          <t>[DIFF]</t>
        </is>
      </c>
    </row>
    <row r="29">
      <c r="A29" s="28" t="n">
        <v>45467</v>
      </c>
      <c r="B29" s="29" t="inlineStr">
        <is>
          <t>UPI/P2M/417673461227/ZERODHA BROKING LIMIT/922743/ICICI Bank</t>
        </is>
      </c>
      <c r="C29" s="29" t="inlineStr">
        <is>
          <t>-</t>
        </is>
      </c>
      <c r="D29" s="28" t="n">
        <v>45467</v>
      </c>
      <c r="E29" s="29" t="n">
        <v>30000</v>
      </c>
      <c r="F29" s="29" t="n">
        <v>0</v>
      </c>
      <c r="G29" s="29" t="n">
        <v>39854.75</v>
      </c>
      <c r="H29" s="29" t="inlineStr"/>
      <c r="I29" s="29" t="inlineStr">
        <is>
          <t>Zerodha</t>
        </is>
      </c>
      <c r="J29" s="29" t="inlineStr">
        <is>
          <t>Zerodha Broking</t>
        </is>
      </c>
      <c r="K29" s="29" t="inlineStr">
        <is>
          <t>Zerodha Broking Limited</t>
        </is>
      </c>
      <c r="L29" s="35" t="n">
        <v>0.88</v>
      </c>
      <c r="M29" s="29" t="inlineStr">
        <is>
          <t>[DIFF]</t>
        </is>
      </c>
    </row>
    <row r="30">
      <c r="A30" s="28" t="n">
        <v>45467</v>
      </c>
      <c r="B30" s="29" t="inlineStr">
        <is>
          <t>UPI/P2M/417673480863/ZERODHA BROKING LIMIT/102002/ICICI Bank</t>
        </is>
      </c>
      <c r="C30" s="29" t="inlineStr">
        <is>
          <t>-</t>
        </is>
      </c>
      <c r="D30" s="28" t="n">
        <v>45467</v>
      </c>
      <c r="E30" s="29" t="n">
        <v>30000</v>
      </c>
      <c r="F30" s="29" t="n">
        <v>0</v>
      </c>
      <c r="G30" s="29" t="n">
        <v>9854.75</v>
      </c>
      <c r="H30" s="29" t="inlineStr"/>
      <c r="I30" s="29" t="inlineStr">
        <is>
          <t>Zerodha</t>
        </is>
      </c>
      <c r="J30" s="29" t="inlineStr">
        <is>
          <t>Zerodha Broking</t>
        </is>
      </c>
      <c r="K30" s="29" t="inlineStr">
        <is>
          <t>Zerodha Broking Limited</t>
        </is>
      </c>
      <c r="L30" s="35" t="n">
        <v>0.88</v>
      </c>
      <c r="M30" s="29" t="inlineStr">
        <is>
          <t>[DIFF]</t>
        </is>
      </c>
    </row>
    <row r="31">
      <c r="A31" s="33" t="n">
        <v>45467</v>
      </c>
      <c r="B31" s="34" t="inlineStr">
        <is>
          <t>NEFT/N176243109164220/SUNITA GUPTA/HDFC BANK/tfr frm Axis 2 hfc</t>
        </is>
      </c>
      <c r="C31" s="34" t="inlineStr">
        <is>
          <t>-</t>
        </is>
      </c>
      <c r="D31" s="33" t="n">
        <v>45467</v>
      </c>
      <c r="E31" s="34" t="n">
        <v>0</v>
      </c>
      <c r="F31" s="34" t="n">
        <v>25000</v>
      </c>
      <c r="G31" s="34" t="n">
        <v>34854.75</v>
      </c>
      <c r="H31" s="34" t="inlineStr"/>
      <c r="I31" s="34" t="inlineStr">
        <is>
          <t>Contra</t>
        </is>
      </c>
      <c r="J31" s="34" t="inlineStr">
        <is>
          <t>Received - Sunita Gupta</t>
        </is>
      </c>
      <c r="K31" s="34" t="inlineStr">
        <is>
          <t>Sunita Gupta</t>
        </is>
      </c>
      <c r="L31" s="35" t="n">
        <v>0.88</v>
      </c>
      <c r="M31" s="34" t="inlineStr">
        <is>
          <t>[DIFF]</t>
        </is>
      </c>
    </row>
    <row r="32">
      <c r="A32" s="25" t="n">
        <v>45472</v>
      </c>
      <c r="B32" s="26" t="inlineStr">
        <is>
          <t>UPI/P2A/418192452596/BHARTI RATAN DEVNANI /tiffin/Union Bank of India</t>
        </is>
      </c>
      <c r="C32" s="26" t="inlineStr">
        <is>
          <t>-</t>
        </is>
      </c>
      <c r="D32" s="25" t="n">
        <v>45472</v>
      </c>
      <c r="E32" s="26" t="n">
        <v>770</v>
      </c>
      <c r="F32" s="26" t="n">
        <v>0</v>
      </c>
      <c r="G32" s="26" t="n">
        <v>34084.75</v>
      </c>
      <c r="H32" s="26" t="inlineStr">
        <is>
          <t>Bharti Ratan Devnani</t>
        </is>
      </c>
      <c r="I32" s="26" t="inlineStr">
        <is>
          <t>Household Expenses</t>
        </is>
      </c>
      <c r="J32" s="26" t="inlineStr">
        <is>
          <t>UPI Payment</t>
        </is>
      </c>
      <c r="K32" s="26" t="inlineStr">
        <is>
          <t>Personal</t>
        </is>
      </c>
      <c r="L32" s="27" t="n">
        <v>0.55</v>
      </c>
      <c r="M32" s="26" t="inlineStr">
        <is>
          <t>[DIFF]</t>
        </is>
      </c>
    </row>
    <row r="33">
      <c r="A33" s="40" t="n">
        <v>45474</v>
      </c>
      <c r="B33" s="41" t="inlineStr">
        <is>
          <t>SB:919010088767042:Int.Pd:01-04-2024 to 30-06-2024</t>
        </is>
      </c>
      <c r="C33" s="41" t="inlineStr">
        <is>
          <t>-</t>
        </is>
      </c>
      <c r="D33" s="40" t="n">
        <v>45474</v>
      </c>
      <c r="E33" s="41" t="n">
        <v>0</v>
      </c>
      <c r="F33" s="41" t="n">
        <v>208</v>
      </c>
      <c r="G33" s="41" t="n">
        <v>34292.75</v>
      </c>
      <c r="H33" s="41" t="inlineStr"/>
      <c r="I33" s="41" t="inlineStr">
        <is>
          <t>Bank Interest</t>
        </is>
      </c>
      <c r="J33" s="41" t="inlineStr">
        <is>
          <t>Bank Interest</t>
        </is>
      </c>
      <c r="K33" s="41" t="inlineStr">
        <is>
          <t>Bank Interest</t>
        </is>
      </c>
      <c r="L33" s="32" t="n">
        <v>0.93</v>
      </c>
      <c r="M33" s="41" t="inlineStr">
        <is>
          <t>[MATCH]</t>
        </is>
      </c>
    </row>
    <row r="34">
      <c r="A34" s="42" t="n">
        <v>45474</v>
      </c>
      <c r="B34" s="43" t="inlineStr">
        <is>
          <t>ACH-CR-CANBANK DIV 2023-24-NACH-6544153-6544153</t>
        </is>
      </c>
      <c r="C34" s="43" t="inlineStr">
        <is>
          <t>-</t>
        </is>
      </c>
      <c r="D34" s="42" t="n">
        <v>45474</v>
      </c>
      <c r="E34" s="43" t="n">
        <v>0</v>
      </c>
      <c r="F34" s="43" t="n">
        <v>805</v>
      </c>
      <c r="G34" s="43" t="n">
        <v>35097.75</v>
      </c>
      <c r="H34" s="43" t="inlineStr"/>
      <c r="I34" s="43" t="inlineStr">
        <is>
          <t>Dividend Income</t>
        </is>
      </c>
      <c r="J34" s="43" t="inlineStr">
        <is>
          <t>Dividend Income</t>
        </is>
      </c>
      <c r="K34" s="43" t="inlineStr">
        <is>
          <t>Dividend Income</t>
        </is>
      </c>
      <c r="L34" s="32" t="n">
        <v>0.85</v>
      </c>
      <c r="M34" s="43" t="inlineStr">
        <is>
          <t>[MATCH]</t>
        </is>
      </c>
    </row>
    <row r="35">
      <c r="A35" s="30" t="n">
        <v>45474</v>
      </c>
      <c r="B35" s="31" t="inlineStr">
        <is>
          <t>ATM-CASH-AXIS/BPRH265601/1591/010724/NASHIK</t>
        </is>
      </c>
      <c r="C35" s="31" t="inlineStr">
        <is>
          <t>-</t>
        </is>
      </c>
      <c r="D35" s="30" t="n">
        <v>45474</v>
      </c>
      <c r="E35" s="31" t="n">
        <v>2000</v>
      </c>
      <c r="F35" s="31" t="n">
        <v>0</v>
      </c>
      <c r="G35" s="31" t="n">
        <v>33097.75</v>
      </c>
      <c r="H35" s="31" t="inlineStr"/>
      <c r="I35" s="31" t="inlineStr">
        <is>
          <t>ATM Withdrawal</t>
        </is>
      </c>
      <c r="J35" s="31" t="inlineStr">
        <is>
          <t>Cash Withdrawal</t>
        </is>
      </c>
      <c r="K35" s="31" t="inlineStr">
        <is>
          <t>Cash</t>
        </is>
      </c>
      <c r="L35" s="32" t="n">
        <v>0.92</v>
      </c>
      <c r="M35" s="31" t="inlineStr">
        <is>
          <t>[MATCH]</t>
        </is>
      </c>
    </row>
    <row r="36">
      <c r="A36" s="28" t="n">
        <v>45476</v>
      </c>
      <c r="B36" s="29" t="inlineStr">
        <is>
          <t>NEFT/YESEB41852036982/ZERODHA BROKING LTD- FOR ZER/YES BANK/4565c0180515af30213b5d Zerodh</t>
        </is>
      </c>
      <c r="C36" s="29" t="inlineStr">
        <is>
          <t>-</t>
        </is>
      </c>
      <c r="D36" s="28" t="n">
        <v>45476</v>
      </c>
      <c r="E36" s="29" t="n">
        <v>0</v>
      </c>
      <c r="F36" s="29" t="n">
        <v>3688.79</v>
      </c>
      <c r="G36" s="29" t="n">
        <v>36786.54</v>
      </c>
      <c r="H36" s="29" t="inlineStr"/>
      <c r="I36" s="29" t="inlineStr">
        <is>
          <t>Zerodha</t>
        </is>
      </c>
      <c r="J36" s="29" t="inlineStr">
        <is>
          <t>NEFT Transfer</t>
        </is>
      </c>
      <c r="K36" s="29" t="inlineStr">
        <is>
          <t>Transfer</t>
        </is>
      </c>
      <c r="L36" s="24" t="n">
        <v>0.7</v>
      </c>
      <c r="M36" s="29" t="inlineStr">
        <is>
          <t>[DIFF]</t>
        </is>
      </c>
    </row>
    <row r="37">
      <c r="A37" s="44" t="n">
        <v>45478</v>
      </c>
      <c r="B37" s="45" t="inlineStr">
        <is>
          <t>UPI/P2M/455345663321/JEET PHARMACY AND MIN/medici/Axis Bank Ltd.</t>
        </is>
      </c>
      <c r="C37" s="45" t="inlineStr">
        <is>
          <t>-</t>
        </is>
      </c>
      <c r="D37" s="44" t="n">
        <v>45478</v>
      </c>
      <c r="E37" s="45" t="n">
        <v>22</v>
      </c>
      <c r="F37" s="45" t="n">
        <v>0</v>
      </c>
      <c r="G37" s="45" t="n">
        <v>36764.54</v>
      </c>
      <c r="H37" s="45" t="inlineStr"/>
      <c r="I37" s="45" t="inlineStr">
        <is>
          <t>UPI</t>
        </is>
      </c>
      <c r="J37" s="45" t="inlineStr">
        <is>
          <t>UPI - Pharmacy</t>
        </is>
      </c>
      <c r="K37" s="45" t="inlineStr">
        <is>
          <t>Healthcare</t>
        </is>
      </c>
      <c r="L37" s="32" t="n">
        <v>0.85</v>
      </c>
      <c r="M37" s="45" t="inlineStr">
        <is>
          <t>[MATCH]</t>
        </is>
      </c>
    </row>
    <row r="38">
      <c r="A38" s="46" t="n">
        <v>45478</v>
      </c>
      <c r="B38" s="47" t="inlineStr">
        <is>
          <t>UPI/P2A/455392699359/RAKHI VIN/ICICI Ban/UPI/</t>
        </is>
      </c>
      <c r="C38" s="47" t="inlineStr">
        <is>
          <t>-</t>
        </is>
      </c>
      <c r="D38" s="46" t="n">
        <v>45478</v>
      </c>
      <c r="E38" s="47" t="n">
        <v>0</v>
      </c>
      <c r="F38" s="47" t="n">
        <v>1000</v>
      </c>
      <c r="G38" s="47" t="n">
        <v>37764.54</v>
      </c>
      <c r="H38" s="47" t="inlineStr"/>
      <c r="I38" s="47" t="inlineStr">
        <is>
          <t>UPI</t>
        </is>
      </c>
      <c r="J38" s="47" t="inlineStr">
        <is>
          <t>Received - Rakhi Vin</t>
        </is>
      </c>
      <c r="K38" s="47" t="inlineStr">
        <is>
          <t>Personal</t>
        </is>
      </c>
      <c r="L38" s="27" t="n">
        <v>0.55</v>
      </c>
      <c r="M38" s="47" t="inlineStr">
        <is>
          <t>[DIFF]</t>
        </is>
      </c>
    </row>
    <row r="39">
      <c r="A39" s="46" t="n">
        <v>45479</v>
      </c>
      <c r="B39" s="47" t="inlineStr">
        <is>
          <t>UPI/P2A/418872101808/DEEPIKA U/State Ban/UPI/</t>
        </is>
      </c>
      <c r="C39" s="47" t="inlineStr">
        <is>
          <t>-</t>
        </is>
      </c>
      <c r="D39" s="46" t="n">
        <v>45479</v>
      </c>
      <c r="E39" s="47" t="n">
        <v>0</v>
      </c>
      <c r="F39" s="47" t="n">
        <v>1000</v>
      </c>
      <c r="G39" s="47" t="n">
        <v>38764.54</v>
      </c>
      <c r="H39" s="47" t="inlineStr"/>
      <c r="I39" s="47" t="inlineStr">
        <is>
          <t>UPI</t>
        </is>
      </c>
      <c r="J39" s="47" t="inlineStr">
        <is>
          <t>Received - Deepika U</t>
        </is>
      </c>
      <c r="K39" s="47" t="inlineStr">
        <is>
          <t>Personal</t>
        </is>
      </c>
      <c r="L39" s="27" t="n">
        <v>0.55</v>
      </c>
      <c r="M39" s="47" t="inlineStr">
        <is>
          <t>[DIFF]</t>
        </is>
      </c>
    </row>
    <row r="40">
      <c r="A40" s="48" t="n">
        <v>45481</v>
      </c>
      <c r="B40" s="49" t="inlineStr">
        <is>
          <t>UPI/P2A/419032821898/KAMINI  MIHANI  95279/cream/State Bank Of India</t>
        </is>
      </c>
      <c r="C40" s="49" t="inlineStr">
        <is>
          <t>-</t>
        </is>
      </c>
      <c r="D40" s="48" t="n">
        <v>45481</v>
      </c>
      <c r="E40" s="49" t="n">
        <v>650</v>
      </c>
      <c r="F40" s="49" t="n">
        <v>0</v>
      </c>
      <c r="G40" s="49" t="n">
        <v>38114.54</v>
      </c>
      <c r="H40" s="49" t="inlineStr">
        <is>
          <t>Kamini  Mihani  95279</t>
        </is>
      </c>
      <c r="I40" s="49" t="inlineStr">
        <is>
          <t>UPI</t>
        </is>
      </c>
      <c r="J40" s="49" t="inlineStr">
        <is>
          <t>UPI Payment</t>
        </is>
      </c>
      <c r="K40" s="49" t="inlineStr">
        <is>
          <t>Personal</t>
        </is>
      </c>
      <c r="L40" s="50" t="n">
        <v>0.55</v>
      </c>
      <c r="M40" s="49" t="inlineStr">
        <is>
          <t>[MATCH]</t>
        </is>
      </c>
    </row>
    <row r="41">
      <c r="A41" s="46" t="n">
        <v>45484</v>
      </c>
      <c r="B41" s="47" t="inlineStr">
        <is>
          <t>UPI/P2A/419395681329/BHUTADA S/Bank of B/Payment/</t>
        </is>
      </c>
      <c r="C41" s="47" t="inlineStr">
        <is>
          <t>-</t>
        </is>
      </c>
      <c r="D41" s="46" t="n">
        <v>45484</v>
      </c>
      <c r="E41" s="47" t="n">
        <v>0</v>
      </c>
      <c r="F41" s="47" t="n">
        <v>1000</v>
      </c>
      <c r="G41" s="47" t="n">
        <v>39114.54</v>
      </c>
      <c r="H41" s="47" t="inlineStr"/>
      <c r="I41" s="47" t="inlineStr">
        <is>
          <t>UPI</t>
        </is>
      </c>
      <c r="J41" s="47" t="inlineStr">
        <is>
          <t>Received - Bhutada S</t>
        </is>
      </c>
      <c r="K41" s="47" t="inlineStr">
        <is>
          <t>Personal</t>
        </is>
      </c>
      <c r="L41" s="27" t="n">
        <v>0.55</v>
      </c>
      <c r="M41" s="47" t="inlineStr">
        <is>
          <t>[DIFF]</t>
        </is>
      </c>
    </row>
    <row r="42">
      <c r="A42" s="51" t="n">
        <v>45484</v>
      </c>
      <c r="B42" s="52" t="inlineStr">
        <is>
          <t>UPI/P2M/419362096628/SHIVBHOLA VEGETABLE E/vegeta/Yes Bank Ltd</t>
        </is>
      </c>
      <c r="C42" s="52" t="inlineStr">
        <is>
          <t>-</t>
        </is>
      </c>
      <c r="D42" s="51" t="n">
        <v>45484</v>
      </c>
      <c r="E42" s="52" t="n">
        <v>25</v>
      </c>
      <c r="F42" s="52" t="n">
        <v>0</v>
      </c>
      <c r="G42" s="52" t="n">
        <v>39089.54</v>
      </c>
      <c r="H42" s="52" t="inlineStr"/>
      <c r="I42" s="52" t="inlineStr">
        <is>
          <t>UPI</t>
        </is>
      </c>
      <c r="J42" s="52" t="inlineStr">
        <is>
          <t>UPI - Fresh Produce</t>
        </is>
      </c>
      <c r="K42" s="52" t="inlineStr">
        <is>
          <t>Groceries</t>
        </is>
      </c>
      <c r="L42" s="53" t="n">
        <v>0.82</v>
      </c>
      <c r="M42" s="52" t="inlineStr">
        <is>
          <t>[MATCH]</t>
        </is>
      </c>
    </row>
    <row r="43">
      <c r="A43" s="46" t="n">
        <v>45484</v>
      </c>
      <c r="B43" s="47" t="inlineStr">
        <is>
          <t>UPI/P2A/419342818267/ADITYA DH/Axis Bank/Payment/</t>
        </is>
      </c>
      <c r="C43" s="47" t="inlineStr">
        <is>
          <t>-</t>
        </is>
      </c>
      <c r="D43" s="46" t="n">
        <v>45484</v>
      </c>
      <c r="E43" s="47" t="n">
        <v>0</v>
      </c>
      <c r="F43" s="47" t="n">
        <v>1000</v>
      </c>
      <c r="G43" s="47" t="n">
        <v>40089.54</v>
      </c>
      <c r="H43" s="47" t="inlineStr"/>
      <c r="I43" s="47" t="inlineStr">
        <is>
          <t>UPI</t>
        </is>
      </c>
      <c r="J43" s="47" t="inlineStr">
        <is>
          <t>Received - Aditya Dh</t>
        </is>
      </c>
      <c r="K43" s="47" t="inlineStr">
        <is>
          <t>Personal</t>
        </is>
      </c>
      <c r="L43" s="27" t="n">
        <v>0.55</v>
      </c>
      <c r="M43" s="47" t="inlineStr">
        <is>
          <t>[DIFF]</t>
        </is>
      </c>
    </row>
    <row r="44">
      <c r="A44" s="48" t="n">
        <v>45489</v>
      </c>
      <c r="B44" s="49" t="inlineStr">
        <is>
          <t>UPI/P2A/419895360581/BHARTI RATAN DEVNANI /UPI/Union Bank of India</t>
        </is>
      </c>
      <c r="C44" s="49" t="inlineStr">
        <is>
          <t>-</t>
        </is>
      </c>
      <c r="D44" s="48" t="n">
        <v>45489</v>
      </c>
      <c r="E44" s="49" t="n">
        <v>320</v>
      </c>
      <c r="F44" s="49" t="n">
        <v>0</v>
      </c>
      <c r="G44" s="49" t="n">
        <v>39769.54</v>
      </c>
      <c r="H44" s="49" t="inlineStr">
        <is>
          <t>Bharti Ratan Devnani</t>
        </is>
      </c>
      <c r="I44" s="49" t="inlineStr">
        <is>
          <t>UPI</t>
        </is>
      </c>
      <c r="J44" s="49" t="inlineStr">
        <is>
          <t>UPI Payment</t>
        </is>
      </c>
      <c r="K44" s="49" t="inlineStr">
        <is>
          <t>Personal</t>
        </is>
      </c>
      <c r="L44" s="50" t="n">
        <v>0.55</v>
      </c>
      <c r="M44" s="49" t="inlineStr">
        <is>
          <t>[MATCH]</t>
        </is>
      </c>
    </row>
    <row r="45">
      <c r="A45" s="38" t="n">
        <v>45490</v>
      </c>
      <c r="B45" s="39" t="inlineStr">
        <is>
          <t>GST @18% on MAB Charge</t>
        </is>
      </c>
      <c r="C45" s="39" t="inlineStr">
        <is>
          <t>-</t>
        </is>
      </c>
      <c r="D45" s="38" t="n">
        <v>45490</v>
      </c>
      <c r="E45" s="39" t="n">
        <v>108</v>
      </c>
      <c r="F45" s="39" t="n">
        <v>0</v>
      </c>
      <c r="G45" s="39" t="n">
        <v>39661.54</v>
      </c>
      <c r="H45" s="39" t="inlineStr"/>
      <c r="I45" s="39" t="inlineStr">
        <is>
          <t>Bank Charges</t>
        </is>
      </c>
      <c r="J45" s="39" t="inlineStr">
        <is>
          <t>Bank Charges</t>
        </is>
      </c>
      <c r="K45" s="39" t="inlineStr">
        <is>
          <t>Bank Charges</t>
        </is>
      </c>
      <c r="L45" s="32" t="n">
        <v>0.88</v>
      </c>
      <c r="M45" s="39" t="inlineStr">
        <is>
          <t>[MATCH]</t>
        </is>
      </c>
    </row>
    <row r="46">
      <c r="A46" s="38" t="n">
        <v>45490</v>
      </c>
      <c r="B46" s="39" t="inlineStr">
        <is>
          <t>Non-Maint Avg bal chgs May2024</t>
        </is>
      </c>
      <c r="C46" s="39" t="inlineStr">
        <is>
          <t>-</t>
        </is>
      </c>
      <c r="D46" s="38" t="n">
        <v>45490</v>
      </c>
      <c r="E46" s="39" t="n">
        <v>600</v>
      </c>
      <c r="F46" s="39" t="n">
        <v>0</v>
      </c>
      <c r="G46" s="39" t="n">
        <v>39061.54</v>
      </c>
      <c r="H46" s="39" t="inlineStr"/>
      <c r="I46" s="39" t="inlineStr">
        <is>
          <t>Bank Charges</t>
        </is>
      </c>
      <c r="J46" s="39" t="inlineStr">
        <is>
          <t>Bank Charges</t>
        </is>
      </c>
      <c r="K46" s="39" t="inlineStr">
        <is>
          <t>Bank Charges</t>
        </is>
      </c>
      <c r="L46" s="32" t="n">
        <v>0.88</v>
      </c>
      <c r="M46" s="39" t="inlineStr">
        <is>
          <t>[MATCH]</t>
        </is>
      </c>
    </row>
    <row r="47">
      <c r="A47" s="42" t="n">
        <v>45491</v>
      </c>
      <c r="B47" s="43" t="inlineStr">
        <is>
          <t>ACH-CR-HDFC LIFE INSURANCE-NACH-00000000000005531</t>
        </is>
      </c>
      <c r="C47" s="43" t="inlineStr">
        <is>
          <t>-</t>
        </is>
      </c>
      <c r="D47" s="42" t="n">
        <v>45491</v>
      </c>
      <c r="E47" s="43" t="n">
        <v>0</v>
      </c>
      <c r="F47" s="43" t="n">
        <v>50</v>
      </c>
      <c r="G47" s="43" t="n">
        <v>39111.54</v>
      </c>
      <c r="H47" s="43" t="inlineStr"/>
      <c r="I47" s="43" t="inlineStr">
        <is>
          <t>Dividend Income</t>
        </is>
      </c>
      <c r="J47" s="43" t="inlineStr">
        <is>
          <t>Dividend Income</t>
        </is>
      </c>
      <c r="K47" s="43" t="inlineStr">
        <is>
          <t>Dividend Income</t>
        </is>
      </c>
      <c r="L47" s="32" t="n">
        <v>0.85</v>
      </c>
      <c r="M47" s="43" t="inlineStr">
        <is>
          <t>[MATCH]</t>
        </is>
      </c>
    </row>
    <row r="48">
      <c r="A48" s="48" t="n">
        <v>45492</v>
      </c>
      <c r="B48" s="49" t="inlineStr">
        <is>
          <t>UPI/P2M/420154995267/MADHURI SEN          /parlou/Axis Bank Ltd.</t>
        </is>
      </c>
      <c r="C48" s="49" t="inlineStr">
        <is>
          <t>-</t>
        </is>
      </c>
      <c r="D48" s="48" t="n">
        <v>45492</v>
      </c>
      <c r="E48" s="49" t="n">
        <v>1000</v>
      </c>
      <c r="F48" s="49" t="n">
        <v>0</v>
      </c>
      <c r="G48" s="49" t="n">
        <v>38111.54</v>
      </c>
      <c r="H48" s="49" t="inlineStr">
        <is>
          <t>Madhuri Sen</t>
        </is>
      </c>
      <c r="I48" s="49" t="inlineStr">
        <is>
          <t>UPI</t>
        </is>
      </c>
      <c r="J48" s="49" t="inlineStr">
        <is>
          <t>UPI Payment</t>
        </is>
      </c>
      <c r="K48" s="49" t="inlineStr">
        <is>
          <t>Personal</t>
        </is>
      </c>
      <c r="L48" s="50" t="n">
        <v>0.55</v>
      </c>
      <c r="M48" s="49" t="inlineStr">
        <is>
          <t>[MATCH]</t>
        </is>
      </c>
    </row>
    <row r="49">
      <c r="A49" s="46" t="n">
        <v>45494</v>
      </c>
      <c r="B49" s="47" t="inlineStr">
        <is>
          <t>UPI/P2A/420322676433/PRITI MUK/HDFC BANK/Payment/</t>
        </is>
      </c>
      <c r="C49" s="47" t="inlineStr">
        <is>
          <t>-</t>
        </is>
      </c>
      <c r="D49" s="46" t="n">
        <v>45494</v>
      </c>
      <c r="E49" s="47" t="n">
        <v>0</v>
      </c>
      <c r="F49" s="47" t="n">
        <v>150</v>
      </c>
      <c r="G49" s="47" t="n">
        <v>38261.54</v>
      </c>
      <c r="H49" s="47" t="inlineStr"/>
      <c r="I49" s="47" t="inlineStr">
        <is>
          <t>UPI</t>
        </is>
      </c>
      <c r="J49" s="47" t="inlineStr">
        <is>
          <t>Received - Priti Muk</t>
        </is>
      </c>
      <c r="K49" s="47" t="inlineStr">
        <is>
          <t>Personal</t>
        </is>
      </c>
      <c r="L49" s="27" t="n">
        <v>0.55</v>
      </c>
      <c r="M49" s="47" t="inlineStr">
        <is>
          <t>[DIFF]</t>
        </is>
      </c>
    </row>
    <row r="50">
      <c r="A50" s="48" t="n">
        <v>45494</v>
      </c>
      <c r="B50" s="49" t="inlineStr">
        <is>
          <t>UPI/P2A/420369431939/KAMINI  MIHANI  95279/parlou/State Bank Of India</t>
        </is>
      </c>
      <c r="C50" s="49" t="inlineStr">
        <is>
          <t>-</t>
        </is>
      </c>
      <c r="D50" s="48" t="n">
        <v>45494</v>
      </c>
      <c r="E50" s="49" t="n">
        <v>600</v>
      </c>
      <c r="F50" s="49" t="n">
        <v>0</v>
      </c>
      <c r="G50" s="49" t="n">
        <v>37661.54</v>
      </c>
      <c r="H50" s="49" t="inlineStr">
        <is>
          <t>Kamini  Mihani  95279</t>
        </is>
      </c>
      <c r="I50" s="49" t="inlineStr">
        <is>
          <t>UPI</t>
        </is>
      </c>
      <c r="J50" s="49" t="inlineStr">
        <is>
          <t>UPI Payment</t>
        </is>
      </c>
      <c r="K50" s="49" t="inlineStr">
        <is>
          <t>Personal</t>
        </is>
      </c>
      <c r="L50" s="50" t="n">
        <v>0.55</v>
      </c>
      <c r="M50" s="49" t="inlineStr">
        <is>
          <t>[MATCH]</t>
        </is>
      </c>
    </row>
    <row r="51">
      <c r="A51" s="48" t="n">
        <v>45494</v>
      </c>
      <c r="B51" s="49" t="inlineStr">
        <is>
          <t>UPI/P2A/456924153221/ADITI  GUPTA         /rumal/State Bank Of India</t>
        </is>
      </c>
      <c r="C51" s="49" t="inlineStr">
        <is>
          <t>-</t>
        </is>
      </c>
      <c r="D51" s="48" t="n">
        <v>45494</v>
      </c>
      <c r="E51" s="49" t="n">
        <v>420</v>
      </c>
      <c r="F51" s="49" t="n">
        <v>0</v>
      </c>
      <c r="G51" s="49" t="n">
        <v>37241.54</v>
      </c>
      <c r="H51" s="49" t="inlineStr">
        <is>
          <t>Aditi  Gupta</t>
        </is>
      </c>
      <c r="I51" s="49" t="inlineStr">
        <is>
          <t>UPI</t>
        </is>
      </c>
      <c r="J51" s="49" t="inlineStr">
        <is>
          <t>UPI Payment</t>
        </is>
      </c>
      <c r="K51" s="49" t="inlineStr">
        <is>
          <t>Personal</t>
        </is>
      </c>
      <c r="L51" s="50" t="n">
        <v>0.55</v>
      </c>
      <c r="M51" s="49" t="inlineStr">
        <is>
          <t>[MATCH]</t>
        </is>
      </c>
    </row>
    <row r="52">
      <c r="A52" s="46" t="n">
        <v>45498</v>
      </c>
      <c r="B52" s="47" t="inlineStr">
        <is>
          <t>UPI/P2A/420791199151/DEEPALI A/HDFC BANK/Payment/</t>
        </is>
      </c>
      <c r="C52" s="47" t="inlineStr">
        <is>
          <t>-</t>
        </is>
      </c>
      <c r="D52" s="46" t="n">
        <v>45498</v>
      </c>
      <c r="E52" s="47" t="n">
        <v>0</v>
      </c>
      <c r="F52" s="47" t="n">
        <v>1000</v>
      </c>
      <c r="G52" s="47" t="n">
        <v>38241.54</v>
      </c>
      <c r="H52" s="47" t="inlineStr"/>
      <c r="I52" s="47" t="inlineStr">
        <is>
          <t>UPI</t>
        </is>
      </c>
      <c r="J52" s="47" t="inlineStr">
        <is>
          <t>Received - Deepali A</t>
        </is>
      </c>
      <c r="K52" s="47" t="inlineStr">
        <is>
          <t>Personal</t>
        </is>
      </c>
      <c r="L52" s="27" t="n">
        <v>0.55</v>
      </c>
      <c r="M52" s="47" t="inlineStr">
        <is>
          <t>[DIFF]</t>
        </is>
      </c>
    </row>
    <row r="53">
      <c r="A53" s="54" t="n">
        <v>45498</v>
      </c>
      <c r="B53" s="55" t="inlineStr">
        <is>
          <t>UPI/P2M/420734844951/IRCTC CF             /IRCTC/HDFC BANK LTD</t>
        </is>
      </c>
      <c r="C53" s="55" t="inlineStr">
        <is>
          <t>-</t>
        </is>
      </c>
      <c r="D53" s="54" t="n">
        <v>45498</v>
      </c>
      <c r="E53" s="55" t="n">
        <v>407.25</v>
      </c>
      <c r="F53" s="55" t="n">
        <v>0</v>
      </c>
      <c r="G53" s="55" t="n">
        <v>37834.29</v>
      </c>
      <c r="H53" s="55" t="inlineStr"/>
      <c r="I53" s="55" t="inlineStr">
        <is>
          <t>UPI</t>
        </is>
      </c>
      <c r="J53" s="55" t="inlineStr">
        <is>
          <t>UPI - IRCTC</t>
        </is>
      </c>
      <c r="K53" s="55" t="inlineStr">
        <is>
          <t>Travel</t>
        </is>
      </c>
      <c r="L53" s="53" t="n">
        <v>0.68</v>
      </c>
      <c r="M53" s="55" t="inlineStr">
        <is>
          <t>[MATCH]</t>
        </is>
      </c>
    </row>
    <row r="54">
      <c r="A54" s="42" t="n">
        <v>45504</v>
      </c>
      <c r="B54" s="43" t="inlineStr">
        <is>
          <t>ACH-CR-SHRDCCLFnl202324-NACH-00000000000000067267</t>
        </is>
      </c>
      <c r="C54" s="43" t="inlineStr">
        <is>
          <t>-</t>
        </is>
      </c>
      <c r="D54" s="42" t="n">
        <v>45504</v>
      </c>
      <c r="E54" s="43" t="n">
        <v>0</v>
      </c>
      <c r="F54" s="43" t="n">
        <v>900</v>
      </c>
      <c r="G54" s="43" t="n">
        <v>38734.29</v>
      </c>
      <c r="H54" s="43" t="inlineStr"/>
      <c r="I54" s="43" t="inlineStr">
        <is>
          <t>Dividend Income</t>
        </is>
      </c>
      <c r="J54" s="43" t="inlineStr">
        <is>
          <t>Dividend Income</t>
        </is>
      </c>
      <c r="K54" s="43" t="inlineStr">
        <is>
          <t>Dividend Income</t>
        </is>
      </c>
      <c r="L54" s="32" t="n">
        <v>0.85</v>
      </c>
      <c r="M54" s="43" t="inlineStr">
        <is>
          <t>[MATCH]</t>
        </is>
      </c>
    </row>
    <row r="55">
      <c r="A55" s="28" t="n">
        <v>45507</v>
      </c>
      <c r="B55" s="29" t="inlineStr">
        <is>
          <t>NEFT/YESF342160112723/ZERODHA BROKING LTD-DSCNB A//YES BANK/ae4b1fbf69 Zerodha payout</t>
        </is>
      </c>
      <c r="C55" s="29" t="inlineStr">
        <is>
          <t>-</t>
        </is>
      </c>
      <c r="D55" s="28" t="n">
        <v>45507</v>
      </c>
      <c r="E55" s="29" t="n">
        <v>0</v>
      </c>
      <c r="F55" s="29" t="n">
        <v>25000</v>
      </c>
      <c r="G55" s="29" t="n">
        <v>63734.29</v>
      </c>
      <c r="H55" s="29" t="inlineStr"/>
      <c r="I55" s="29" t="inlineStr">
        <is>
          <t>Zerodha</t>
        </is>
      </c>
      <c r="J55" s="29" t="inlineStr">
        <is>
          <t>NEFT Transfer</t>
        </is>
      </c>
      <c r="K55" s="29" t="inlineStr">
        <is>
          <t>Transfer</t>
        </is>
      </c>
      <c r="L55" s="24" t="n">
        <v>0.7</v>
      </c>
      <c r="M55" s="29" t="inlineStr">
        <is>
          <t>[DIFF]</t>
        </is>
      </c>
    </row>
    <row r="56">
      <c r="A56" s="56" t="n">
        <v>45510</v>
      </c>
      <c r="B56" s="57" t="inlineStr">
        <is>
          <t>UPI/P2M/458538155643/Flipkart Payments    /UPI/Yes Bank Ltd</t>
        </is>
      </c>
      <c r="C56" s="57" t="inlineStr">
        <is>
          <t>-</t>
        </is>
      </c>
      <c r="D56" s="56" t="n">
        <v>45510</v>
      </c>
      <c r="E56" s="57" t="n">
        <v>1519</v>
      </c>
      <c r="F56" s="57" t="n">
        <v>0</v>
      </c>
      <c r="G56" s="57" t="n">
        <v>62215.29</v>
      </c>
      <c r="H56" s="57" t="inlineStr"/>
      <c r="I56" s="57" t="inlineStr">
        <is>
          <t>UPI</t>
        </is>
      </c>
      <c r="J56" s="57" t="inlineStr">
        <is>
          <t>UPI - Flipkart</t>
        </is>
      </c>
      <c r="K56" s="57" t="inlineStr">
        <is>
          <t>Shopping</t>
        </is>
      </c>
      <c r="L56" s="53" t="n">
        <v>0.68</v>
      </c>
      <c r="M56" s="57" t="inlineStr">
        <is>
          <t>[MATCH]</t>
        </is>
      </c>
    </row>
    <row r="57">
      <c r="A57" s="48" t="n">
        <v>45516</v>
      </c>
      <c r="B57" s="49" t="inlineStr">
        <is>
          <t>UPI/P2A/422527945475/BHARTI RATAN DEVNANI /tiffin/Union Bank of India</t>
        </is>
      </c>
      <c r="C57" s="49" t="inlineStr">
        <is>
          <t>-</t>
        </is>
      </c>
      <c r="D57" s="48" t="n">
        <v>45516</v>
      </c>
      <c r="E57" s="49" t="n">
        <v>400</v>
      </c>
      <c r="F57" s="49" t="n">
        <v>0</v>
      </c>
      <c r="G57" s="49" t="n">
        <v>61815.29</v>
      </c>
      <c r="H57" s="49" t="inlineStr">
        <is>
          <t>Bharti Ratan Devnani</t>
        </is>
      </c>
      <c r="I57" s="49" t="inlineStr">
        <is>
          <t>UPI</t>
        </is>
      </c>
      <c r="J57" s="49" t="inlineStr">
        <is>
          <t>UPI Payment</t>
        </is>
      </c>
      <c r="K57" s="49" t="inlineStr">
        <is>
          <t>Personal</t>
        </is>
      </c>
      <c r="L57" s="50" t="n">
        <v>0.55</v>
      </c>
      <c r="M57" s="49" t="inlineStr">
        <is>
          <t>[MATCH]</t>
        </is>
      </c>
    </row>
    <row r="58">
      <c r="A58" s="38" t="n">
        <v>45518</v>
      </c>
      <c r="B58" s="39" t="inlineStr">
        <is>
          <t>GST @18% on MAB Charge</t>
        </is>
      </c>
      <c r="C58" s="39" t="inlineStr">
        <is>
          <t>-</t>
        </is>
      </c>
      <c r="D58" s="38" t="n">
        <v>45518</v>
      </c>
      <c r="E58" s="39" t="n">
        <v>108</v>
      </c>
      <c r="F58" s="39" t="n">
        <v>0</v>
      </c>
      <c r="G58" s="39" t="n">
        <v>61707.29</v>
      </c>
      <c r="H58" s="39" t="inlineStr"/>
      <c r="I58" s="39" t="inlineStr">
        <is>
          <t>Bank Charges</t>
        </is>
      </c>
      <c r="J58" s="39" t="inlineStr">
        <is>
          <t>Bank Charges</t>
        </is>
      </c>
      <c r="K58" s="39" t="inlineStr">
        <is>
          <t>Bank Charges</t>
        </is>
      </c>
      <c r="L58" s="32" t="n">
        <v>0.88</v>
      </c>
      <c r="M58" s="39" t="inlineStr">
        <is>
          <t>[MATCH]</t>
        </is>
      </c>
    </row>
    <row r="59">
      <c r="A59" s="38" t="n">
        <v>45518</v>
      </c>
      <c r="B59" s="39" t="inlineStr">
        <is>
          <t>Non-Maint Avg bal chgs Jun2024</t>
        </is>
      </c>
      <c r="C59" s="39" t="inlineStr">
        <is>
          <t>-</t>
        </is>
      </c>
      <c r="D59" s="38" t="n">
        <v>45518</v>
      </c>
      <c r="E59" s="39" t="n">
        <v>600</v>
      </c>
      <c r="F59" s="39" t="n">
        <v>0</v>
      </c>
      <c r="G59" s="39" t="n">
        <v>61107.29</v>
      </c>
      <c r="H59" s="39" t="inlineStr"/>
      <c r="I59" s="39" t="inlineStr">
        <is>
          <t>Bank Charges</t>
        </is>
      </c>
      <c r="J59" s="39" t="inlineStr">
        <is>
          <t>Bank Charges</t>
        </is>
      </c>
      <c r="K59" s="39" t="inlineStr">
        <is>
          <t>Bank Charges</t>
        </is>
      </c>
      <c r="L59" s="32" t="n">
        <v>0.88</v>
      </c>
      <c r="M59" s="39" t="inlineStr">
        <is>
          <t>[MATCH]</t>
        </is>
      </c>
    </row>
    <row r="60">
      <c r="A60" s="48" t="n">
        <v>45520</v>
      </c>
      <c r="B60" s="49" t="inlineStr">
        <is>
          <t>UPI/P2A/459516048244/Kriti  Gupta         /rakhi/State Bank Of India</t>
        </is>
      </c>
      <c r="C60" s="49" t="inlineStr">
        <is>
          <t>-</t>
        </is>
      </c>
      <c r="D60" s="48" t="n">
        <v>45520</v>
      </c>
      <c r="E60" s="49" t="n">
        <v>1300</v>
      </c>
      <c r="F60" s="49" t="n">
        <v>0</v>
      </c>
      <c r="G60" s="49" t="n">
        <v>59807.29</v>
      </c>
      <c r="H60" s="49" t="inlineStr">
        <is>
          <t>Kriti  Gupta</t>
        </is>
      </c>
      <c r="I60" s="49" t="inlineStr">
        <is>
          <t>UPI</t>
        </is>
      </c>
      <c r="J60" s="49" t="inlineStr">
        <is>
          <t>UPI Payment</t>
        </is>
      </c>
      <c r="K60" s="49" t="inlineStr">
        <is>
          <t>Personal</t>
        </is>
      </c>
      <c r="L60" s="50" t="n">
        <v>0.55</v>
      </c>
      <c r="M60" s="49" t="inlineStr">
        <is>
          <t>[MATCH]</t>
        </is>
      </c>
    </row>
    <row r="61">
      <c r="A61" s="58" t="n">
        <v>45525</v>
      </c>
      <c r="B61" s="59" t="inlineStr">
        <is>
          <t>Charge Refund: MABPR</t>
        </is>
      </c>
      <c r="C61" s="59" t="inlineStr">
        <is>
          <t>-</t>
        </is>
      </c>
      <c r="D61" s="58" t="n">
        <v>45525</v>
      </c>
      <c r="E61" s="59" t="n">
        <v>0</v>
      </c>
      <c r="F61" s="59" t="n">
        <v>600</v>
      </c>
      <c r="G61" s="59" t="n">
        <v>60407.29</v>
      </c>
      <c r="H61" s="59" t="inlineStr"/>
      <c r="I61" s="59" t="inlineStr">
        <is>
          <t>Bank Charges</t>
        </is>
      </c>
      <c r="J61" s="59" t="inlineStr">
        <is>
          <t>Misc Income</t>
        </is>
      </c>
      <c r="K61" s="59" t="inlineStr">
        <is>
          <t>Misc Income</t>
        </is>
      </c>
      <c r="L61" s="24" t="n">
        <v>0.7</v>
      </c>
      <c r="M61" s="59" t="inlineStr">
        <is>
          <t>[DIFF]</t>
        </is>
      </c>
    </row>
    <row r="62">
      <c r="A62" s="60" t="n">
        <v>45529</v>
      </c>
      <c r="B62" s="61" t="inlineStr">
        <is>
          <t>UPI/P2M/423838369708/Meesho               /UPI In/Yes Bank Ltd</t>
        </is>
      </c>
      <c r="C62" s="61" t="inlineStr">
        <is>
          <t>-</t>
        </is>
      </c>
      <c r="D62" s="60" t="n">
        <v>45529</v>
      </c>
      <c r="E62" s="61" t="n">
        <v>127</v>
      </c>
      <c r="F62" s="61" t="n">
        <v>0</v>
      </c>
      <c r="G62" s="61" t="n">
        <v>60280.29</v>
      </c>
      <c r="H62" s="61" t="inlineStr"/>
      <c r="I62" s="61" t="inlineStr">
        <is>
          <t>UPI</t>
        </is>
      </c>
      <c r="J62" s="61" t="inlineStr">
        <is>
          <t>UPI - Meesho</t>
        </is>
      </c>
      <c r="K62" s="61" t="inlineStr">
        <is>
          <t>Shopping</t>
        </is>
      </c>
      <c r="L62" s="53" t="n">
        <v>0.68</v>
      </c>
      <c r="M62" s="61" t="inlineStr">
        <is>
          <t>[MATCH]</t>
        </is>
      </c>
    </row>
    <row r="63">
      <c r="A63" s="33" t="n">
        <v>45529</v>
      </c>
      <c r="B63" s="34" t="inlineStr">
        <is>
          <t>NEFT/N238243225110515/SUNITA GUPTA/HDFC BANK/Trf frm HDFC Sunit</t>
        </is>
      </c>
      <c r="C63" s="34" t="inlineStr">
        <is>
          <t>-</t>
        </is>
      </c>
      <c r="D63" s="33" t="n">
        <v>45529</v>
      </c>
      <c r="E63" s="34" t="n">
        <v>0</v>
      </c>
      <c r="F63" s="34" t="n">
        <v>150000</v>
      </c>
      <c r="G63" s="34" t="n">
        <v>210280.29</v>
      </c>
      <c r="H63" s="34" t="inlineStr"/>
      <c r="I63" s="34" t="inlineStr">
        <is>
          <t>Contra</t>
        </is>
      </c>
      <c r="J63" s="34" t="inlineStr">
        <is>
          <t>Received - Sunita Gupta</t>
        </is>
      </c>
      <c r="K63" s="34" t="inlineStr">
        <is>
          <t>Sunita Gupta</t>
        </is>
      </c>
      <c r="L63" s="35" t="n">
        <v>0.88</v>
      </c>
      <c r="M63" s="34" t="inlineStr">
        <is>
          <t>[DIFF]</t>
        </is>
      </c>
    </row>
    <row r="64">
      <c r="A64" s="28" t="n">
        <v>45530</v>
      </c>
      <c r="B64" s="29" t="inlineStr">
        <is>
          <t>NEFT/YESF342390240804/ZERODHA BROKING LTD-DSCNB A//YES BANK/f940673c85 Zerodha payout</t>
        </is>
      </c>
      <c r="C64" s="29" t="inlineStr">
        <is>
          <t>-</t>
        </is>
      </c>
      <c r="D64" s="28" t="n">
        <v>45530</v>
      </c>
      <c r="E64" s="29" t="n">
        <v>0</v>
      </c>
      <c r="F64" s="29" t="n">
        <v>11206.33</v>
      </c>
      <c r="G64" s="29" t="n">
        <v>221486.62</v>
      </c>
      <c r="H64" s="29" t="inlineStr"/>
      <c r="I64" s="29" t="inlineStr">
        <is>
          <t>Zerodha</t>
        </is>
      </c>
      <c r="J64" s="29" t="inlineStr">
        <is>
          <t>NEFT Transfer</t>
        </is>
      </c>
      <c r="K64" s="29" t="inlineStr">
        <is>
          <t>Transfer</t>
        </is>
      </c>
      <c r="L64" s="24" t="n">
        <v>0.7</v>
      </c>
      <c r="M64" s="29" t="inlineStr">
        <is>
          <t>[DIFF]</t>
        </is>
      </c>
    </row>
    <row r="65">
      <c r="A65" s="48" t="n">
        <v>45538</v>
      </c>
      <c r="B65" s="49" t="inlineStr">
        <is>
          <t>UPI/P2M/424703060377/064101250/Kotak Mah/CHANNEL/TEZ</t>
        </is>
      </c>
      <c r="C65" s="49" t="inlineStr">
        <is>
          <t>-</t>
        </is>
      </c>
      <c r="D65" s="48" t="n">
        <v>45538</v>
      </c>
      <c r="E65" s="49" t="n">
        <v>14696</v>
      </c>
      <c r="F65" s="49" t="n">
        <v>0</v>
      </c>
      <c r="G65" s="49" t="n">
        <v>206790.62</v>
      </c>
      <c r="H65" s="49" t="inlineStr">
        <is>
          <t>P2M</t>
        </is>
      </c>
      <c r="I65" s="49" t="inlineStr">
        <is>
          <t>UPI</t>
        </is>
      </c>
      <c r="J65" s="49" t="inlineStr">
        <is>
          <t>UPI Payment</t>
        </is>
      </c>
      <c r="K65" s="49" t="inlineStr">
        <is>
          <t>Personal</t>
        </is>
      </c>
      <c r="L65" s="50" t="n">
        <v>0.55</v>
      </c>
      <c r="M65" s="49" t="inlineStr">
        <is>
          <t>[MATCH]</t>
        </is>
      </c>
    </row>
    <row r="66">
      <c r="A66" s="46" t="n">
        <v>45538</v>
      </c>
      <c r="B66" s="47" t="inlineStr">
        <is>
          <t>UPI/P2A/424719830314/SHARDA AR/Federal B/UPI/</t>
        </is>
      </c>
      <c r="C66" s="47" t="inlineStr">
        <is>
          <t>-</t>
        </is>
      </c>
      <c r="D66" s="46" t="n">
        <v>45538</v>
      </c>
      <c r="E66" s="47" t="n">
        <v>0</v>
      </c>
      <c r="F66" s="47" t="n">
        <v>230</v>
      </c>
      <c r="G66" s="47" t="n">
        <v>207020.62</v>
      </c>
      <c r="H66" s="47" t="inlineStr"/>
      <c r="I66" s="47" t="inlineStr">
        <is>
          <t>UPI</t>
        </is>
      </c>
      <c r="J66" s="47" t="inlineStr">
        <is>
          <t>Received - Sharda Ar</t>
        </is>
      </c>
      <c r="K66" s="47" t="inlineStr">
        <is>
          <t>Personal</t>
        </is>
      </c>
      <c r="L66" s="27" t="n">
        <v>0.55</v>
      </c>
      <c r="M66" s="47" t="inlineStr">
        <is>
          <t>[DIFF]</t>
        </is>
      </c>
    </row>
    <row r="67">
      <c r="A67" s="46" t="n">
        <v>45540</v>
      </c>
      <c r="B67" s="47" t="inlineStr">
        <is>
          <t>UPI/P2A/424911534092/MANJOOSHA/HDFC BANK/UPI/</t>
        </is>
      </c>
      <c r="C67" s="47" t="inlineStr">
        <is>
          <t>-</t>
        </is>
      </c>
      <c r="D67" s="46" t="n">
        <v>45540</v>
      </c>
      <c r="E67" s="47" t="n">
        <v>0</v>
      </c>
      <c r="F67" s="47" t="n">
        <v>40</v>
      </c>
      <c r="G67" s="47" t="n">
        <v>207060.62</v>
      </c>
      <c r="H67" s="47" t="inlineStr"/>
      <c r="I67" s="47" t="inlineStr">
        <is>
          <t>UPI</t>
        </is>
      </c>
      <c r="J67" s="47" t="inlineStr">
        <is>
          <t>Received - Manjoosha</t>
        </is>
      </c>
      <c r="K67" s="47" t="inlineStr">
        <is>
          <t>Personal</t>
        </is>
      </c>
      <c r="L67" s="27" t="n">
        <v>0.55</v>
      </c>
      <c r="M67" s="47" t="inlineStr">
        <is>
          <t>[DIFF]</t>
        </is>
      </c>
    </row>
    <row r="68">
      <c r="A68" s="28" t="n">
        <v>45541</v>
      </c>
      <c r="B68" s="29" t="inlineStr">
        <is>
          <t>NEFT/YESF342500035924/ZERODHA BROKING LTD-DSCNB A//YES BANK/845c06dd7a Zerodha payout</t>
        </is>
      </c>
      <c r="C68" s="29" t="inlineStr">
        <is>
          <t>-</t>
        </is>
      </c>
      <c r="D68" s="28" t="n">
        <v>45541</v>
      </c>
      <c r="E68" s="29" t="n">
        <v>0</v>
      </c>
      <c r="F68" s="29" t="n">
        <v>19000</v>
      </c>
      <c r="G68" s="29" t="n">
        <v>226060.62</v>
      </c>
      <c r="H68" s="29" t="inlineStr"/>
      <c r="I68" s="29" t="inlineStr">
        <is>
          <t>Zerodha</t>
        </is>
      </c>
      <c r="J68" s="29" t="inlineStr">
        <is>
          <t>NEFT Transfer</t>
        </is>
      </c>
      <c r="K68" s="29" t="inlineStr">
        <is>
          <t>Transfer</t>
        </is>
      </c>
      <c r="L68" s="24" t="n">
        <v>0.7</v>
      </c>
      <c r="M68" s="29" t="inlineStr">
        <is>
          <t>[DIFF]</t>
        </is>
      </c>
    </row>
    <row r="69">
      <c r="A69" s="42" t="n">
        <v>45546</v>
      </c>
      <c r="B69" s="43" t="inlineStr">
        <is>
          <t>MIL DIVIDEND AC/</t>
        </is>
      </c>
      <c r="C69" s="43" t="inlineStr">
        <is>
          <t>-</t>
        </is>
      </c>
      <c r="D69" s="42" t="n">
        <v>45546</v>
      </c>
      <c r="E69" s="43" t="n">
        <v>0</v>
      </c>
      <c r="F69" s="43" t="n">
        <v>10</v>
      </c>
      <c r="G69" s="43" t="n">
        <v>226070.62</v>
      </c>
      <c r="H69" s="43" t="inlineStr"/>
      <c r="I69" s="43" t="inlineStr">
        <is>
          <t>Dividend Income</t>
        </is>
      </c>
      <c r="J69" s="43" t="inlineStr">
        <is>
          <t>Dividend Income</t>
        </is>
      </c>
      <c r="K69" s="43" t="inlineStr">
        <is>
          <t>Dividend Income</t>
        </is>
      </c>
      <c r="L69" s="32" t="n">
        <v>0.85</v>
      </c>
      <c r="M69" s="43" t="inlineStr">
        <is>
          <t>[MATCH]</t>
        </is>
      </c>
    </row>
    <row r="70">
      <c r="A70" s="48" t="n">
        <v>45556</v>
      </c>
      <c r="B70" s="49" t="inlineStr">
        <is>
          <t>UPI/P2A/463116904245/BHARTI RATAN DEVNANI /tiffin/Union Bank of India</t>
        </is>
      </c>
      <c r="C70" s="49" t="inlineStr">
        <is>
          <t>-</t>
        </is>
      </c>
      <c r="D70" s="48" t="n">
        <v>45556</v>
      </c>
      <c r="E70" s="49" t="n">
        <v>310</v>
      </c>
      <c r="F70" s="49" t="n">
        <v>0</v>
      </c>
      <c r="G70" s="49" t="n">
        <v>225760.62</v>
      </c>
      <c r="H70" s="49" t="inlineStr">
        <is>
          <t>Bharti Ratan Devnani</t>
        </is>
      </c>
      <c r="I70" s="49" t="inlineStr">
        <is>
          <t>UPI</t>
        </is>
      </c>
      <c r="J70" s="49" t="inlineStr">
        <is>
          <t>UPI Payment</t>
        </is>
      </c>
      <c r="K70" s="49" t="inlineStr">
        <is>
          <t>Personal</t>
        </is>
      </c>
      <c r="L70" s="50" t="n">
        <v>0.55</v>
      </c>
      <c r="M70" s="49" t="inlineStr">
        <is>
          <t>[MATCH]</t>
        </is>
      </c>
    </row>
    <row r="71">
      <c r="A71" s="48" t="n">
        <v>45557</v>
      </c>
      <c r="B71" s="49" t="inlineStr">
        <is>
          <t>UPI/P2M/463260761650/SHAS                 /Paymen/Yes Bank Ltd</t>
        </is>
      </c>
      <c r="C71" s="49" t="inlineStr">
        <is>
          <t>-</t>
        </is>
      </c>
      <c r="D71" s="48" t="n">
        <v>45557</v>
      </c>
      <c r="E71" s="49" t="n">
        <v>422</v>
      </c>
      <c r="F71" s="49" t="n">
        <v>0</v>
      </c>
      <c r="G71" s="49" t="n">
        <v>225338.62</v>
      </c>
      <c r="H71" s="49" t="inlineStr">
        <is>
          <t>Shas</t>
        </is>
      </c>
      <c r="I71" s="49" t="inlineStr">
        <is>
          <t>UPI</t>
        </is>
      </c>
      <c r="J71" s="49" t="inlineStr">
        <is>
          <t>UPI Payment</t>
        </is>
      </c>
      <c r="K71" s="49" t="inlineStr">
        <is>
          <t>Personal</t>
        </is>
      </c>
      <c r="L71" s="50" t="n">
        <v>0.55</v>
      </c>
      <c r="M71" s="49" t="inlineStr">
        <is>
          <t>[MATCH]</t>
        </is>
      </c>
    </row>
    <row r="72">
      <c r="A72" s="48" t="n">
        <v>45559</v>
      </c>
      <c r="B72" s="49" t="inlineStr">
        <is>
          <t>UPI/P2M/463437357157/SANGITA RAJENDRA MUTH/dentis/Yes Bank Ltd</t>
        </is>
      </c>
      <c r="C72" s="49" t="inlineStr">
        <is>
          <t>-</t>
        </is>
      </c>
      <c r="D72" s="48" t="n">
        <v>45559</v>
      </c>
      <c r="E72" s="49" t="n">
        <v>500</v>
      </c>
      <c r="F72" s="49" t="n">
        <v>0</v>
      </c>
      <c r="G72" s="49" t="n">
        <v>224838.62</v>
      </c>
      <c r="H72" s="49" t="inlineStr">
        <is>
          <t>Sangita Rajendra Muth</t>
        </is>
      </c>
      <c r="I72" s="49" t="inlineStr">
        <is>
          <t>UPI</t>
        </is>
      </c>
      <c r="J72" s="49" t="inlineStr">
        <is>
          <t>UPI Payment</t>
        </is>
      </c>
      <c r="K72" s="49" t="inlineStr">
        <is>
          <t>Personal</t>
        </is>
      </c>
      <c r="L72" s="50" t="n">
        <v>0.55</v>
      </c>
      <c r="M72" s="49" t="inlineStr">
        <is>
          <t>[MATCH]</t>
        </is>
      </c>
    </row>
    <row r="73">
      <c r="A73" s="42" t="n">
        <v>45562</v>
      </c>
      <c r="B73" s="43" t="inlineStr">
        <is>
          <t>ACH-CR-USL FIN DIV 23 24-NACH-23827-23827</t>
        </is>
      </c>
      <c r="C73" s="43" t="inlineStr">
        <is>
          <t>-</t>
        </is>
      </c>
      <c r="D73" s="42" t="n">
        <v>45562</v>
      </c>
      <c r="E73" s="43" t="n">
        <v>0</v>
      </c>
      <c r="F73" s="43" t="n">
        <v>250</v>
      </c>
      <c r="G73" s="43" t="n">
        <v>225088.62</v>
      </c>
      <c r="H73" s="43" t="inlineStr"/>
      <c r="I73" s="43" t="inlineStr">
        <is>
          <t>Dividend Income</t>
        </is>
      </c>
      <c r="J73" s="43" t="inlineStr">
        <is>
          <t>Dividend Income</t>
        </is>
      </c>
      <c r="K73" s="43" t="inlineStr">
        <is>
          <t>Dividend Income</t>
        </is>
      </c>
      <c r="L73" s="32" t="n">
        <v>0.85</v>
      </c>
      <c r="M73" s="43" t="inlineStr">
        <is>
          <t>[MATCH]</t>
        </is>
      </c>
    </row>
    <row r="74">
      <c r="A74" s="48" t="n">
        <v>45563</v>
      </c>
      <c r="B74" s="49" t="inlineStr">
        <is>
          <t>UPI/P2M/463877794818/SANGITA RAJENDRA MUTH/dentis/Yes Bank Ltd</t>
        </is>
      </c>
      <c r="C74" s="49" t="inlineStr">
        <is>
          <t>-</t>
        </is>
      </c>
      <c r="D74" s="48" t="n">
        <v>45563</v>
      </c>
      <c r="E74" s="49" t="n">
        <v>1700</v>
      </c>
      <c r="F74" s="49" t="n">
        <v>0</v>
      </c>
      <c r="G74" s="49" t="n">
        <v>223388.62</v>
      </c>
      <c r="H74" s="49" t="inlineStr">
        <is>
          <t>Sangita Rajendra Muth</t>
        </is>
      </c>
      <c r="I74" s="49" t="inlineStr">
        <is>
          <t>UPI</t>
        </is>
      </c>
      <c r="J74" s="49" t="inlineStr">
        <is>
          <t>UPI Payment</t>
        </is>
      </c>
      <c r="K74" s="49" t="inlineStr">
        <is>
          <t>Personal</t>
        </is>
      </c>
      <c r="L74" s="50" t="n">
        <v>0.55</v>
      </c>
      <c r="M74" s="49" t="inlineStr">
        <is>
          <t>[MATCH]</t>
        </is>
      </c>
    </row>
    <row r="75">
      <c r="A75" s="30" t="n">
        <v>45563</v>
      </c>
      <c r="B75" s="31" t="inlineStr">
        <is>
          <t>ATM-CASH/SBI SHIVAJI NAGAR/NASHIK/280924</t>
        </is>
      </c>
      <c r="C75" s="31" t="inlineStr">
        <is>
          <t>-</t>
        </is>
      </c>
      <c r="D75" s="30" t="n">
        <v>45563</v>
      </c>
      <c r="E75" s="31" t="n">
        <v>10000</v>
      </c>
      <c r="F75" s="31" t="n">
        <v>0</v>
      </c>
      <c r="G75" s="31" t="n">
        <v>213388.62</v>
      </c>
      <c r="H75" s="31" t="inlineStr"/>
      <c r="I75" s="31" t="inlineStr">
        <is>
          <t>ATM Withdrawal</t>
        </is>
      </c>
      <c r="J75" s="31" t="inlineStr">
        <is>
          <t>Cash Withdrawal</t>
        </is>
      </c>
      <c r="K75" s="31" t="inlineStr">
        <is>
          <t>Cash</t>
        </is>
      </c>
      <c r="L75" s="32" t="n">
        <v>0.92</v>
      </c>
      <c r="M75" s="31" t="inlineStr">
        <is>
          <t>[MATCH]</t>
        </is>
      </c>
    </row>
    <row r="76">
      <c r="A76" s="33" t="n">
        <v>45565</v>
      </c>
      <c r="B76" s="34" t="inlineStr">
        <is>
          <t>NEFT/IR/AXOIR27490761713/Sunita Gupta/HDFC BANK/Transfer from Sunita Axis Ban</t>
        </is>
      </c>
      <c r="C76" s="34" t="inlineStr">
        <is>
          <t>-</t>
        </is>
      </c>
      <c r="D76" s="33" t="n">
        <v>45565</v>
      </c>
      <c r="E76" s="34" t="n">
        <v>100000</v>
      </c>
      <c r="F76" s="34" t="n">
        <v>0</v>
      </c>
      <c r="G76" s="34" t="n">
        <v>113388.62</v>
      </c>
      <c r="H76" s="34" t="inlineStr"/>
      <c r="I76" s="34" t="inlineStr">
        <is>
          <t>Contra</t>
        </is>
      </c>
      <c r="J76" s="34" t="inlineStr">
        <is>
          <t>Transfer - Sunita Gupta</t>
        </is>
      </c>
      <c r="K76" s="34" t="inlineStr">
        <is>
          <t>Sunita Gupta</t>
        </is>
      </c>
      <c r="L76" s="35" t="n">
        <v>0.88</v>
      </c>
      <c r="M76" s="34" t="inlineStr">
        <is>
          <t>[DIFF]</t>
        </is>
      </c>
    </row>
    <row r="77">
      <c r="A77" s="40" t="n">
        <v>45566</v>
      </c>
      <c r="B77" s="41" t="inlineStr">
        <is>
          <t>SB:919010088767042:Int.Pd:01-07-2024 to 30-09-2024</t>
        </is>
      </c>
      <c r="C77" s="41" t="inlineStr">
        <is>
          <t>-</t>
        </is>
      </c>
      <c r="D77" s="40" t="n">
        <v>45566</v>
      </c>
      <c r="E77" s="41" t="n">
        <v>0</v>
      </c>
      <c r="F77" s="41" t="n">
        <v>881</v>
      </c>
      <c r="G77" s="41" t="n">
        <v>114269.62</v>
      </c>
      <c r="H77" s="41" t="inlineStr"/>
      <c r="I77" s="41" t="inlineStr">
        <is>
          <t>Bank Interest</t>
        </is>
      </c>
      <c r="J77" s="41" t="inlineStr">
        <is>
          <t>Bank Interest</t>
        </is>
      </c>
      <c r="K77" s="41" t="inlineStr">
        <is>
          <t>Bank Interest</t>
        </is>
      </c>
      <c r="L77" s="32" t="n">
        <v>0.93</v>
      </c>
      <c r="M77" s="41" t="inlineStr">
        <is>
          <t>[MATCH]</t>
        </is>
      </c>
    </row>
    <row r="78">
      <c r="A78" s="28" t="n">
        <v>45568</v>
      </c>
      <c r="B78" s="29" t="inlineStr">
        <is>
          <t>NEFT/YESF342771615268/ZERODHA BROKING LTD-DSCNB A//YES BANK/9e2d83f3e8 Zerodha payout</t>
        </is>
      </c>
      <c r="C78" s="29" t="inlineStr">
        <is>
          <t>-</t>
        </is>
      </c>
      <c r="D78" s="28" t="n">
        <v>45568</v>
      </c>
      <c r="E78" s="29" t="n">
        <v>0</v>
      </c>
      <c r="F78" s="29" t="n">
        <v>39310.75</v>
      </c>
      <c r="G78" s="29" t="n">
        <v>153580.37</v>
      </c>
      <c r="H78" s="29" t="inlineStr"/>
      <c r="I78" s="29" t="inlineStr">
        <is>
          <t>Zerodha</t>
        </is>
      </c>
      <c r="J78" s="29" t="inlineStr">
        <is>
          <t>NEFT Transfer</t>
        </is>
      </c>
      <c r="K78" s="29" t="inlineStr">
        <is>
          <t>Transfer</t>
        </is>
      </c>
      <c r="L78" s="24" t="n">
        <v>0.7</v>
      </c>
      <c r="M78" s="29" t="inlineStr">
        <is>
          <t>[DIFF]</t>
        </is>
      </c>
    </row>
    <row r="79">
      <c r="A79" s="48" t="n">
        <v>45581</v>
      </c>
      <c r="B79" s="49" t="inlineStr">
        <is>
          <t>UPI/P2A/465679437892/ASHWINI HEMANT PATIL /kitty/State Bank Of India</t>
        </is>
      </c>
      <c r="C79" s="49" t="inlineStr">
        <is>
          <t>-</t>
        </is>
      </c>
      <c r="D79" s="48" t="n">
        <v>45581</v>
      </c>
      <c r="E79" s="49" t="n">
        <v>5000</v>
      </c>
      <c r="F79" s="49" t="n">
        <v>0</v>
      </c>
      <c r="G79" s="49" t="n">
        <v>148580.37</v>
      </c>
      <c r="H79" s="49" t="inlineStr">
        <is>
          <t>Ashwini Hemant Patil</t>
        </is>
      </c>
      <c r="I79" s="49" t="inlineStr">
        <is>
          <t>UPI</t>
        </is>
      </c>
      <c r="J79" s="49" t="inlineStr">
        <is>
          <t>UPI Payment</t>
        </is>
      </c>
      <c r="K79" s="49" t="inlineStr">
        <is>
          <t>Personal</t>
        </is>
      </c>
      <c r="L79" s="50" t="n">
        <v>0.55</v>
      </c>
      <c r="M79" s="49" t="inlineStr">
        <is>
          <t>[MATCH]</t>
        </is>
      </c>
    </row>
    <row r="80">
      <c r="A80" s="48" t="n">
        <v>45586</v>
      </c>
      <c r="B80" s="49" t="inlineStr">
        <is>
          <t>UPI/P2A/429536466098/BHAGAWATI PRASAD MAND/UPI/ICICI Bank</t>
        </is>
      </c>
      <c r="C80" s="49" t="inlineStr">
        <is>
          <t>-</t>
        </is>
      </c>
      <c r="D80" s="48" t="n">
        <v>45586</v>
      </c>
      <c r="E80" s="49" t="n">
        <v>15</v>
      </c>
      <c r="F80" s="49" t="n">
        <v>0</v>
      </c>
      <c r="G80" s="49" t="n">
        <v>148565.37</v>
      </c>
      <c r="H80" s="49" t="inlineStr">
        <is>
          <t>Bhagawati Prasad Mand</t>
        </is>
      </c>
      <c r="I80" s="49" t="inlineStr">
        <is>
          <t>UPI</t>
        </is>
      </c>
      <c r="J80" s="49" t="inlineStr">
        <is>
          <t>UPI Payment</t>
        </is>
      </c>
      <c r="K80" s="49" t="inlineStr">
        <is>
          <t>Personal</t>
        </is>
      </c>
      <c r="L80" s="50" t="n">
        <v>0.55</v>
      </c>
      <c r="M80" s="49" t="inlineStr">
        <is>
          <t>[MATCH]</t>
        </is>
      </c>
    </row>
    <row r="81">
      <c r="A81" s="48" t="n">
        <v>45589</v>
      </c>
      <c r="B81" s="49" t="inlineStr">
        <is>
          <t>UPI/P2M/466409647719/REET FASHION         /UPI/Yes Bank Ltd</t>
        </is>
      </c>
      <c r="C81" s="49" t="inlineStr">
        <is>
          <t>-</t>
        </is>
      </c>
      <c r="D81" s="48" t="n">
        <v>45589</v>
      </c>
      <c r="E81" s="49" t="n">
        <v>7000</v>
      </c>
      <c r="F81" s="49" t="n">
        <v>0</v>
      </c>
      <c r="G81" s="49" t="n">
        <v>141565.37</v>
      </c>
      <c r="H81" s="49" t="inlineStr">
        <is>
          <t>Reet Fashion</t>
        </is>
      </c>
      <c r="I81" s="49" t="inlineStr">
        <is>
          <t>UPI</t>
        </is>
      </c>
      <c r="J81" s="49" t="inlineStr">
        <is>
          <t>UPI Payment</t>
        </is>
      </c>
      <c r="K81" s="49" t="inlineStr">
        <is>
          <t>Personal</t>
        </is>
      </c>
      <c r="L81" s="50" t="n">
        <v>0.55</v>
      </c>
      <c r="M81" s="49" t="inlineStr">
        <is>
          <t>[MATCH]</t>
        </is>
      </c>
    </row>
    <row r="82">
      <c r="A82" s="62" t="n">
        <v>45592</v>
      </c>
      <c r="B82" s="63" t="inlineStr">
        <is>
          <t>INB/IFT/Ajay Kumar Gupta/TPARTY TRANSFER</t>
        </is>
      </c>
      <c r="C82" s="63" t="inlineStr">
        <is>
          <t>-</t>
        </is>
      </c>
      <c r="D82" s="62" t="n">
        <v>45592</v>
      </c>
      <c r="E82" s="63" t="n">
        <v>100000</v>
      </c>
      <c r="F82" s="63" t="n">
        <v>0</v>
      </c>
      <c r="G82" s="63" t="n">
        <v>41565.37</v>
      </c>
      <c r="H82" s="63" t="inlineStr"/>
      <c r="I82" s="63" t="inlineStr">
        <is>
          <t>Transfer to Aayush</t>
        </is>
      </c>
      <c r="J82" s="63" t="inlineStr">
        <is>
          <t>Transfer - Ajay Gupta</t>
        </is>
      </c>
      <c r="K82" s="63" t="inlineStr">
        <is>
          <t>Ajay Gupta</t>
        </is>
      </c>
      <c r="L82" s="35" t="n">
        <v>0.88</v>
      </c>
      <c r="M82" s="63" t="inlineStr">
        <is>
          <t>[DIFF]</t>
        </is>
      </c>
    </row>
    <row r="83">
      <c r="A83" s="64" t="n">
        <v>45594</v>
      </c>
      <c r="B83" s="65" t="inlineStr">
        <is>
          <t>UPI/P2M/430390809811/Zerodha Broking Ltd  /505142/HDFC BANK LTD</t>
        </is>
      </c>
      <c r="C83" s="65" t="inlineStr">
        <is>
          <t>-</t>
        </is>
      </c>
      <c r="D83" s="64" t="n">
        <v>45594</v>
      </c>
      <c r="E83" s="65" t="n">
        <v>25000</v>
      </c>
      <c r="F83" s="65" t="n">
        <v>0</v>
      </c>
      <c r="G83" s="65" t="n">
        <v>16565.37</v>
      </c>
      <c r="H83" s="65" t="inlineStr"/>
      <c r="I83" s="65" t="inlineStr">
        <is>
          <t>UPI</t>
        </is>
      </c>
      <c r="J83" s="65" t="inlineStr">
        <is>
          <t>Zerodha Broking</t>
        </is>
      </c>
      <c r="K83" s="65" t="inlineStr">
        <is>
          <t>Zerodha Broking Limited</t>
        </is>
      </c>
      <c r="L83" s="32" t="n">
        <v>0.88</v>
      </c>
      <c r="M83" s="65" t="inlineStr">
        <is>
          <t>[MATCH]</t>
        </is>
      </c>
    </row>
    <row r="84">
      <c r="A84" s="38" t="n">
        <v>45596</v>
      </c>
      <c r="B84" s="39" t="inlineStr">
        <is>
          <t>Dr Card Charges GST ANNUAL 4153XXXXXXXX5568</t>
        </is>
      </c>
      <c r="C84" s="39" t="inlineStr">
        <is>
          <t>-</t>
        </is>
      </c>
      <c r="D84" s="38" t="n">
        <v>45596</v>
      </c>
      <c r="E84" s="39" t="n">
        <v>590</v>
      </c>
      <c r="F84" s="39" t="n">
        <v>0</v>
      </c>
      <c r="G84" s="39" t="n">
        <v>15975.37</v>
      </c>
      <c r="H84" s="39" t="inlineStr"/>
      <c r="I84" s="39" t="inlineStr">
        <is>
          <t>Bank Charges</t>
        </is>
      </c>
      <c r="J84" s="39" t="inlineStr">
        <is>
          <t>Bank Charges</t>
        </is>
      </c>
      <c r="K84" s="39" t="inlineStr">
        <is>
          <t>Bank Charges</t>
        </is>
      </c>
      <c r="L84" s="32" t="n">
        <v>0.88</v>
      </c>
      <c r="M84" s="39" t="inlineStr">
        <is>
          <t>[MATCH]</t>
        </is>
      </c>
    </row>
    <row r="85">
      <c r="A85" s="28" t="n">
        <v>45597</v>
      </c>
      <c r="B85" s="29" t="inlineStr">
        <is>
          <t>NEFT/YESF343062522862/ZERODHA BROKING LTD-DSCNB A//YES BANK/ad64ca2b52d2cc19a41251 Zerodh</t>
        </is>
      </c>
      <c r="C85" s="29" t="inlineStr">
        <is>
          <t>-</t>
        </is>
      </c>
      <c r="D85" s="28" t="n">
        <v>45597</v>
      </c>
      <c r="E85" s="29" t="n">
        <v>0</v>
      </c>
      <c r="F85" s="29" t="n">
        <v>25000</v>
      </c>
      <c r="G85" s="29" t="n">
        <v>40975.37</v>
      </c>
      <c r="H85" s="29" t="inlineStr"/>
      <c r="I85" s="29" t="inlineStr">
        <is>
          <t>Zerodha</t>
        </is>
      </c>
      <c r="J85" s="29" t="inlineStr">
        <is>
          <t>NEFT Transfer</t>
        </is>
      </c>
      <c r="K85" s="29" t="inlineStr">
        <is>
          <t>Transfer</t>
        </is>
      </c>
      <c r="L85" s="24" t="n">
        <v>0.7</v>
      </c>
      <c r="M85" s="29" t="inlineStr">
        <is>
          <t>[DIFF]</t>
        </is>
      </c>
    </row>
    <row r="86">
      <c r="A86" s="48" t="n">
        <v>45608</v>
      </c>
      <c r="B86" s="49" t="inlineStr">
        <is>
          <t>UPI/P2A/431766739628/BHARTI RATAN DEVNANI /UPI/Union Bank of India</t>
        </is>
      </c>
      <c r="C86" s="49" t="inlineStr">
        <is>
          <t>-</t>
        </is>
      </c>
      <c r="D86" s="48" t="n">
        <v>45608</v>
      </c>
      <c r="E86" s="49" t="n">
        <v>3420</v>
      </c>
      <c r="F86" s="49" t="n">
        <v>0</v>
      </c>
      <c r="G86" s="49" t="n">
        <v>37555.37</v>
      </c>
      <c r="H86" s="49" t="inlineStr">
        <is>
          <t>Bharti Ratan Devnani</t>
        </is>
      </c>
      <c r="I86" s="49" t="inlineStr">
        <is>
          <t>UPI</t>
        </is>
      </c>
      <c r="J86" s="49" t="inlineStr">
        <is>
          <t>UPI Payment</t>
        </is>
      </c>
      <c r="K86" s="49" t="inlineStr">
        <is>
          <t>Personal</t>
        </is>
      </c>
      <c r="L86" s="50" t="n">
        <v>0.55</v>
      </c>
      <c r="M86" s="49" t="inlineStr">
        <is>
          <t>[MATCH]</t>
        </is>
      </c>
    </row>
    <row r="87">
      <c r="A87" s="66" t="n">
        <v>45609</v>
      </c>
      <c r="B87" s="67" t="inlineStr">
        <is>
          <t>UPI/P2A/431861950461/ARCHIT GUPTA         /UPI/AXIS BANK</t>
        </is>
      </c>
      <c r="C87" s="67" t="inlineStr">
        <is>
          <t>-</t>
        </is>
      </c>
      <c r="D87" s="66" t="n">
        <v>45609</v>
      </c>
      <c r="E87" s="67" t="n">
        <v>10000</v>
      </c>
      <c r="F87" s="67" t="n">
        <v>0</v>
      </c>
      <c r="G87" s="67" t="n">
        <v>27555.37</v>
      </c>
      <c r="H87" s="67" t="inlineStr"/>
      <c r="I87" s="67" t="inlineStr">
        <is>
          <t>UPI</t>
        </is>
      </c>
      <c r="J87" s="67" t="inlineStr">
        <is>
          <t>Transfer - Archit Gupta</t>
        </is>
      </c>
      <c r="K87" s="67" t="inlineStr">
        <is>
          <t>Archit Gupta</t>
        </is>
      </c>
      <c r="L87" s="32" t="n">
        <v>0.85</v>
      </c>
      <c r="M87" s="67" t="inlineStr">
        <is>
          <t>[MATCH]</t>
        </is>
      </c>
    </row>
    <row r="88">
      <c r="A88" s="46" t="n">
        <v>45609</v>
      </c>
      <c r="B88" s="47" t="inlineStr">
        <is>
          <t>UPI/P2A/975907133184/GOOGLE IN/AXIS BANK/Rewarded/</t>
        </is>
      </c>
      <c r="C88" s="47" t="inlineStr">
        <is>
          <t>-</t>
        </is>
      </c>
      <c r="D88" s="46" t="n">
        <v>45609</v>
      </c>
      <c r="E88" s="47" t="n">
        <v>0</v>
      </c>
      <c r="F88" s="47" t="n">
        <v>5</v>
      </c>
      <c r="G88" s="47" t="n">
        <v>27560.37</v>
      </c>
      <c r="H88" s="47" t="inlineStr"/>
      <c r="I88" s="47" t="inlineStr">
        <is>
          <t>UPI</t>
        </is>
      </c>
      <c r="J88" s="47" t="inlineStr">
        <is>
          <t>Received - Google In</t>
        </is>
      </c>
      <c r="K88" s="47" t="inlineStr">
        <is>
          <t>Personal</t>
        </is>
      </c>
      <c r="L88" s="27" t="n">
        <v>0.55</v>
      </c>
      <c r="M88" s="47" t="inlineStr">
        <is>
          <t>[DIFF]</t>
        </is>
      </c>
    </row>
    <row r="89">
      <c r="A89" s="68" t="n">
        <v>45609</v>
      </c>
      <c r="B89" s="69" t="inlineStr">
        <is>
          <t>UPI/P2A/431836159142/ARCHIT GU/Axis Bank/UPI/</t>
        </is>
      </c>
      <c r="C89" s="69" t="inlineStr">
        <is>
          <t>-</t>
        </is>
      </c>
      <c r="D89" s="68" t="n">
        <v>45609</v>
      </c>
      <c r="E89" s="69" t="n">
        <v>0</v>
      </c>
      <c r="F89" s="69" t="n">
        <v>10000</v>
      </c>
      <c r="G89" s="69" t="n">
        <v>37560.37</v>
      </c>
      <c r="H89" s="69" t="inlineStr"/>
      <c r="I89" s="69" t="inlineStr">
        <is>
          <t>UPI</t>
        </is>
      </c>
      <c r="J89" s="69" t="inlineStr">
        <is>
          <t>Received - Archit Gupta</t>
        </is>
      </c>
      <c r="K89" s="69" t="inlineStr">
        <is>
          <t>Archit Gupta</t>
        </is>
      </c>
      <c r="L89" s="35" t="n">
        <v>0.85</v>
      </c>
      <c r="M89" s="69" t="inlineStr">
        <is>
          <t>[DIFF]</t>
        </is>
      </c>
    </row>
    <row r="90">
      <c r="A90" s="48" t="n">
        <v>45623</v>
      </c>
      <c r="B90" s="49" t="inlineStr">
        <is>
          <t>UPI/P2M/469858954034/Shiv Shakti Saundarya/jewell/Yes Bank Ltd</t>
        </is>
      </c>
      <c r="C90" s="49" t="inlineStr">
        <is>
          <t>-</t>
        </is>
      </c>
      <c r="D90" s="48" t="n">
        <v>45623</v>
      </c>
      <c r="E90" s="49" t="n">
        <v>2280</v>
      </c>
      <c r="F90" s="49" t="n">
        <v>0</v>
      </c>
      <c r="G90" s="49" t="n">
        <v>35280.37</v>
      </c>
      <c r="H90" s="49" t="inlineStr">
        <is>
          <t>Shiv Shakti Saundarya</t>
        </is>
      </c>
      <c r="I90" s="49" t="inlineStr">
        <is>
          <t>UPI</t>
        </is>
      </c>
      <c r="J90" s="49" t="inlineStr">
        <is>
          <t>UPI Payment</t>
        </is>
      </c>
      <c r="K90" s="49" t="inlineStr">
        <is>
          <t>Personal</t>
        </is>
      </c>
      <c r="L90" s="50" t="n">
        <v>0.55</v>
      </c>
      <c r="M90" s="49" t="inlineStr">
        <is>
          <t>[MATCH]</t>
        </is>
      </c>
    </row>
    <row r="91">
      <c r="A91" s="70" t="n">
        <v>45635</v>
      </c>
      <c r="B91" s="71" t="inlineStr">
        <is>
          <t>UPI/P2M/471025503720/GHANSHYAM ABHUSHAN BH/jewell/Yes Bank Ltd</t>
        </is>
      </c>
      <c r="C91" s="71" t="inlineStr">
        <is>
          <t>-</t>
        </is>
      </c>
      <c r="D91" s="70" t="n">
        <v>45635</v>
      </c>
      <c r="E91" s="71" t="n">
        <v>2700</v>
      </c>
      <c r="F91" s="71" t="n">
        <v>0</v>
      </c>
      <c r="G91" s="71" t="n">
        <v>32580.37</v>
      </c>
      <c r="H91" s="71" t="inlineStr"/>
      <c r="I91" s="71" t="inlineStr">
        <is>
          <t>UPI</t>
        </is>
      </c>
      <c r="J91" s="71" t="inlineStr">
        <is>
          <t>Shopping - Jewellery</t>
        </is>
      </c>
      <c r="K91" s="71" t="inlineStr">
        <is>
          <t>Shopping</t>
        </is>
      </c>
      <c r="L91" s="35" t="n">
        <v>0.85</v>
      </c>
      <c r="M91" s="71" t="inlineStr">
        <is>
          <t>[DIFF]</t>
        </is>
      </c>
    </row>
    <row r="92">
      <c r="A92" s="48" t="n">
        <v>45642</v>
      </c>
      <c r="B92" s="49" t="inlineStr">
        <is>
          <t>UPI/P2M/435186763971/SHIVANJALI           /UPI/Yes Bank Ltd</t>
        </is>
      </c>
      <c r="C92" s="49" t="inlineStr">
        <is>
          <t>-</t>
        </is>
      </c>
      <c r="D92" s="48" t="n">
        <v>45642</v>
      </c>
      <c r="E92" s="49" t="n">
        <v>500</v>
      </c>
      <c r="F92" s="49" t="n">
        <v>0</v>
      </c>
      <c r="G92" s="49" t="n">
        <v>32080.37</v>
      </c>
      <c r="H92" s="49" t="inlineStr">
        <is>
          <t>Shivanjali</t>
        </is>
      </c>
      <c r="I92" s="49" t="inlineStr">
        <is>
          <t>UPI</t>
        </is>
      </c>
      <c r="J92" s="49" t="inlineStr">
        <is>
          <t>UPI Payment</t>
        </is>
      </c>
      <c r="K92" s="49" t="inlineStr">
        <is>
          <t>Personal</t>
        </is>
      </c>
      <c r="L92" s="50" t="n">
        <v>0.55</v>
      </c>
      <c r="M92" s="49" t="inlineStr">
        <is>
          <t>[MATCH]</t>
        </is>
      </c>
    </row>
    <row r="93">
      <c r="A93" s="40" t="n">
        <v>45658</v>
      </c>
      <c r="B93" s="41" t="inlineStr">
        <is>
          <t>SB:919010088767042:Int.Pd:01-10-2024 to 31-12-2024</t>
        </is>
      </c>
      <c r="C93" s="41" t="inlineStr">
        <is>
          <t>-</t>
        </is>
      </c>
      <c r="D93" s="40" t="n">
        <v>45658</v>
      </c>
      <c r="E93" s="41" t="n">
        <v>0</v>
      </c>
      <c r="F93" s="41" t="n">
        <v>505</v>
      </c>
      <c r="G93" s="41" t="n">
        <v>32585.37</v>
      </c>
      <c r="H93" s="41" t="inlineStr"/>
      <c r="I93" s="41" t="inlineStr">
        <is>
          <t>Bank Interest</t>
        </is>
      </c>
      <c r="J93" s="41" t="inlineStr">
        <is>
          <t>Bank Interest</t>
        </is>
      </c>
      <c r="K93" s="41" t="inlineStr">
        <is>
          <t>Bank Interest</t>
        </is>
      </c>
      <c r="L93" s="32" t="n">
        <v>0.93</v>
      </c>
      <c r="M93" s="41" t="inlineStr">
        <is>
          <t>[MATCH]</t>
        </is>
      </c>
    </row>
    <row r="94">
      <c r="A94" s="28" t="n">
        <v>45661</v>
      </c>
      <c r="B94" s="29" t="inlineStr">
        <is>
          <t>NEFT/YESF350044351321/ZERODHA BROKING LTD-DSCNB A//YES BANK/5c107df8698e45fda08666:Zerodh</t>
        </is>
      </c>
      <c r="C94" s="29" t="inlineStr">
        <is>
          <t>-</t>
        </is>
      </c>
      <c r="D94" s="28" t="n">
        <v>45661</v>
      </c>
      <c r="E94" s="29" t="n">
        <v>0</v>
      </c>
      <c r="F94" s="29" t="n">
        <v>24454.02</v>
      </c>
      <c r="G94" s="29" t="n">
        <v>57039.39</v>
      </c>
      <c r="H94" s="29" t="inlineStr"/>
      <c r="I94" s="29" t="inlineStr">
        <is>
          <t>Zerodha</t>
        </is>
      </c>
      <c r="J94" s="29" t="inlineStr">
        <is>
          <t>NEFT Transfer</t>
        </is>
      </c>
      <c r="K94" s="29" t="inlineStr">
        <is>
          <t>Transfer</t>
        </is>
      </c>
      <c r="L94" s="24" t="n">
        <v>0.7</v>
      </c>
      <c r="M94" s="29" t="inlineStr">
        <is>
          <t>[DIFF]</t>
        </is>
      </c>
    </row>
    <row r="95">
      <c r="A95" s="48" t="n">
        <v>45684</v>
      </c>
      <c r="B95" s="49" t="inlineStr">
        <is>
          <t>UPI/P2A/539337800613/MADHURI SEN          /UPI/BANK OF INDIA</t>
        </is>
      </c>
      <c r="C95" s="49" t="inlineStr">
        <is>
          <t>-</t>
        </is>
      </c>
      <c r="D95" s="48" t="n">
        <v>45684</v>
      </c>
      <c r="E95" s="49" t="n">
        <v>20000</v>
      </c>
      <c r="F95" s="49" t="n">
        <v>0</v>
      </c>
      <c r="G95" s="49" t="n">
        <v>37039.39</v>
      </c>
      <c r="H95" s="49" t="inlineStr">
        <is>
          <t>Madhuri Sen</t>
        </is>
      </c>
      <c r="I95" s="49" t="inlineStr">
        <is>
          <t>UPI</t>
        </is>
      </c>
      <c r="J95" s="49" t="inlineStr">
        <is>
          <t>UPI Payment</t>
        </is>
      </c>
      <c r="K95" s="49" t="inlineStr">
        <is>
          <t>Personal</t>
        </is>
      </c>
      <c r="L95" s="50" t="n">
        <v>0.55</v>
      </c>
      <c r="M95" s="49" t="inlineStr">
        <is>
          <t>[MATCH]</t>
        </is>
      </c>
    </row>
    <row r="96">
      <c r="A96" s="48" t="n">
        <v>45698</v>
      </c>
      <c r="B96" s="49" t="inlineStr">
        <is>
          <t>UPI/P2A/540741534158/ASHLESHA RAMDAS  WAGH/UPI/State Bank Of India</t>
        </is>
      </c>
      <c r="C96" s="49" t="inlineStr">
        <is>
          <t>-</t>
        </is>
      </c>
      <c r="D96" s="48" t="n">
        <v>45698</v>
      </c>
      <c r="E96" s="49" t="n">
        <v>1200</v>
      </c>
      <c r="F96" s="49" t="n">
        <v>0</v>
      </c>
      <c r="G96" s="49" t="n">
        <v>35839.39</v>
      </c>
      <c r="H96" s="49" t="inlineStr">
        <is>
          <t>Ashlesha Ramdas  Wagh</t>
        </is>
      </c>
      <c r="I96" s="49" t="inlineStr">
        <is>
          <t>UPI</t>
        </is>
      </c>
      <c r="J96" s="49" t="inlineStr">
        <is>
          <t>UPI Payment</t>
        </is>
      </c>
      <c r="K96" s="49" t="inlineStr">
        <is>
          <t>Personal</t>
        </is>
      </c>
      <c r="L96" s="50" t="n">
        <v>0.55</v>
      </c>
      <c r="M96" s="49" t="inlineStr">
        <is>
          <t>[MATCH]</t>
        </is>
      </c>
    </row>
    <row r="97">
      <c r="A97" s="48" t="n">
        <v>45702</v>
      </c>
      <c r="B97" s="49" t="inlineStr">
        <is>
          <t>UPI/P2A/504523848997/BHARTI RATAN DEVNANI /UPI/UNION BANK OF INDIA</t>
        </is>
      </c>
      <c r="C97" s="49" t="inlineStr">
        <is>
          <t>-</t>
        </is>
      </c>
      <c r="D97" s="48" t="n">
        <v>45702</v>
      </c>
      <c r="E97" s="49" t="n">
        <v>320</v>
      </c>
      <c r="F97" s="49" t="n">
        <v>0</v>
      </c>
      <c r="G97" s="49" t="n">
        <v>35519.39</v>
      </c>
      <c r="H97" s="49" t="inlineStr">
        <is>
          <t>Bharti Ratan Devnani</t>
        </is>
      </c>
      <c r="I97" s="49" t="inlineStr">
        <is>
          <t>UPI</t>
        </is>
      </c>
      <c r="J97" s="49" t="inlineStr">
        <is>
          <t>UPI Payment</t>
        </is>
      </c>
      <c r="K97" s="49" t="inlineStr">
        <is>
          <t>Personal</t>
        </is>
      </c>
      <c r="L97" s="50" t="n">
        <v>0.55</v>
      </c>
      <c r="M97" s="49" t="inlineStr">
        <is>
          <t>[MATCH]</t>
        </is>
      </c>
    </row>
    <row r="98">
      <c r="A98" s="48" t="n">
        <v>45719</v>
      </c>
      <c r="B98" s="49" t="inlineStr">
        <is>
          <t>UPI/P2M/542808073747/K V GAYATHRI         /milk/YES BANK LIMITED YBS</t>
        </is>
      </c>
      <c r="C98" s="49" t="inlineStr">
        <is>
          <t>-</t>
        </is>
      </c>
      <c r="D98" s="48" t="n">
        <v>45719</v>
      </c>
      <c r="E98" s="49" t="n">
        <v>50</v>
      </c>
      <c r="F98" s="49" t="n">
        <v>0</v>
      </c>
      <c r="G98" s="49" t="n">
        <v>35469.39</v>
      </c>
      <c r="H98" s="49" t="inlineStr">
        <is>
          <t>K V Gayathri</t>
        </is>
      </c>
      <c r="I98" s="49" t="inlineStr">
        <is>
          <t>UPI</t>
        </is>
      </c>
      <c r="J98" s="49" t="inlineStr">
        <is>
          <t>UPI Payment</t>
        </is>
      </c>
      <c r="K98" s="49" t="inlineStr">
        <is>
          <t>Personal</t>
        </is>
      </c>
      <c r="L98" s="50" t="n">
        <v>0.55</v>
      </c>
      <c r="M98" s="49" t="inlineStr">
        <is>
          <t>[MATCH]</t>
        </is>
      </c>
    </row>
    <row r="99">
      <c r="A99" s="56" t="n">
        <v>45719</v>
      </c>
      <c r="B99" s="57" t="inlineStr">
        <is>
          <t>UPI/P2M/542879469211/Flipkart Payments    /UPI/YES BANK LIMITED YBS</t>
        </is>
      </c>
      <c r="C99" s="57" t="inlineStr">
        <is>
          <t>-</t>
        </is>
      </c>
      <c r="D99" s="56" t="n">
        <v>45719</v>
      </c>
      <c r="E99" s="57" t="n">
        <v>1270</v>
      </c>
      <c r="F99" s="57" t="n">
        <v>0</v>
      </c>
      <c r="G99" s="57" t="n">
        <v>34199.39</v>
      </c>
      <c r="H99" s="57" t="inlineStr"/>
      <c r="I99" s="57" t="inlineStr">
        <is>
          <t>UPI</t>
        </is>
      </c>
      <c r="J99" s="57" t="inlineStr">
        <is>
          <t>UPI - Flipkart</t>
        </is>
      </c>
      <c r="K99" s="57" t="inlineStr">
        <is>
          <t>Shopping</t>
        </is>
      </c>
      <c r="L99" s="53" t="n">
        <v>0.68</v>
      </c>
      <c r="M99" s="57" t="inlineStr">
        <is>
          <t>[MATCH]</t>
        </is>
      </c>
    </row>
    <row r="100">
      <c r="A100" s="56" t="n">
        <v>45719</v>
      </c>
      <c r="B100" s="57" t="inlineStr">
        <is>
          <t>UPI/P2A/506209457462/Flipkart /YES BANK /express/</t>
        </is>
      </c>
      <c r="C100" s="57" t="inlineStr">
        <is>
          <t>-</t>
        </is>
      </c>
      <c r="D100" s="56" t="n">
        <v>45719</v>
      </c>
      <c r="E100" s="57" t="n">
        <v>0</v>
      </c>
      <c r="F100" s="57" t="n">
        <v>965</v>
      </c>
      <c r="G100" s="57" t="n">
        <v>35164.39</v>
      </c>
      <c r="H100" s="57" t="inlineStr"/>
      <c r="I100" s="57" t="inlineStr">
        <is>
          <t>UPI</t>
        </is>
      </c>
      <c r="J100" s="57" t="inlineStr">
        <is>
          <t>UPI - Flipkart</t>
        </is>
      </c>
      <c r="K100" s="57" t="inlineStr">
        <is>
          <t>Shopping</t>
        </is>
      </c>
      <c r="L100" s="53" t="n">
        <v>0.68</v>
      </c>
      <c r="M100" s="57" t="inlineStr">
        <is>
          <t>[MATCH]</t>
        </is>
      </c>
    </row>
    <row r="101">
      <c r="A101" s="56" t="n">
        <v>45719</v>
      </c>
      <c r="B101" s="57" t="inlineStr">
        <is>
          <t>UPI/P2A/506209459641/Flipkart /YES BANK /express/</t>
        </is>
      </c>
      <c r="C101" s="57" t="inlineStr">
        <is>
          <t>-</t>
        </is>
      </c>
      <c r="D101" s="56" t="n">
        <v>45719</v>
      </c>
      <c r="E101" s="57" t="n">
        <v>0</v>
      </c>
      <c r="F101" s="57" t="n">
        <v>305</v>
      </c>
      <c r="G101" s="57" t="n">
        <v>35469.39</v>
      </c>
      <c r="H101" s="57" t="inlineStr"/>
      <c r="I101" s="57" t="inlineStr">
        <is>
          <t>UPI</t>
        </is>
      </c>
      <c r="J101" s="57" t="inlineStr">
        <is>
          <t>UPI - Flipkart</t>
        </is>
      </c>
      <c r="K101" s="57" t="inlineStr">
        <is>
          <t>Shopping</t>
        </is>
      </c>
      <c r="L101" s="53" t="n">
        <v>0.68</v>
      </c>
      <c r="M101" s="57" t="inlineStr">
        <is>
          <t>[MATCH]</t>
        </is>
      </c>
    </row>
    <row r="102">
      <c r="A102" s="56" t="n">
        <v>45719</v>
      </c>
      <c r="B102" s="57" t="inlineStr">
        <is>
          <t>UPI/P2M/542807574465/FLIPKART PAYMENTS    /UPIInt/HDFC BANK LTD</t>
        </is>
      </c>
      <c r="C102" s="57" t="inlineStr">
        <is>
          <t>-</t>
        </is>
      </c>
      <c r="D102" s="56" t="n">
        <v>45719</v>
      </c>
      <c r="E102" s="57" t="n">
        <v>305</v>
      </c>
      <c r="F102" s="57" t="n">
        <v>0</v>
      </c>
      <c r="G102" s="57" t="n">
        <v>35164.39</v>
      </c>
      <c r="H102" s="57" t="inlineStr"/>
      <c r="I102" s="57" t="inlineStr">
        <is>
          <t>UPI</t>
        </is>
      </c>
      <c r="J102" s="57" t="inlineStr">
        <is>
          <t>UPI - Flipkart</t>
        </is>
      </c>
      <c r="K102" s="57" t="inlineStr">
        <is>
          <t>Shopping</t>
        </is>
      </c>
      <c r="L102" s="53" t="n">
        <v>0.68</v>
      </c>
      <c r="M102" s="57" t="inlineStr">
        <is>
          <t>[MATCH]</t>
        </is>
      </c>
    </row>
    <row r="103">
      <c r="A103" s="56" t="n">
        <v>45719</v>
      </c>
      <c r="B103" s="57" t="inlineStr">
        <is>
          <t>UPI/P2M/506269427837/Flipkart Payments    /UPI/YES BANK LIMITED YBS</t>
        </is>
      </c>
      <c r="C103" s="57" t="inlineStr">
        <is>
          <t>-</t>
        </is>
      </c>
      <c r="D103" s="56" t="n">
        <v>45719</v>
      </c>
      <c r="E103" s="57" t="n">
        <v>1258</v>
      </c>
      <c r="F103" s="57" t="n">
        <v>0</v>
      </c>
      <c r="G103" s="57" t="n">
        <v>33906.39</v>
      </c>
      <c r="H103" s="57" t="inlineStr"/>
      <c r="I103" s="57" t="inlineStr">
        <is>
          <t>UPI</t>
        </is>
      </c>
      <c r="J103" s="57" t="inlineStr">
        <is>
          <t>UPI - Flipkart</t>
        </is>
      </c>
      <c r="K103" s="57" t="inlineStr">
        <is>
          <t>Shopping</t>
        </is>
      </c>
      <c r="L103" s="53" t="n">
        <v>0.68</v>
      </c>
      <c r="M103" s="57" t="inlineStr">
        <is>
          <t>[MATCH]</t>
        </is>
      </c>
    </row>
    <row r="104">
      <c r="A104" s="48" t="n">
        <v>45726</v>
      </c>
      <c r="B104" s="49" t="inlineStr">
        <is>
          <t>UPI/P2A/506968468841/BHARTI RATAN DEVNANI /tiffin/UNION BANK OF INDIA</t>
        </is>
      </c>
      <c r="C104" s="49" t="inlineStr">
        <is>
          <t>-</t>
        </is>
      </c>
      <c r="D104" s="48" t="n">
        <v>45726</v>
      </c>
      <c r="E104" s="49" t="n">
        <v>960</v>
      </c>
      <c r="F104" s="49" t="n">
        <v>0</v>
      </c>
      <c r="G104" s="49" t="n">
        <v>32946.39</v>
      </c>
      <c r="H104" s="49" t="inlineStr">
        <is>
          <t>Bharti Ratan Devnani</t>
        </is>
      </c>
      <c r="I104" s="49" t="inlineStr">
        <is>
          <t>UPI</t>
        </is>
      </c>
      <c r="J104" s="49" t="inlineStr">
        <is>
          <t>UPI Payment</t>
        </is>
      </c>
      <c r="K104" s="49" t="inlineStr">
        <is>
          <t>Personal</t>
        </is>
      </c>
      <c r="L104" s="50" t="n">
        <v>0.55</v>
      </c>
      <c r="M104" s="49" t="inlineStr">
        <is>
          <t>[MATCH]</t>
        </is>
      </c>
    </row>
    <row r="105">
      <c r="A105" s="72" t="n">
        <v>45728</v>
      </c>
      <c r="B105" s="73" t="inlineStr">
        <is>
          <t>ECS/1009552582/Max Bupa Health Insurance Company</t>
        </is>
      </c>
      <c r="C105" s="73" t="inlineStr">
        <is>
          <t>-</t>
        </is>
      </c>
      <c r="D105" s="72" t="n">
        <v>45728</v>
      </c>
      <c r="E105" s="73" t="n">
        <v>2499</v>
      </c>
      <c r="F105" s="73" t="n">
        <v>0</v>
      </c>
      <c r="G105" s="73" t="n">
        <v>30447.39</v>
      </c>
      <c r="H105" s="73" t="inlineStr"/>
      <c r="I105" s="73" t="inlineStr">
        <is>
          <t>80 - D?</t>
        </is>
      </c>
      <c r="J105" s="73" t="inlineStr">
        <is>
          <t>Health Insurance</t>
        </is>
      </c>
      <c r="K105" s="73" t="inlineStr">
        <is>
          <t>Health Insurance</t>
        </is>
      </c>
      <c r="L105" s="35" t="n">
        <v>0.92</v>
      </c>
      <c r="M105" s="73" t="inlineStr">
        <is>
          <t>[DIFF]</t>
        </is>
      </c>
    </row>
    <row r="106">
      <c r="A106" s="48" t="n">
        <v>45734</v>
      </c>
      <c r="B106" s="49" t="inlineStr">
        <is>
          <t>UPI/P2A/507761157224/MADHU GUPTA          /UPI/ICICI Bank</t>
        </is>
      </c>
      <c r="C106" s="49" t="inlineStr">
        <is>
          <t>-</t>
        </is>
      </c>
      <c r="D106" s="48" t="n">
        <v>45734</v>
      </c>
      <c r="E106" s="49" t="n">
        <v>1</v>
      </c>
      <c r="F106" s="49" t="n">
        <v>0</v>
      </c>
      <c r="G106" s="49" t="n">
        <v>30446.39</v>
      </c>
      <c r="H106" s="49" t="inlineStr">
        <is>
          <t>Madhu Gupta</t>
        </is>
      </c>
      <c r="I106" s="49" t="inlineStr">
        <is>
          <t>UPI</t>
        </is>
      </c>
      <c r="J106" s="49" t="inlineStr">
        <is>
          <t>UPI Payment</t>
        </is>
      </c>
      <c r="K106" s="49" t="inlineStr">
        <is>
          <t>Personal</t>
        </is>
      </c>
      <c r="L106" s="50" t="n">
        <v>0.55</v>
      </c>
      <c r="M106" s="49" t="inlineStr">
        <is>
          <t>[MATCH]</t>
        </is>
      </c>
    </row>
    <row r="107">
      <c r="A107" s="48" t="n">
        <v>45734</v>
      </c>
      <c r="B107" s="49" t="inlineStr">
        <is>
          <t>UPI/P2A/507753564612/MADHU GUPTA          /neckle/ICICI Bank</t>
        </is>
      </c>
      <c r="C107" s="49" t="inlineStr">
        <is>
          <t>-</t>
        </is>
      </c>
      <c r="D107" s="48" t="n">
        <v>45734</v>
      </c>
      <c r="E107" s="49" t="n">
        <v>17550</v>
      </c>
      <c r="F107" s="49" t="n">
        <v>0</v>
      </c>
      <c r="G107" s="49" t="n">
        <v>12896.39</v>
      </c>
      <c r="H107" s="49" t="inlineStr">
        <is>
          <t>Madhu Gupta</t>
        </is>
      </c>
      <c r="I107" s="49" t="inlineStr">
        <is>
          <t>UPI</t>
        </is>
      </c>
      <c r="J107" s="49" t="inlineStr">
        <is>
          <t>UPI Payment</t>
        </is>
      </c>
      <c r="K107" s="49" t="inlineStr">
        <is>
          <t>Personal</t>
        </is>
      </c>
      <c r="L107" s="50" t="n">
        <v>0.55</v>
      </c>
      <c r="M107" s="49" t="inlineStr">
        <is>
          <t>[MATCH]</t>
        </is>
      </c>
    </row>
  </sheetData>
  <autoFilter ref="A10:M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26" customWidth="1" min="3" max="3"/>
    <col hidden="1" width="14" customWidth="1" min="4" max="4"/>
    <col width="13" customWidth="1" min="5" max="5"/>
    <col width="13" customWidth="1" min="6" max="6"/>
    <col hidden="1" width="13" customWidth="1" min="7" max="7"/>
    <col hidden="1" width="24" customWidth="1" min="8" max="8"/>
    <col hidden="1" width="35" customWidth="1" min="9" max="9"/>
    <col width="32" customWidth="1" min="10" max="10"/>
    <col width="27" customWidth="1" min="11" max="11"/>
    <col width="14" customWidth="1" min="12" max="12"/>
    <col width="11" customWidth="1" min="13" max="13"/>
  </cols>
  <sheetData>
    <row r="1">
      <c r="B1" s="1" t="inlineStr">
        <is>
          <t>HDFC Bank Narration Sheet</t>
        </is>
      </c>
    </row>
    <row r="2">
      <c r="B2" s="2" t="inlineStr">
        <is>
          <t>Colour Legend of Categories:</t>
        </is>
      </c>
    </row>
    <row r="3">
      <c r="B3" s="74" t="inlineStr">
        <is>
          <t>HDFC Securities - Buy</t>
        </is>
      </c>
      <c r="C3" s="75" t="inlineStr">
        <is>
          <t>HDFC Securities - Sell</t>
        </is>
      </c>
      <c r="D3" s="76" t="inlineStr">
        <is>
          <t>Internal Transfer</t>
        </is>
      </c>
      <c r="E3" s="77" t="inlineStr">
        <is>
          <t>Depository Charges</t>
        </is>
      </c>
      <c r="F3" s="7" t="inlineStr">
        <is>
          <t>Received - Sunita Gupta</t>
        </is>
      </c>
    </row>
    <row r="4">
      <c r="B4" s="5" t="inlineStr">
        <is>
          <t>MF Investment</t>
        </is>
      </c>
      <c r="C4" s="5" t="inlineStr">
        <is>
          <t>SIP</t>
        </is>
      </c>
      <c r="D4" s="7" t="inlineStr">
        <is>
          <t>Transfer - Sunita Gupta</t>
        </is>
      </c>
      <c r="E4" s="11" t="inlineStr">
        <is>
          <t>Dividend Income</t>
        </is>
      </c>
      <c r="F4" s="9" t="inlineStr">
        <is>
          <t>Bank Charges</t>
        </is>
      </c>
    </row>
    <row r="5">
      <c r="B5" s="18" t="inlineStr">
        <is>
          <t>Transfer - Archit Gupta</t>
        </is>
      </c>
      <c r="C5" s="8" t="inlineStr">
        <is>
          <t>Received - Ajay Gupta</t>
        </is>
      </c>
      <c r="D5" s="10" t="inlineStr">
        <is>
          <t>Bank Interest</t>
        </is>
      </c>
      <c r="E5" s="6" t="inlineStr">
        <is>
          <t>Cash Withdrawal</t>
        </is>
      </c>
      <c r="F5" s="78" t="inlineStr">
        <is>
          <t>Income Tax Refund</t>
        </is>
      </c>
    </row>
    <row r="6">
      <c r="B6" s="4" t="inlineStr">
        <is>
          <t>UPI Payment</t>
        </is>
      </c>
      <c r="C6" s="79" t="inlineStr">
        <is>
          <t>UPI - Paytm</t>
        </is>
      </c>
      <c r="D6" s="3" t="inlineStr">
        <is>
          <t>UPI - Fresh Produce</t>
        </is>
      </c>
      <c r="E6" s="8" t="inlineStr">
        <is>
          <t>Transfer - Ajay Gupta</t>
        </is>
      </c>
      <c r="F6" s="6" t="inlineStr">
        <is>
          <t>HDFC Securities - Settlement</t>
        </is>
      </c>
    </row>
    <row r="7">
      <c r="B7" s="18" t="inlineStr">
        <is>
          <t>Received - Archit Gupta</t>
        </is>
      </c>
      <c r="C7" s="80" t="inlineStr">
        <is>
          <t>MF Redemption</t>
        </is>
      </c>
      <c r="D7" s="81" t="inlineStr">
        <is>
          <t>Cash Deposit</t>
        </is>
      </c>
      <c r="E7" s="82" t="inlineStr">
        <is>
          <t>Transfer - Megha Gupta</t>
        </is>
      </c>
      <c r="F7" s="16" t="inlineStr">
        <is>
          <t>Misc Income</t>
        </is>
      </c>
    </row>
    <row r="9">
      <c r="A9" s="21" t="inlineStr">
        <is>
          <t>Date</t>
        </is>
      </c>
      <c r="B9" s="21" t="inlineStr">
        <is>
          <t>Particulars</t>
        </is>
      </c>
      <c r="C9" s="21" t="inlineStr">
        <is>
          <t>Ref</t>
        </is>
      </c>
      <c r="D9" s="21" t="inlineStr">
        <is>
          <t>Value_Date</t>
        </is>
      </c>
      <c r="E9" s="21" t="inlineStr">
        <is>
          <t>DR</t>
        </is>
      </c>
      <c r="F9" s="21" t="inlineStr">
        <is>
          <t>CR</t>
        </is>
      </c>
      <c r="G9" s="21" t="inlineStr">
        <is>
          <t>Balance</t>
        </is>
      </c>
      <c r="H9" s="21" t="inlineStr">
        <is>
          <t>Beneficiary</t>
        </is>
      </c>
      <c r="I9" s="21" t="inlineStr">
        <is>
          <t>Human_Narration</t>
        </is>
      </c>
      <c r="J9" s="21" t="inlineStr">
        <is>
          <t>Auto_Narration</t>
        </is>
      </c>
      <c r="K9" s="21" t="inlineStr">
        <is>
          <t>Account_Head</t>
        </is>
      </c>
      <c r="L9" s="21" t="inlineStr">
        <is>
          <t>Confidence</t>
        </is>
      </c>
      <c r="M9" s="21" t="inlineStr">
        <is>
          <t>Match</t>
        </is>
      </c>
    </row>
    <row r="10">
      <c r="A10" s="83" t="n">
        <v>45383</v>
      </c>
      <c r="B10" s="84" t="inlineStr">
        <is>
          <t>NET PI TO HSL SEC A/C 523686-00602340029434</t>
        </is>
      </c>
      <c r="C10" s="84" t="inlineStr">
        <is>
          <t>0000000508932363</t>
        </is>
      </c>
      <c r="D10" s="83" t="n">
        <v>45383</v>
      </c>
      <c r="E10" s="84" t="n">
        <v>1672</v>
      </c>
      <c r="F10" s="84" t="n">
        <v>0</v>
      </c>
      <c r="G10" s="84" t="n">
        <v>31564</v>
      </c>
      <c r="H10" s="84" t="inlineStr"/>
      <c r="I10" s="84" t="inlineStr">
        <is>
          <t>HSL</t>
        </is>
      </c>
      <c r="J10" s="84" t="inlineStr">
        <is>
          <t>HDFC Securities - Buy</t>
        </is>
      </c>
      <c r="K10" s="84" t="inlineStr">
        <is>
          <t>HDFC Securities</t>
        </is>
      </c>
      <c r="L10" s="32" t="n">
        <v>0.97</v>
      </c>
      <c r="M10" s="84" t="inlineStr">
        <is>
          <t>[MATCH]</t>
        </is>
      </c>
    </row>
    <row r="11">
      <c r="A11" s="85" t="n">
        <v>45384</v>
      </c>
      <c r="B11" s="86" t="inlineStr">
        <is>
          <t>NET PO FROM HSL A/C 523686-50200085415108</t>
        </is>
      </c>
      <c r="C11" s="86" t="inlineStr">
        <is>
          <t>0000000509188445</t>
        </is>
      </c>
      <c r="D11" s="85" t="n">
        <v>45384</v>
      </c>
      <c r="E11" s="86" t="n">
        <v>0</v>
      </c>
      <c r="F11" s="86" t="n">
        <v>16753.39</v>
      </c>
      <c r="G11" s="86" t="n">
        <v>48317.39</v>
      </c>
      <c r="H11" s="86" t="inlineStr"/>
      <c r="I11" s="86" t="inlineStr">
        <is>
          <t>HSL</t>
        </is>
      </c>
      <c r="J11" s="86" t="inlineStr">
        <is>
          <t>HDFC Securities - Sell</t>
        </is>
      </c>
      <c r="K11" s="86" t="inlineStr">
        <is>
          <t>HDFC Securities</t>
        </is>
      </c>
      <c r="L11" s="32" t="n">
        <v>0.97</v>
      </c>
      <c r="M11" s="86" t="inlineStr">
        <is>
          <t>[MATCH]</t>
        </is>
      </c>
    </row>
    <row r="12">
      <c r="A12" s="85" t="n">
        <v>45384</v>
      </c>
      <c r="B12" s="86" t="inlineStr">
        <is>
          <t>NET PO FROM HSL A/C 523686-50200085415108</t>
        </is>
      </c>
      <c r="C12" s="86" t="inlineStr">
        <is>
          <t>0000000509246217</t>
        </is>
      </c>
      <c r="D12" s="85" t="n">
        <v>45384</v>
      </c>
      <c r="E12" s="86" t="n">
        <v>0</v>
      </c>
      <c r="F12" s="86" t="n">
        <v>97641.5</v>
      </c>
      <c r="G12" s="86" t="n">
        <v>145958.89</v>
      </c>
      <c r="H12" s="86" t="inlineStr"/>
      <c r="I12" s="86" t="inlineStr">
        <is>
          <t>HSL</t>
        </is>
      </c>
      <c r="J12" s="86" t="inlineStr">
        <is>
          <t>HDFC Securities - Sell</t>
        </is>
      </c>
      <c r="K12" s="86" t="inlineStr">
        <is>
          <t>HDFC Securities</t>
        </is>
      </c>
      <c r="L12" s="32" t="n">
        <v>0.97</v>
      </c>
      <c r="M12" s="86" t="inlineStr">
        <is>
          <t>[MATCH]</t>
        </is>
      </c>
    </row>
    <row r="13">
      <c r="A13" s="83" t="n">
        <v>45384</v>
      </c>
      <c r="B13" s="84" t="inlineStr">
        <is>
          <t>NET PI TO HSL SEC A/C 523686-00602340029434</t>
        </is>
      </c>
      <c r="C13" s="84" t="inlineStr">
        <is>
          <t>0000000509399140</t>
        </is>
      </c>
      <c r="D13" s="83" t="n">
        <v>45384</v>
      </c>
      <c r="E13" s="84" t="n">
        <v>418</v>
      </c>
      <c r="F13" s="84" t="n">
        <v>0</v>
      </c>
      <c r="G13" s="84" t="n">
        <v>145540.89</v>
      </c>
      <c r="H13" s="84" t="inlineStr"/>
      <c r="I13" s="84" t="inlineStr">
        <is>
          <t>HSL</t>
        </is>
      </c>
      <c r="J13" s="84" t="inlineStr">
        <is>
          <t>HDFC Securities - Buy</t>
        </is>
      </c>
      <c r="K13" s="84" t="inlineStr">
        <is>
          <t>HDFC Securities</t>
        </is>
      </c>
      <c r="L13" s="32" t="n">
        <v>0.97</v>
      </c>
      <c r="M13" s="84" t="inlineStr">
        <is>
          <t>[MATCH]</t>
        </is>
      </c>
    </row>
    <row r="14">
      <c r="A14" s="83" t="n">
        <v>45384</v>
      </c>
      <c r="B14" s="84" t="inlineStr">
        <is>
          <t>NET PI TO HSL SEC A/C 523686-00602340029434</t>
        </is>
      </c>
      <c r="C14" s="84" t="inlineStr">
        <is>
          <t>0000000509532005</t>
        </is>
      </c>
      <c r="D14" s="83" t="n">
        <v>45384</v>
      </c>
      <c r="E14" s="84" t="n">
        <v>103098.99</v>
      </c>
      <c r="F14" s="84" t="n">
        <v>0</v>
      </c>
      <c r="G14" s="84" t="n">
        <v>42441.9</v>
      </c>
      <c r="H14" s="84" t="inlineStr"/>
      <c r="I14" s="84" t="inlineStr">
        <is>
          <t>HSL</t>
        </is>
      </c>
      <c r="J14" s="84" t="inlineStr">
        <is>
          <t>HDFC Securities - Buy</t>
        </is>
      </c>
      <c r="K14" s="84" t="inlineStr">
        <is>
          <t>HDFC Securities</t>
        </is>
      </c>
      <c r="L14" s="32" t="n">
        <v>0.97</v>
      </c>
      <c r="M14" s="84" t="inlineStr">
        <is>
          <t>[MATCH]</t>
        </is>
      </c>
    </row>
    <row r="15">
      <c r="A15" s="85" t="n">
        <v>45385</v>
      </c>
      <c r="B15" s="86" t="inlineStr">
        <is>
          <t>NET PO FROM HSL A/C 523686-50200085415108</t>
        </is>
      </c>
      <c r="C15" s="86" t="inlineStr">
        <is>
          <t>0000000509650601</t>
        </is>
      </c>
      <c r="D15" s="85" t="n">
        <v>45385</v>
      </c>
      <c r="E15" s="86" t="n">
        <v>0</v>
      </c>
      <c r="F15" s="86" t="n">
        <v>1514.95</v>
      </c>
      <c r="G15" s="86" t="n">
        <v>43956.85</v>
      </c>
      <c r="H15" s="86" t="inlineStr"/>
      <c r="I15" s="86" t="inlineStr">
        <is>
          <t>HSL</t>
        </is>
      </c>
      <c r="J15" s="86" t="inlineStr">
        <is>
          <t>HDFC Securities - Sell</t>
        </is>
      </c>
      <c r="K15" s="86" t="inlineStr">
        <is>
          <t>HDFC Securities</t>
        </is>
      </c>
      <c r="L15" s="32" t="n">
        <v>0.97</v>
      </c>
      <c r="M15" s="86" t="inlineStr">
        <is>
          <t>[MATCH]</t>
        </is>
      </c>
    </row>
    <row r="16">
      <c r="A16" s="83" t="n">
        <v>45385</v>
      </c>
      <c r="B16" s="84" t="inlineStr">
        <is>
          <t>NET PI TO HSL SEC A/C 523686-00602340029434</t>
        </is>
      </c>
      <c r="C16" s="84" t="inlineStr">
        <is>
          <t>0000000509793906</t>
        </is>
      </c>
      <c r="D16" s="83" t="n">
        <v>45385</v>
      </c>
      <c r="E16" s="84" t="n">
        <v>379.22</v>
      </c>
      <c r="F16" s="84" t="n">
        <v>0</v>
      </c>
      <c r="G16" s="84" t="n">
        <v>43577.63</v>
      </c>
      <c r="H16" s="84" t="inlineStr"/>
      <c r="I16" s="84" t="inlineStr">
        <is>
          <t>HSL</t>
        </is>
      </c>
      <c r="J16" s="84" t="inlineStr">
        <is>
          <t>HDFC Securities - Buy</t>
        </is>
      </c>
      <c r="K16" s="84" t="inlineStr">
        <is>
          <t>HDFC Securities</t>
        </is>
      </c>
      <c r="L16" s="32" t="n">
        <v>0.97</v>
      </c>
      <c r="M16" s="84" t="inlineStr">
        <is>
          <t>[MATCH]</t>
        </is>
      </c>
    </row>
    <row r="17">
      <c r="A17" s="85" t="n">
        <v>45386</v>
      </c>
      <c r="B17" s="86" t="inlineStr">
        <is>
          <t>NET PO FROM HSL A/C 523686-50200085415108</t>
        </is>
      </c>
      <c r="C17" s="86" t="inlineStr">
        <is>
          <t>0000000510056916</t>
        </is>
      </c>
      <c r="D17" s="85" t="n">
        <v>45386</v>
      </c>
      <c r="E17" s="86" t="n">
        <v>0</v>
      </c>
      <c r="F17" s="86" t="n">
        <v>6701.42</v>
      </c>
      <c r="G17" s="86" t="n">
        <v>50279.05</v>
      </c>
      <c r="H17" s="86" t="inlineStr"/>
      <c r="I17" s="86" t="inlineStr">
        <is>
          <t>HSL</t>
        </is>
      </c>
      <c r="J17" s="86" t="inlineStr">
        <is>
          <t>HDFC Securities - Sell</t>
        </is>
      </c>
      <c r="K17" s="86" t="inlineStr">
        <is>
          <t>HDFC Securities</t>
        </is>
      </c>
      <c r="L17" s="32" t="n">
        <v>0.97</v>
      </c>
      <c r="M17" s="86" t="inlineStr">
        <is>
          <t>[MATCH]</t>
        </is>
      </c>
    </row>
    <row r="18">
      <c r="A18" s="87" t="n">
        <v>45386</v>
      </c>
      <c r="B18" s="88" t="inlineStr">
        <is>
          <t>50100128155413-TPT-TO MUMMY-AAYUSH KUMAR GUPTA</t>
        </is>
      </c>
      <c r="C18" s="88" t="inlineStr">
        <is>
          <t>0000000526007002</t>
        </is>
      </c>
      <c r="D18" s="87" t="n">
        <v>45386</v>
      </c>
      <c r="E18" s="88" t="n">
        <v>0</v>
      </c>
      <c r="F18" s="88" t="n">
        <v>30000</v>
      </c>
      <c r="G18" s="88" t="n">
        <v>80279.05</v>
      </c>
      <c r="H18" s="88" t="inlineStr"/>
      <c r="I18" s="88" t="inlineStr">
        <is>
          <t>Transfer from Aayush</t>
        </is>
      </c>
      <c r="J18" s="88" t="inlineStr">
        <is>
          <t>Internal Transfer</t>
        </is>
      </c>
      <c r="K18" s="88" t="inlineStr">
        <is>
          <t>Transfer</t>
        </is>
      </c>
      <c r="L18" s="24" t="n">
        <v>0.8</v>
      </c>
      <c r="M18" s="88" t="inlineStr">
        <is>
          <t>[DIFF]</t>
        </is>
      </c>
    </row>
    <row r="19">
      <c r="A19" s="83" t="n">
        <v>45386</v>
      </c>
      <c r="B19" s="84" t="inlineStr">
        <is>
          <t>NET PI TO HSL SEC A/C 523686-00602340029434</t>
        </is>
      </c>
      <c r="C19" s="84" t="inlineStr">
        <is>
          <t>0000000510198174</t>
        </is>
      </c>
      <c r="D19" s="83" t="n">
        <v>45386</v>
      </c>
      <c r="E19" s="84" t="n">
        <v>425.81</v>
      </c>
      <c r="F19" s="84" t="n">
        <v>0</v>
      </c>
      <c r="G19" s="84" t="n">
        <v>79853.24000000001</v>
      </c>
      <c r="H19" s="84" t="inlineStr"/>
      <c r="I19" s="84" t="inlineStr">
        <is>
          <t>HSL</t>
        </is>
      </c>
      <c r="J19" s="84" t="inlineStr">
        <is>
          <t>HDFC Securities - Buy</t>
        </is>
      </c>
      <c r="K19" s="84" t="inlineStr">
        <is>
          <t>HDFC Securities</t>
        </is>
      </c>
      <c r="L19" s="32" t="n">
        <v>0.97</v>
      </c>
      <c r="M19" s="84" t="inlineStr">
        <is>
          <t>[MATCH]</t>
        </is>
      </c>
    </row>
    <row r="20">
      <c r="A20" s="83" t="n">
        <v>45386</v>
      </c>
      <c r="B20" s="84" t="inlineStr">
        <is>
          <t>NET PI TO HSL SEC A/C 523686-00602340029434</t>
        </is>
      </c>
      <c r="C20" s="84" t="inlineStr">
        <is>
          <t>0000000510339907</t>
        </is>
      </c>
      <c r="D20" s="83" t="n">
        <v>45386</v>
      </c>
      <c r="E20" s="84" t="n">
        <v>72828.22</v>
      </c>
      <c r="F20" s="84" t="n">
        <v>0</v>
      </c>
      <c r="G20" s="84" t="n">
        <v>7025.02</v>
      </c>
      <c r="H20" s="84" t="inlineStr"/>
      <c r="I20" s="84" t="inlineStr">
        <is>
          <t>HSL</t>
        </is>
      </c>
      <c r="J20" s="84" t="inlineStr">
        <is>
          <t>HDFC Securities - Buy</t>
        </is>
      </c>
      <c r="K20" s="84" t="inlineStr">
        <is>
          <t>HDFC Securities</t>
        </is>
      </c>
      <c r="L20" s="32" t="n">
        <v>0.97</v>
      </c>
      <c r="M20" s="84" t="inlineStr">
        <is>
          <t>[MATCH]</t>
        </is>
      </c>
    </row>
    <row r="21">
      <c r="A21" s="83" t="n">
        <v>45387</v>
      </c>
      <c r="B21" s="84" t="inlineStr">
        <is>
          <t>NET PI TO HSL SEC A/C 523686-00602340029434</t>
        </is>
      </c>
      <c r="C21" s="84" t="inlineStr">
        <is>
          <t>0000000510610766</t>
        </is>
      </c>
      <c r="D21" s="83" t="n">
        <v>45387</v>
      </c>
      <c r="E21" s="84" t="n">
        <v>402.46</v>
      </c>
      <c r="F21" s="84" t="n">
        <v>0</v>
      </c>
      <c r="G21" s="84" t="n">
        <v>6622.56</v>
      </c>
      <c r="H21" s="84" t="inlineStr"/>
      <c r="I21" s="84" t="inlineStr">
        <is>
          <t>HSL</t>
        </is>
      </c>
      <c r="J21" s="84" t="inlineStr">
        <is>
          <t>HDFC Securities - Buy</t>
        </is>
      </c>
      <c r="K21" s="84" t="inlineStr">
        <is>
          <t>HDFC Securities</t>
        </is>
      </c>
      <c r="L21" s="32" t="n">
        <v>0.97</v>
      </c>
      <c r="M21" s="84" t="inlineStr">
        <is>
          <t>[MATCH]</t>
        </is>
      </c>
    </row>
    <row r="22">
      <c r="A22" s="89" t="n">
        <v>45387</v>
      </c>
      <c r="B22" s="90" t="inlineStr">
        <is>
          <t>DEPOSITORY CHARGES MAR24 - 41060499</t>
        </is>
      </c>
      <c r="C22" s="90" t="inlineStr">
        <is>
          <t>000000000000000</t>
        </is>
      </c>
      <c r="D22" s="89" t="n">
        <v>45387</v>
      </c>
      <c r="E22" s="90" t="n">
        <v>1270.62</v>
      </c>
      <c r="F22" s="90" t="n">
        <v>0</v>
      </c>
      <c r="G22" s="90" t="n">
        <v>5351.94</v>
      </c>
      <c r="H22" s="90" t="inlineStr"/>
      <c r="I22" s="90" t="inlineStr">
        <is>
          <t>Depository Charges</t>
        </is>
      </c>
      <c r="J22" s="90" t="inlineStr">
        <is>
          <t>Depository Charges</t>
        </is>
      </c>
      <c r="K22" s="90" t="inlineStr">
        <is>
          <t>Depository Charges</t>
        </is>
      </c>
      <c r="L22" s="32" t="n">
        <v>0.93</v>
      </c>
      <c r="M22" s="90" t="inlineStr">
        <is>
          <t>[MATCH]</t>
        </is>
      </c>
    </row>
    <row r="23">
      <c r="A23" s="85" t="n">
        <v>45387</v>
      </c>
      <c r="B23" s="86" t="inlineStr">
        <is>
          <t>NET PO FROM HSL A/C 523686-50200085415108</t>
        </is>
      </c>
      <c r="C23" s="86" t="inlineStr">
        <is>
          <t>0000000510792018</t>
        </is>
      </c>
      <c r="D23" s="85" t="n">
        <v>45387</v>
      </c>
      <c r="E23" s="86" t="n">
        <v>0</v>
      </c>
      <c r="F23" s="86" t="n">
        <v>42585.27</v>
      </c>
      <c r="G23" s="86" t="n">
        <v>47937.21</v>
      </c>
      <c r="H23" s="86" t="inlineStr"/>
      <c r="I23" s="86" t="inlineStr">
        <is>
          <t>HSL</t>
        </is>
      </c>
      <c r="J23" s="86" t="inlineStr">
        <is>
          <t>HDFC Securities - Sell</t>
        </is>
      </c>
      <c r="K23" s="86" t="inlineStr">
        <is>
          <t>HDFC Securities</t>
        </is>
      </c>
      <c r="L23" s="32" t="n">
        <v>0.97</v>
      </c>
      <c r="M23" s="86" t="inlineStr">
        <is>
          <t>[MATCH]</t>
        </is>
      </c>
    </row>
    <row r="24">
      <c r="A24" s="89" t="n">
        <v>45388</v>
      </c>
      <c r="B24" s="90" t="inlineStr">
        <is>
          <t>DEPOSITORY CHARGES MAR24 - 41060499</t>
        </is>
      </c>
      <c r="C24" s="90" t="inlineStr">
        <is>
          <t>000000000000000</t>
        </is>
      </c>
      <c r="D24" s="89" t="n">
        <v>45388</v>
      </c>
      <c r="E24" s="90" t="n">
        <v>239.78</v>
      </c>
      <c r="F24" s="90" t="n">
        <v>0</v>
      </c>
      <c r="G24" s="90" t="n">
        <v>47697.43</v>
      </c>
      <c r="H24" s="90" t="inlineStr"/>
      <c r="I24" s="90" t="inlineStr">
        <is>
          <t>Depository Charges</t>
        </is>
      </c>
      <c r="J24" s="90" t="inlineStr">
        <is>
          <t>Depository Charges</t>
        </is>
      </c>
      <c r="K24" s="90" t="inlineStr">
        <is>
          <t>Depository Charges</t>
        </is>
      </c>
      <c r="L24" s="32" t="n">
        <v>0.93</v>
      </c>
      <c r="M24" s="90" t="inlineStr">
        <is>
          <t>[MATCH]</t>
        </is>
      </c>
    </row>
    <row r="25">
      <c r="A25" s="85" t="n">
        <v>45390</v>
      </c>
      <c r="B25" s="86" t="inlineStr">
        <is>
          <t>NET PO FROM HSL A/C 523686-50200085415108</t>
        </is>
      </c>
      <c r="C25" s="86" t="inlineStr">
        <is>
          <t>0000000510966332</t>
        </is>
      </c>
      <c r="D25" s="85" t="n">
        <v>45390</v>
      </c>
      <c r="E25" s="86" t="n">
        <v>0</v>
      </c>
      <c r="F25" s="86" t="n">
        <v>6712.4</v>
      </c>
      <c r="G25" s="86" t="n">
        <v>54409.83</v>
      </c>
      <c r="H25" s="86" t="inlineStr"/>
      <c r="I25" s="86" t="inlineStr">
        <is>
          <t>HSL</t>
        </is>
      </c>
      <c r="J25" s="86" t="inlineStr">
        <is>
          <t>HDFC Securities - Sell</t>
        </is>
      </c>
      <c r="K25" s="86" t="inlineStr">
        <is>
          <t>HDFC Securities</t>
        </is>
      </c>
      <c r="L25" s="32" t="n">
        <v>0.97</v>
      </c>
      <c r="M25" s="86" t="inlineStr">
        <is>
          <t>[MATCH]</t>
        </is>
      </c>
    </row>
    <row r="26">
      <c r="A26" s="85" t="n">
        <v>45390</v>
      </c>
      <c r="B26" s="86" t="inlineStr">
        <is>
          <t>NET PO FROM HSL A/C 523686-50200085415108</t>
        </is>
      </c>
      <c r="C26" s="86" t="inlineStr">
        <is>
          <t>0000000510997687</t>
        </is>
      </c>
      <c r="D26" s="85" t="n">
        <v>45390</v>
      </c>
      <c r="E26" s="86" t="n">
        <v>0</v>
      </c>
      <c r="F26" s="86" t="n">
        <v>25926.77</v>
      </c>
      <c r="G26" s="86" t="n">
        <v>80336.60000000001</v>
      </c>
      <c r="H26" s="86" t="inlineStr"/>
      <c r="I26" s="86" t="inlineStr">
        <is>
          <t>HSL</t>
        </is>
      </c>
      <c r="J26" s="86" t="inlineStr">
        <is>
          <t>HDFC Securities - Sell</t>
        </is>
      </c>
      <c r="K26" s="86" t="inlineStr">
        <is>
          <t>HDFC Securities</t>
        </is>
      </c>
      <c r="L26" s="32" t="n">
        <v>0.97</v>
      </c>
      <c r="M26" s="86" t="inlineStr">
        <is>
          <t>[MATCH]</t>
        </is>
      </c>
    </row>
    <row r="27">
      <c r="A27" s="83" t="n">
        <v>45390</v>
      </c>
      <c r="B27" s="84" t="inlineStr">
        <is>
          <t>NET PI TO HSL SEC A/C 523686-00602340029434</t>
        </is>
      </c>
      <c r="C27" s="84" t="inlineStr">
        <is>
          <t>0000000511154309</t>
        </is>
      </c>
      <c r="D27" s="83" t="n">
        <v>45390</v>
      </c>
      <c r="E27" s="84" t="n">
        <v>1477.11</v>
      </c>
      <c r="F27" s="84" t="n">
        <v>0</v>
      </c>
      <c r="G27" s="84" t="n">
        <v>78859.49000000001</v>
      </c>
      <c r="H27" s="84" t="inlineStr"/>
      <c r="I27" s="84" t="inlineStr">
        <is>
          <t>HSL</t>
        </is>
      </c>
      <c r="J27" s="84" t="inlineStr">
        <is>
          <t>HDFC Securities - Buy</t>
        </is>
      </c>
      <c r="K27" s="84" t="inlineStr">
        <is>
          <t>HDFC Securities</t>
        </is>
      </c>
      <c r="L27" s="32" t="n">
        <v>0.97</v>
      </c>
      <c r="M27" s="84" t="inlineStr">
        <is>
          <t>[MATCH]</t>
        </is>
      </c>
    </row>
    <row r="28">
      <c r="A28" s="83" t="n">
        <v>45390</v>
      </c>
      <c r="B28" s="84" t="inlineStr">
        <is>
          <t>NET PI TO HSL SEC A/C 523686-00602340029434</t>
        </is>
      </c>
      <c r="C28" s="84" t="inlineStr">
        <is>
          <t>0000000511326571</t>
        </is>
      </c>
      <c r="D28" s="83" t="n">
        <v>45390</v>
      </c>
      <c r="E28" s="84" t="n">
        <v>47223.12</v>
      </c>
      <c r="F28" s="84" t="n">
        <v>0</v>
      </c>
      <c r="G28" s="84" t="n">
        <v>31636.37</v>
      </c>
      <c r="H28" s="84" t="inlineStr"/>
      <c r="I28" s="84" t="inlineStr">
        <is>
          <t>HSL</t>
        </is>
      </c>
      <c r="J28" s="84" t="inlineStr">
        <is>
          <t>HDFC Securities - Buy</t>
        </is>
      </c>
      <c r="K28" s="84" t="inlineStr">
        <is>
          <t>HDFC Securities</t>
        </is>
      </c>
      <c r="L28" s="32" t="n">
        <v>0.97</v>
      </c>
      <c r="M28" s="84" t="inlineStr">
        <is>
          <t>[MATCH]</t>
        </is>
      </c>
    </row>
    <row r="29">
      <c r="A29" s="33" t="n">
        <v>45390</v>
      </c>
      <c r="B29" s="34" t="inlineStr">
        <is>
          <t>NEFT CR-SBIN0004266-SBI GENERAL INSURANCE CO LTDSBI GEN-SUNITA GUPTA 0000000002717756-SBIN424099209370</t>
        </is>
      </c>
      <c r="C29" s="34" t="inlineStr">
        <is>
          <t>SBIN424099209370</t>
        </is>
      </c>
      <c r="D29" s="33" t="n">
        <v>45390</v>
      </c>
      <c r="E29" s="34" t="n">
        <v>0</v>
      </c>
      <c r="F29" s="34" t="n">
        <v>32137</v>
      </c>
      <c r="G29" s="34" t="n">
        <v>63773.37</v>
      </c>
      <c r="H29" s="34" t="inlineStr"/>
      <c r="I29" s="34" t="inlineStr">
        <is>
          <t>Rental Income</t>
        </is>
      </c>
      <c r="J29" s="34" t="inlineStr">
        <is>
          <t>Received - Sunita Gupta</t>
        </is>
      </c>
      <c r="K29" s="34" t="inlineStr">
        <is>
          <t>Sunita Gupta</t>
        </is>
      </c>
      <c r="L29" s="35" t="n">
        <v>0.88</v>
      </c>
      <c r="M29" s="34" t="inlineStr">
        <is>
          <t>[DIFF]</t>
        </is>
      </c>
    </row>
    <row r="30">
      <c r="A30" s="83" t="n">
        <v>45391</v>
      </c>
      <c r="B30" s="84" t="inlineStr">
        <is>
          <t>NET PI TO HSL SEC A/C 523686-00602340029434</t>
        </is>
      </c>
      <c r="C30" s="84" t="inlineStr">
        <is>
          <t>0000000511647838</t>
        </is>
      </c>
      <c r="D30" s="83" t="n">
        <v>45391</v>
      </c>
      <c r="E30" s="84" t="n">
        <v>22012.34</v>
      </c>
      <c r="F30" s="84" t="n">
        <v>0</v>
      </c>
      <c r="G30" s="84" t="n">
        <v>41761.03</v>
      </c>
      <c r="H30" s="84" t="inlineStr"/>
      <c r="I30" s="84" t="inlineStr">
        <is>
          <t>HSL</t>
        </is>
      </c>
      <c r="J30" s="84" t="inlineStr">
        <is>
          <t>HDFC Securities - Buy</t>
        </is>
      </c>
      <c r="K30" s="84" t="inlineStr">
        <is>
          <t>HDFC Securities</t>
        </is>
      </c>
      <c r="L30" s="32" t="n">
        <v>0.97</v>
      </c>
      <c r="M30" s="84" t="inlineStr">
        <is>
          <t>[MATCH]</t>
        </is>
      </c>
    </row>
    <row r="31">
      <c r="A31" s="85" t="n">
        <v>45392</v>
      </c>
      <c r="B31" s="86" t="inlineStr">
        <is>
          <t>NET PO FROM HSL A/C 523686-50200085415108</t>
        </is>
      </c>
      <c r="C31" s="86" t="inlineStr">
        <is>
          <t>0000000511759101</t>
        </is>
      </c>
      <c r="D31" s="85" t="n">
        <v>45392</v>
      </c>
      <c r="E31" s="86" t="n">
        <v>0</v>
      </c>
      <c r="F31" s="86" t="n">
        <v>11463.88</v>
      </c>
      <c r="G31" s="86" t="n">
        <v>53224.91</v>
      </c>
      <c r="H31" s="86" t="inlineStr"/>
      <c r="I31" s="86" t="inlineStr">
        <is>
          <t>HSL</t>
        </is>
      </c>
      <c r="J31" s="86" t="inlineStr">
        <is>
          <t>HDFC Securities - Sell</t>
        </is>
      </c>
      <c r="K31" s="86" t="inlineStr">
        <is>
          <t>HDFC Securities</t>
        </is>
      </c>
      <c r="L31" s="32" t="n">
        <v>0.97</v>
      </c>
      <c r="M31" s="86" t="inlineStr">
        <is>
          <t>[MATCH]</t>
        </is>
      </c>
    </row>
    <row r="32">
      <c r="A32" s="83" t="n">
        <v>45392</v>
      </c>
      <c r="B32" s="84" t="inlineStr">
        <is>
          <t>NET PI TO HSL SEC A/C 523686-00602340029434</t>
        </is>
      </c>
      <c r="C32" s="84" t="inlineStr">
        <is>
          <t>0000000511949020</t>
        </is>
      </c>
      <c r="D32" s="83" t="n">
        <v>45392</v>
      </c>
      <c r="E32" s="84" t="n">
        <v>437.52</v>
      </c>
      <c r="F32" s="84" t="n">
        <v>0</v>
      </c>
      <c r="G32" s="84" t="n">
        <v>52787.39</v>
      </c>
      <c r="H32" s="84" t="inlineStr"/>
      <c r="I32" s="84" t="inlineStr">
        <is>
          <t>HSL</t>
        </is>
      </c>
      <c r="J32" s="84" t="inlineStr">
        <is>
          <t>HDFC Securities - Buy</t>
        </is>
      </c>
      <c r="K32" s="84" t="inlineStr">
        <is>
          <t>HDFC Securities</t>
        </is>
      </c>
      <c r="L32" s="32" t="n">
        <v>0.97</v>
      </c>
      <c r="M32" s="84" t="inlineStr">
        <is>
          <t>[MATCH]</t>
        </is>
      </c>
    </row>
    <row r="33">
      <c r="A33" s="83" t="n">
        <v>45392</v>
      </c>
      <c r="B33" s="84" t="inlineStr">
        <is>
          <t>NET PI TO HSL SEC A/C 523686-00602340029434</t>
        </is>
      </c>
      <c r="C33" s="84" t="inlineStr">
        <is>
          <t>0000000512088171</t>
        </is>
      </c>
      <c r="D33" s="83" t="n">
        <v>45392</v>
      </c>
      <c r="E33" s="84" t="n">
        <v>4688.18</v>
      </c>
      <c r="F33" s="84" t="n">
        <v>0</v>
      </c>
      <c r="G33" s="84" t="n">
        <v>48099.21</v>
      </c>
      <c r="H33" s="84" t="inlineStr"/>
      <c r="I33" s="84" t="inlineStr">
        <is>
          <t>HSL</t>
        </is>
      </c>
      <c r="J33" s="84" t="inlineStr">
        <is>
          <t>HDFC Securities - Buy</t>
        </is>
      </c>
      <c r="K33" s="84" t="inlineStr">
        <is>
          <t>HDFC Securities</t>
        </is>
      </c>
      <c r="L33" s="32" t="n">
        <v>0.97</v>
      </c>
      <c r="M33" s="84" t="inlineStr">
        <is>
          <t>[MATCH]</t>
        </is>
      </c>
    </row>
    <row r="34">
      <c r="A34" s="85" t="n">
        <v>45394</v>
      </c>
      <c r="B34" s="86" t="inlineStr">
        <is>
          <t>NET PO FROM HSL A/C 523686-50200085415108</t>
        </is>
      </c>
      <c r="C34" s="86" t="inlineStr">
        <is>
          <t>0000000512213650</t>
        </is>
      </c>
      <c r="D34" s="85" t="n">
        <v>45394</v>
      </c>
      <c r="E34" s="86" t="n">
        <v>0</v>
      </c>
      <c r="F34" s="86" t="n">
        <v>4970.09</v>
      </c>
      <c r="G34" s="86" t="n">
        <v>53069.3</v>
      </c>
      <c r="H34" s="86" t="inlineStr"/>
      <c r="I34" s="86" t="inlineStr">
        <is>
          <t>HSL</t>
        </is>
      </c>
      <c r="J34" s="86" t="inlineStr">
        <is>
          <t>HDFC Securities - Sell</t>
        </is>
      </c>
      <c r="K34" s="86" t="inlineStr">
        <is>
          <t>HDFC Securities</t>
        </is>
      </c>
      <c r="L34" s="32" t="n">
        <v>0.97</v>
      </c>
      <c r="M34" s="86" t="inlineStr">
        <is>
          <t>[MATCH]</t>
        </is>
      </c>
    </row>
    <row r="35">
      <c r="A35" s="85" t="n">
        <v>45394</v>
      </c>
      <c r="B35" s="86" t="inlineStr">
        <is>
          <t>NET PO FROM HSL A/C 523686-50200085415108</t>
        </is>
      </c>
      <c r="C35" s="86" t="inlineStr">
        <is>
          <t>0000000512250338</t>
        </is>
      </c>
      <c r="D35" s="85" t="n">
        <v>45394</v>
      </c>
      <c r="E35" s="86" t="n">
        <v>0</v>
      </c>
      <c r="F35" s="86" t="n">
        <v>30503.75</v>
      </c>
      <c r="G35" s="86" t="n">
        <v>83573.05</v>
      </c>
      <c r="H35" s="86" t="inlineStr"/>
      <c r="I35" s="86" t="inlineStr">
        <is>
          <t>HSL</t>
        </is>
      </c>
      <c r="J35" s="86" t="inlineStr">
        <is>
          <t>HDFC Securities - Sell</t>
        </is>
      </c>
      <c r="K35" s="86" t="inlineStr">
        <is>
          <t>HDFC Securities</t>
        </is>
      </c>
      <c r="L35" s="32" t="n">
        <v>0.97</v>
      </c>
      <c r="M35" s="86" t="inlineStr">
        <is>
          <t>[MATCH]</t>
        </is>
      </c>
    </row>
    <row r="36">
      <c r="A36" s="83" t="n">
        <v>45394</v>
      </c>
      <c r="B36" s="84" t="inlineStr">
        <is>
          <t>NET PI TO HSL SEC A/C 523686-00602340029434</t>
        </is>
      </c>
      <c r="C36" s="84" t="inlineStr">
        <is>
          <t>0000000512379724</t>
        </is>
      </c>
      <c r="D36" s="83" t="n">
        <v>45394</v>
      </c>
      <c r="E36" s="84" t="n">
        <v>939.76</v>
      </c>
      <c r="F36" s="84" t="n">
        <v>0</v>
      </c>
      <c r="G36" s="84" t="n">
        <v>82633.28999999999</v>
      </c>
      <c r="H36" s="84" t="inlineStr"/>
      <c r="I36" s="84" t="inlineStr">
        <is>
          <t>HSL</t>
        </is>
      </c>
      <c r="J36" s="84" t="inlineStr">
        <is>
          <t>HDFC Securities - Buy</t>
        </is>
      </c>
      <c r="K36" s="84" t="inlineStr">
        <is>
          <t>HDFC Securities</t>
        </is>
      </c>
      <c r="L36" s="32" t="n">
        <v>0.97</v>
      </c>
      <c r="M36" s="84" t="inlineStr">
        <is>
          <t>[MATCH]</t>
        </is>
      </c>
    </row>
    <row r="37">
      <c r="A37" s="85" t="n">
        <v>45397</v>
      </c>
      <c r="B37" s="86" t="inlineStr">
        <is>
          <t>NET PO FROM HSL A/C 523686-50200085415108</t>
        </is>
      </c>
      <c r="C37" s="86" t="inlineStr">
        <is>
          <t>0000000512752725</t>
        </is>
      </c>
      <c r="D37" s="85" t="n">
        <v>45397</v>
      </c>
      <c r="E37" s="86" t="n">
        <v>0</v>
      </c>
      <c r="F37" s="86" t="n">
        <v>29255.99</v>
      </c>
      <c r="G37" s="86" t="n">
        <v>111889.28</v>
      </c>
      <c r="H37" s="86" t="inlineStr"/>
      <c r="I37" s="86" t="inlineStr">
        <is>
          <t>HSL</t>
        </is>
      </c>
      <c r="J37" s="86" t="inlineStr">
        <is>
          <t>HDFC Securities - Sell</t>
        </is>
      </c>
      <c r="K37" s="86" t="inlineStr">
        <is>
          <t>HDFC Securities</t>
        </is>
      </c>
      <c r="L37" s="32" t="n">
        <v>0.97</v>
      </c>
      <c r="M37" s="86" t="inlineStr">
        <is>
          <t>[MATCH]</t>
        </is>
      </c>
    </row>
    <row r="38">
      <c r="A38" s="28" t="n">
        <v>45397</v>
      </c>
      <c r="B38" s="29" t="inlineStr">
        <is>
          <t>ACH D- INDIAN CLEARING CORP-P25847643X05</t>
        </is>
      </c>
      <c r="C38" s="29" t="inlineStr">
        <is>
          <t>0000002864355161</t>
        </is>
      </c>
      <c r="D38" s="28" t="n">
        <v>45397</v>
      </c>
      <c r="E38" s="29" t="n">
        <v>5000</v>
      </c>
      <c r="F38" s="29" t="n">
        <v>0</v>
      </c>
      <c r="G38" s="29" t="n">
        <v>106889.28</v>
      </c>
      <c r="H38" s="29" t="inlineStr"/>
      <c r="I38" s="29" t="inlineStr">
        <is>
          <t>SIP  - 5000</t>
        </is>
      </c>
      <c r="J38" s="29" t="inlineStr">
        <is>
          <t>MF Investment</t>
        </is>
      </c>
      <c r="K38" s="29" t="inlineStr">
        <is>
          <t>Mutual_Fund_Investments</t>
        </is>
      </c>
      <c r="L38" s="35" t="n">
        <v>0.92</v>
      </c>
      <c r="M38" s="29" t="inlineStr">
        <is>
          <t>[DIFF]</t>
        </is>
      </c>
    </row>
    <row r="39">
      <c r="A39" s="83" t="n">
        <v>45397</v>
      </c>
      <c r="B39" s="84" t="inlineStr">
        <is>
          <t>NET PI TO HSL SEC A/C 523686-00602340029434</t>
        </is>
      </c>
      <c r="C39" s="84" t="inlineStr">
        <is>
          <t>0000000512947666</t>
        </is>
      </c>
      <c r="D39" s="83" t="n">
        <v>45397</v>
      </c>
      <c r="E39" s="84" t="n">
        <v>1254.81</v>
      </c>
      <c r="F39" s="84" t="n">
        <v>0</v>
      </c>
      <c r="G39" s="84" t="n">
        <v>105634.47</v>
      </c>
      <c r="H39" s="84" t="inlineStr"/>
      <c r="I39" s="84" t="inlineStr">
        <is>
          <t>HSL</t>
        </is>
      </c>
      <c r="J39" s="84" t="inlineStr">
        <is>
          <t>HDFC Securities - Buy</t>
        </is>
      </c>
      <c r="K39" s="84" t="inlineStr">
        <is>
          <t>HDFC Securities</t>
        </is>
      </c>
      <c r="L39" s="32" t="n">
        <v>0.97</v>
      </c>
      <c r="M39" s="84" t="inlineStr">
        <is>
          <t>[MATCH]</t>
        </is>
      </c>
    </row>
    <row r="40">
      <c r="A40" s="85" t="n">
        <v>45398</v>
      </c>
      <c r="B40" s="86" t="inlineStr">
        <is>
          <t>NET PO FROM HSL A/C 523686-50200085415108</t>
        </is>
      </c>
      <c r="C40" s="86" t="inlineStr">
        <is>
          <t>0000000513278964</t>
        </is>
      </c>
      <c r="D40" s="85" t="n">
        <v>45398</v>
      </c>
      <c r="E40" s="86" t="n">
        <v>0</v>
      </c>
      <c r="F40" s="86" t="n">
        <v>29141.48</v>
      </c>
      <c r="G40" s="86" t="n">
        <v>134775.95</v>
      </c>
      <c r="H40" s="86" t="inlineStr"/>
      <c r="I40" s="86" t="inlineStr">
        <is>
          <t>HSL</t>
        </is>
      </c>
      <c r="J40" s="86" t="inlineStr">
        <is>
          <t>HDFC Securities - Sell</t>
        </is>
      </c>
      <c r="K40" s="86" t="inlineStr">
        <is>
          <t>HDFC Securities</t>
        </is>
      </c>
      <c r="L40" s="32" t="n">
        <v>0.97</v>
      </c>
      <c r="M40" s="86" t="inlineStr">
        <is>
          <t>[MATCH]</t>
        </is>
      </c>
    </row>
    <row r="41">
      <c r="A41" s="83" t="n">
        <v>45398</v>
      </c>
      <c r="B41" s="84" t="inlineStr">
        <is>
          <t>NET PI TO HSL SEC A/C 523686-00602340029434</t>
        </is>
      </c>
      <c r="C41" s="84" t="inlineStr">
        <is>
          <t>0000000513409641</t>
        </is>
      </c>
      <c r="D41" s="83" t="n">
        <v>45398</v>
      </c>
      <c r="E41" s="84" t="n">
        <v>400.81</v>
      </c>
      <c r="F41" s="84" t="n">
        <v>0</v>
      </c>
      <c r="G41" s="84" t="n">
        <v>134375.14</v>
      </c>
      <c r="H41" s="84" t="inlineStr"/>
      <c r="I41" s="84" t="inlineStr">
        <is>
          <t>HSL</t>
        </is>
      </c>
      <c r="J41" s="84" t="inlineStr">
        <is>
          <t>HDFC Securities - Buy</t>
        </is>
      </c>
      <c r="K41" s="84" t="inlineStr">
        <is>
          <t>HDFC Securities</t>
        </is>
      </c>
      <c r="L41" s="32" t="n">
        <v>0.97</v>
      </c>
      <c r="M41" s="84" t="inlineStr">
        <is>
          <t>[MATCH]</t>
        </is>
      </c>
    </row>
    <row r="42">
      <c r="A42" s="28" t="n">
        <v>45398</v>
      </c>
      <c r="B42" s="29" t="inlineStr">
        <is>
          <t>YHDF2301816719/BILLDKINDIANCLEARING</t>
        </is>
      </c>
      <c r="C42" s="29" t="inlineStr">
        <is>
          <t>0002410748129324</t>
        </is>
      </c>
      <c r="D42" s="28" t="n">
        <v>45398</v>
      </c>
      <c r="E42" s="29" t="n">
        <v>10000</v>
      </c>
      <c r="F42" s="29" t="n">
        <v>0</v>
      </c>
      <c r="G42" s="29" t="n">
        <v>124375.14</v>
      </c>
      <c r="H42" s="29" t="inlineStr"/>
      <c r="I42" s="29" t="inlineStr">
        <is>
          <t>Electricity Bill</t>
        </is>
      </c>
      <c r="J42" s="29" t="inlineStr">
        <is>
          <t>SIP</t>
        </is>
      </c>
      <c r="K42" s="29" t="inlineStr">
        <is>
          <t>SIP</t>
        </is>
      </c>
      <c r="L42" s="35" t="n">
        <v>0.9</v>
      </c>
      <c r="M42" s="29" t="inlineStr">
        <is>
          <t>[DIFF]</t>
        </is>
      </c>
    </row>
    <row r="43">
      <c r="A43" s="83" t="n">
        <v>45398</v>
      </c>
      <c r="B43" s="84" t="inlineStr">
        <is>
          <t>NET PI TO HSL SEC A/C 523686-00602340029434</t>
        </is>
      </c>
      <c r="C43" s="84" t="inlineStr">
        <is>
          <t>0000000513559992</t>
        </is>
      </c>
      <c r="D43" s="83" t="n">
        <v>45398</v>
      </c>
      <c r="E43" s="84" t="n">
        <v>32991.42</v>
      </c>
      <c r="F43" s="84" t="n">
        <v>0</v>
      </c>
      <c r="G43" s="84" t="n">
        <v>91383.72</v>
      </c>
      <c r="H43" s="84" t="inlineStr"/>
      <c r="I43" s="84" t="inlineStr">
        <is>
          <t>HSL</t>
        </is>
      </c>
      <c r="J43" s="84" t="inlineStr">
        <is>
          <t>HDFC Securities - Buy</t>
        </is>
      </c>
      <c r="K43" s="84" t="inlineStr">
        <is>
          <t>HDFC Securities</t>
        </is>
      </c>
      <c r="L43" s="32" t="n">
        <v>0.97</v>
      </c>
      <c r="M43" s="84" t="inlineStr">
        <is>
          <t>[MATCH]</t>
        </is>
      </c>
    </row>
    <row r="44">
      <c r="A44" s="85" t="n">
        <v>45400</v>
      </c>
      <c r="B44" s="86" t="inlineStr">
        <is>
          <t>NET PO FROM HSL A/C 523686-50200085415108</t>
        </is>
      </c>
      <c r="C44" s="86" t="inlineStr">
        <is>
          <t>0000000513691594</t>
        </is>
      </c>
      <c r="D44" s="85" t="n">
        <v>45400</v>
      </c>
      <c r="E44" s="86" t="n">
        <v>0</v>
      </c>
      <c r="F44" s="86" t="n">
        <v>10255.18</v>
      </c>
      <c r="G44" s="86" t="n">
        <v>101638.9</v>
      </c>
      <c r="H44" s="86" t="inlineStr"/>
      <c r="I44" s="86" t="inlineStr">
        <is>
          <t>HSL</t>
        </is>
      </c>
      <c r="J44" s="86" t="inlineStr">
        <is>
          <t>HDFC Securities - Sell</t>
        </is>
      </c>
      <c r="K44" s="86" t="inlineStr">
        <is>
          <t>HDFC Securities</t>
        </is>
      </c>
      <c r="L44" s="32" t="n">
        <v>0.97</v>
      </c>
      <c r="M44" s="86" t="inlineStr">
        <is>
          <t>[MATCH]</t>
        </is>
      </c>
    </row>
    <row r="45">
      <c r="A45" s="83" t="n">
        <v>45400</v>
      </c>
      <c r="B45" s="84" t="inlineStr">
        <is>
          <t>NET PI TO HSL SEC A/C 523686-00602340029434</t>
        </is>
      </c>
      <c r="C45" s="84" t="inlineStr">
        <is>
          <t>0000000513838583</t>
        </is>
      </c>
      <c r="D45" s="83" t="n">
        <v>45400</v>
      </c>
      <c r="E45" s="84" t="n">
        <v>731.0599999999999</v>
      </c>
      <c r="F45" s="84" t="n">
        <v>0</v>
      </c>
      <c r="G45" s="84" t="n">
        <v>100907.84</v>
      </c>
      <c r="H45" s="84" t="inlineStr"/>
      <c r="I45" s="84" t="inlineStr">
        <is>
          <t>HSL</t>
        </is>
      </c>
      <c r="J45" s="84" t="inlineStr">
        <is>
          <t>HDFC Securities - Buy</t>
        </is>
      </c>
      <c r="K45" s="84" t="inlineStr">
        <is>
          <t>HDFC Securities</t>
        </is>
      </c>
      <c r="L45" s="32" t="n">
        <v>0.97</v>
      </c>
      <c r="M45" s="84" t="inlineStr">
        <is>
          <t>[MATCH]</t>
        </is>
      </c>
    </row>
    <row r="46">
      <c r="A46" s="83" t="n">
        <v>45400</v>
      </c>
      <c r="B46" s="84" t="inlineStr">
        <is>
          <t>NET PI TO HSL SEC A/C 523686-00602340029434</t>
        </is>
      </c>
      <c r="C46" s="84" t="inlineStr">
        <is>
          <t>0000000514014293</t>
        </is>
      </c>
      <c r="D46" s="83" t="n">
        <v>45400</v>
      </c>
      <c r="E46" s="84" t="n">
        <v>20472.73</v>
      </c>
      <c r="F46" s="84" t="n">
        <v>0</v>
      </c>
      <c r="G46" s="84" t="n">
        <v>80435.11</v>
      </c>
      <c r="H46" s="84" t="inlineStr"/>
      <c r="I46" s="84" t="inlineStr">
        <is>
          <t>HSL</t>
        </is>
      </c>
      <c r="J46" s="84" t="inlineStr">
        <is>
          <t>HDFC Securities - Buy</t>
        </is>
      </c>
      <c r="K46" s="84" t="inlineStr">
        <is>
          <t>HDFC Securities</t>
        </is>
      </c>
      <c r="L46" s="32" t="n">
        <v>0.97</v>
      </c>
      <c r="M46" s="84" t="inlineStr">
        <is>
          <t>[MATCH]</t>
        </is>
      </c>
    </row>
    <row r="47">
      <c r="A47" s="83" t="n">
        <v>45401</v>
      </c>
      <c r="B47" s="84" t="inlineStr">
        <is>
          <t>NET PI TO HSL SEC A/C 523686-00602340029434</t>
        </is>
      </c>
      <c r="C47" s="84" t="inlineStr">
        <is>
          <t>0000000514269808</t>
        </is>
      </c>
      <c r="D47" s="83" t="n">
        <v>45401</v>
      </c>
      <c r="E47" s="84" t="n">
        <v>401.53</v>
      </c>
      <c r="F47" s="84" t="n">
        <v>0</v>
      </c>
      <c r="G47" s="84" t="n">
        <v>80033.58</v>
      </c>
      <c r="H47" s="84" t="inlineStr"/>
      <c r="I47" s="84" t="inlineStr">
        <is>
          <t>HSL</t>
        </is>
      </c>
      <c r="J47" s="84" t="inlineStr">
        <is>
          <t>HDFC Securities - Buy</t>
        </is>
      </c>
      <c r="K47" s="84" t="inlineStr">
        <is>
          <t>HDFC Securities</t>
        </is>
      </c>
      <c r="L47" s="32" t="n">
        <v>0.97</v>
      </c>
      <c r="M47" s="84" t="inlineStr">
        <is>
          <t>[MATCH]</t>
        </is>
      </c>
    </row>
    <row r="48">
      <c r="A48" s="83" t="n">
        <v>45401</v>
      </c>
      <c r="B48" s="84" t="inlineStr">
        <is>
          <t>NET PI TO HSL SEC A/C 523686-00602340029434</t>
        </is>
      </c>
      <c r="C48" s="84" t="inlineStr">
        <is>
          <t>0000000514434864</t>
        </is>
      </c>
      <c r="D48" s="83" t="n">
        <v>45401</v>
      </c>
      <c r="E48" s="84" t="n">
        <v>26524.15</v>
      </c>
      <c r="F48" s="84" t="n">
        <v>0</v>
      </c>
      <c r="G48" s="84" t="n">
        <v>53509.43</v>
      </c>
      <c r="H48" s="84" t="inlineStr"/>
      <c r="I48" s="84" t="inlineStr">
        <is>
          <t>HSL</t>
        </is>
      </c>
      <c r="J48" s="84" t="inlineStr">
        <is>
          <t>HDFC Securities - Buy</t>
        </is>
      </c>
      <c r="K48" s="84" t="inlineStr">
        <is>
          <t>HDFC Securities</t>
        </is>
      </c>
      <c r="L48" s="32" t="n">
        <v>0.97</v>
      </c>
      <c r="M48" s="84" t="inlineStr">
        <is>
          <t>[MATCH]</t>
        </is>
      </c>
    </row>
    <row r="49">
      <c r="A49" s="83" t="n">
        <v>45404</v>
      </c>
      <c r="B49" s="84" t="inlineStr">
        <is>
          <t>NET PI TO HSL SEC A/C 523686-00602340029434</t>
        </is>
      </c>
      <c r="C49" s="84" t="inlineStr">
        <is>
          <t>0000000514738398</t>
        </is>
      </c>
      <c r="D49" s="83" t="n">
        <v>45404</v>
      </c>
      <c r="E49" s="84" t="n">
        <v>1243.71</v>
      </c>
      <c r="F49" s="84" t="n">
        <v>0</v>
      </c>
      <c r="G49" s="84" t="n">
        <v>52265.72</v>
      </c>
      <c r="H49" s="84" t="inlineStr"/>
      <c r="I49" s="84" t="inlineStr">
        <is>
          <t>HSL</t>
        </is>
      </c>
      <c r="J49" s="84" t="inlineStr">
        <is>
          <t>HDFC Securities - Buy</t>
        </is>
      </c>
      <c r="K49" s="84" t="inlineStr">
        <is>
          <t>HDFC Securities</t>
        </is>
      </c>
      <c r="L49" s="32" t="n">
        <v>0.97</v>
      </c>
      <c r="M49" s="84" t="inlineStr">
        <is>
          <t>[MATCH]</t>
        </is>
      </c>
    </row>
    <row r="50">
      <c r="A50" s="85" t="n">
        <v>45405</v>
      </c>
      <c r="B50" s="86" t="inlineStr">
        <is>
          <t>NET PO FROM HSL A/C 523686-50200085415108</t>
        </is>
      </c>
      <c r="C50" s="86" t="inlineStr">
        <is>
          <t>0000000515001917</t>
        </is>
      </c>
      <c r="D50" s="85" t="n">
        <v>45405</v>
      </c>
      <c r="E50" s="86" t="n">
        <v>0</v>
      </c>
      <c r="F50" s="86" t="n">
        <v>89361.64999999999</v>
      </c>
      <c r="G50" s="86" t="n">
        <v>141627.37</v>
      </c>
      <c r="H50" s="86" t="inlineStr"/>
      <c r="I50" s="86" t="inlineStr">
        <is>
          <t>HSL</t>
        </is>
      </c>
      <c r="J50" s="86" t="inlineStr">
        <is>
          <t>HDFC Securities - Sell</t>
        </is>
      </c>
      <c r="K50" s="86" t="inlineStr">
        <is>
          <t>HDFC Securities</t>
        </is>
      </c>
      <c r="L50" s="32" t="n">
        <v>0.97</v>
      </c>
      <c r="M50" s="86" t="inlineStr">
        <is>
          <t>[MATCH]</t>
        </is>
      </c>
    </row>
    <row r="51">
      <c r="A51" s="85" t="n">
        <v>45405</v>
      </c>
      <c r="B51" s="86" t="inlineStr">
        <is>
          <t>NET PO FROM HSL A/C 523686-50200085415108</t>
        </is>
      </c>
      <c r="C51" s="86" t="inlineStr">
        <is>
          <t>0000000515037945</t>
        </is>
      </c>
      <c r="D51" s="85" t="n">
        <v>45405</v>
      </c>
      <c r="E51" s="86" t="n">
        <v>0</v>
      </c>
      <c r="F51" s="86" t="n">
        <v>19918.93</v>
      </c>
      <c r="G51" s="86" t="n">
        <v>161546.3</v>
      </c>
      <c r="H51" s="86" t="inlineStr"/>
      <c r="I51" s="86" t="inlineStr">
        <is>
          <t>HSL</t>
        </is>
      </c>
      <c r="J51" s="86" t="inlineStr">
        <is>
          <t>HDFC Securities - Sell</t>
        </is>
      </c>
      <c r="K51" s="86" t="inlineStr">
        <is>
          <t>HDFC Securities</t>
        </is>
      </c>
      <c r="L51" s="32" t="n">
        <v>0.97</v>
      </c>
      <c r="M51" s="86" t="inlineStr">
        <is>
          <t>[MATCH]</t>
        </is>
      </c>
    </row>
    <row r="52">
      <c r="A52" s="83" t="n">
        <v>45405</v>
      </c>
      <c r="B52" s="84" t="inlineStr">
        <is>
          <t>NET PI TO HSL SEC A/C 523686-00602340029434</t>
        </is>
      </c>
      <c r="C52" s="84" t="inlineStr">
        <is>
          <t>0000000515126606</t>
        </is>
      </c>
      <c r="D52" s="83" t="n">
        <v>45405</v>
      </c>
      <c r="E52" s="84" t="n">
        <v>425.91</v>
      </c>
      <c r="F52" s="84" t="n">
        <v>0</v>
      </c>
      <c r="G52" s="84" t="n">
        <v>161120.39</v>
      </c>
      <c r="H52" s="84" t="inlineStr"/>
      <c r="I52" s="84" t="inlineStr">
        <is>
          <t>HSL</t>
        </is>
      </c>
      <c r="J52" s="84" t="inlineStr">
        <is>
          <t>HDFC Securities - Buy</t>
        </is>
      </c>
      <c r="K52" s="84" t="inlineStr">
        <is>
          <t>HDFC Securities</t>
        </is>
      </c>
      <c r="L52" s="32" t="n">
        <v>0.97</v>
      </c>
      <c r="M52" s="84" t="inlineStr">
        <is>
          <t>[MATCH]</t>
        </is>
      </c>
    </row>
    <row r="53">
      <c r="A53" s="33" t="n">
        <v>45405</v>
      </c>
      <c r="B53" s="34" t="inlineStr">
        <is>
          <t>01671000085930-TPT-MONEY RETURNED FROM SUNITA TO AKG-AJAY KUMAR GUPTA</t>
        </is>
      </c>
      <c r="C53" s="34" t="inlineStr">
        <is>
          <t>0000000111887665</t>
        </is>
      </c>
      <c r="D53" s="33" t="n">
        <v>45405</v>
      </c>
      <c r="E53" s="34" t="n">
        <v>100000</v>
      </c>
      <c r="F53" s="34" t="n">
        <v>0</v>
      </c>
      <c r="G53" s="34" t="n">
        <v>61120.39</v>
      </c>
      <c r="H53" s="34" t="inlineStr"/>
      <c r="I53" s="34" t="inlineStr">
        <is>
          <t>Transfer from Ajay</t>
        </is>
      </c>
      <c r="J53" s="34" t="inlineStr">
        <is>
          <t>Transfer - Sunita Gupta</t>
        </is>
      </c>
      <c r="K53" s="34" t="inlineStr">
        <is>
          <t>Sunita Gupta</t>
        </is>
      </c>
      <c r="L53" s="35" t="n">
        <v>0.88</v>
      </c>
      <c r="M53" s="34" t="inlineStr">
        <is>
          <t>[DIFF]</t>
        </is>
      </c>
    </row>
    <row r="54">
      <c r="A54" s="85" t="n">
        <v>45406</v>
      </c>
      <c r="B54" s="86" t="inlineStr">
        <is>
          <t>NET PO FROM HSL A/C 523686-50200085415108</t>
        </is>
      </c>
      <c r="C54" s="86" t="inlineStr">
        <is>
          <t>0000000515408008</t>
        </is>
      </c>
      <c r="D54" s="85" t="n">
        <v>45406</v>
      </c>
      <c r="E54" s="86" t="n">
        <v>0</v>
      </c>
      <c r="F54" s="86" t="n">
        <v>15099.63</v>
      </c>
      <c r="G54" s="86" t="n">
        <v>76220.02</v>
      </c>
      <c r="H54" s="86" t="inlineStr"/>
      <c r="I54" s="86" t="inlineStr">
        <is>
          <t>HSL</t>
        </is>
      </c>
      <c r="J54" s="86" t="inlineStr">
        <is>
          <t>HDFC Securities - Sell</t>
        </is>
      </c>
      <c r="K54" s="86" t="inlineStr">
        <is>
          <t>HDFC Securities</t>
        </is>
      </c>
      <c r="L54" s="32" t="n">
        <v>0.97</v>
      </c>
      <c r="M54" s="86" t="inlineStr">
        <is>
          <t>[MATCH]</t>
        </is>
      </c>
    </row>
    <row r="55">
      <c r="A55" s="83" t="n">
        <v>45406</v>
      </c>
      <c r="B55" s="84" t="inlineStr">
        <is>
          <t>NET PI TO HSL SEC A/C 523686-00602340029434</t>
        </is>
      </c>
      <c r="C55" s="84" t="inlineStr">
        <is>
          <t>0000000515525128</t>
        </is>
      </c>
      <c r="D55" s="83" t="n">
        <v>45406</v>
      </c>
      <c r="E55" s="84" t="n">
        <v>376.18</v>
      </c>
      <c r="F55" s="84" t="n">
        <v>0</v>
      </c>
      <c r="G55" s="84" t="n">
        <v>75843.84</v>
      </c>
      <c r="H55" s="84" t="inlineStr"/>
      <c r="I55" s="84" t="inlineStr">
        <is>
          <t>HSL</t>
        </is>
      </c>
      <c r="J55" s="84" t="inlineStr">
        <is>
          <t>HDFC Securities - Buy</t>
        </is>
      </c>
      <c r="K55" s="84" t="inlineStr">
        <is>
          <t>HDFC Securities</t>
        </is>
      </c>
      <c r="L55" s="32" t="n">
        <v>0.97</v>
      </c>
      <c r="M55" s="84" t="inlineStr">
        <is>
          <t>[MATCH]</t>
        </is>
      </c>
    </row>
    <row r="56">
      <c r="A56" s="28" t="n">
        <v>45406</v>
      </c>
      <c r="B56" s="29" t="inlineStr">
        <is>
          <t>YHDF2309213912/BILLDKTHECALCUTTAELE</t>
        </is>
      </c>
      <c r="C56" s="29" t="inlineStr">
        <is>
          <t>0002411548840638</t>
        </is>
      </c>
      <c r="D56" s="28" t="n">
        <v>45406</v>
      </c>
      <c r="E56" s="29" t="n">
        <v>18664</v>
      </c>
      <c r="F56" s="29" t="n">
        <v>0</v>
      </c>
      <c r="G56" s="29" t="n">
        <v>57179.84</v>
      </c>
      <c r="H56" s="29" t="inlineStr"/>
      <c r="I56" s="29" t="inlineStr">
        <is>
          <t>Electricity Bill</t>
        </is>
      </c>
      <c r="J56" s="29" t="inlineStr">
        <is>
          <t>SIP</t>
        </is>
      </c>
      <c r="K56" s="29" t="inlineStr">
        <is>
          <t>SIP</t>
        </is>
      </c>
      <c r="L56" s="35" t="n">
        <v>0.9</v>
      </c>
      <c r="M56" s="29" t="inlineStr">
        <is>
          <t>[DIFF]</t>
        </is>
      </c>
    </row>
    <row r="57">
      <c r="A57" s="85" t="n">
        <v>45407</v>
      </c>
      <c r="B57" s="86" t="inlineStr">
        <is>
          <t>NET PO FROM HSL A/C 523686-50200085415108</t>
        </is>
      </c>
      <c r="C57" s="86" t="inlineStr">
        <is>
          <t>0000000515808361</t>
        </is>
      </c>
      <c r="D57" s="85" t="n">
        <v>45407</v>
      </c>
      <c r="E57" s="86" t="n">
        <v>0</v>
      </c>
      <c r="F57" s="86" t="n">
        <v>42290.74</v>
      </c>
      <c r="G57" s="86" t="n">
        <v>99470.58</v>
      </c>
      <c r="H57" s="86" t="inlineStr"/>
      <c r="I57" s="86" t="inlineStr">
        <is>
          <t>HSL</t>
        </is>
      </c>
      <c r="J57" s="86" t="inlineStr">
        <is>
          <t>HDFC Securities - Sell</t>
        </is>
      </c>
      <c r="K57" s="86" t="inlineStr">
        <is>
          <t>HDFC Securities</t>
        </is>
      </c>
      <c r="L57" s="32" t="n">
        <v>0.97</v>
      </c>
      <c r="M57" s="86" t="inlineStr">
        <is>
          <t>[MATCH]</t>
        </is>
      </c>
    </row>
    <row r="58">
      <c r="A58" s="85" t="n">
        <v>45407</v>
      </c>
      <c r="B58" s="86" t="inlineStr">
        <is>
          <t>NET PO FROM HSL A/C 523686-50200085415108</t>
        </is>
      </c>
      <c r="C58" s="86" t="inlineStr">
        <is>
          <t>0000000515845203</t>
        </is>
      </c>
      <c r="D58" s="85" t="n">
        <v>45407</v>
      </c>
      <c r="E58" s="86" t="n">
        <v>0</v>
      </c>
      <c r="F58" s="86" t="n">
        <v>74786.99000000001</v>
      </c>
      <c r="G58" s="86" t="n">
        <v>174257.57</v>
      </c>
      <c r="H58" s="86" t="inlineStr"/>
      <c r="I58" s="86" t="inlineStr">
        <is>
          <t>HSL</t>
        </is>
      </c>
      <c r="J58" s="86" t="inlineStr">
        <is>
          <t>HDFC Securities - Sell</t>
        </is>
      </c>
      <c r="K58" s="86" t="inlineStr">
        <is>
          <t>HDFC Securities</t>
        </is>
      </c>
      <c r="L58" s="32" t="n">
        <v>0.97</v>
      </c>
      <c r="M58" s="86" t="inlineStr">
        <is>
          <t>[MATCH]</t>
        </is>
      </c>
    </row>
    <row r="59">
      <c r="A59" s="28" t="n">
        <v>45407</v>
      </c>
      <c r="B59" s="29" t="inlineStr">
        <is>
          <t>ACH D- INDIAN CLEARING CORP-P25847643X05</t>
        </is>
      </c>
      <c r="C59" s="29" t="inlineStr">
        <is>
          <t>0000003252051331</t>
        </is>
      </c>
      <c r="D59" s="28" t="n">
        <v>45407</v>
      </c>
      <c r="E59" s="29" t="n">
        <v>10000</v>
      </c>
      <c r="F59" s="29" t="n">
        <v>0</v>
      </c>
      <c r="G59" s="29" t="n">
        <v>164257.57</v>
      </c>
      <c r="H59" s="29" t="inlineStr"/>
      <c r="I59" s="29" t="inlineStr">
        <is>
          <t>SIP  - 10000</t>
        </is>
      </c>
      <c r="J59" s="29" t="inlineStr">
        <is>
          <t>MF Investment</t>
        </is>
      </c>
      <c r="K59" s="29" t="inlineStr">
        <is>
          <t>Mutual_Fund_Investments</t>
        </is>
      </c>
      <c r="L59" s="35" t="n">
        <v>0.92</v>
      </c>
      <c r="M59" s="29" t="inlineStr">
        <is>
          <t>[DIFF]</t>
        </is>
      </c>
    </row>
    <row r="60">
      <c r="A60" s="83" t="n">
        <v>45407</v>
      </c>
      <c r="B60" s="84" t="inlineStr">
        <is>
          <t>NET PI TO HSL SEC A/C 523686-00602340029434</t>
        </is>
      </c>
      <c r="C60" s="84" t="inlineStr">
        <is>
          <t>0000000515969120</t>
        </is>
      </c>
      <c r="D60" s="83" t="n">
        <v>45407</v>
      </c>
      <c r="E60" s="84" t="n">
        <v>374.11</v>
      </c>
      <c r="F60" s="84" t="n">
        <v>0</v>
      </c>
      <c r="G60" s="84" t="n">
        <v>163883.46</v>
      </c>
      <c r="H60" s="84" t="inlineStr"/>
      <c r="I60" s="84" t="inlineStr">
        <is>
          <t>HSL</t>
        </is>
      </c>
      <c r="J60" s="84" t="inlineStr">
        <is>
          <t>HDFC Securities - Buy</t>
        </is>
      </c>
      <c r="K60" s="84" t="inlineStr">
        <is>
          <t>HDFC Securities</t>
        </is>
      </c>
      <c r="L60" s="32" t="n">
        <v>0.97</v>
      </c>
      <c r="M60" s="84" t="inlineStr">
        <is>
          <t>[MATCH]</t>
        </is>
      </c>
    </row>
    <row r="61">
      <c r="A61" s="91" t="n">
        <v>45407</v>
      </c>
      <c r="B61" s="92" t="inlineStr">
        <is>
          <t>NEFT CR-UTIB0000004-AXIS MUTUAL FUND DIVIDEND A/C-SUNITA GUPTA-AXISCN0597839178</t>
        </is>
      </c>
      <c r="C61" s="92" t="inlineStr">
        <is>
          <t>AXISCN0597839178</t>
        </is>
      </c>
      <c r="D61" s="91" t="n">
        <v>45407</v>
      </c>
      <c r="E61" s="92" t="n">
        <v>0</v>
      </c>
      <c r="F61" s="92" t="n">
        <v>84.56999999999999</v>
      </c>
      <c r="G61" s="92" t="n">
        <v>163968.03</v>
      </c>
      <c r="H61" s="92" t="inlineStr"/>
      <c r="I61" s="92" t="inlineStr">
        <is>
          <t>MF - Dividend</t>
        </is>
      </c>
      <c r="J61" s="92" t="inlineStr">
        <is>
          <t>Dividend Income</t>
        </is>
      </c>
      <c r="K61" s="92" t="inlineStr">
        <is>
          <t>Dividend Income</t>
        </is>
      </c>
      <c r="L61" s="35" t="n">
        <v>0.85</v>
      </c>
      <c r="M61" s="92" t="inlineStr">
        <is>
          <t>[DIFF]</t>
        </is>
      </c>
    </row>
    <row r="62">
      <c r="A62" s="83" t="n">
        <v>45407</v>
      </c>
      <c r="B62" s="84" t="inlineStr">
        <is>
          <t>NET PI TO HSL SEC A/C 523686-00602340029434</t>
        </is>
      </c>
      <c r="C62" s="84" t="inlineStr">
        <is>
          <t>0000000516120398</t>
        </is>
      </c>
      <c r="D62" s="83" t="n">
        <v>45407</v>
      </c>
      <c r="E62" s="84" t="n">
        <v>83979.75</v>
      </c>
      <c r="F62" s="84" t="n">
        <v>0</v>
      </c>
      <c r="G62" s="84" t="n">
        <v>79988.28</v>
      </c>
      <c r="H62" s="84" t="inlineStr"/>
      <c r="I62" s="84" t="inlineStr">
        <is>
          <t>HSL</t>
        </is>
      </c>
      <c r="J62" s="84" t="inlineStr">
        <is>
          <t>HDFC Securities - Buy</t>
        </is>
      </c>
      <c r="K62" s="84" t="inlineStr">
        <is>
          <t>HDFC Securities</t>
        </is>
      </c>
      <c r="L62" s="32" t="n">
        <v>0.97</v>
      </c>
      <c r="M62" s="84" t="inlineStr">
        <is>
          <t>[MATCH]</t>
        </is>
      </c>
    </row>
    <row r="63">
      <c r="A63" s="85" t="n">
        <v>45408</v>
      </c>
      <c r="B63" s="86" t="inlineStr">
        <is>
          <t>NET PO FROM HSL A/C 523686-50200085415108</t>
        </is>
      </c>
      <c r="C63" s="86" t="inlineStr">
        <is>
          <t>0000000516245224</t>
        </is>
      </c>
      <c r="D63" s="85" t="n">
        <v>45408</v>
      </c>
      <c r="E63" s="86" t="n">
        <v>0</v>
      </c>
      <c r="F63" s="86" t="n">
        <v>1478.14</v>
      </c>
      <c r="G63" s="86" t="n">
        <v>81466.42</v>
      </c>
      <c r="H63" s="86" t="inlineStr"/>
      <c r="I63" s="86" t="inlineStr">
        <is>
          <t>HSL</t>
        </is>
      </c>
      <c r="J63" s="86" t="inlineStr">
        <is>
          <t>HDFC Securities - Sell</t>
        </is>
      </c>
      <c r="K63" s="86" t="inlineStr">
        <is>
          <t>HDFC Securities</t>
        </is>
      </c>
      <c r="L63" s="32" t="n">
        <v>0.97</v>
      </c>
      <c r="M63" s="86" t="inlineStr">
        <is>
          <t>[MATCH]</t>
        </is>
      </c>
    </row>
    <row r="64">
      <c r="A64" s="85" t="n">
        <v>45408</v>
      </c>
      <c r="B64" s="86" t="inlineStr">
        <is>
          <t>NET PO FROM HSL A/C 523686-50200085415108</t>
        </is>
      </c>
      <c r="C64" s="86" t="inlineStr">
        <is>
          <t>0000000516290816</t>
        </is>
      </c>
      <c r="D64" s="85" t="n">
        <v>45408</v>
      </c>
      <c r="E64" s="86" t="n">
        <v>0</v>
      </c>
      <c r="F64" s="86" t="n">
        <v>19816.62</v>
      </c>
      <c r="G64" s="86" t="n">
        <v>101283.04</v>
      </c>
      <c r="H64" s="86" t="inlineStr"/>
      <c r="I64" s="86" t="inlineStr">
        <is>
          <t>HSL</t>
        </is>
      </c>
      <c r="J64" s="86" t="inlineStr">
        <is>
          <t>HDFC Securities - Sell</t>
        </is>
      </c>
      <c r="K64" s="86" t="inlineStr">
        <is>
          <t>HDFC Securities</t>
        </is>
      </c>
      <c r="L64" s="32" t="n">
        <v>0.97</v>
      </c>
      <c r="M64" s="86" t="inlineStr">
        <is>
          <t>[MATCH]</t>
        </is>
      </c>
    </row>
    <row r="65">
      <c r="A65" s="83" t="n">
        <v>45408</v>
      </c>
      <c r="B65" s="84" t="inlineStr">
        <is>
          <t>NET PI TO HSL SEC A/C 523686-00602340029434</t>
        </is>
      </c>
      <c r="C65" s="84" t="inlineStr">
        <is>
          <t>0000000516392080</t>
        </is>
      </c>
      <c r="D65" s="83" t="n">
        <v>45408</v>
      </c>
      <c r="E65" s="84" t="n">
        <v>308.18</v>
      </c>
      <c r="F65" s="84" t="n">
        <v>0</v>
      </c>
      <c r="G65" s="84" t="n">
        <v>100974.86</v>
      </c>
      <c r="H65" s="84" t="inlineStr"/>
      <c r="I65" s="84" t="inlineStr">
        <is>
          <t>HSL</t>
        </is>
      </c>
      <c r="J65" s="84" t="inlineStr">
        <is>
          <t>HDFC Securities - Buy</t>
        </is>
      </c>
      <c r="K65" s="84" t="inlineStr">
        <is>
          <t>HDFC Securities</t>
        </is>
      </c>
      <c r="L65" s="32" t="n">
        <v>0.97</v>
      </c>
      <c r="M65" s="84" t="inlineStr">
        <is>
          <t>[MATCH]</t>
        </is>
      </c>
    </row>
    <row r="66">
      <c r="A66" s="83" t="n">
        <v>45408</v>
      </c>
      <c r="B66" s="84" t="inlineStr">
        <is>
          <t>NET PI TO HSL SEC A/C 523686-00602340029434</t>
        </is>
      </c>
      <c r="C66" s="84" t="inlineStr">
        <is>
          <t>0000000516549844</t>
        </is>
      </c>
      <c r="D66" s="83" t="n">
        <v>45408</v>
      </c>
      <c r="E66" s="84" t="n">
        <v>41835.78</v>
      </c>
      <c r="F66" s="84" t="n">
        <v>0</v>
      </c>
      <c r="G66" s="84" t="n">
        <v>59139.08</v>
      </c>
      <c r="H66" s="84" t="inlineStr"/>
      <c r="I66" s="84" t="inlineStr">
        <is>
          <t>HSL</t>
        </is>
      </c>
      <c r="J66" s="84" t="inlineStr">
        <is>
          <t>HDFC Securities - Buy</t>
        </is>
      </c>
      <c r="K66" s="84" t="inlineStr">
        <is>
          <t>HDFC Securities</t>
        </is>
      </c>
      <c r="L66" s="32" t="n">
        <v>0.97</v>
      </c>
      <c r="M66" s="84" t="inlineStr">
        <is>
          <t>[MATCH]</t>
        </is>
      </c>
    </row>
    <row r="67">
      <c r="A67" s="85" t="n">
        <v>45411</v>
      </c>
      <c r="B67" s="86" t="inlineStr">
        <is>
          <t>NET PO FROM HSL A/C 523686-50200085415108</t>
        </is>
      </c>
      <c r="C67" s="86" t="inlineStr">
        <is>
          <t>0000000516676963</t>
        </is>
      </c>
      <c r="D67" s="85" t="n">
        <v>45411</v>
      </c>
      <c r="E67" s="86" t="n">
        <v>0</v>
      </c>
      <c r="F67" s="86" t="n">
        <v>1181.14</v>
      </c>
      <c r="G67" s="86" t="n">
        <v>60320.22</v>
      </c>
      <c r="H67" s="86" t="inlineStr"/>
      <c r="I67" s="86" t="inlineStr">
        <is>
          <t>HSL</t>
        </is>
      </c>
      <c r="J67" s="86" t="inlineStr">
        <is>
          <t>HDFC Securities - Sell</t>
        </is>
      </c>
      <c r="K67" s="86" t="inlineStr">
        <is>
          <t>HDFC Securities</t>
        </is>
      </c>
      <c r="L67" s="32" t="n">
        <v>0.97</v>
      </c>
      <c r="M67" s="86" t="inlineStr">
        <is>
          <t>[MATCH]</t>
        </is>
      </c>
    </row>
    <row r="68">
      <c r="A68" s="83" t="n">
        <v>45411</v>
      </c>
      <c r="B68" s="84" t="inlineStr">
        <is>
          <t>NET PI TO HSL SEC A/C 523686-00602340029434</t>
        </is>
      </c>
      <c r="C68" s="84" t="inlineStr">
        <is>
          <t>0000000516841538</t>
        </is>
      </c>
      <c r="D68" s="83" t="n">
        <v>45411</v>
      </c>
      <c r="E68" s="84" t="n">
        <v>854.79</v>
      </c>
      <c r="F68" s="84" t="n">
        <v>0</v>
      </c>
      <c r="G68" s="84" t="n">
        <v>59465.43</v>
      </c>
      <c r="H68" s="84" t="inlineStr"/>
      <c r="I68" s="84" t="inlineStr">
        <is>
          <t>HSL</t>
        </is>
      </c>
      <c r="J68" s="84" t="inlineStr">
        <is>
          <t>HDFC Securities - Buy</t>
        </is>
      </c>
      <c r="K68" s="84" t="inlineStr">
        <is>
          <t>HDFC Securities</t>
        </is>
      </c>
      <c r="L68" s="32" t="n">
        <v>0.97</v>
      </c>
      <c r="M68" s="84" t="inlineStr">
        <is>
          <t>[MATCH]</t>
        </is>
      </c>
    </row>
    <row r="69">
      <c r="A69" s="83" t="n">
        <v>45411</v>
      </c>
      <c r="B69" s="84" t="inlineStr">
        <is>
          <t>NET PI TO HSL SEC A/C 523686-00602340029434</t>
        </is>
      </c>
      <c r="C69" s="84" t="inlineStr">
        <is>
          <t>0000000517008870</t>
        </is>
      </c>
      <c r="D69" s="83" t="n">
        <v>45411</v>
      </c>
      <c r="E69" s="84" t="n">
        <v>55580.94</v>
      </c>
      <c r="F69" s="84" t="n">
        <v>0</v>
      </c>
      <c r="G69" s="84" t="n">
        <v>3884.49</v>
      </c>
      <c r="H69" s="84" t="inlineStr"/>
      <c r="I69" s="84" t="inlineStr">
        <is>
          <t>HSL</t>
        </is>
      </c>
      <c r="J69" s="84" t="inlineStr">
        <is>
          <t>HDFC Securities - Buy</t>
        </is>
      </c>
      <c r="K69" s="84" t="inlineStr">
        <is>
          <t>HDFC Securities</t>
        </is>
      </c>
      <c r="L69" s="32" t="n">
        <v>0.97</v>
      </c>
      <c r="M69" s="84" t="inlineStr">
        <is>
          <t>[MATCH]</t>
        </is>
      </c>
    </row>
    <row r="70">
      <c r="A70" s="85" t="n">
        <v>45412</v>
      </c>
      <c r="B70" s="86" t="inlineStr">
        <is>
          <t>NET PO FROM HSL A/C 523686-50200085415108</t>
        </is>
      </c>
      <c r="C70" s="86" t="inlineStr">
        <is>
          <t>0000000517147587</t>
        </is>
      </c>
      <c r="D70" s="85" t="n">
        <v>45412</v>
      </c>
      <c r="E70" s="86" t="n">
        <v>0</v>
      </c>
      <c r="F70" s="86" t="n">
        <v>2567.03</v>
      </c>
      <c r="G70" s="86" t="n">
        <v>6451.52</v>
      </c>
      <c r="H70" s="86" t="inlineStr"/>
      <c r="I70" s="86" t="inlineStr">
        <is>
          <t>HSL</t>
        </is>
      </c>
      <c r="J70" s="86" t="inlineStr">
        <is>
          <t>HDFC Securities - Sell</t>
        </is>
      </c>
      <c r="K70" s="86" t="inlineStr">
        <is>
          <t>HDFC Securities</t>
        </is>
      </c>
      <c r="L70" s="32" t="n">
        <v>0.97</v>
      </c>
      <c r="M70" s="86" t="inlineStr">
        <is>
          <t>[MATCH]</t>
        </is>
      </c>
    </row>
    <row r="71">
      <c r="A71" s="85" t="n">
        <v>45412</v>
      </c>
      <c r="B71" s="86" t="inlineStr">
        <is>
          <t>NET PO FROM HSL A/C 523686-50200085415108</t>
        </is>
      </c>
      <c r="C71" s="86" t="inlineStr">
        <is>
          <t>0000000517185580</t>
        </is>
      </c>
      <c r="D71" s="85" t="n">
        <v>45412</v>
      </c>
      <c r="E71" s="86" t="n">
        <v>0</v>
      </c>
      <c r="F71" s="86" t="n">
        <v>59028.57</v>
      </c>
      <c r="G71" s="86" t="n">
        <v>65480.09</v>
      </c>
      <c r="H71" s="86" t="inlineStr"/>
      <c r="I71" s="86" t="inlineStr">
        <is>
          <t>HSL</t>
        </is>
      </c>
      <c r="J71" s="86" t="inlineStr">
        <is>
          <t>HDFC Securities - Sell</t>
        </is>
      </c>
      <c r="K71" s="86" t="inlineStr">
        <is>
          <t>HDFC Securities</t>
        </is>
      </c>
      <c r="L71" s="32" t="n">
        <v>0.97</v>
      </c>
      <c r="M71" s="86" t="inlineStr">
        <is>
          <t>[MATCH]</t>
        </is>
      </c>
    </row>
    <row r="72">
      <c r="A72" s="83" t="n">
        <v>45412</v>
      </c>
      <c r="B72" s="84" t="inlineStr">
        <is>
          <t>NET PI TO HSL SEC A/C 523686-00602340029434</t>
        </is>
      </c>
      <c r="C72" s="84" t="inlineStr">
        <is>
          <t>0000000517266464</t>
        </is>
      </c>
      <c r="D72" s="83" t="n">
        <v>45412</v>
      </c>
      <c r="E72" s="84" t="n">
        <v>248.41</v>
      </c>
      <c r="F72" s="84" t="n">
        <v>0</v>
      </c>
      <c r="G72" s="84" t="n">
        <v>65231.68</v>
      </c>
      <c r="H72" s="84" t="inlineStr"/>
      <c r="I72" s="84" t="inlineStr">
        <is>
          <t>HSL</t>
        </is>
      </c>
      <c r="J72" s="84" t="inlineStr">
        <is>
          <t>HDFC Securities - Buy</t>
        </is>
      </c>
      <c r="K72" s="84" t="inlineStr">
        <is>
          <t>HDFC Securities</t>
        </is>
      </c>
      <c r="L72" s="32" t="n">
        <v>0.97</v>
      </c>
      <c r="M72" s="84" t="inlineStr">
        <is>
          <t>[MATCH]</t>
        </is>
      </c>
    </row>
    <row r="73">
      <c r="A73" s="83" t="n">
        <v>45412</v>
      </c>
      <c r="B73" s="84" t="inlineStr">
        <is>
          <t>NET PI TO HSL SEC A/C 523686-00602340029434</t>
        </is>
      </c>
      <c r="C73" s="84" t="inlineStr">
        <is>
          <t>0000000517428550</t>
        </is>
      </c>
      <c r="D73" s="83" t="n">
        <v>45412</v>
      </c>
      <c r="E73" s="84" t="n">
        <v>381.8</v>
      </c>
      <c r="F73" s="84" t="n">
        <v>0</v>
      </c>
      <c r="G73" s="84" t="n">
        <v>64849.88</v>
      </c>
      <c r="H73" s="84" t="inlineStr"/>
      <c r="I73" s="84" t="inlineStr">
        <is>
          <t>HSL</t>
        </is>
      </c>
      <c r="J73" s="84" t="inlineStr">
        <is>
          <t>HDFC Securities - Buy</t>
        </is>
      </c>
      <c r="K73" s="84" t="inlineStr">
        <is>
          <t>HDFC Securities</t>
        </is>
      </c>
      <c r="L73" s="32" t="n">
        <v>0.97</v>
      </c>
      <c r="M73" s="84" t="inlineStr">
        <is>
          <t>[MATCH]</t>
        </is>
      </c>
    </row>
    <row r="74">
      <c r="A74" s="85" t="n">
        <v>45414</v>
      </c>
      <c r="B74" s="86" t="inlineStr">
        <is>
          <t>NET PO FROM HSL A/C 523686-50200085415108</t>
        </is>
      </c>
      <c r="C74" s="86" t="inlineStr">
        <is>
          <t>0000000517570138</t>
        </is>
      </c>
      <c r="D74" s="85" t="n">
        <v>45414</v>
      </c>
      <c r="E74" s="86" t="n">
        <v>0</v>
      </c>
      <c r="F74" s="86" t="n">
        <v>13096.51</v>
      </c>
      <c r="G74" s="86" t="n">
        <v>77946.39</v>
      </c>
      <c r="H74" s="86" t="inlineStr"/>
      <c r="I74" s="86" t="inlineStr">
        <is>
          <t>HSL</t>
        </is>
      </c>
      <c r="J74" s="86" t="inlineStr">
        <is>
          <t>HDFC Securities - Sell</t>
        </is>
      </c>
      <c r="K74" s="86" t="inlineStr">
        <is>
          <t>HDFC Securities</t>
        </is>
      </c>
      <c r="L74" s="32" t="n">
        <v>0.97</v>
      </c>
      <c r="M74" s="86" t="inlineStr">
        <is>
          <t>[MATCH]</t>
        </is>
      </c>
    </row>
    <row r="75">
      <c r="A75" s="85" t="n">
        <v>45414</v>
      </c>
      <c r="B75" s="86" t="inlineStr">
        <is>
          <t>NET PO FROM HSL A/C 523686-50200085415108</t>
        </is>
      </c>
      <c r="C75" s="86" t="inlineStr">
        <is>
          <t>0000000517608294</t>
        </is>
      </c>
      <c r="D75" s="85" t="n">
        <v>45414</v>
      </c>
      <c r="E75" s="86" t="n">
        <v>0</v>
      </c>
      <c r="F75" s="86" t="n">
        <v>29905.83</v>
      </c>
      <c r="G75" s="86" t="n">
        <v>107852.22</v>
      </c>
      <c r="H75" s="86" t="inlineStr"/>
      <c r="I75" s="86" t="inlineStr">
        <is>
          <t>HSL</t>
        </is>
      </c>
      <c r="J75" s="86" t="inlineStr">
        <is>
          <t>HDFC Securities - Sell</t>
        </is>
      </c>
      <c r="K75" s="86" t="inlineStr">
        <is>
          <t>HDFC Securities</t>
        </is>
      </c>
      <c r="L75" s="32" t="n">
        <v>0.97</v>
      </c>
      <c r="M75" s="86" t="inlineStr">
        <is>
          <t>[MATCH]</t>
        </is>
      </c>
    </row>
    <row r="76">
      <c r="A76" s="83" t="n">
        <v>45414</v>
      </c>
      <c r="B76" s="84" t="inlineStr">
        <is>
          <t>NET PI TO HSL SEC A/C 523686-00602340029434</t>
        </is>
      </c>
      <c r="C76" s="84" t="inlineStr">
        <is>
          <t>0000000517782659</t>
        </is>
      </c>
      <c r="D76" s="83" t="n">
        <v>45414</v>
      </c>
      <c r="E76" s="84" t="n">
        <v>540.8200000000001</v>
      </c>
      <c r="F76" s="84" t="n">
        <v>0</v>
      </c>
      <c r="G76" s="84" t="n">
        <v>107311.4</v>
      </c>
      <c r="H76" s="84" t="inlineStr"/>
      <c r="I76" s="84" t="inlineStr">
        <is>
          <t>HSL</t>
        </is>
      </c>
      <c r="J76" s="84" t="inlineStr">
        <is>
          <t>HDFC Securities - Buy</t>
        </is>
      </c>
      <c r="K76" s="84" t="inlineStr">
        <is>
          <t>HDFC Securities</t>
        </is>
      </c>
      <c r="L76" s="32" t="n">
        <v>0.97</v>
      </c>
      <c r="M76" s="84" t="inlineStr">
        <is>
          <t>[MATCH]</t>
        </is>
      </c>
    </row>
    <row r="77">
      <c r="A77" s="85" t="n">
        <v>45415</v>
      </c>
      <c r="B77" s="86" t="inlineStr">
        <is>
          <t>NET PO FROM HSL A/C 523686-50200085415108</t>
        </is>
      </c>
      <c r="C77" s="86" t="inlineStr">
        <is>
          <t>0000000518083972</t>
        </is>
      </c>
      <c r="D77" s="85" t="n">
        <v>45415</v>
      </c>
      <c r="E77" s="86" t="n">
        <v>0</v>
      </c>
      <c r="F77" s="86" t="n">
        <v>1350.04</v>
      </c>
      <c r="G77" s="86" t="n">
        <v>108661.44</v>
      </c>
      <c r="H77" s="86" t="inlineStr"/>
      <c r="I77" s="86" t="inlineStr">
        <is>
          <t>HSL</t>
        </is>
      </c>
      <c r="J77" s="86" t="inlineStr">
        <is>
          <t>HDFC Securities - Sell</t>
        </is>
      </c>
      <c r="K77" s="86" t="inlineStr">
        <is>
          <t>HDFC Securities</t>
        </is>
      </c>
      <c r="L77" s="32" t="n">
        <v>0.97</v>
      </c>
      <c r="M77" s="86" t="inlineStr">
        <is>
          <t>[MATCH]</t>
        </is>
      </c>
    </row>
    <row r="78">
      <c r="A78" s="85" t="n">
        <v>45415</v>
      </c>
      <c r="B78" s="86" t="inlineStr">
        <is>
          <t>NET PO FROM HSL A/C 523686-50200085415108</t>
        </is>
      </c>
      <c r="C78" s="86" t="inlineStr">
        <is>
          <t>0000000518121945</t>
        </is>
      </c>
      <c r="D78" s="85" t="n">
        <v>45415</v>
      </c>
      <c r="E78" s="86" t="n">
        <v>0</v>
      </c>
      <c r="F78" s="86" t="n">
        <v>31409.53</v>
      </c>
      <c r="G78" s="86" t="n">
        <v>140070.97</v>
      </c>
      <c r="H78" s="86" t="inlineStr"/>
      <c r="I78" s="86" t="inlineStr">
        <is>
          <t>HSL</t>
        </is>
      </c>
      <c r="J78" s="86" t="inlineStr">
        <is>
          <t>HDFC Securities - Sell</t>
        </is>
      </c>
      <c r="K78" s="86" t="inlineStr">
        <is>
          <t>HDFC Securities</t>
        </is>
      </c>
      <c r="L78" s="32" t="n">
        <v>0.97</v>
      </c>
      <c r="M78" s="86" t="inlineStr">
        <is>
          <t>[MATCH]</t>
        </is>
      </c>
    </row>
    <row r="79">
      <c r="A79" s="38" t="n">
        <v>45415</v>
      </c>
      <c r="B79" s="39" t="inlineStr">
        <is>
          <t>ISAQMC-JAN-MAR24-323600 260424-MIR2512490180092</t>
        </is>
      </c>
      <c r="C79" s="39" t="inlineStr">
        <is>
          <t>MIR2512490180092</t>
        </is>
      </c>
      <c r="D79" s="38" t="n">
        <v>45415</v>
      </c>
      <c r="E79" s="39" t="n">
        <v>295</v>
      </c>
      <c r="F79" s="39" t="n">
        <v>0</v>
      </c>
      <c r="G79" s="39" t="n">
        <v>139775.97</v>
      </c>
      <c r="H79" s="39" t="inlineStr"/>
      <c r="I79" s="39" t="inlineStr">
        <is>
          <t>Bank Charges</t>
        </is>
      </c>
      <c r="J79" s="39" t="inlineStr">
        <is>
          <t>Bank Charges</t>
        </is>
      </c>
      <c r="K79" s="39" t="inlineStr">
        <is>
          <t>Bank Charges</t>
        </is>
      </c>
      <c r="L79" s="32" t="n">
        <v>0.9</v>
      </c>
      <c r="M79" s="39" t="inlineStr">
        <is>
          <t>[MATCH]</t>
        </is>
      </c>
    </row>
    <row r="80">
      <c r="A80" s="83" t="n">
        <v>45415</v>
      </c>
      <c r="B80" s="84" t="inlineStr">
        <is>
          <t>NET PI TO HSL SEC A/C 523686-00602340029434</t>
        </is>
      </c>
      <c r="C80" s="84" t="inlineStr">
        <is>
          <t>0000000518215448</t>
        </is>
      </c>
      <c r="D80" s="83" t="n">
        <v>45415</v>
      </c>
      <c r="E80" s="84" t="n">
        <v>210.54</v>
      </c>
      <c r="F80" s="84" t="n">
        <v>0</v>
      </c>
      <c r="G80" s="84" t="n">
        <v>139565.43</v>
      </c>
      <c r="H80" s="84" t="inlineStr"/>
      <c r="I80" s="84" t="inlineStr">
        <is>
          <t>HSL</t>
        </is>
      </c>
      <c r="J80" s="84" t="inlineStr">
        <is>
          <t>HDFC Securities - Buy</t>
        </is>
      </c>
      <c r="K80" s="84" t="inlineStr">
        <is>
          <t>HDFC Securities</t>
        </is>
      </c>
      <c r="L80" s="32" t="n">
        <v>0.97</v>
      </c>
      <c r="M80" s="84" t="inlineStr">
        <is>
          <t>[MATCH]</t>
        </is>
      </c>
    </row>
    <row r="81">
      <c r="A81" s="83" t="n">
        <v>45415</v>
      </c>
      <c r="B81" s="84" t="inlineStr">
        <is>
          <t>NET PI TO HSL SEC A/C 523686-00602340029434</t>
        </is>
      </c>
      <c r="C81" s="84" t="inlineStr">
        <is>
          <t>0000000518339597</t>
        </is>
      </c>
      <c r="D81" s="83" t="n">
        <v>45415</v>
      </c>
      <c r="E81" s="84" t="n">
        <v>10104.28</v>
      </c>
      <c r="F81" s="84" t="n">
        <v>0</v>
      </c>
      <c r="G81" s="84" t="n">
        <v>129461.15</v>
      </c>
      <c r="H81" s="84" t="inlineStr"/>
      <c r="I81" s="84" t="inlineStr">
        <is>
          <t>HSL</t>
        </is>
      </c>
      <c r="J81" s="84" t="inlineStr">
        <is>
          <t>HDFC Securities - Buy</t>
        </is>
      </c>
      <c r="K81" s="84" t="inlineStr">
        <is>
          <t>HDFC Securities</t>
        </is>
      </c>
      <c r="L81" s="32" t="n">
        <v>0.97</v>
      </c>
      <c r="M81" s="84" t="inlineStr">
        <is>
          <t>[MATCH]</t>
        </is>
      </c>
    </row>
    <row r="82">
      <c r="A82" s="83" t="n">
        <v>45415</v>
      </c>
      <c r="B82" s="84" t="inlineStr">
        <is>
          <t>NET PI TO HSL SEC A/C 523686-00602340029434</t>
        </is>
      </c>
      <c r="C82" s="84" t="inlineStr">
        <is>
          <t>0000000518405610</t>
        </is>
      </c>
      <c r="D82" s="83" t="n">
        <v>45415</v>
      </c>
      <c r="E82" s="84" t="n">
        <v>56293.41</v>
      </c>
      <c r="F82" s="84" t="n">
        <v>0</v>
      </c>
      <c r="G82" s="84" t="n">
        <v>73167.74000000001</v>
      </c>
      <c r="H82" s="84" t="inlineStr"/>
      <c r="I82" s="84" t="inlineStr">
        <is>
          <t>HSL</t>
        </is>
      </c>
      <c r="J82" s="84" t="inlineStr">
        <is>
          <t>HDFC Securities - Buy</t>
        </is>
      </c>
      <c r="K82" s="84" t="inlineStr">
        <is>
          <t>HDFC Securities</t>
        </is>
      </c>
      <c r="L82" s="32" t="n">
        <v>0.97</v>
      </c>
      <c r="M82" s="84" t="inlineStr">
        <is>
          <t>[MATCH]</t>
        </is>
      </c>
    </row>
    <row r="83">
      <c r="A83" s="85" t="n">
        <v>45418</v>
      </c>
      <c r="B83" s="86" t="inlineStr">
        <is>
          <t>NET PO FROM HSL A/C 523686-50200085415108</t>
        </is>
      </c>
      <c r="C83" s="86" t="inlineStr">
        <is>
          <t>0000000518591456</t>
        </is>
      </c>
      <c r="D83" s="85" t="n">
        <v>45418</v>
      </c>
      <c r="E83" s="86" t="n">
        <v>0</v>
      </c>
      <c r="F83" s="86" t="n">
        <v>4235.46</v>
      </c>
      <c r="G83" s="86" t="n">
        <v>77403.2</v>
      </c>
      <c r="H83" s="86" t="inlineStr"/>
      <c r="I83" s="86" t="inlineStr">
        <is>
          <t>HSL</t>
        </is>
      </c>
      <c r="J83" s="86" t="inlineStr">
        <is>
          <t>HDFC Securities - Sell</t>
        </is>
      </c>
      <c r="K83" s="86" t="inlineStr">
        <is>
          <t>HDFC Securities</t>
        </is>
      </c>
      <c r="L83" s="32" t="n">
        <v>0.97</v>
      </c>
      <c r="M83" s="86" t="inlineStr">
        <is>
          <t>[MATCH]</t>
        </is>
      </c>
    </row>
    <row r="84">
      <c r="A84" s="83" t="n">
        <v>45418</v>
      </c>
      <c r="B84" s="84" t="inlineStr">
        <is>
          <t>NET PI TO HSL SEC A/C 523686-00602340029434</t>
        </is>
      </c>
      <c r="C84" s="84" t="inlineStr">
        <is>
          <t>0000000518796402</t>
        </is>
      </c>
      <c r="D84" s="83" t="n">
        <v>45418</v>
      </c>
      <c r="E84" s="84" t="n">
        <v>572.91</v>
      </c>
      <c r="F84" s="84" t="n">
        <v>0</v>
      </c>
      <c r="G84" s="84" t="n">
        <v>76830.28999999999</v>
      </c>
      <c r="H84" s="84" t="inlineStr"/>
      <c r="I84" s="84" t="inlineStr">
        <is>
          <t>HSL</t>
        </is>
      </c>
      <c r="J84" s="84" t="inlineStr">
        <is>
          <t>HDFC Securities - Buy</t>
        </is>
      </c>
      <c r="K84" s="84" t="inlineStr">
        <is>
          <t>HDFC Securities</t>
        </is>
      </c>
      <c r="L84" s="32" t="n">
        <v>0.97</v>
      </c>
      <c r="M84" s="84" t="inlineStr">
        <is>
          <t>[MATCH]</t>
        </is>
      </c>
    </row>
    <row r="85">
      <c r="A85" s="85" t="n">
        <v>45419</v>
      </c>
      <c r="B85" s="86" t="inlineStr">
        <is>
          <t>NET PO FROM HSL A/C 523686-50200085415108</t>
        </is>
      </c>
      <c r="C85" s="86" t="inlineStr">
        <is>
          <t>0000000519124423</t>
        </is>
      </c>
      <c r="D85" s="85" t="n">
        <v>45419</v>
      </c>
      <c r="E85" s="86" t="n">
        <v>0</v>
      </c>
      <c r="F85" s="86" t="n">
        <v>28704.57</v>
      </c>
      <c r="G85" s="86" t="n">
        <v>105534.86</v>
      </c>
      <c r="H85" s="86" t="inlineStr"/>
      <c r="I85" s="86" t="inlineStr">
        <is>
          <t>HSL</t>
        </is>
      </c>
      <c r="J85" s="86" t="inlineStr">
        <is>
          <t>HDFC Securities - Sell</t>
        </is>
      </c>
      <c r="K85" s="86" t="inlineStr">
        <is>
          <t>HDFC Securities</t>
        </is>
      </c>
      <c r="L85" s="32" t="n">
        <v>0.97</v>
      </c>
      <c r="M85" s="86" t="inlineStr">
        <is>
          <t>[MATCH]</t>
        </is>
      </c>
    </row>
    <row r="86">
      <c r="A86" s="83" t="n">
        <v>45419</v>
      </c>
      <c r="B86" s="84" t="inlineStr">
        <is>
          <t>NET PI TO HSL SEC A/C 523686-00602340029434</t>
        </is>
      </c>
      <c r="C86" s="84" t="inlineStr">
        <is>
          <t>0000000519276521</t>
        </is>
      </c>
      <c r="D86" s="83" t="n">
        <v>45419</v>
      </c>
      <c r="E86" s="84" t="n">
        <v>244.98</v>
      </c>
      <c r="F86" s="84" t="n">
        <v>0</v>
      </c>
      <c r="G86" s="84" t="n">
        <v>105289.88</v>
      </c>
      <c r="H86" s="84" t="inlineStr"/>
      <c r="I86" s="84" t="inlineStr">
        <is>
          <t>HSL</t>
        </is>
      </c>
      <c r="J86" s="84" t="inlineStr">
        <is>
          <t>HDFC Securities - Buy</t>
        </is>
      </c>
      <c r="K86" s="84" t="inlineStr">
        <is>
          <t>HDFC Securities</t>
        </is>
      </c>
      <c r="L86" s="32" t="n">
        <v>0.97</v>
      </c>
      <c r="M86" s="84" t="inlineStr">
        <is>
          <t>[MATCH]</t>
        </is>
      </c>
    </row>
    <row r="87">
      <c r="A87" s="83" t="n">
        <v>45419</v>
      </c>
      <c r="B87" s="84" t="inlineStr">
        <is>
          <t>NET PI TO HSL SEC A/C 523686-00602340029434</t>
        </is>
      </c>
      <c r="C87" s="84" t="inlineStr">
        <is>
          <t>0000000519455052</t>
        </is>
      </c>
      <c r="D87" s="83" t="n">
        <v>45419</v>
      </c>
      <c r="E87" s="84" t="n">
        <v>25590.3</v>
      </c>
      <c r="F87" s="84" t="n">
        <v>0</v>
      </c>
      <c r="G87" s="84" t="n">
        <v>79699.58</v>
      </c>
      <c r="H87" s="84" t="inlineStr"/>
      <c r="I87" s="84" t="inlineStr">
        <is>
          <t>HSL</t>
        </is>
      </c>
      <c r="J87" s="84" t="inlineStr">
        <is>
          <t>HDFC Securities - Buy</t>
        </is>
      </c>
      <c r="K87" s="84" t="inlineStr">
        <is>
          <t>HDFC Securities</t>
        </is>
      </c>
      <c r="L87" s="32" t="n">
        <v>0.97</v>
      </c>
      <c r="M87" s="84" t="inlineStr">
        <is>
          <t>[MATCH]</t>
        </is>
      </c>
    </row>
    <row r="88">
      <c r="A88" s="83" t="n">
        <v>45419</v>
      </c>
      <c r="B88" s="84" t="inlineStr">
        <is>
          <t>NET PI TO HSL SEC A/C 523686-00602340029434</t>
        </is>
      </c>
      <c r="C88" s="84" t="inlineStr">
        <is>
          <t>0000000519502107</t>
        </is>
      </c>
      <c r="D88" s="83" t="n">
        <v>45419</v>
      </c>
      <c r="E88" s="84" t="n">
        <v>414.01</v>
      </c>
      <c r="F88" s="84" t="n">
        <v>0</v>
      </c>
      <c r="G88" s="84" t="n">
        <v>79285.57000000001</v>
      </c>
      <c r="H88" s="84" t="inlineStr"/>
      <c r="I88" s="84" t="inlineStr">
        <is>
          <t>HSL</t>
        </is>
      </c>
      <c r="J88" s="84" t="inlineStr">
        <is>
          <t>HDFC Securities - Buy</t>
        </is>
      </c>
      <c r="K88" s="84" t="inlineStr">
        <is>
          <t>HDFC Securities</t>
        </is>
      </c>
      <c r="L88" s="32" t="n">
        <v>0.97</v>
      </c>
      <c r="M88" s="84" t="inlineStr">
        <is>
          <t>[MATCH]</t>
        </is>
      </c>
    </row>
    <row r="89">
      <c r="A89" s="85" t="n">
        <v>45420</v>
      </c>
      <c r="B89" s="86" t="inlineStr">
        <is>
          <t>NET PO FROM HSL A/C 523686-50200085415108</t>
        </is>
      </c>
      <c r="C89" s="86" t="inlineStr">
        <is>
          <t>0000000519626421</t>
        </is>
      </c>
      <c r="D89" s="85" t="n">
        <v>45420</v>
      </c>
      <c r="E89" s="86" t="n">
        <v>0</v>
      </c>
      <c r="F89" s="86" t="n">
        <v>100255.34</v>
      </c>
      <c r="G89" s="86" t="n">
        <v>179540.91</v>
      </c>
      <c r="H89" s="86" t="inlineStr"/>
      <c r="I89" s="86" t="inlineStr">
        <is>
          <t>HSL</t>
        </is>
      </c>
      <c r="J89" s="86" t="inlineStr">
        <is>
          <t>HDFC Securities - Sell</t>
        </is>
      </c>
      <c r="K89" s="86" t="inlineStr">
        <is>
          <t>HDFC Securities</t>
        </is>
      </c>
      <c r="L89" s="32" t="n">
        <v>0.97</v>
      </c>
      <c r="M89" s="86" t="inlineStr">
        <is>
          <t>[MATCH]</t>
        </is>
      </c>
    </row>
    <row r="90">
      <c r="A90" s="83" t="n">
        <v>45420</v>
      </c>
      <c r="B90" s="84" t="inlineStr">
        <is>
          <t>NET PI TO HSL SEC A/C 523686-00602340029434</t>
        </is>
      </c>
      <c r="C90" s="84" t="inlineStr">
        <is>
          <t>0000000519739579</t>
        </is>
      </c>
      <c r="D90" s="83" t="n">
        <v>45420</v>
      </c>
      <c r="E90" s="84" t="n">
        <v>217.06</v>
      </c>
      <c r="F90" s="84" t="n">
        <v>0</v>
      </c>
      <c r="G90" s="84" t="n">
        <v>179323.85</v>
      </c>
      <c r="H90" s="84" t="inlineStr"/>
      <c r="I90" s="84" t="inlineStr">
        <is>
          <t>HSL</t>
        </is>
      </c>
      <c r="J90" s="84" t="inlineStr">
        <is>
          <t>HDFC Securities - Buy</t>
        </is>
      </c>
      <c r="K90" s="84" t="inlineStr">
        <is>
          <t>HDFC Securities</t>
        </is>
      </c>
      <c r="L90" s="32" t="n">
        <v>0.97</v>
      </c>
      <c r="M90" s="84" t="inlineStr">
        <is>
          <t>[MATCH]</t>
        </is>
      </c>
    </row>
    <row r="91">
      <c r="A91" s="33" t="n">
        <v>45420</v>
      </c>
      <c r="B91" s="34" t="inlineStr">
        <is>
          <t>NEFT DR-UTIB0002656-SUNITA GUPTA-NETBANK, MUM-N129243028299413-TRANSFER FROM HDFC</t>
        </is>
      </c>
      <c r="C91" s="34" t="inlineStr">
        <is>
          <t>N129243028299413</t>
        </is>
      </c>
      <c r="D91" s="33" t="n">
        <v>45420</v>
      </c>
      <c r="E91" s="34" t="n">
        <v>50000</v>
      </c>
      <c r="F91" s="34" t="n">
        <v>0</v>
      </c>
      <c r="G91" s="34" t="n">
        <v>129323.85</v>
      </c>
      <c r="H91" s="34" t="inlineStr"/>
      <c r="I91" s="34" t="inlineStr">
        <is>
          <t>Contra</t>
        </is>
      </c>
      <c r="J91" s="34" t="inlineStr">
        <is>
          <t>Transfer - Sunita Gupta</t>
        </is>
      </c>
      <c r="K91" s="34" t="inlineStr">
        <is>
          <t>Sunita Gupta</t>
        </is>
      </c>
      <c r="L91" s="35" t="n">
        <v>0.88</v>
      </c>
      <c r="M91" s="34" t="inlineStr">
        <is>
          <t>[DIFF]</t>
        </is>
      </c>
    </row>
    <row r="92">
      <c r="A92" s="85" t="n">
        <v>45421</v>
      </c>
      <c r="B92" s="86" t="inlineStr">
        <is>
          <t>NET PO FROM HSL A/C 523686-50200085415108</t>
        </is>
      </c>
      <c r="C92" s="86" t="inlineStr">
        <is>
          <t>0000000520006217</t>
        </is>
      </c>
      <c r="D92" s="85" t="n">
        <v>45421</v>
      </c>
      <c r="E92" s="86" t="n">
        <v>0</v>
      </c>
      <c r="F92" s="86" t="n">
        <v>4156.81</v>
      </c>
      <c r="G92" s="86" t="n">
        <v>133480.66</v>
      </c>
      <c r="H92" s="86" t="inlineStr"/>
      <c r="I92" s="86" t="inlineStr">
        <is>
          <t>HSL</t>
        </is>
      </c>
      <c r="J92" s="86" t="inlineStr">
        <is>
          <t>HDFC Securities - Sell</t>
        </is>
      </c>
      <c r="K92" s="86" t="inlineStr">
        <is>
          <t>HDFC Securities</t>
        </is>
      </c>
      <c r="L92" s="32" t="n">
        <v>0.97</v>
      </c>
      <c r="M92" s="86" t="inlineStr">
        <is>
          <t>[MATCH]</t>
        </is>
      </c>
    </row>
    <row r="93">
      <c r="A93" s="33" t="n">
        <v>45421</v>
      </c>
      <c r="B93" s="34" t="inlineStr">
        <is>
          <t>NEFT CR-SBIN0004266-SBI GENERAL INSURANCE CO LTDSBI GEN-SUNITA GUPTA 0000000002717756-SBIN224130649205</t>
        </is>
      </c>
      <c r="C93" s="34" t="inlineStr">
        <is>
          <t>SBIN224130649205</t>
        </is>
      </c>
      <c r="D93" s="33" t="n">
        <v>45421</v>
      </c>
      <c r="E93" s="34" t="n">
        <v>0</v>
      </c>
      <c r="F93" s="34" t="n">
        <v>29757</v>
      </c>
      <c r="G93" s="34" t="n">
        <v>163237.66</v>
      </c>
      <c r="H93" s="34" t="inlineStr"/>
      <c r="I93" s="34" t="inlineStr">
        <is>
          <t>Rental Income</t>
        </is>
      </c>
      <c r="J93" s="34" t="inlineStr">
        <is>
          <t>Received - Sunita Gupta</t>
        </is>
      </c>
      <c r="K93" s="34" t="inlineStr">
        <is>
          <t>Sunita Gupta</t>
        </is>
      </c>
      <c r="L93" s="35" t="n">
        <v>0.88</v>
      </c>
      <c r="M93" s="34" t="inlineStr">
        <is>
          <t>[DIFF]</t>
        </is>
      </c>
    </row>
    <row r="94">
      <c r="A94" s="83" t="n">
        <v>45421</v>
      </c>
      <c r="B94" s="84" t="inlineStr">
        <is>
          <t>NET PI TO HSL SEC A/C 523686-00602340029434</t>
        </is>
      </c>
      <c r="C94" s="84" t="inlineStr">
        <is>
          <t>0000000520117947</t>
        </is>
      </c>
      <c r="D94" s="83" t="n">
        <v>45421</v>
      </c>
      <c r="E94" s="84" t="n">
        <v>240.29</v>
      </c>
      <c r="F94" s="84" t="n">
        <v>0</v>
      </c>
      <c r="G94" s="84" t="n">
        <v>162997.37</v>
      </c>
      <c r="H94" s="84" t="inlineStr"/>
      <c r="I94" s="84" t="inlineStr">
        <is>
          <t>HSL</t>
        </is>
      </c>
      <c r="J94" s="84" t="inlineStr">
        <is>
          <t>HDFC Securities - Buy</t>
        </is>
      </c>
      <c r="K94" s="84" t="inlineStr">
        <is>
          <t>HDFC Securities</t>
        </is>
      </c>
      <c r="L94" s="32" t="n">
        <v>0.97</v>
      </c>
      <c r="M94" s="84" t="inlineStr">
        <is>
          <t>[MATCH]</t>
        </is>
      </c>
    </row>
    <row r="95">
      <c r="A95" s="89" t="n">
        <v>45421</v>
      </c>
      <c r="B95" s="90" t="inlineStr">
        <is>
          <t>DEPOSITORY CHARGES APR24 - 41060499</t>
        </is>
      </c>
      <c r="C95" s="90" t="inlineStr">
        <is>
          <t>000000000000000</t>
        </is>
      </c>
      <c r="D95" s="89" t="n">
        <v>45421</v>
      </c>
      <c r="E95" s="90" t="n">
        <v>4177.2</v>
      </c>
      <c r="F95" s="90" t="n">
        <v>0</v>
      </c>
      <c r="G95" s="90" t="n">
        <v>158820.17</v>
      </c>
      <c r="H95" s="90" t="inlineStr"/>
      <c r="I95" s="90" t="inlineStr">
        <is>
          <t>Depository Charges</t>
        </is>
      </c>
      <c r="J95" s="90" t="inlineStr">
        <is>
          <t>Depository Charges</t>
        </is>
      </c>
      <c r="K95" s="90" t="inlineStr">
        <is>
          <t>Depository Charges</t>
        </is>
      </c>
      <c r="L95" s="32" t="n">
        <v>0.93</v>
      </c>
      <c r="M95" s="90" t="inlineStr">
        <is>
          <t>[MATCH]</t>
        </is>
      </c>
    </row>
    <row r="96">
      <c r="A96" s="66" t="n">
        <v>45421</v>
      </c>
      <c r="B96" s="67" t="inlineStr">
        <is>
          <t>50100542230922-TPT-TRANSFER FROM MUMMY TO ARCHIT-ARCHIT GUPTA</t>
        </is>
      </c>
      <c r="C96" s="67" t="inlineStr">
        <is>
          <t>0000000689763431</t>
        </is>
      </c>
      <c r="D96" s="66" t="n">
        <v>45421</v>
      </c>
      <c r="E96" s="67" t="n">
        <v>25000</v>
      </c>
      <c r="F96" s="67" t="n">
        <v>0</v>
      </c>
      <c r="G96" s="67" t="n">
        <v>133820.17</v>
      </c>
      <c r="H96" s="67" t="inlineStr"/>
      <c r="I96" s="67" t="inlineStr">
        <is>
          <t>Transfer from Archit</t>
        </is>
      </c>
      <c r="J96" s="67" t="inlineStr">
        <is>
          <t>Transfer - Archit Gupta</t>
        </is>
      </c>
      <c r="K96" s="67" t="inlineStr">
        <is>
          <t>Archit Gupta</t>
        </is>
      </c>
      <c r="L96" s="32" t="n">
        <v>0.85</v>
      </c>
      <c r="M96" s="67" t="inlineStr">
        <is>
          <t>[MATCH]</t>
        </is>
      </c>
    </row>
    <row r="97">
      <c r="A97" s="33" t="n">
        <v>45421</v>
      </c>
      <c r="B97" s="34" t="inlineStr">
        <is>
          <t>01671000085930-TPT-MNY RETURNED FROM SUNITA TO AKG-AJAY KUMAR GUPTA</t>
        </is>
      </c>
      <c r="C97" s="34" t="inlineStr">
        <is>
          <t>0000000689770386</t>
        </is>
      </c>
      <c r="D97" s="33" t="n">
        <v>45421</v>
      </c>
      <c r="E97" s="34" t="n">
        <v>25000</v>
      </c>
      <c r="F97" s="34" t="n">
        <v>0</v>
      </c>
      <c r="G97" s="34" t="n">
        <v>108820.17</v>
      </c>
      <c r="H97" s="34" t="inlineStr"/>
      <c r="I97" s="34" t="inlineStr">
        <is>
          <t>Transfer from Ajay</t>
        </is>
      </c>
      <c r="J97" s="34" t="inlineStr">
        <is>
          <t>Transfer - Sunita Gupta</t>
        </is>
      </c>
      <c r="K97" s="34" t="inlineStr">
        <is>
          <t>Sunita Gupta</t>
        </is>
      </c>
      <c r="L97" s="35" t="n">
        <v>0.88</v>
      </c>
      <c r="M97" s="34" t="inlineStr">
        <is>
          <t>[DIFF]</t>
        </is>
      </c>
    </row>
    <row r="98">
      <c r="A98" s="83" t="n">
        <v>45421</v>
      </c>
      <c r="B98" s="84" t="inlineStr">
        <is>
          <t>NET PI TO HSL SEC A/C 523686-00602340029434</t>
        </is>
      </c>
      <c r="C98" s="84" t="inlineStr">
        <is>
          <t>0000000520331058</t>
        </is>
      </c>
      <c r="D98" s="83" t="n">
        <v>45421</v>
      </c>
      <c r="E98" s="84" t="n">
        <v>31074.79</v>
      </c>
      <c r="F98" s="84" t="n">
        <v>0</v>
      </c>
      <c r="G98" s="84" t="n">
        <v>77745.38</v>
      </c>
      <c r="H98" s="84" t="inlineStr"/>
      <c r="I98" s="84" t="inlineStr">
        <is>
          <t>HSL</t>
        </is>
      </c>
      <c r="J98" s="84" t="inlineStr">
        <is>
          <t>HDFC Securities - Buy</t>
        </is>
      </c>
      <c r="K98" s="84" t="inlineStr">
        <is>
          <t>HDFC Securities</t>
        </is>
      </c>
      <c r="L98" s="32" t="n">
        <v>0.97</v>
      </c>
      <c r="M98" s="84" t="inlineStr">
        <is>
          <t>[MATCH]</t>
        </is>
      </c>
    </row>
    <row r="99">
      <c r="A99" s="85" t="n">
        <v>45422</v>
      </c>
      <c r="B99" s="86" t="inlineStr">
        <is>
          <t>NET PO FROM HSL A/C 523686-50200085415108</t>
        </is>
      </c>
      <c r="C99" s="86" t="inlineStr">
        <is>
          <t>0000000520471064</t>
        </is>
      </c>
      <c r="D99" s="85" t="n">
        <v>45422</v>
      </c>
      <c r="E99" s="86" t="n">
        <v>0</v>
      </c>
      <c r="F99" s="86" t="n">
        <v>349.85</v>
      </c>
      <c r="G99" s="86" t="n">
        <v>78095.23</v>
      </c>
      <c r="H99" s="86" t="inlineStr"/>
      <c r="I99" s="86" t="inlineStr">
        <is>
          <t>HSL</t>
        </is>
      </c>
      <c r="J99" s="86" t="inlineStr">
        <is>
          <t>HDFC Securities - Sell</t>
        </is>
      </c>
      <c r="K99" s="86" t="inlineStr">
        <is>
          <t>HDFC Securities</t>
        </is>
      </c>
      <c r="L99" s="32" t="n">
        <v>0.97</v>
      </c>
      <c r="M99" s="86" t="inlineStr">
        <is>
          <t>[MATCH]</t>
        </is>
      </c>
    </row>
    <row r="100">
      <c r="A100" s="85" t="n">
        <v>45422</v>
      </c>
      <c r="B100" s="86" t="inlineStr">
        <is>
          <t>NET PO FROM HSL A/C 523686-50200085415108</t>
        </is>
      </c>
      <c r="C100" s="86" t="inlineStr">
        <is>
          <t>0000000520494995</t>
        </is>
      </c>
      <c r="D100" s="85" t="n">
        <v>45422</v>
      </c>
      <c r="E100" s="86" t="n">
        <v>0</v>
      </c>
      <c r="F100" s="86" t="n">
        <v>61550.5</v>
      </c>
      <c r="G100" s="86" t="n">
        <v>139645.73</v>
      </c>
      <c r="H100" s="86" t="inlineStr"/>
      <c r="I100" s="86" t="inlineStr">
        <is>
          <t>HSL</t>
        </is>
      </c>
      <c r="J100" s="86" t="inlineStr">
        <is>
          <t>HDFC Securities - Sell</t>
        </is>
      </c>
      <c r="K100" s="86" t="inlineStr">
        <is>
          <t>HDFC Securities</t>
        </is>
      </c>
      <c r="L100" s="32" t="n">
        <v>0.97</v>
      </c>
      <c r="M100" s="86" t="inlineStr">
        <is>
          <t>[MATCH]</t>
        </is>
      </c>
    </row>
    <row r="101">
      <c r="A101" s="33" t="n">
        <v>45422</v>
      </c>
      <c r="B101" s="34" t="inlineStr">
        <is>
          <t>NEFT CR-SBIN0004266-SBI GENERAL INSURANCE CO LTDSBI GEN-SUNITA GUPTA 0000000002717756-SBIN324131864994</t>
        </is>
      </c>
      <c r="C101" s="34" t="inlineStr">
        <is>
          <t>SBIN324131864994</t>
        </is>
      </c>
      <c r="D101" s="33" t="n">
        <v>45422</v>
      </c>
      <c r="E101" s="34" t="n">
        <v>0</v>
      </c>
      <c r="F101" s="34" t="n">
        <v>18664</v>
      </c>
      <c r="G101" s="34" t="n">
        <v>158309.73</v>
      </c>
      <c r="H101" s="34" t="inlineStr"/>
      <c r="I101" s="34" t="inlineStr">
        <is>
          <t>Rental Income</t>
        </is>
      </c>
      <c r="J101" s="34" t="inlineStr">
        <is>
          <t>Received - Sunita Gupta</t>
        </is>
      </c>
      <c r="K101" s="34" t="inlineStr">
        <is>
          <t>Sunita Gupta</t>
        </is>
      </c>
      <c r="L101" s="35" t="n">
        <v>0.88</v>
      </c>
      <c r="M101" s="34" t="inlineStr">
        <is>
          <t>[DIFF]</t>
        </is>
      </c>
    </row>
    <row r="102">
      <c r="A102" s="83" t="n">
        <v>45422</v>
      </c>
      <c r="B102" s="84" t="inlineStr">
        <is>
          <t>NET PI TO HSL SEC A/C 523686-00602340029434</t>
        </is>
      </c>
      <c r="C102" s="84" t="inlineStr">
        <is>
          <t>0000000520627824</t>
        </is>
      </c>
      <c r="D102" s="83" t="n">
        <v>45422</v>
      </c>
      <c r="E102" s="84" t="n">
        <v>230.71</v>
      </c>
      <c r="F102" s="84" t="n">
        <v>0</v>
      </c>
      <c r="G102" s="84" t="n">
        <v>158079.02</v>
      </c>
      <c r="H102" s="84" t="inlineStr"/>
      <c r="I102" s="84" t="inlineStr">
        <is>
          <t>HSL</t>
        </is>
      </c>
      <c r="J102" s="84" t="inlineStr">
        <is>
          <t>HDFC Securities - Buy</t>
        </is>
      </c>
      <c r="K102" s="84" t="inlineStr">
        <is>
          <t>HDFC Securities</t>
        </is>
      </c>
      <c r="L102" s="32" t="n">
        <v>0.97</v>
      </c>
      <c r="M102" s="84" t="inlineStr">
        <is>
          <t>[MATCH]</t>
        </is>
      </c>
    </row>
    <row r="103">
      <c r="A103" s="83" t="n">
        <v>45422</v>
      </c>
      <c r="B103" s="84" t="inlineStr">
        <is>
          <t>NET PI TO HSL SEC A/C 523686-00602340029434</t>
        </is>
      </c>
      <c r="C103" s="84" t="inlineStr">
        <is>
          <t>0000000520771593</t>
        </is>
      </c>
      <c r="D103" s="83" t="n">
        <v>45422</v>
      </c>
      <c r="E103" s="84" t="n">
        <v>6380.74</v>
      </c>
      <c r="F103" s="84" t="n">
        <v>0</v>
      </c>
      <c r="G103" s="84" t="n">
        <v>151698.28</v>
      </c>
      <c r="H103" s="84" t="inlineStr"/>
      <c r="I103" s="84" t="inlineStr">
        <is>
          <t>HSL</t>
        </is>
      </c>
      <c r="J103" s="84" t="inlineStr">
        <is>
          <t>HDFC Securities - Buy</t>
        </is>
      </c>
      <c r="K103" s="84" t="inlineStr">
        <is>
          <t>HDFC Securities</t>
        </is>
      </c>
      <c r="L103" s="32" t="n">
        <v>0.97</v>
      </c>
      <c r="M103" s="84" t="inlineStr">
        <is>
          <t>[MATCH]</t>
        </is>
      </c>
    </row>
    <row r="104">
      <c r="A104" s="83" t="n">
        <v>45422</v>
      </c>
      <c r="B104" s="84" t="inlineStr">
        <is>
          <t>NET PI TO HSL SEC A/C 523686-00602340029434</t>
        </is>
      </c>
      <c r="C104" s="84" t="inlineStr">
        <is>
          <t>0000000520802448</t>
        </is>
      </c>
      <c r="D104" s="83" t="n">
        <v>45422</v>
      </c>
      <c r="E104" s="84" t="n">
        <v>12572.1</v>
      </c>
      <c r="F104" s="84" t="n">
        <v>0</v>
      </c>
      <c r="G104" s="84" t="n">
        <v>139126.18</v>
      </c>
      <c r="H104" s="84" t="inlineStr"/>
      <c r="I104" s="84" t="inlineStr">
        <is>
          <t>HSL</t>
        </is>
      </c>
      <c r="J104" s="84" t="inlineStr">
        <is>
          <t>HDFC Securities - Buy</t>
        </is>
      </c>
      <c r="K104" s="84" t="inlineStr">
        <is>
          <t>HDFC Securities</t>
        </is>
      </c>
      <c r="L104" s="32" t="n">
        <v>0.97</v>
      </c>
      <c r="M104" s="84" t="inlineStr">
        <is>
          <t>[MATCH]</t>
        </is>
      </c>
    </row>
    <row r="105">
      <c r="A105" s="83" t="n">
        <v>45425</v>
      </c>
      <c r="B105" s="84" t="inlineStr">
        <is>
          <t>NET PI TO HSL SEC A/C 523686-00602340029434</t>
        </is>
      </c>
      <c r="C105" s="84" t="inlineStr">
        <is>
          <t>0000000521112188</t>
        </is>
      </c>
      <c r="D105" s="83" t="n">
        <v>45425</v>
      </c>
      <c r="E105" s="84" t="n">
        <v>759.6</v>
      </c>
      <c r="F105" s="84" t="n">
        <v>0</v>
      </c>
      <c r="G105" s="84" t="n">
        <v>138366.58</v>
      </c>
      <c r="H105" s="84" t="inlineStr"/>
      <c r="I105" s="84" t="inlineStr">
        <is>
          <t>HSL</t>
        </is>
      </c>
      <c r="J105" s="84" t="inlineStr">
        <is>
          <t>HDFC Securities - Buy</t>
        </is>
      </c>
      <c r="K105" s="84" t="inlineStr">
        <is>
          <t>HDFC Securities</t>
        </is>
      </c>
      <c r="L105" s="32" t="n">
        <v>0.97</v>
      </c>
      <c r="M105" s="84" t="inlineStr">
        <is>
          <t>[MATCH]</t>
        </is>
      </c>
    </row>
    <row r="106">
      <c r="A106" s="83" t="n">
        <v>45425</v>
      </c>
      <c r="B106" s="84" t="inlineStr">
        <is>
          <t>NET PI TO HSL SEC A/C 523686-00602340029434</t>
        </is>
      </c>
      <c r="C106" s="84" t="inlineStr">
        <is>
          <t>0000000521274083</t>
        </is>
      </c>
      <c r="D106" s="83" t="n">
        <v>45425</v>
      </c>
      <c r="E106" s="84" t="n">
        <v>920.99</v>
      </c>
      <c r="F106" s="84" t="n">
        <v>0</v>
      </c>
      <c r="G106" s="84" t="n">
        <v>137445.59</v>
      </c>
      <c r="H106" s="84" t="inlineStr"/>
      <c r="I106" s="84" t="inlineStr">
        <is>
          <t>HSL</t>
        </is>
      </c>
      <c r="J106" s="84" t="inlineStr">
        <is>
          <t>HDFC Securities - Buy</t>
        </is>
      </c>
      <c r="K106" s="84" t="inlineStr">
        <is>
          <t>HDFC Securities</t>
        </is>
      </c>
      <c r="L106" s="32" t="n">
        <v>0.97</v>
      </c>
      <c r="M106" s="84" t="inlineStr">
        <is>
          <t>[MATCH]</t>
        </is>
      </c>
    </row>
    <row r="107">
      <c r="A107" s="85" t="n">
        <v>45426</v>
      </c>
      <c r="B107" s="86" t="inlineStr">
        <is>
          <t>NET PO FROM HSL A/C 523686-50200085415108</t>
        </is>
      </c>
      <c r="C107" s="86" t="inlineStr">
        <is>
          <t>0000000521414256</t>
        </is>
      </c>
      <c r="D107" s="85" t="n">
        <v>45426</v>
      </c>
      <c r="E107" s="86" t="n">
        <v>0</v>
      </c>
      <c r="F107" s="86" t="n">
        <v>2084.4</v>
      </c>
      <c r="G107" s="86" t="n">
        <v>139529.99</v>
      </c>
      <c r="H107" s="86" t="inlineStr"/>
      <c r="I107" s="86" t="inlineStr">
        <is>
          <t>HSL</t>
        </is>
      </c>
      <c r="J107" s="86" t="inlineStr">
        <is>
          <t>HDFC Securities - Sell</t>
        </is>
      </c>
      <c r="K107" s="86" t="inlineStr">
        <is>
          <t>HDFC Securities</t>
        </is>
      </c>
      <c r="L107" s="32" t="n">
        <v>0.97</v>
      </c>
      <c r="M107" s="86" t="inlineStr">
        <is>
          <t>[MATCH]</t>
        </is>
      </c>
    </row>
    <row r="108">
      <c r="A108" s="83" t="n">
        <v>45426</v>
      </c>
      <c r="B108" s="84" t="inlineStr">
        <is>
          <t>NET PI TO HSL SEC A/C 523686-00602340029434</t>
        </is>
      </c>
      <c r="C108" s="84" t="inlineStr">
        <is>
          <t>0000000521528316</t>
        </is>
      </c>
      <c r="D108" s="83" t="n">
        <v>45426</v>
      </c>
      <c r="E108" s="84" t="n">
        <v>272.35</v>
      </c>
      <c r="F108" s="84" t="n">
        <v>0</v>
      </c>
      <c r="G108" s="84" t="n">
        <v>139257.64</v>
      </c>
      <c r="H108" s="84" t="inlineStr"/>
      <c r="I108" s="84" t="inlineStr">
        <is>
          <t>HSL</t>
        </is>
      </c>
      <c r="J108" s="84" t="inlineStr">
        <is>
          <t>HDFC Securities - Buy</t>
        </is>
      </c>
      <c r="K108" s="84" t="inlineStr">
        <is>
          <t>HDFC Securities</t>
        </is>
      </c>
      <c r="L108" s="32" t="n">
        <v>0.97</v>
      </c>
      <c r="M108" s="84" t="inlineStr">
        <is>
          <t>[MATCH]</t>
        </is>
      </c>
    </row>
    <row r="109">
      <c r="A109" s="85" t="n">
        <v>45427</v>
      </c>
      <c r="B109" s="86" t="inlineStr">
        <is>
          <t>NET PO FROM HSL A/C 523686-50200085415108</t>
        </is>
      </c>
      <c r="C109" s="86" t="inlineStr">
        <is>
          <t>0000000521789762</t>
        </is>
      </c>
      <c r="D109" s="85" t="n">
        <v>45427</v>
      </c>
      <c r="E109" s="86" t="n">
        <v>0</v>
      </c>
      <c r="F109" s="86" t="n">
        <v>10981.68</v>
      </c>
      <c r="G109" s="86" t="n">
        <v>150239.32</v>
      </c>
      <c r="H109" s="86" t="inlineStr"/>
      <c r="I109" s="86" t="inlineStr">
        <is>
          <t>HSL</t>
        </is>
      </c>
      <c r="J109" s="86" t="inlineStr">
        <is>
          <t>HDFC Securities - Sell</t>
        </is>
      </c>
      <c r="K109" s="86" t="inlineStr">
        <is>
          <t>HDFC Securities</t>
        </is>
      </c>
      <c r="L109" s="32" t="n">
        <v>0.97</v>
      </c>
      <c r="M109" s="86" t="inlineStr">
        <is>
          <t>[MATCH]</t>
        </is>
      </c>
    </row>
    <row r="110">
      <c r="A110" s="85" t="n">
        <v>45427</v>
      </c>
      <c r="B110" s="86" t="inlineStr">
        <is>
          <t>NET PO FROM HSL A/C 523686-50200085415108</t>
        </is>
      </c>
      <c r="C110" s="86" t="inlineStr">
        <is>
          <t>0000000521824571</t>
        </is>
      </c>
      <c r="D110" s="85" t="n">
        <v>45427</v>
      </c>
      <c r="E110" s="86" t="n">
        <v>0</v>
      </c>
      <c r="F110" s="86" t="n">
        <v>134185.19</v>
      </c>
      <c r="G110" s="86" t="n">
        <v>284424.51</v>
      </c>
      <c r="H110" s="86" t="inlineStr"/>
      <c r="I110" s="86" t="inlineStr">
        <is>
          <t>HSL</t>
        </is>
      </c>
      <c r="J110" s="86" t="inlineStr">
        <is>
          <t>HDFC Securities - Sell</t>
        </is>
      </c>
      <c r="K110" s="86" t="inlineStr">
        <is>
          <t>HDFC Securities</t>
        </is>
      </c>
      <c r="L110" s="32" t="n">
        <v>0.97</v>
      </c>
      <c r="M110" s="86" t="inlineStr">
        <is>
          <t>[MATCH]</t>
        </is>
      </c>
    </row>
    <row r="111">
      <c r="A111" s="28" t="n">
        <v>45427</v>
      </c>
      <c r="B111" s="29" t="inlineStr">
        <is>
          <t>ACH D- INDIAN CLEARING CORP-P25847643X05</t>
        </is>
      </c>
      <c r="C111" s="29" t="inlineStr">
        <is>
          <t>0000004003933231</t>
        </is>
      </c>
      <c r="D111" s="28" t="n">
        <v>45427</v>
      </c>
      <c r="E111" s="29" t="n">
        <v>5000</v>
      </c>
      <c r="F111" s="29" t="n">
        <v>0</v>
      </c>
      <c r="G111" s="29" t="n">
        <v>279424.51</v>
      </c>
      <c r="H111" s="29" t="inlineStr"/>
      <c r="I111" s="29" t="inlineStr">
        <is>
          <t>SIP  - 5000</t>
        </is>
      </c>
      <c r="J111" s="29" t="inlineStr">
        <is>
          <t>MF Investment</t>
        </is>
      </c>
      <c r="K111" s="29" t="inlineStr">
        <is>
          <t>Mutual_Fund_Investments</t>
        </is>
      </c>
      <c r="L111" s="35" t="n">
        <v>0.92</v>
      </c>
      <c r="M111" s="29" t="inlineStr">
        <is>
          <t>[DIFF]</t>
        </is>
      </c>
    </row>
    <row r="112">
      <c r="A112" s="83" t="n">
        <v>45427</v>
      </c>
      <c r="B112" s="84" t="inlineStr">
        <is>
          <t>NET PI TO HSL SEC A/C 523686-00602340029434</t>
        </is>
      </c>
      <c r="C112" s="84" t="inlineStr">
        <is>
          <t>0000000521944984</t>
        </is>
      </c>
      <c r="D112" s="83" t="n">
        <v>45427</v>
      </c>
      <c r="E112" s="84" t="n">
        <v>272.35</v>
      </c>
      <c r="F112" s="84" t="n">
        <v>0</v>
      </c>
      <c r="G112" s="84" t="n">
        <v>279152.16</v>
      </c>
      <c r="H112" s="84" t="inlineStr"/>
      <c r="I112" s="84" t="inlineStr">
        <is>
          <t>HSL</t>
        </is>
      </c>
      <c r="J112" s="84" t="inlineStr">
        <is>
          <t>HDFC Securities - Buy</t>
        </is>
      </c>
      <c r="K112" s="84" t="inlineStr">
        <is>
          <t>HDFC Securities</t>
        </is>
      </c>
      <c r="L112" s="32" t="n">
        <v>0.97</v>
      </c>
      <c r="M112" s="84" t="inlineStr">
        <is>
          <t>[MATCH]</t>
        </is>
      </c>
    </row>
    <row r="113">
      <c r="A113" s="33" t="n">
        <v>45427</v>
      </c>
      <c r="B113" s="34" t="inlineStr">
        <is>
          <t>NEFT DR-UTIB0002656-SUNITA GUPTA-NETBANK, MUM-N136243040620640-FRM HDFC TO AXIS</t>
        </is>
      </c>
      <c r="C113" s="34" t="inlineStr">
        <is>
          <t>N136243040620640</t>
        </is>
      </c>
      <c r="D113" s="33" t="n">
        <v>45427</v>
      </c>
      <c r="E113" s="34" t="n">
        <v>100000</v>
      </c>
      <c r="F113" s="34" t="n">
        <v>0</v>
      </c>
      <c r="G113" s="34" t="n">
        <v>179152.16</v>
      </c>
      <c r="H113" s="34" t="inlineStr"/>
      <c r="I113" s="34" t="inlineStr">
        <is>
          <t>Contra</t>
        </is>
      </c>
      <c r="J113" s="34" t="inlineStr">
        <is>
          <t>Transfer - Sunita Gupta</t>
        </is>
      </c>
      <c r="K113" s="34" t="inlineStr">
        <is>
          <t>Sunita Gupta</t>
        </is>
      </c>
      <c r="L113" s="35" t="n">
        <v>0.88</v>
      </c>
      <c r="M113" s="34" t="inlineStr">
        <is>
          <t>[DIFF]</t>
        </is>
      </c>
    </row>
    <row r="114">
      <c r="A114" s="85" t="n">
        <v>45428</v>
      </c>
      <c r="B114" s="86" t="inlineStr">
        <is>
          <t>NET PO FROM HSL A/C 523686-50200085415108</t>
        </is>
      </c>
      <c r="C114" s="86" t="inlineStr">
        <is>
          <t>0000000522220199</t>
        </is>
      </c>
      <c r="D114" s="85" t="n">
        <v>45428</v>
      </c>
      <c r="E114" s="86" t="n">
        <v>0</v>
      </c>
      <c r="F114" s="86" t="n">
        <v>6827.3</v>
      </c>
      <c r="G114" s="86" t="n">
        <v>185979.46</v>
      </c>
      <c r="H114" s="86" t="inlineStr"/>
      <c r="I114" s="86" t="inlineStr">
        <is>
          <t>HSL</t>
        </is>
      </c>
      <c r="J114" s="86" t="inlineStr">
        <is>
          <t>HDFC Securities - Sell</t>
        </is>
      </c>
      <c r="K114" s="86" t="inlineStr">
        <is>
          <t>HDFC Securities</t>
        </is>
      </c>
      <c r="L114" s="32" t="n">
        <v>0.97</v>
      </c>
      <c r="M114" s="86" t="inlineStr">
        <is>
          <t>[MATCH]</t>
        </is>
      </c>
    </row>
    <row r="115">
      <c r="A115" s="83" t="n">
        <v>45428</v>
      </c>
      <c r="B115" s="84" t="inlineStr">
        <is>
          <t>NET PI TO HSL SEC A/C 523686-00602340029434</t>
        </is>
      </c>
      <c r="C115" s="84" t="inlineStr">
        <is>
          <t>0000000522341497</t>
        </is>
      </c>
      <c r="D115" s="83" t="n">
        <v>45428</v>
      </c>
      <c r="E115" s="84" t="n">
        <v>262.77</v>
      </c>
      <c r="F115" s="84" t="n">
        <v>0</v>
      </c>
      <c r="G115" s="84" t="n">
        <v>185716.69</v>
      </c>
      <c r="H115" s="84" t="inlineStr"/>
      <c r="I115" s="84" t="inlineStr">
        <is>
          <t>HSL</t>
        </is>
      </c>
      <c r="J115" s="84" t="inlineStr">
        <is>
          <t>HDFC Securities - Buy</t>
        </is>
      </c>
      <c r="K115" s="84" t="inlineStr">
        <is>
          <t>HDFC Securities</t>
        </is>
      </c>
      <c r="L115" s="32" t="n">
        <v>0.97</v>
      </c>
      <c r="M115" s="84" t="inlineStr">
        <is>
          <t>[MATCH]</t>
        </is>
      </c>
    </row>
    <row r="116">
      <c r="A116" s="33" t="n">
        <v>45428</v>
      </c>
      <c r="B116" s="34" t="inlineStr">
        <is>
          <t>NEFT CR-SBIN0004266-SBI GENERAL INSURANCE CO LTDSBI GEN-SUNITA GUPTA 0000000002717756-SBIN324137943121</t>
        </is>
      </c>
      <c r="C116" s="34" t="inlineStr">
        <is>
          <t>SBIN324137943121</t>
        </is>
      </c>
      <c r="D116" s="33" t="n">
        <v>45428</v>
      </c>
      <c r="E116" s="34" t="n">
        <v>0</v>
      </c>
      <c r="F116" s="34" t="n">
        <v>2380</v>
      </c>
      <c r="G116" s="34" t="n">
        <v>188096.69</v>
      </c>
      <c r="H116" s="34" t="inlineStr"/>
      <c r="I116" s="34" t="inlineStr">
        <is>
          <t>Rental Income</t>
        </is>
      </c>
      <c r="J116" s="34" t="inlineStr">
        <is>
          <t>Received - Sunita Gupta</t>
        </is>
      </c>
      <c r="K116" s="34" t="inlineStr">
        <is>
          <t>Sunita Gupta</t>
        </is>
      </c>
      <c r="L116" s="35" t="n">
        <v>0.88</v>
      </c>
      <c r="M116" s="34" t="inlineStr">
        <is>
          <t>[DIFF]</t>
        </is>
      </c>
    </row>
    <row r="117">
      <c r="A117" s="42" t="n">
        <v>45428</v>
      </c>
      <c r="B117" s="43" t="inlineStr">
        <is>
          <t>ACH C- ORACLEFINANCIALSER-00000000000000</t>
        </is>
      </c>
      <c r="C117" s="43" t="inlineStr">
        <is>
          <t>0000007006414137</t>
        </is>
      </c>
      <c r="D117" s="42" t="n">
        <v>45428</v>
      </c>
      <c r="E117" s="43" t="n">
        <v>0</v>
      </c>
      <c r="F117" s="43" t="n">
        <v>6480</v>
      </c>
      <c r="G117" s="43" t="n">
        <v>194576.69</v>
      </c>
      <c r="H117" s="43" t="inlineStr"/>
      <c r="I117" s="43" t="inlineStr">
        <is>
          <t>Dividend Income</t>
        </is>
      </c>
      <c r="J117" s="43" t="inlineStr">
        <is>
          <t>Dividend Income</t>
        </is>
      </c>
      <c r="K117" s="43" t="inlineStr">
        <is>
          <t>Dividend Income</t>
        </is>
      </c>
      <c r="L117" s="32" t="n">
        <v>0.88</v>
      </c>
      <c r="M117" s="43" t="inlineStr">
        <is>
          <t>[MATCH]</t>
        </is>
      </c>
    </row>
    <row r="118">
      <c r="A118" s="83" t="n">
        <v>45428</v>
      </c>
      <c r="B118" s="84" t="inlineStr">
        <is>
          <t>NET PI TO HSL SEC A/C 523686-00602340029434</t>
        </is>
      </c>
      <c r="C118" s="84" t="inlineStr">
        <is>
          <t>0000000522487945</t>
        </is>
      </c>
      <c r="D118" s="83" t="n">
        <v>45428</v>
      </c>
      <c r="E118" s="84" t="n">
        <v>81859.92</v>
      </c>
      <c r="F118" s="84" t="n">
        <v>0</v>
      </c>
      <c r="G118" s="84" t="n">
        <v>112716.77</v>
      </c>
      <c r="H118" s="84" t="inlineStr"/>
      <c r="I118" s="84" t="inlineStr">
        <is>
          <t>HSL</t>
        </is>
      </c>
      <c r="J118" s="84" t="inlineStr">
        <is>
          <t>HDFC Securities - Buy</t>
        </is>
      </c>
      <c r="K118" s="84" t="inlineStr">
        <is>
          <t>HDFC Securities</t>
        </is>
      </c>
      <c r="L118" s="32" t="n">
        <v>0.97</v>
      </c>
      <c r="M118" s="84" t="inlineStr">
        <is>
          <t>[MATCH]</t>
        </is>
      </c>
    </row>
    <row r="119">
      <c r="A119" s="85" t="n">
        <v>45429</v>
      </c>
      <c r="B119" s="86" t="inlineStr">
        <is>
          <t>NET PO FROM HSL A/C 523686-50200085415108</t>
        </is>
      </c>
      <c r="C119" s="86" t="inlineStr">
        <is>
          <t>0000000522614579</t>
        </is>
      </c>
      <c r="D119" s="85" t="n">
        <v>45429</v>
      </c>
      <c r="E119" s="86" t="n">
        <v>0</v>
      </c>
      <c r="F119" s="86" t="n">
        <v>3449.38</v>
      </c>
      <c r="G119" s="86" t="n">
        <v>116166.15</v>
      </c>
      <c r="H119" s="86" t="inlineStr"/>
      <c r="I119" s="86" t="inlineStr">
        <is>
          <t>HSL</t>
        </is>
      </c>
      <c r="J119" s="86" t="inlineStr">
        <is>
          <t>HDFC Securities - Sell</t>
        </is>
      </c>
      <c r="K119" s="86" t="inlineStr">
        <is>
          <t>HDFC Securities</t>
        </is>
      </c>
      <c r="L119" s="32" t="n">
        <v>0.97</v>
      </c>
      <c r="M119" s="86" t="inlineStr">
        <is>
          <t>[MATCH]</t>
        </is>
      </c>
    </row>
    <row r="120">
      <c r="A120" s="85" t="n">
        <v>45429</v>
      </c>
      <c r="B120" s="86" t="inlineStr">
        <is>
          <t>NET PO FROM HSL A/C 523686-50200085415108</t>
        </is>
      </c>
      <c r="C120" s="86" t="inlineStr">
        <is>
          <t>0000000522652858</t>
        </is>
      </c>
      <c r="D120" s="85" t="n">
        <v>45429</v>
      </c>
      <c r="E120" s="86" t="n">
        <v>0</v>
      </c>
      <c r="F120" s="86" t="n">
        <v>42829.41</v>
      </c>
      <c r="G120" s="86" t="n">
        <v>158995.56</v>
      </c>
      <c r="H120" s="86" t="inlineStr"/>
      <c r="I120" s="86" t="inlineStr">
        <is>
          <t>HSL</t>
        </is>
      </c>
      <c r="J120" s="86" t="inlineStr">
        <is>
          <t>HDFC Securities - Sell</t>
        </is>
      </c>
      <c r="K120" s="86" t="inlineStr">
        <is>
          <t>HDFC Securities</t>
        </is>
      </c>
      <c r="L120" s="32" t="n">
        <v>0.97</v>
      </c>
      <c r="M120" s="86" t="inlineStr">
        <is>
          <t>[MATCH]</t>
        </is>
      </c>
    </row>
    <row r="121">
      <c r="A121" s="83" t="n">
        <v>45429</v>
      </c>
      <c r="B121" s="84" t="inlineStr">
        <is>
          <t>NET PI TO HSL SEC A/C 523686-00602340029434</t>
        </is>
      </c>
      <c r="C121" s="84" t="inlineStr">
        <is>
          <t>0000000522743631</t>
        </is>
      </c>
      <c r="D121" s="83" t="n">
        <v>45429</v>
      </c>
      <c r="E121" s="84" t="n">
        <v>232.55</v>
      </c>
      <c r="F121" s="84" t="n">
        <v>0</v>
      </c>
      <c r="G121" s="84" t="n">
        <v>158763.01</v>
      </c>
      <c r="H121" s="84" t="inlineStr"/>
      <c r="I121" s="84" t="inlineStr">
        <is>
          <t>HSL</t>
        </is>
      </c>
      <c r="J121" s="84" t="inlineStr">
        <is>
          <t>HDFC Securities - Buy</t>
        </is>
      </c>
      <c r="K121" s="84" t="inlineStr">
        <is>
          <t>HDFC Securities</t>
        </is>
      </c>
      <c r="L121" s="32" t="n">
        <v>0.97</v>
      </c>
      <c r="M121" s="84" t="inlineStr">
        <is>
          <t>[MATCH]</t>
        </is>
      </c>
    </row>
    <row r="122">
      <c r="A122" s="83" t="n">
        <v>45429</v>
      </c>
      <c r="B122" s="84" t="inlineStr">
        <is>
          <t>NET PI TO HSL SEC A/C 523686-00602340029434</t>
        </is>
      </c>
      <c r="C122" s="84" t="inlineStr">
        <is>
          <t>0000000522882579</t>
        </is>
      </c>
      <c r="D122" s="83" t="n">
        <v>45429</v>
      </c>
      <c r="E122" s="84" t="n">
        <v>9417.32</v>
      </c>
      <c r="F122" s="84" t="n">
        <v>0</v>
      </c>
      <c r="G122" s="84" t="n">
        <v>149345.69</v>
      </c>
      <c r="H122" s="84" t="inlineStr"/>
      <c r="I122" s="84" t="inlineStr">
        <is>
          <t>HSL</t>
        </is>
      </c>
      <c r="J122" s="84" t="inlineStr">
        <is>
          <t>HDFC Securities - Buy</t>
        </is>
      </c>
      <c r="K122" s="84" t="inlineStr">
        <is>
          <t>HDFC Securities</t>
        </is>
      </c>
      <c r="L122" s="32" t="n">
        <v>0.97</v>
      </c>
      <c r="M122" s="84" t="inlineStr">
        <is>
          <t>[MATCH]</t>
        </is>
      </c>
    </row>
    <row r="123">
      <c r="A123" s="83" t="n">
        <v>45430</v>
      </c>
      <c r="B123" s="84" t="inlineStr">
        <is>
          <t>NET PI TO HSL SEC A/C 523686-00602340029434</t>
        </is>
      </c>
      <c r="C123" s="84" t="inlineStr">
        <is>
          <t>0000000523022192</t>
        </is>
      </c>
      <c r="D123" s="83" t="n">
        <v>45430</v>
      </c>
      <c r="E123" s="84" t="n">
        <v>291.09</v>
      </c>
      <c r="F123" s="84" t="n">
        <v>0</v>
      </c>
      <c r="G123" s="84" t="n">
        <v>149054.6</v>
      </c>
      <c r="H123" s="84" t="inlineStr"/>
      <c r="I123" s="84" t="inlineStr">
        <is>
          <t>HSL</t>
        </is>
      </c>
      <c r="J123" s="84" t="inlineStr">
        <is>
          <t>HDFC Securities - Buy</t>
        </is>
      </c>
      <c r="K123" s="84" t="inlineStr">
        <is>
          <t>HDFC Securities</t>
        </is>
      </c>
      <c r="L123" s="32" t="n">
        <v>0.97</v>
      </c>
      <c r="M123" s="84" t="inlineStr">
        <is>
          <t>[MATCH]</t>
        </is>
      </c>
    </row>
    <row r="124">
      <c r="A124" s="85" t="n">
        <v>45433</v>
      </c>
      <c r="B124" s="86" t="inlineStr">
        <is>
          <t>NET PO FROM HSL A/C 523686-50200085415108</t>
        </is>
      </c>
      <c r="C124" s="86" t="inlineStr">
        <is>
          <t>0000000523120915</t>
        </is>
      </c>
      <c r="D124" s="85" t="n">
        <v>45433</v>
      </c>
      <c r="E124" s="86" t="n">
        <v>0</v>
      </c>
      <c r="F124" s="86" t="n">
        <v>2558.71</v>
      </c>
      <c r="G124" s="86" t="n">
        <v>151613.31</v>
      </c>
      <c r="H124" s="86" t="inlineStr"/>
      <c r="I124" s="86" t="inlineStr">
        <is>
          <t>HSL</t>
        </is>
      </c>
      <c r="J124" s="86" t="inlineStr">
        <is>
          <t>HDFC Securities - Sell</t>
        </is>
      </c>
      <c r="K124" s="86" t="inlineStr">
        <is>
          <t>HDFC Securities</t>
        </is>
      </c>
      <c r="L124" s="32" t="n">
        <v>0.97</v>
      </c>
      <c r="M124" s="86" t="inlineStr">
        <is>
          <t>[MATCH]</t>
        </is>
      </c>
    </row>
    <row r="125">
      <c r="A125" s="85" t="n">
        <v>45433</v>
      </c>
      <c r="B125" s="86" t="inlineStr">
        <is>
          <t>NET PO FROM HSL A/C 523686-50200085415108</t>
        </is>
      </c>
      <c r="C125" s="86" t="inlineStr">
        <is>
          <t>0000000523167863</t>
        </is>
      </c>
      <c r="D125" s="85" t="n">
        <v>45433</v>
      </c>
      <c r="E125" s="86" t="n">
        <v>0</v>
      </c>
      <c r="F125" s="86" t="n">
        <v>23334.72</v>
      </c>
      <c r="G125" s="86" t="n">
        <v>174948.03</v>
      </c>
      <c r="H125" s="86" t="inlineStr"/>
      <c r="I125" s="86" t="inlineStr">
        <is>
          <t>HSL</t>
        </is>
      </c>
      <c r="J125" s="86" t="inlineStr">
        <is>
          <t>HDFC Securities - Sell</t>
        </is>
      </c>
      <c r="K125" s="86" t="inlineStr">
        <is>
          <t>HDFC Securities</t>
        </is>
      </c>
      <c r="L125" s="32" t="n">
        <v>0.97</v>
      </c>
      <c r="M125" s="86" t="inlineStr">
        <is>
          <t>[MATCH]</t>
        </is>
      </c>
    </row>
    <row r="126">
      <c r="A126" s="83" t="n">
        <v>45433</v>
      </c>
      <c r="B126" s="84" t="inlineStr">
        <is>
          <t>NET PI TO HSL SEC A/C 523686-00602340029434</t>
        </is>
      </c>
      <c r="C126" s="84" t="inlineStr">
        <is>
          <t>0000000523323447</t>
        </is>
      </c>
      <c r="D126" s="83" t="n">
        <v>45433</v>
      </c>
      <c r="E126" s="84" t="n">
        <v>873.27</v>
      </c>
      <c r="F126" s="84" t="n">
        <v>0</v>
      </c>
      <c r="G126" s="84" t="n">
        <v>174074.76</v>
      </c>
      <c r="H126" s="84" t="inlineStr"/>
      <c r="I126" s="84" t="inlineStr">
        <is>
          <t>HSL</t>
        </is>
      </c>
      <c r="J126" s="84" t="inlineStr">
        <is>
          <t>HDFC Securities - Buy</t>
        </is>
      </c>
      <c r="K126" s="84" t="inlineStr">
        <is>
          <t>HDFC Securities</t>
        </is>
      </c>
      <c r="L126" s="32" t="n">
        <v>0.97</v>
      </c>
      <c r="M126" s="84" t="inlineStr">
        <is>
          <t>[MATCH]</t>
        </is>
      </c>
    </row>
    <row r="127">
      <c r="A127" s="83" t="n">
        <v>45433</v>
      </c>
      <c r="B127" s="84" t="inlineStr">
        <is>
          <t>NET PI TO HSL SEC A/C 523686-00602340029434</t>
        </is>
      </c>
      <c r="C127" s="84" t="inlineStr">
        <is>
          <t>0000000523570247</t>
        </is>
      </c>
      <c r="D127" s="83" t="n">
        <v>45433</v>
      </c>
      <c r="E127" s="84" t="n">
        <v>45536.34</v>
      </c>
      <c r="F127" s="84" t="n">
        <v>0</v>
      </c>
      <c r="G127" s="84" t="n">
        <v>128538.42</v>
      </c>
      <c r="H127" s="84" t="inlineStr"/>
      <c r="I127" s="84" t="inlineStr">
        <is>
          <t>HSL</t>
        </is>
      </c>
      <c r="J127" s="84" t="inlineStr">
        <is>
          <t>HDFC Securities - Buy</t>
        </is>
      </c>
      <c r="K127" s="84" t="inlineStr">
        <is>
          <t>HDFC Securities</t>
        </is>
      </c>
      <c r="L127" s="32" t="n">
        <v>0.97</v>
      </c>
      <c r="M127" s="84" t="inlineStr">
        <is>
          <t>[MATCH]</t>
        </is>
      </c>
    </row>
    <row r="128">
      <c r="A128" s="85" t="n">
        <v>45434</v>
      </c>
      <c r="B128" s="86" t="inlineStr">
        <is>
          <t>NET PO FROM HSL A/C 523686-50200085415108</t>
        </is>
      </c>
      <c r="C128" s="86" t="inlineStr">
        <is>
          <t>0000000523706893</t>
        </is>
      </c>
      <c r="D128" s="85" t="n">
        <v>45434</v>
      </c>
      <c r="E128" s="86" t="n">
        <v>0</v>
      </c>
      <c r="F128" s="86" t="n">
        <v>3073.48</v>
      </c>
      <c r="G128" s="86" t="n">
        <v>131611.9</v>
      </c>
      <c r="H128" s="86" t="inlineStr"/>
      <c r="I128" s="86" t="inlineStr">
        <is>
          <t>HSL</t>
        </is>
      </c>
      <c r="J128" s="86" t="inlineStr">
        <is>
          <t>HDFC Securities - Sell</t>
        </is>
      </c>
      <c r="K128" s="86" t="inlineStr">
        <is>
          <t>HDFC Securities</t>
        </is>
      </c>
      <c r="L128" s="32" t="n">
        <v>0.97</v>
      </c>
      <c r="M128" s="86" t="inlineStr">
        <is>
          <t>[MATCH]</t>
        </is>
      </c>
    </row>
    <row r="129">
      <c r="A129" s="83" t="n">
        <v>45434</v>
      </c>
      <c r="B129" s="84" t="inlineStr">
        <is>
          <t>NET PI TO HSL SEC A/C 523686-00602340029434</t>
        </is>
      </c>
      <c r="C129" s="84" t="inlineStr">
        <is>
          <t>0000000523858342</t>
        </is>
      </c>
      <c r="D129" s="83" t="n">
        <v>45434</v>
      </c>
      <c r="E129" s="84" t="n">
        <v>289.36</v>
      </c>
      <c r="F129" s="84" t="n">
        <v>0</v>
      </c>
      <c r="G129" s="84" t="n">
        <v>131322.54</v>
      </c>
      <c r="H129" s="84" t="inlineStr"/>
      <c r="I129" s="84" t="inlineStr">
        <is>
          <t>HSL</t>
        </is>
      </c>
      <c r="J129" s="84" t="inlineStr">
        <is>
          <t>HDFC Securities - Buy</t>
        </is>
      </c>
      <c r="K129" s="84" t="inlineStr">
        <is>
          <t>HDFC Securities</t>
        </is>
      </c>
      <c r="L129" s="32" t="n">
        <v>0.97</v>
      </c>
      <c r="M129" s="84" t="inlineStr">
        <is>
          <t>[MATCH]</t>
        </is>
      </c>
    </row>
    <row r="130">
      <c r="A130" s="83" t="n">
        <v>45434</v>
      </c>
      <c r="B130" s="84" t="inlineStr">
        <is>
          <t>NET PI TO HSL SEC A/C 523686-00602340029434</t>
        </is>
      </c>
      <c r="C130" s="84" t="inlineStr">
        <is>
          <t>0000000524017631</t>
        </is>
      </c>
      <c r="D130" s="83" t="n">
        <v>45434</v>
      </c>
      <c r="E130" s="84" t="n">
        <v>93700.02</v>
      </c>
      <c r="F130" s="84" t="n">
        <v>0</v>
      </c>
      <c r="G130" s="84" t="n">
        <v>37622.52</v>
      </c>
      <c r="H130" s="84" t="inlineStr"/>
      <c r="I130" s="84" t="inlineStr">
        <is>
          <t>HSL</t>
        </is>
      </c>
      <c r="J130" s="84" t="inlineStr">
        <is>
          <t>HDFC Securities - Buy</t>
        </is>
      </c>
      <c r="K130" s="84" t="inlineStr">
        <is>
          <t>HDFC Securities</t>
        </is>
      </c>
      <c r="L130" s="32" t="n">
        <v>0.97</v>
      </c>
      <c r="M130" s="84" t="inlineStr">
        <is>
          <t>[MATCH]</t>
        </is>
      </c>
    </row>
    <row r="131">
      <c r="A131" s="38" t="n">
        <v>45435</v>
      </c>
      <c r="B131" s="39" t="inlineStr">
        <is>
          <t>JANMAR24 INSTAALERTCHG 75 SMS 140524-MIR2514339549285</t>
        </is>
      </c>
      <c r="C131" s="39" t="inlineStr">
        <is>
          <t>MIR2514339549285</t>
        </is>
      </c>
      <c r="D131" s="38" t="n">
        <v>45435</v>
      </c>
      <c r="E131" s="39" t="n">
        <v>17.7</v>
      </c>
      <c r="F131" s="39" t="n">
        <v>0</v>
      </c>
      <c r="G131" s="39" t="n">
        <v>37604.82</v>
      </c>
      <c r="H131" s="39" t="inlineStr"/>
      <c r="I131" s="39" t="inlineStr">
        <is>
          <t>Bank Charges</t>
        </is>
      </c>
      <c r="J131" s="39" t="inlineStr">
        <is>
          <t>Bank Charges</t>
        </is>
      </c>
      <c r="K131" s="39" t="inlineStr">
        <is>
          <t>Bank Charges</t>
        </is>
      </c>
      <c r="L131" s="32" t="n">
        <v>0.9</v>
      </c>
      <c r="M131" s="39" t="inlineStr">
        <is>
          <t>[MATCH]</t>
        </is>
      </c>
    </row>
    <row r="132">
      <c r="A132" s="83" t="n">
        <v>45435</v>
      </c>
      <c r="B132" s="84" t="inlineStr">
        <is>
          <t>NET PI TO HSL SEC A/C 523686-00602340029434</t>
        </is>
      </c>
      <c r="C132" s="84" t="inlineStr">
        <is>
          <t>0000000524193414</t>
        </is>
      </c>
      <c r="D132" s="83" t="n">
        <v>45435</v>
      </c>
      <c r="E132" s="84" t="n">
        <v>313.62</v>
      </c>
      <c r="F132" s="84" t="n">
        <v>0</v>
      </c>
      <c r="G132" s="84" t="n">
        <v>37291.2</v>
      </c>
      <c r="H132" s="84" t="inlineStr"/>
      <c r="I132" s="84" t="inlineStr">
        <is>
          <t>HSL</t>
        </is>
      </c>
      <c r="J132" s="84" t="inlineStr">
        <is>
          <t>HDFC Securities - Buy</t>
        </is>
      </c>
      <c r="K132" s="84" t="inlineStr">
        <is>
          <t>HDFC Securities</t>
        </is>
      </c>
      <c r="L132" s="32" t="n">
        <v>0.97</v>
      </c>
      <c r="M132" s="84" t="inlineStr">
        <is>
          <t>[MATCH]</t>
        </is>
      </c>
    </row>
    <row r="133">
      <c r="A133" s="85" t="n">
        <v>45436</v>
      </c>
      <c r="B133" s="86" t="inlineStr">
        <is>
          <t>NET PO FROM HSL A/C 523686-50200085415108</t>
        </is>
      </c>
      <c r="C133" s="86" t="inlineStr">
        <is>
          <t>0000000524476779</t>
        </is>
      </c>
      <c r="D133" s="85" t="n">
        <v>45436</v>
      </c>
      <c r="E133" s="86" t="n">
        <v>0</v>
      </c>
      <c r="F133" s="86" t="n">
        <v>31015.36</v>
      </c>
      <c r="G133" s="86" t="n">
        <v>68306.56</v>
      </c>
      <c r="H133" s="86" t="inlineStr"/>
      <c r="I133" s="86" t="inlineStr">
        <is>
          <t>HSL</t>
        </is>
      </c>
      <c r="J133" s="86" t="inlineStr">
        <is>
          <t>HDFC Securities - Sell</t>
        </is>
      </c>
      <c r="K133" s="86" t="inlineStr">
        <is>
          <t>HDFC Securities</t>
        </is>
      </c>
      <c r="L133" s="32" t="n">
        <v>0.97</v>
      </c>
      <c r="M133" s="86" t="inlineStr">
        <is>
          <t>[MATCH]</t>
        </is>
      </c>
    </row>
    <row r="134">
      <c r="A134" s="85" t="n">
        <v>45436</v>
      </c>
      <c r="B134" s="86" t="inlineStr">
        <is>
          <t>NET PO FROM HSL A/C 523686-50200085415108</t>
        </is>
      </c>
      <c r="C134" s="86" t="inlineStr">
        <is>
          <t>0000000524552546</t>
        </is>
      </c>
      <c r="D134" s="85" t="n">
        <v>45436</v>
      </c>
      <c r="E134" s="86" t="n">
        <v>0</v>
      </c>
      <c r="F134" s="86" t="n">
        <v>35498.65</v>
      </c>
      <c r="G134" s="86" t="n">
        <v>103805.21</v>
      </c>
      <c r="H134" s="86" t="inlineStr"/>
      <c r="I134" s="86" t="inlineStr">
        <is>
          <t>HSL</t>
        </is>
      </c>
      <c r="J134" s="86" t="inlineStr">
        <is>
          <t>HDFC Securities - Sell</t>
        </is>
      </c>
      <c r="K134" s="86" t="inlineStr">
        <is>
          <t>HDFC Securities</t>
        </is>
      </c>
      <c r="L134" s="32" t="n">
        <v>0.97</v>
      </c>
      <c r="M134" s="86" t="inlineStr">
        <is>
          <t>[MATCH]</t>
        </is>
      </c>
    </row>
    <row r="135">
      <c r="A135" s="83" t="n">
        <v>45436</v>
      </c>
      <c r="B135" s="84" t="inlineStr">
        <is>
          <t>NET PI TO HSL SEC A/C 523686-00602340029434</t>
        </is>
      </c>
      <c r="C135" s="84" t="inlineStr">
        <is>
          <t>0000000524649759</t>
        </is>
      </c>
      <c r="D135" s="83" t="n">
        <v>45436</v>
      </c>
      <c r="E135" s="84" t="n">
        <v>313.62</v>
      </c>
      <c r="F135" s="84" t="n">
        <v>0</v>
      </c>
      <c r="G135" s="84" t="n">
        <v>103491.59</v>
      </c>
      <c r="H135" s="84" t="inlineStr"/>
      <c r="I135" s="84" t="inlineStr">
        <is>
          <t>HSL</t>
        </is>
      </c>
      <c r="J135" s="84" t="inlineStr">
        <is>
          <t>HDFC Securities - Buy</t>
        </is>
      </c>
      <c r="K135" s="84" t="inlineStr">
        <is>
          <t>HDFC Securities</t>
        </is>
      </c>
      <c r="L135" s="32" t="n">
        <v>0.97</v>
      </c>
      <c r="M135" s="84" t="inlineStr">
        <is>
          <t>[MATCH]</t>
        </is>
      </c>
    </row>
    <row r="136">
      <c r="A136" s="42" t="n">
        <v>45436</v>
      </c>
      <c r="B136" s="43" t="inlineStr">
        <is>
          <t>ACH C- SANOFI INDIA DIV PMT-71PR24051801</t>
        </is>
      </c>
      <c r="C136" s="43" t="inlineStr">
        <is>
          <t>0000004251939972</t>
        </is>
      </c>
      <c r="D136" s="42" t="n">
        <v>45436</v>
      </c>
      <c r="E136" s="43" t="n">
        <v>0</v>
      </c>
      <c r="F136" s="43" t="n">
        <v>2223</v>
      </c>
      <c r="G136" s="43" t="n">
        <v>105714.59</v>
      </c>
      <c r="H136" s="43" t="inlineStr"/>
      <c r="I136" s="43" t="inlineStr">
        <is>
          <t>Dividend Income</t>
        </is>
      </c>
      <c r="J136" s="43" t="inlineStr">
        <is>
          <t>Dividend Income</t>
        </is>
      </c>
      <c r="K136" s="43" t="inlineStr">
        <is>
          <t>Dividend Income</t>
        </is>
      </c>
      <c r="L136" s="32" t="n">
        <v>0.88</v>
      </c>
      <c r="M136" s="43" t="inlineStr">
        <is>
          <t>[MATCH]</t>
        </is>
      </c>
    </row>
    <row r="137">
      <c r="A137" s="42" t="n">
        <v>45436</v>
      </c>
      <c r="B137" s="43" t="inlineStr">
        <is>
          <t>ACH C- COFORGE LTD-129002</t>
        </is>
      </c>
      <c r="C137" s="43" t="inlineStr">
        <is>
          <t>0000004253630046</t>
        </is>
      </c>
      <c r="D137" s="42" t="n">
        <v>45436</v>
      </c>
      <c r="E137" s="43" t="n">
        <v>0</v>
      </c>
      <c r="F137" s="43" t="n">
        <v>418</v>
      </c>
      <c r="G137" s="43" t="n">
        <v>106132.59</v>
      </c>
      <c r="H137" s="43" t="inlineStr"/>
      <c r="I137" s="43" t="inlineStr">
        <is>
          <t>Dividend Income</t>
        </is>
      </c>
      <c r="J137" s="43" t="inlineStr">
        <is>
          <t>Dividend Income</t>
        </is>
      </c>
      <c r="K137" s="43" t="inlineStr">
        <is>
          <t>Dividend Income</t>
        </is>
      </c>
      <c r="L137" s="32" t="n">
        <v>0.88</v>
      </c>
      <c r="M137" s="43" t="inlineStr">
        <is>
          <t>[MATCH]</t>
        </is>
      </c>
    </row>
    <row r="138">
      <c r="A138" s="91" t="n">
        <v>45436</v>
      </c>
      <c r="B138" s="92" t="inlineStr">
        <is>
          <t>NEFT CR-UTIB0000004-AXIS MUTUAL FUND DIVIDEND A/C-SUNITA GUPTA-AXISCN0629722256</t>
        </is>
      </c>
      <c r="C138" s="92" t="inlineStr">
        <is>
          <t>AXISCN0629722256</t>
        </is>
      </c>
      <c r="D138" s="91" t="n">
        <v>45436</v>
      </c>
      <c r="E138" s="92" t="n">
        <v>0</v>
      </c>
      <c r="F138" s="92" t="n">
        <v>84.56999999999999</v>
      </c>
      <c r="G138" s="92" t="n">
        <v>106217.16</v>
      </c>
      <c r="H138" s="92" t="inlineStr"/>
      <c r="I138" s="92" t="inlineStr">
        <is>
          <t>MF - Dividend</t>
        </is>
      </c>
      <c r="J138" s="92" t="inlineStr">
        <is>
          <t>Dividend Income</t>
        </is>
      </c>
      <c r="K138" s="92" t="inlineStr">
        <is>
          <t>Dividend Income</t>
        </is>
      </c>
      <c r="L138" s="35" t="n">
        <v>0.85</v>
      </c>
      <c r="M138" s="92" t="inlineStr">
        <is>
          <t>[DIFF]</t>
        </is>
      </c>
    </row>
    <row r="139">
      <c r="A139" s="83" t="n">
        <v>45437</v>
      </c>
      <c r="B139" s="84" t="inlineStr">
        <is>
          <t>NET PI TO HSL SEC A/C 523686-00602340029434</t>
        </is>
      </c>
      <c r="C139" s="84" t="inlineStr">
        <is>
          <t>0000000524831359</t>
        </is>
      </c>
      <c r="D139" s="83" t="n">
        <v>45437</v>
      </c>
      <c r="E139" s="84" t="n">
        <v>47642.67</v>
      </c>
      <c r="F139" s="84" t="n">
        <v>0</v>
      </c>
      <c r="G139" s="84" t="n">
        <v>58574.49</v>
      </c>
      <c r="H139" s="84" t="inlineStr"/>
      <c r="I139" s="84" t="inlineStr">
        <is>
          <t>HSL</t>
        </is>
      </c>
      <c r="J139" s="84" t="inlineStr">
        <is>
          <t>HDFC Securities - Buy</t>
        </is>
      </c>
      <c r="K139" s="84" t="inlineStr">
        <is>
          <t>HDFC Securities</t>
        </is>
      </c>
      <c r="L139" s="32" t="n">
        <v>0.97</v>
      </c>
      <c r="M139" s="84" t="inlineStr">
        <is>
          <t>[MATCH]</t>
        </is>
      </c>
    </row>
    <row r="140">
      <c r="A140" s="28" t="n">
        <v>45437</v>
      </c>
      <c r="B140" s="29" t="inlineStr">
        <is>
          <t>YHDF2336954200/BILLDKTHECALCUTTAELE</t>
        </is>
      </c>
      <c r="C140" s="29" t="inlineStr">
        <is>
          <t>0002414651382613</t>
        </is>
      </c>
      <c r="D140" s="28" t="n">
        <v>45437</v>
      </c>
      <c r="E140" s="29" t="n">
        <v>21011</v>
      </c>
      <c r="F140" s="29" t="n">
        <v>0</v>
      </c>
      <c r="G140" s="29" t="n">
        <v>37563.49</v>
      </c>
      <c r="H140" s="29" t="inlineStr"/>
      <c r="I140" s="29" t="inlineStr">
        <is>
          <t>Electricity Bill</t>
        </is>
      </c>
      <c r="J140" s="29" t="inlineStr">
        <is>
          <t>SIP</t>
        </is>
      </c>
      <c r="K140" s="29" t="inlineStr">
        <is>
          <t>SIP</t>
        </is>
      </c>
      <c r="L140" s="35" t="n">
        <v>0.9</v>
      </c>
      <c r="M140" s="29" t="inlineStr">
        <is>
          <t>[DIFF]</t>
        </is>
      </c>
    </row>
    <row r="141">
      <c r="A141" s="28" t="n">
        <v>45439</v>
      </c>
      <c r="B141" s="29" t="inlineStr">
        <is>
          <t>ACH D- INDIAN CLEARING CORP-P25847643X05</t>
        </is>
      </c>
      <c r="C141" s="29" t="inlineStr">
        <is>
          <t>0000004254561080</t>
        </is>
      </c>
      <c r="D141" s="28" t="n">
        <v>45439</v>
      </c>
      <c r="E141" s="29" t="n">
        <v>10000</v>
      </c>
      <c r="F141" s="29" t="n">
        <v>0</v>
      </c>
      <c r="G141" s="29" t="n">
        <v>27563.49</v>
      </c>
      <c r="H141" s="29" t="inlineStr"/>
      <c r="I141" s="29" t="inlineStr">
        <is>
          <t>SIP  - 10000</t>
        </is>
      </c>
      <c r="J141" s="29" t="inlineStr">
        <is>
          <t>MF Investment</t>
        </is>
      </c>
      <c r="K141" s="29" t="inlineStr">
        <is>
          <t>Mutual_Fund_Investments</t>
        </is>
      </c>
      <c r="L141" s="35" t="n">
        <v>0.92</v>
      </c>
      <c r="M141" s="29" t="inlineStr">
        <is>
          <t>[DIFF]</t>
        </is>
      </c>
    </row>
    <row r="142">
      <c r="A142" s="83" t="n">
        <v>45439</v>
      </c>
      <c r="B142" s="84" t="inlineStr">
        <is>
          <t>NET PI TO HSL SEC A/C 523686-00602340029434</t>
        </is>
      </c>
      <c r="C142" s="84" t="inlineStr">
        <is>
          <t>0000000525156118</t>
        </is>
      </c>
      <c r="D142" s="83" t="n">
        <v>45439</v>
      </c>
      <c r="E142" s="84" t="n">
        <v>1076.1</v>
      </c>
      <c r="F142" s="84" t="n">
        <v>0</v>
      </c>
      <c r="G142" s="84" t="n">
        <v>26487.39</v>
      </c>
      <c r="H142" s="84" t="inlineStr"/>
      <c r="I142" s="84" t="inlineStr">
        <is>
          <t>HSL</t>
        </is>
      </c>
      <c r="J142" s="84" t="inlineStr">
        <is>
          <t>HDFC Securities - Buy</t>
        </is>
      </c>
      <c r="K142" s="84" t="inlineStr">
        <is>
          <t>HDFC Securities</t>
        </is>
      </c>
      <c r="L142" s="32" t="n">
        <v>0.97</v>
      </c>
      <c r="M142" s="84" t="inlineStr">
        <is>
          <t>[MATCH]</t>
        </is>
      </c>
    </row>
    <row r="143">
      <c r="A143" s="85" t="n">
        <v>45440</v>
      </c>
      <c r="B143" s="86" t="inlineStr">
        <is>
          <t>NET PO FROM HSL A/C 523686-50200085415108</t>
        </is>
      </c>
      <c r="C143" s="86" t="inlineStr">
        <is>
          <t>0000000525464159</t>
        </is>
      </c>
      <c r="D143" s="85" t="n">
        <v>45440</v>
      </c>
      <c r="E143" s="86" t="n">
        <v>0</v>
      </c>
      <c r="F143" s="86" t="n">
        <v>4569.77</v>
      </c>
      <c r="G143" s="86" t="n">
        <v>31057.16</v>
      </c>
      <c r="H143" s="86" t="inlineStr"/>
      <c r="I143" s="86" t="inlineStr">
        <is>
          <t>HSL</t>
        </is>
      </c>
      <c r="J143" s="86" t="inlineStr">
        <is>
          <t>HDFC Securities - Sell</t>
        </is>
      </c>
      <c r="K143" s="86" t="inlineStr">
        <is>
          <t>HDFC Securities</t>
        </is>
      </c>
      <c r="L143" s="32" t="n">
        <v>0.97</v>
      </c>
      <c r="M143" s="86" t="inlineStr">
        <is>
          <t>[MATCH]</t>
        </is>
      </c>
    </row>
    <row r="144">
      <c r="A144" s="85" t="n">
        <v>45440</v>
      </c>
      <c r="B144" s="86" t="inlineStr">
        <is>
          <t>NET PO FROM HSL A/C 523686-50200085415108</t>
        </is>
      </c>
      <c r="C144" s="86" t="inlineStr">
        <is>
          <t>0000000525502499</t>
        </is>
      </c>
      <c r="D144" s="85" t="n">
        <v>45440</v>
      </c>
      <c r="E144" s="86" t="n">
        <v>0</v>
      </c>
      <c r="F144" s="86" t="n">
        <v>29701.18</v>
      </c>
      <c r="G144" s="86" t="n">
        <v>60758.34</v>
      </c>
      <c r="H144" s="86" t="inlineStr"/>
      <c r="I144" s="86" t="inlineStr">
        <is>
          <t>HSL</t>
        </is>
      </c>
      <c r="J144" s="86" t="inlineStr">
        <is>
          <t>HDFC Securities - Sell</t>
        </is>
      </c>
      <c r="K144" s="86" t="inlineStr">
        <is>
          <t>HDFC Securities</t>
        </is>
      </c>
      <c r="L144" s="32" t="n">
        <v>0.97</v>
      </c>
      <c r="M144" s="86" t="inlineStr">
        <is>
          <t>[MATCH]</t>
        </is>
      </c>
    </row>
    <row r="145">
      <c r="A145" s="83" t="n">
        <v>45440</v>
      </c>
      <c r="B145" s="84" t="inlineStr">
        <is>
          <t>NET PI TO HSL SEC A/C 523686-00602340029434</t>
        </is>
      </c>
      <c r="C145" s="84" t="inlineStr">
        <is>
          <t>0000000525600727</t>
        </is>
      </c>
      <c r="D145" s="83" t="n">
        <v>45440</v>
      </c>
      <c r="E145" s="84" t="n">
        <v>398.19</v>
      </c>
      <c r="F145" s="84" t="n">
        <v>0</v>
      </c>
      <c r="G145" s="84" t="n">
        <v>60360.15</v>
      </c>
      <c r="H145" s="84" t="inlineStr"/>
      <c r="I145" s="84" t="inlineStr">
        <is>
          <t>HSL</t>
        </is>
      </c>
      <c r="J145" s="84" t="inlineStr">
        <is>
          <t>HDFC Securities - Buy</t>
        </is>
      </c>
      <c r="K145" s="84" t="inlineStr">
        <is>
          <t>HDFC Securities</t>
        </is>
      </c>
      <c r="L145" s="32" t="n">
        <v>0.97</v>
      </c>
      <c r="M145" s="84" t="inlineStr">
        <is>
          <t>[MATCH]</t>
        </is>
      </c>
    </row>
    <row r="146">
      <c r="A146" s="83" t="n">
        <v>45440</v>
      </c>
      <c r="B146" s="84" t="inlineStr">
        <is>
          <t>NET PI TO HSL SEC A/C 523686-00602340029434</t>
        </is>
      </c>
      <c r="C146" s="84" t="inlineStr">
        <is>
          <t>0000000525776615</t>
        </is>
      </c>
      <c r="D146" s="83" t="n">
        <v>45440</v>
      </c>
      <c r="E146" s="84" t="n">
        <v>9647.780000000001</v>
      </c>
      <c r="F146" s="84" t="n">
        <v>0</v>
      </c>
      <c r="G146" s="84" t="n">
        <v>50712.37</v>
      </c>
      <c r="H146" s="84" t="inlineStr"/>
      <c r="I146" s="84" t="inlineStr">
        <is>
          <t>HSL</t>
        </is>
      </c>
      <c r="J146" s="84" t="inlineStr">
        <is>
          <t>HDFC Securities - Buy</t>
        </is>
      </c>
      <c r="K146" s="84" t="inlineStr">
        <is>
          <t>HDFC Securities</t>
        </is>
      </c>
      <c r="L146" s="32" t="n">
        <v>0.97</v>
      </c>
      <c r="M146" s="84" t="inlineStr">
        <is>
          <t>[MATCH]</t>
        </is>
      </c>
    </row>
    <row r="147">
      <c r="A147" s="85" t="n">
        <v>45441</v>
      </c>
      <c r="B147" s="86" t="inlineStr">
        <is>
          <t>NET PO FROM HSL A/C 523686-50200085415108</t>
        </is>
      </c>
      <c r="C147" s="86" t="inlineStr">
        <is>
          <t>0000000525933763</t>
        </is>
      </c>
      <c r="D147" s="85" t="n">
        <v>45441</v>
      </c>
      <c r="E147" s="86" t="n">
        <v>0</v>
      </c>
      <c r="F147" s="86" t="n">
        <v>31189.97</v>
      </c>
      <c r="G147" s="86" t="n">
        <v>81902.34</v>
      </c>
      <c r="H147" s="86" t="inlineStr"/>
      <c r="I147" s="86" t="inlineStr">
        <is>
          <t>HSL</t>
        </is>
      </c>
      <c r="J147" s="86" t="inlineStr">
        <is>
          <t>HDFC Securities - Sell</t>
        </is>
      </c>
      <c r="K147" s="86" t="inlineStr">
        <is>
          <t>HDFC Securities</t>
        </is>
      </c>
      <c r="L147" s="32" t="n">
        <v>0.97</v>
      </c>
      <c r="M147" s="86" t="inlineStr">
        <is>
          <t>[MATCH]</t>
        </is>
      </c>
    </row>
    <row r="148">
      <c r="A148" s="83" t="n">
        <v>45441</v>
      </c>
      <c r="B148" s="84" t="inlineStr">
        <is>
          <t>NET PI TO HSL SEC A/C 523686-00602340029434</t>
        </is>
      </c>
      <c r="C148" s="84" t="inlineStr">
        <is>
          <t>0000000526004852</t>
        </is>
      </c>
      <c r="D148" s="83" t="n">
        <v>45441</v>
      </c>
      <c r="E148" s="84" t="n">
        <v>392.56</v>
      </c>
      <c r="F148" s="84" t="n">
        <v>0</v>
      </c>
      <c r="G148" s="84" t="n">
        <v>81509.78</v>
      </c>
      <c r="H148" s="84" t="inlineStr"/>
      <c r="I148" s="84" t="inlineStr">
        <is>
          <t>HSL</t>
        </is>
      </c>
      <c r="J148" s="84" t="inlineStr">
        <is>
          <t>HDFC Securities - Buy</t>
        </is>
      </c>
      <c r="K148" s="84" t="inlineStr">
        <is>
          <t>HDFC Securities</t>
        </is>
      </c>
      <c r="L148" s="32" t="n">
        <v>0.97</v>
      </c>
      <c r="M148" s="84" t="inlineStr">
        <is>
          <t>[MATCH]</t>
        </is>
      </c>
    </row>
    <row r="149">
      <c r="A149" s="66" t="n">
        <v>45441</v>
      </c>
      <c r="B149" s="67" t="inlineStr">
        <is>
          <t>50100542230922-TPT-BORROW BY ARCHIT-ARCHIT GUPTA</t>
        </is>
      </c>
      <c r="C149" s="67" t="inlineStr">
        <is>
          <t>0000000571547709</t>
        </is>
      </c>
      <c r="D149" s="66" t="n">
        <v>45441</v>
      </c>
      <c r="E149" s="67" t="n">
        <v>30000</v>
      </c>
      <c r="F149" s="67" t="n">
        <v>0</v>
      </c>
      <c r="G149" s="67" t="n">
        <v>51509.78</v>
      </c>
      <c r="H149" s="67" t="inlineStr"/>
      <c r="I149" s="67" t="inlineStr">
        <is>
          <t>Transfer from Archit</t>
        </is>
      </c>
      <c r="J149" s="67" t="inlineStr">
        <is>
          <t>Transfer - Archit Gupta</t>
        </is>
      </c>
      <c r="K149" s="67" t="inlineStr">
        <is>
          <t>Archit Gupta</t>
        </is>
      </c>
      <c r="L149" s="32" t="n">
        <v>0.85</v>
      </c>
      <c r="M149" s="67" t="inlineStr">
        <is>
          <t>[MATCH]</t>
        </is>
      </c>
    </row>
    <row r="150">
      <c r="A150" s="85" t="n">
        <v>45442</v>
      </c>
      <c r="B150" s="86" t="inlineStr">
        <is>
          <t>NET PO FROM HSL A/C 523686-50200085415108</t>
        </is>
      </c>
      <c r="C150" s="86" t="inlineStr">
        <is>
          <t>0000000526310465</t>
        </is>
      </c>
      <c r="D150" s="85" t="n">
        <v>45442</v>
      </c>
      <c r="E150" s="86" t="n">
        <v>0</v>
      </c>
      <c r="F150" s="86" t="n">
        <v>17962.1</v>
      </c>
      <c r="G150" s="86" t="n">
        <v>69471.88</v>
      </c>
      <c r="H150" s="86" t="inlineStr"/>
      <c r="I150" s="86" t="inlineStr">
        <is>
          <t>HSL</t>
        </is>
      </c>
      <c r="J150" s="86" t="inlineStr">
        <is>
          <t>HDFC Securities - Sell</t>
        </is>
      </c>
      <c r="K150" s="86" t="inlineStr">
        <is>
          <t>HDFC Securities</t>
        </is>
      </c>
      <c r="L150" s="32" t="n">
        <v>0.97</v>
      </c>
      <c r="M150" s="86" t="inlineStr">
        <is>
          <t>[MATCH]</t>
        </is>
      </c>
    </row>
    <row r="151">
      <c r="A151" s="83" t="n">
        <v>45442</v>
      </c>
      <c r="B151" s="84" t="inlineStr">
        <is>
          <t>NET PI TO HSL SEC A/C 523686-00602340029434</t>
        </is>
      </c>
      <c r="C151" s="84" t="inlineStr">
        <is>
          <t>0000000526416129</t>
        </is>
      </c>
      <c r="D151" s="83" t="n">
        <v>45442</v>
      </c>
      <c r="E151" s="84" t="n">
        <v>392.56</v>
      </c>
      <c r="F151" s="84" t="n">
        <v>0</v>
      </c>
      <c r="G151" s="84" t="n">
        <v>69079.32000000001</v>
      </c>
      <c r="H151" s="84" t="inlineStr"/>
      <c r="I151" s="84" t="inlineStr">
        <is>
          <t>HSL</t>
        </is>
      </c>
      <c r="J151" s="84" t="inlineStr">
        <is>
          <t>HDFC Securities - Buy</t>
        </is>
      </c>
      <c r="K151" s="84" t="inlineStr">
        <is>
          <t>HDFC Securities</t>
        </is>
      </c>
      <c r="L151" s="32" t="n">
        <v>0.97</v>
      </c>
      <c r="M151" s="84" t="inlineStr">
        <is>
          <t>[MATCH]</t>
        </is>
      </c>
    </row>
    <row r="152">
      <c r="A152" s="83" t="n">
        <v>45442</v>
      </c>
      <c r="B152" s="84" t="inlineStr">
        <is>
          <t>NET PI TO HSL SEC A/C 523686-00602340029434</t>
        </is>
      </c>
      <c r="C152" s="84" t="inlineStr">
        <is>
          <t>0000000526613788</t>
        </is>
      </c>
      <c r="D152" s="83" t="n">
        <v>45442</v>
      </c>
      <c r="E152" s="84" t="n">
        <v>18904.07</v>
      </c>
      <c r="F152" s="84" t="n">
        <v>0</v>
      </c>
      <c r="G152" s="84" t="n">
        <v>50175.25</v>
      </c>
      <c r="H152" s="84" t="inlineStr"/>
      <c r="I152" s="84" t="inlineStr">
        <is>
          <t>HSL</t>
        </is>
      </c>
      <c r="J152" s="84" t="inlineStr">
        <is>
          <t>HDFC Securities - Buy</t>
        </is>
      </c>
      <c r="K152" s="84" t="inlineStr">
        <is>
          <t>HDFC Securities</t>
        </is>
      </c>
      <c r="L152" s="32" t="n">
        <v>0.97</v>
      </c>
      <c r="M152" s="84" t="inlineStr">
        <is>
          <t>[MATCH]</t>
        </is>
      </c>
    </row>
    <row r="153">
      <c r="A153" s="83" t="n">
        <v>45443</v>
      </c>
      <c r="B153" s="84" t="inlineStr">
        <is>
          <t>NET PI TO HSL SEC A/C 523686-00602340029434</t>
        </is>
      </c>
      <c r="C153" s="84" t="inlineStr">
        <is>
          <t>0000000526847575</t>
        </is>
      </c>
      <c r="D153" s="83" t="n">
        <v>45443</v>
      </c>
      <c r="E153" s="84" t="n">
        <v>380.68</v>
      </c>
      <c r="F153" s="84" t="n">
        <v>0</v>
      </c>
      <c r="G153" s="84" t="n">
        <v>49794.57</v>
      </c>
      <c r="H153" s="84" t="inlineStr"/>
      <c r="I153" s="84" t="inlineStr">
        <is>
          <t>HSL</t>
        </is>
      </c>
      <c r="J153" s="84" t="inlineStr">
        <is>
          <t>HDFC Securities - Buy</t>
        </is>
      </c>
      <c r="K153" s="84" t="inlineStr">
        <is>
          <t>HDFC Securities</t>
        </is>
      </c>
      <c r="L153" s="32" t="n">
        <v>0.97</v>
      </c>
      <c r="M153" s="84" t="inlineStr">
        <is>
          <t>[MATCH]</t>
        </is>
      </c>
    </row>
    <row r="154">
      <c r="A154" s="83" t="n">
        <v>45443</v>
      </c>
      <c r="B154" s="84" t="inlineStr">
        <is>
          <t>NET PI TO HSL SEC A/C 523686-00602340029434</t>
        </is>
      </c>
      <c r="C154" s="84" t="inlineStr">
        <is>
          <t>0000000526983253</t>
        </is>
      </c>
      <c r="D154" s="83" t="n">
        <v>45443</v>
      </c>
      <c r="E154" s="84" t="n">
        <v>39887.86</v>
      </c>
      <c r="F154" s="84" t="n">
        <v>0</v>
      </c>
      <c r="G154" s="84" t="n">
        <v>9906.709999999999</v>
      </c>
      <c r="H154" s="84" t="inlineStr"/>
      <c r="I154" s="84" t="inlineStr">
        <is>
          <t>HSL</t>
        </is>
      </c>
      <c r="J154" s="84" t="inlineStr">
        <is>
          <t>HDFC Securities - Buy</t>
        </is>
      </c>
      <c r="K154" s="84" t="inlineStr">
        <is>
          <t>HDFC Securities</t>
        </is>
      </c>
      <c r="L154" s="32" t="n">
        <v>0.97</v>
      </c>
      <c r="M154" s="84" t="inlineStr">
        <is>
          <t>[MATCH]</t>
        </is>
      </c>
    </row>
    <row r="155">
      <c r="A155" s="85" t="n">
        <v>45446</v>
      </c>
      <c r="B155" s="86" t="inlineStr">
        <is>
          <t>NET PO FROM HSL A/C 523686-50200085415108</t>
        </is>
      </c>
      <c r="C155" s="86" t="inlineStr">
        <is>
          <t>0000000527168583</t>
        </is>
      </c>
      <c r="D155" s="85" t="n">
        <v>45446</v>
      </c>
      <c r="E155" s="86" t="n">
        <v>0</v>
      </c>
      <c r="F155" s="86" t="n">
        <v>19286.45</v>
      </c>
      <c r="G155" s="86" t="n">
        <v>29193.16</v>
      </c>
      <c r="H155" s="86" t="inlineStr"/>
      <c r="I155" s="86" t="inlineStr">
        <is>
          <t>HSL</t>
        </is>
      </c>
      <c r="J155" s="86" t="inlineStr">
        <is>
          <t>HDFC Securities - Sell</t>
        </is>
      </c>
      <c r="K155" s="86" t="inlineStr">
        <is>
          <t>HDFC Securities</t>
        </is>
      </c>
      <c r="L155" s="32" t="n">
        <v>0.97</v>
      </c>
      <c r="M155" s="86" t="inlineStr">
        <is>
          <t>[MATCH]</t>
        </is>
      </c>
    </row>
    <row r="156">
      <c r="A156" s="83" t="n">
        <v>45446</v>
      </c>
      <c r="B156" s="84" t="inlineStr">
        <is>
          <t>NET PI TO HSL SEC A/C 523686-00602340029434</t>
        </is>
      </c>
      <c r="C156" s="84" t="inlineStr">
        <is>
          <t>0000000527397481</t>
        </is>
      </c>
      <c r="D156" s="83" t="n">
        <v>45446</v>
      </c>
      <c r="E156" s="84" t="n">
        <v>1158.51</v>
      </c>
      <c r="F156" s="84" t="n">
        <v>0</v>
      </c>
      <c r="G156" s="84" t="n">
        <v>28034.65</v>
      </c>
      <c r="H156" s="84" t="inlineStr"/>
      <c r="I156" s="84" t="inlineStr">
        <is>
          <t>HSL</t>
        </is>
      </c>
      <c r="J156" s="84" t="inlineStr">
        <is>
          <t>HDFC Securities - Buy</t>
        </is>
      </c>
      <c r="K156" s="84" t="inlineStr">
        <is>
          <t>HDFC Securities</t>
        </is>
      </c>
      <c r="L156" s="32" t="n">
        <v>0.97</v>
      </c>
      <c r="M156" s="84" t="inlineStr">
        <is>
          <t>[MATCH]</t>
        </is>
      </c>
    </row>
    <row r="157">
      <c r="A157" s="85" t="n">
        <v>45447</v>
      </c>
      <c r="B157" s="86" t="inlineStr">
        <is>
          <t>NET PO FROM HSL A/C 523686-50200085415108</t>
        </is>
      </c>
      <c r="C157" s="86" t="inlineStr">
        <is>
          <t>0000000527738985</t>
        </is>
      </c>
      <c r="D157" s="85" t="n">
        <v>45447</v>
      </c>
      <c r="E157" s="86" t="n">
        <v>0</v>
      </c>
      <c r="F157" s="86" t="n">
        <v>1329.76</v>
      </c>
      <c r="G157" s="86" t="n">
        <v>29364.41</v>
      </c>
      <c r="H157" s="86" t="inlineStr"/>
      <c r="I157" s="86" t="inlineStr">
        <is>
          <t>HSL</t>
        </is>
      </c>
      <c r="J157" s="86" t="inlineStr">
        <is>
          <t>HDFC Securities - Sell</t>
        </is>
      </c>
      <c r="K157" s="86" t="inlineStr">
        <is>
          <t>HDFC Securities</t>
        </is>
      </c>
      <c r="L157" s="32" t="n">
        <v>0.97</v>
      </c>
      <c r="M157" s="86" t="inlineStr">
        <is>
          <t>[MATCH]</t>
        </is>
      </c>
    </row>
    <row r="158">
      <c r="A158" s="83" t="n">
        <v>45447</v>
      </c>
      <c r="B158" s="84" t="inlineStr">
        <is>
          <t>NET PI TO HSL SEC A/C 523686-00602340029434</t>
        </is>
      </c>
      <c r="C158" s="84" t="inlineStr">
        <is>
          <t>0000000527925710</t>
        </is>
      </c>
      <c r="D158" s="83" t="n">
        <v>45447</v>
      </c>
      <c r="E158" s="84" t="n">
        <v>380.63</v>
      </c>
      <c r="F158" s="84" t="n">
        <v>0</v>
      </c>
      <c r="G158" s="84" t="n">
        <v>28983.78</v>
      </c>
      <c r="H158" s="84" t="inlineStr"/>
      <c r="I158" s="84" t="inlineStr">
        <is>
          <t>HSL</t>
        </is>
      </c>
      <c r="J158" s="84" t="inlineStr">
        <is>
          <t>HDFC Securities - Buy</t>
        </is>
      </c>
      <c r="K158" s="84" t="inlineStr">
        <is>
          <t>HDFC Securities</t>
        </is>
      </c>
      <c r="L158" s="32" t="n">
        <v>0.97</v>
      </c>
      <c r="M158" s="84" t="inlineStr">
        <is>
          <t>[MATCH]</t>
        </is>
      </c>
    </row>
    <row r="159">
      <c r="A159" s="42" t="n">
        <v>45447</v>
      </c>
      <c r="B159" s="43" t="inlineStr">
        <is>
          <t>ACH C- TCSFINDIV040624-885329</t>
        </is>
      </c>
      <c r="C159" s="43" t="inlineStr">
        <is>
          <t>0000004459428482</t>
        </is>
      </c>
      <c r="D159" s="42" t="n">
        <v>45447</v>
      </c>
      <c r="E159" s="43" t="n">
        <v>0</v>
      </c>
      <c r="F159" s="43" t="n">
        <v>448</v>
      </c>
      <c r="G159" s="43" t="n">
        <v>29431.78</v>
      </c>
      <c r="H159" s="43" t="inlineStr"/>
      <c r="I159" s="43" t="inlineStr">
        <is>
          <t>Dividend Income</t>
        </is>
      </c>
      <c r="J159" s="43" t="inlineStr">
        <is>
          <t>Dividend Income</t>
        </is>
      </c>
      <c r="K159" s="43" t="inlineStr">
        <is>
          <t>Dividend Income</t>
        </is>
      </c>
      <c r="L159" s="32" t="n">
        <v>0.88</v>
      </c>
      <c r="M159" s="43" t="inlineStr">
        <is>
          <t>[MATCH]</t>
        </is>
      </c>
    </row>
    <row r="160">
      <c r="A160" s="83" t="n">
        <v>45447</v>
      </c>
      <c r="B160" s="84" t="inlineStr">
        <is>
          <t>NET PI TO HSL SEC A/C 523686-00602340029434</t>
        </is>
      </c>
      <c r="C160" s="84" t="inlineStr">
        <is>
          <t>0000000528299131</t>
        </is>
      </c>
      <c r="D160" s="83" t="n">
        <v>45447</v>
      </c>
      <c r="E160" s="84" t="n">
        <v>29431.78</v>
      </c>
      <c r="F160" s="84" t="n">
        <v>0</v>
      </c>
      <c r="G160" s="84" t="n">
        <v>0</v>
      </c>
      <c r="H160" s="84" t="inlineStr"/>
      <c r="I160" s="84" t="inlineStr">
        <is>
          <t>HSL</t>
        </is>
      </c>
      <c r="J160" s="84" t="inlineStr">
        <is>
          <t>HDFC Securities - Buy</t>
        </is>
      </c>
      <c r="K160" s="84" t="inlineStr">
        <is>
          <t>HDFC Securities</t>
        </is>
      </c>
      <c r="L160" s="32" t="n">
        <v>0.97</v>
      </c>
      <c r="M160" s="84" t="inlineStr">
        <is>
          <t>[MATCH]</t>
        </is>
      </c>
    </row>
    <row r="161">
      <c r="A161" s="62" t="n">
        <v>45448</v>
      </c>
      <c r="B161" s="63" t="inlineStr">
        <is>
          <t>UPI-AJAY KUMAR GUPTA-AJAYGUPTANEL@YBL-HDFC0000167-415752435538-PAYMENT FROM PHONE</t>
        </is>
      </c>
      <c r="C161" s="63" t="inlineStr">
        <is>
          <t>0000415752435538</t>
        </is>
      </c>
      <c r="D161" s="62" t="n">
        <v>45448</v>
      </c>
      <c r="E161" s="63" t="n">
        <v>0</v>
      </c>
      <c r="F161" s="63" t="n">
        <v>20000</v>
      </c>
      <c r="G161" s="63" t="n">
        <v>20000</v>
      </c>
      <c r="H161" s="63" t="inlineStr"/>
      <c r="I161" s="63" t="inlineStr">
        <is>
          <t>Transfer from Ajay</t>
        </is>
      </c>
      <c r="J161" s="63" t="inlineStr">
        <is>
          <t>Received - Ajay Gupta</t>
        </is>
      </c>
      <c r="K161" s="63" t="inlineStr">
        <is>
          <t>Ajay Gupta</t>
        </is>
      </c>
      <c r="L161" s="35" t="n">
        <v>0.88</v>
      </c>
      <c r="M161" s="63" t="inlineStr">
        <is>
          <t>[DIFF]</t>
        </is>
      </c>
    </row>
    <row r="162">
      <c r="A162" s="83" t="n">
        <v>45448</v>
      </c>
      <c r="B162" s="84" t="inlineStr">
        <is>
          <t>NET PI TO HSL SEC A/C 523686-00602340029434</t>
        </is>
      </c>
      <c r="C162" s="84" t="inlineStr">
        <is>
          <t>0000000528695538</t>
        </is>
      </c>
      <c r="D162" s="83" t="n">
        <v>45448</v>
      </c>
      <c r="E162" s="84" t="n">
        <v>20000</v>
      </c>
      <c r="F162" s="84" t="n">
        <v>0</v>
      </c>
      <c r="G162" s="84" t="n">
        <v>0</v>
      </c>
      <c r="H162" s="84" t="inlineStr"/>
      <c r="I162" s="84" t="inlineStr">
        <is>
          <t>HSL</t>
        </is>
      </c>
      <c r="J162" s="84" t="inlineStr">
        <is>
          <t>HDFC Securities - Buy</t>
        </is>
      </c>
      <c r="K162" s="84" t="inlineStr">
        <is>
          <t>HDFC Securities</t>
        </is>
      </c>
      <c r="L162" s="32" t="n">
        <v>0.97</v>
      </c>
      <c r="M162" s="84" t="inlineStr">
        <is>
          <t>[MATCH]</t>
        </is>
      </c>
    </row>
    <row r="163">
      <c r="A163" s="42" t="n">
        <v>45448</v>
      </c>
      <c r="B163" s="43" t="inlineStr">
        <is>
          <t>ACH C- STATE BANK OF INDIA-2175022</t>
        </is>
      </c>
      <c r="C163" s="43" t="inlineStr">
        <is>
          <t>0000004594955132</t>
        </is>
      </c>
      <c r="D163" s="42" t="n">
        <v>45448</v>
      </c>
      <c r="E163" s="43" t="n">
        <v>0</v>
      </c>
      <c r="F163" s="43" t="n">
        <v>2123.5</v>
      </c>
      <c r="G163" s="43" t="n">
        <v>2123.5</v>
      </c>
      <c r="H163" s="43" t="inlineStr"/>
      <c r="I163" s="43" t="inlineStr">
        <is>
          <t>Dividend Income</t>
        </is>
      </c>
      <c r="J163" s="43" t="inlineStr">
        <is>
          <t>Dividend Income</t>
        </is>
      </c>
      <c r="K163" s="43" t="inlineStr">
        <is>
          <t>Dividend Income</t>
        </is>
      </c>
      <c r="L163" s="32" t="n">
        <v>0.88</v>
      </c>
      <c r="M163" s="43" t="inlineStr">
        <is>
          <t>[MATCH]</t>
        </is>
      </c>
    </row>
    <row r="164">
      <c r="A164" s="33" t="n">
        <v>45448</v>
      </c>
      <c r="B164" s="34" t="inlineStr">
        <is>
          <t>NEFT CR-SBIN0004266-SBI GENERAL INSURANCE CO LTDSBI GEN-SUNITA GUPTA 0000000002717756-SBIN224157215153</t>
        </is>
      </c>
      <c r="C164" s="34" t="inlineStr">
        <is>
          <t>SBIN224157215153</t>
        </is>
      </c>
      <c r="D164" s="33" t="n">
        <v>45448</v>
      </c>
      <c r="E164" s="34" t="n">
        <v>0</v>
      </c>
      <c r="F164" s="34" t="n">
        <v>21011</v>
      </c>
      <c r="G164" s="34" t="n">
        <v>23134.5</v>
      </c>
      <c r="H164" s="34" t="inlineStr"/>
      <c r="I164" s="34" t="inlineStr">
        <is>
          <t>Rental Income</t>
        </is>
      </c>
      <c r="J164" s="34" t="inlineStr">
        <is>
          <t>Received - Sunita Gupta</t>
        </is>
      </c>
      <c r="K164" s="34" t="inlineStr">
        <is>
          <t>Sunita Gupta</t>
        </is>
      </c>
      <c r="L164" s="35" t="n">
        <v>0.88</v>
      </c>
      <c r="M164" s="34" t="inlineStr">
        <is>
          <t>[DIFF]</t>
        </is>
      </c>
    </row>
    <row r="165">
      <c r="A165" s="83" t="n">
        <v>45448</v>
      </c>
      <c r="B165" s="84" t="inlineStr">
        <is>
          <t>NET PI TO HSL SEC A/C 523686-00602340029434</t>
        </is>
      </c>
      <c r="C165" s="84" t="inlineStr">
        <is>
          <t>0000000528864148</t>
        </is>
      </c>
      <c r="D165" s="83" t="n">
        <v>45448</v>
      </c>
      <c r="E165" s="84" t="n">
        <v>23134.5</v>
      </c>
      <c r="F165" s="84" t="n">
        <v>0</v>
      </c>
      <c r="G165" s="84" t="n">
        <v>0</v>
      </c>
      <c r="H165" s="84" t="inlineStr"/>
      <c r="I165" s="84" t="inlineStr">
        <is>
          <t>HSL</t>
        </is>
      </c>
      <c r="J165" s="84" t="inlineStr">
        <is>
          <t>HDFC Securities - Buy</t>
        </is>
      </c>
      <c r="K165" s="84" t="inlineStr">
        <is>
          <t>HDFC Securities</t>
        </is>
      </c>
      <c r="L165" s="32" t="n">
        <v>0.97</v>
      </c>
      <c r="M165" s="84" t="inlineStr">
        <is>
          <t>[MATCH]</t>
        </is>
      </c>
    </row>
    <row r="166">
      <c r="A166" s="85" t="n">
        <v>45449</v>
      </c>
      <c r="B166" s="86" t="inlineStr">
        <is>
          <t>NET PO FROM HSL A/C 523686-50200085415108</t>
        </is>
      </c>
      <c r="C166" s="86" t="inlineStr">
        <is>
          <t>0000000529124080</t>
        </is>
      </c>
      <c r="D166" s="85" t="n">
        <v>45449</v>
      </c>
      <c r="E166" s="86" t="n">
        <v>0</v>
      </c>
      <c r="F166" s="86" t="n">
        <v>20604.39</v>
      </c>
      <c r="G166" s="86" t="n">
        <v>20604.39</v>
      </c>
      <c r="H166" s="86" t="inlineStr"/>
      <c r="I166" s="86" t="inlineStr">
        <is>
          <t>HSL</t>
        </is>
      </c>
      <c r="J166" s="86" t="inlineStr">
        <is>
          <t>HDFC Securities - Sell</t>
        </is>
      </c>
      <c r="K166" s="86" t="inlineStr">
        <is>
          <t>HDFC Securities</t>
        </is>
      </c>
      <c r="L166" s="32" t="n">
        <v>0.97</v>
      </c>
      <c r="M166" s="86" t="inlineStr">
        <is>
          <t>[MATCH]</t>
        </is>
      </c>
    </row>
    <row r="167">
      <c r="A167" s="83" t="n">
        <v>45449</v>
      </c>
      <c r="B167" s="84" t="inlineStr">
        <is>
          <t>NET PI TO HSL SEC A/C 523686-00602340029434</t>
        </is>
      </c>
      <c r="C167" s="84" t="inlineStr">
        <is>
          <t>0000000529230416</t>
        </is>
      </c>
      <c r="D167" s="83" t="n">
        <v>45449</v>
      </c>
      <c r="E167" s="84" t="n">
        <v>374.73</v>
      </c>
      <c r="F167" s="84" t="n">
        <v>0</v>
      </c>
      <c r="G167" s="84" t="n">
        <v>20229.66</v>
      </c>
      <c r="H167" s="84" t="inlineStr"/>
      <c r="I167" s="84" t="inlineStr">
        <is>
          <t>HSL</t>
        </is>
      </c>
      <c r="J167" s="84" t="inlineStr">
        <is>
          <t>HDFC Securities - Buy</t>
        </is>
      </c>
      <c r="K167" s="84" t="inlineStr">
        <is>
          <t>HDFC Securities</t>
        </is>
      </c>
      <c r="L167" s="32" t="n">
        <v>0.97</v>
      </c>
      <c r="M167" s="84" t="inlineStr">
        <is>
          <t>[MATCH]</t>
        </is>
      </c>
    </row>
    <row r="168">
      <c r="A168" s="85" t="n">
        <v>45450</v>
      </c>
      <c r="B168" s="86" t="inlineStr">
        <is>
          <t>NET PO FROM HSL A/C 523686-50200085415108</t>
        </is>
      </c>
      <c r="C168" s="86" t="inlineStr">
        <is>
          <t>0000000529523525</t>
        </is>
      </c>
      <c r="D168" s="85" t="n">
        <v>45450</v>
      </c>
      <c r="E168" s="86" t="n">
        <v>0</v>
      </c>
      <c r="F168" s="86" t="n">
        <v>16550.74</v>
      </c>
      <c r="G168" s="86" t="n">
        <v>36780.4</v>
      </c>
      <c r="H168" s="86" t="inlineStr"/>
      <c r="I168" s="86" t="inlineStr">
        <is>
          <t>HSL</t>
        </is>
      </c>
      <c r="J168" s="86" t="inlineStr">
        <is>
          <t>HDFC Securities - Sell</t>
        </is>
      </c>
      <c r="K168" s="86" t="inlineStr">
        <is>
          <t>HDFC Securities</t>
        </is>
      </c>
      <c r="L168" s="32" t="n">
        <v>0.97</v>
      </c>
      <c r="M168" s="86" t="inlineStr">
        <is>
          <t>[MATCH]</t>
        </is>
      </c>
    </row>
    <row r="169">
      <c r="A169" s="83" t="n">
        <v>45450</v>
      </c>
      <c r="B169" s="84" t="inlineStr">
        <is>
          <t>NET PI TO HSL SEC A/C 523686-00602340029434</t>
        </is>
      </c>
      <c r="C169" s="84" t="inlineStr">
        <is>
          <t>0000000529676795</t>
        </is>
      </c>
      <c r="D169" s="83" t="n">
        <v>45450</v>
      </c>
      <c r="E169" s="84" t="n">
        <v>374.73</v>
      </c>
      <c r="F169" s="84" t="n">
        <v>0</v>
      </c>
      <c r="G169" s="84" t="n">
        <v>36405.67</v>
      </c>
      <c r="H169" s="84" t="inlineStr"/>
      <c r="I169" s="84" t="inlineStr">
        <is>
          <t>HSL</t>
        </is>
      </c>
      <c r="J169" s="84" t="inlineStr">
        <is>
          <t>HDFC Securities - Buy</t>
        </is>
      </c>
      <c r="K169" s="84" t="inlineStr">
        <is>
          <t>HDFC Securities</t>
        </is>
      </c>
      <c r="L169" s="32" t="n">
        <v>0.97</v>
      </c>
      <c r="M169" s="84" t="inlineStr">
        <is>
          <t>[MATCH]</t>
        </is>
      </c>
    </row>
    <row r="170">
      <c r="A170" s="85" t="n">
        <v>45450</v>
      </c>
      <c r="B170" s="86" t="inlineStr">
        <is>
          <t>NET PO FROM HSL A/C 523686-50200085415108</t>
        </is>
      </c>
      <c r="C170" s="86" t="inlineStr">
        <is>
          <t>0000000529837791</t>
        </is>
      </c>
      <c r="D170" s="85" t="n">
        <v>45450</v>
      </c>
      <c r="E170" s="86" t="n">
        <v>0</v>
      </c>
      <c r="F170" s="86" t="n">
        <v>6997.46</v>
      </c>
      <c r="G170" s="86" t="n">
        <v>43403.13</v>
      </c>
      <c r="H170" s="86" t="inlineStr"/>
      <c r="I170" s="86" t="inlineStr">
        <is>
          <t>HSL</t>
        </is>
      </c>
      <c r="J170" s="86" t="inlineStr">
        <is>
          <t>HDFC Securities - Sell</t>
        </is>
      </c>
      <c r="K170" s="86" t="inlineStr">
        <is>
          <t>HDFC Securities</t>
        </is>
      </c>
      <c r="L170" s="32" t="n">
        <v>0.97</v>
      </c>
      <c r="M170" s="86" t="inlineStr">
        <is>
          <t>[MATCH]</t>
        </is>
      </c>
    </row>
    <row r="171">
      <c r="A171" s="33" t="n">
        <v>45452</v>
      </c>
      <c r="B171" s="34" t="inlineStr">
        <is>
          <t>01671000085930-TPT-MNY RTRN FROM SUNITA TO AKG-AJAY KUMAR GUPTA</t>
        </is>
      </c>
      <c r="C171" s="34" t="inlineStr">
        <is>
          <t>0000000335441226</t>
        </is>
      </c>
      <c r="D171" s="33" t="n">
        <v>45452</v>
      </c>
      <c r="E171" s="34" t="n">
        <v>20000</v>
      </c>
      <c r="F171" s="34" t="n">
        <v>0</v>
      </c>
      <c r="G171" s="34" t="n">
        <v>23403.13</v>
      </c>
      <c r="H171" s="34" t="inlineStr"/>
      <c r="I171" s="34" t="inlineStr">
        <is>
          <t>Transfer from Ajay</t>
        </is>
      </c>
      <c r="J171" s="34" t="inlineStr">
        <is>
          <t>Transfer - Sunita Gupta</t>
        </is>
      </c>
      <c r="K171" s="34" t="inlineStr">
        <is>
          <t>Sunita Gupta</t>
        </is>
      </c>
      <c r="L171" s="35" t="n">
        <v>0.88</v>
      </c>
      <c r="M171" s="34" t="inlineStr">
        <is>
          <t>[DIFF]</t>
        </is>
      </c>
    </row>
    <row r="172">
      <c r="A172" s="85" t="n">
        <v>45453</v>
      </c>
      <c r="B172" s="86" t="inlineStr">
        <is>
          <t>NET PO FROM HSL A/C 523686-50200085415108</t>
        </is>
      </c>
      <c r="C172" s="86" t="inlineStr">
        <is>
          <t>0000000530072397</t>
        </is>
      </c>
      <c r="D172" s="85" t="n">
        <v>45453</v>
      </c>
      <c r="E172" s="86" t="n">
        <v>0</v>
      </c>
      <c r="F172" s="86" t="n">
        <v>56230.07</v>
      </c>
      <c r="G172" s="86" t="n">
        <v>79633.2</v>
      </c>
      <c r="H172" s="86" t="inlineStr"/>
      <c r="I172" s="86" t="inlineStr">
        <is>
          <t>HSL</t>
        </is>
      </c>
      <c r="J172" s="86" t="inlineStr">
        <is>
          <t>HDFC Securities - Sell</t>
        </is>
      </c>
      <c r="K172" s="86" t="inlineStr">
        <is>
          <t>HDFC Securities</t>
        </is>
      </c>
      <c r="L172" s="32" t="n">
        <v>0.97</v>
      </c>
      <c r="M172" s="86" t="inlineStr">
        <is>
          <t>[MATCH]</t>
        </is>
      </c>
    </row>
    <row r="173">
      <c r="A173" s="83" t="n">
        <v>45453</v>
      </c>
      <c r="B173" s="84" t="inlineStr">
        <is>
          <t>NET PI TO HSL SEC A/C 523686-00602340029434</t>
        </is>
      </c>
      <c r="C173" s="84" t="inlineStr">
        <is>
          <t>0000000530268700</t>
        </is>
      </c>
      <c r="D173" s="83" t="n">
        <v>45453</v>
      </c>
      <c r="E173" s="84" t="n">
        <v>1149.33</v>
      </c>
      <c r="F173" s="84" t="n">
        <v>0</v>
      </c>
      <c r="G173" s="84" t="n">
        <v>78483.87</v>
      </c>
      <c r="H173" s="84" t="inlineStr"/>
      <c r="I173" s="84" t="inlineStr">
        <is>
          <t>HSL</t>
        </is>
      </c>
      <c r="J173" s="84" t="inlineStr">
        <is>
          <t>HDFC Securities - Buy</t>
        </is>
      </c>
      <c r="K173" s="84" t="inlineStr">
        <is>
          <t>HDFC Securities</t>
        </is>
      </c>
      <c r="L173" s="32" t="n">
        <v>0.97</v>
      </c>
      <c r="M173" s="84" t="inlineStr">
        <is>
          <t>[MATCH]</t>
        </is>
      </c>
    </row>
    <row r="174">
      <c r="A174" s="33" t="n">
        <v>45453</v>
      </c>
      <c r="B174" s="34" t="inlineStr">
        <is>
          <t>NEFT CR-SBIN0004266-SBI GENERAL INSURANCE CO LTDSBI GEN-SUNITA GUPTA 0000000002717756-SBIN124162902146</t>
        </is>
      </c>
      <c r="C174" s="34" t="inlineStr">
        <is>
          <t>SBIN124162902146</t>
        </is>
      </c>
      <c r="D174" s="33" t="n">
        <v>45453</v>
      </c>
      <c r="E174" s="34" t="n">
        <v>0</v>
      </c>
      <c r="F174" s="34" t="n">
        <v>29757</v>
      </c>
      <c r="G174" s="34" t="n">
        <v>108240.87</v>
      </c>
      <c r="H174" s="34" t="inlineStr"/>
      <c r="I174" s="34" t="inlineStr">
        <is>
          <t>Rental Income</t>
        </is>
      </c>
      <c r="J174" s="34" t="inlineStr">
        <is>
          <t>Received - Sunita Gupta</t>
        </is>
      </c>
      <c r="K174" s="34" t="inlineStr">
        <is>
          <t>Sunita Gupta</t>
        </is>
      </c>
      <c r="L174" s="35" t="n">
        <v>0.88</v>
      </c>
      <c r="M174" s="34" t="inlineStr">
        <is>
          <t>[DIFF]</t>
        </is>
      </c>
    </row>
    <row r="175">
      <c r="A175" s="83" t="n">
        <v>45453</v>
      </c>
      <c r="B175" s="84" t="inlineStr">
        <is>
          <t>NET PI TO HSL SEC A/C 523686-00602340029434</t>
        </is>
      </c>
      <c r="C175" s="84" t="inlineStr">
        <is>
          <t>0000000530427142</t>
        </is>
      </c>
      <c r="D175" s="83" t="n">
        <v>45453</v>
      </c>
      <c r="E175" s="84" t="n">
        <v>35676.16</v>
      </c>
      <c r="F175" s="84" t="n">
        <v>0</v>
      </c>
      <c r="G175" s="84" t="n">
        <v>72564.71000000001</v>
      </c>
      <c r="H175" s="84" t="inlineStr"/>
      <c r="I175" s="84" t="inlineStr">
        <is>
          <t>HSL</t>
        </is>
      </c>
      <c r="J175" s="84" t="inlineStr">
        <is>
          <t>HDFC Securities - Buy</t>
        </is>
      </c>
      <c r="K175" s="84" t="inlineStr">
        <is>
          <t>HDFC Securities</t>
        </is>
      </c>
      <c r="L175" s="32" t="n">
        <v>0.97</v>
      </c>
      <c r="M175" s="84" t="inlineStr">
        <is>
          <t>[MATCH]</t>
        </is>
      </c>
    </row>
    <row r="176">
      <c r="A176" s="85" t="n">
        <v>45454</v>
      </c>
      <c r="B176" s="86" t="inlineStr">
        <is>
          <t>NET PO FROM HSL A/C 523686-50200085415108</t>
        </is>
      </c>
      <c r="C176" s="86" t="inlineStr">
        <is>
          <t>0000000530605418</t>
        </is>
      </c>
      <c r="D176" s="85" t="n">
        <v>45454</v>
      </c>
      <c r="E176" s="86" t="n">
        <v>0</v>
      </c>
      <c r="F176" s="86" t="n">
        <v>17608.23</v>
      </c>
      <c r="G176" s="86" t="n">
        <v>90172.94</v>
      </c>
      <c r="H176" s="86" t="inlineStr"/>
      <c r="I176" s="86" t="inlineStr">
        <is>
          <t>HSL</t>
        </is>
      </c>
      <c r="J176" s="86" t="inlineStr">
        <is>
          <t>HDFC Securities - Sell</t>
        </is>
      </c>
      <c r="K176" s="86" t="inlineStr">
        <is>
          <t>HDFC Securities</t>
        </is>
      </c>
      <c r="L176" s="32" t="n">
        <v>0.97</v>
      </c>
      <c r="M176" s="86" t="inlineStr">
        <is>
          <t>[MATCH]</t>
        </is>
      </c>
    </row>
    <row r="177">
      <c r="A177" s="83" t="n">
        <v>45454</v>
      </c>
      <c r="B177" s="84" t="inlineStr">
        <is>
          <t>NET PI TO HSL SEC A/C 523686-00602340029434</t>
        </is>
      </c>
      <c r="C177" s="84" t="inlineStr">
        <is>
          <t>0000000530703842</t>
        </is>
      </c>
      <c r="D177" s="83" t="n">
        <v>45454</v>
      </c>
      <c r="E177" s="84" t="n">
        <v>370.41</v>
      </c>
      <c r="F177" s="84" t="n">
        <v>0</v>
      </c>
      <c r="G177" s="84" t="n">
        <v>89802.53</v>
      </c>
      <c r="H177" s="84" t="inlineStr"/>
      <c r="I177" s="84" t="inlineStr">
        <is>
          <t>HSL</t>
        </is>
      </c>
      <c r="J177" s="84" t="inlineStr">
        <is>
          <t>HDFC Securities - Buy</t>
        </is>
      </c>
      <c r="K177" s="84" t="inlineStr">
        <is>
          <t>HDFC Securities</t>
        </is>
      </c>
      <c r="L177" s="32" t="n">
        <v>0.97</v>
      </c>
      <c r="M177" s="84" t="inlineStr">
        <is>
          <t>[MATCH]</t>
        </is>
      </c>
    </row>
    <row r="178">
      <c r="A178" s="83" t="n">
        <v>45454</v>
      </c>
      <c r="B178" s="84" t="inlineStr">
        <is>
          <t>NET PI TO HSL SEC A/C 523686-00602340029434</t>
        </is>
      </c>
      <c r="C178" s="84" t="inlineStr">
        <is>
          <t>0000000530863788</t>
        </is>
      </c>
      <c r="D178" s="83" t="n">
        <v>45454</v>
      </c>
      <c r="E178" s="84" t="n">
        <v>61786.82</v>
      </c>
      <c r="F178" s="84" t="n">
        <v>0</v>
      </c>
      <c r="G178" s="84" t="n">
        <v>28015.71</v>
      </c>
      <c r="H178" s="84" t="inlineStr"/>
      <c r="I178" s="84" t="inlineStr">
        <is>
          <t>HSL</t>
        </is>
      </c>
      <c r="J178" s="84" t="inlineStr">
        <is>
          <t>HDFC Securities - Buy</t>
        </is>
      </c>
      <c r="K178" s="84" t="inlineStr">
        <is>
          <t>HDFC Securities</t>
        </is>
      </c>
      <c r="L178" s="32" t="n">
        <v>0.97</v>
      </c>
      <c r="M178" s="84" t="inlineStr">
        <is>
          <t>[MATCH]</t>
        </is>
      </c>
    </row>
    <row r="179">
      <c r="A179" s="83" t="n">
        <v>45455</v>
      </c>
      <c r="B179" s="84" t="inlineStr">
        <is>
          <t>NET PI TO HSL SEC A/C 523686-00602340029434</t>
        </is>
      </c>
      <c r="C179" s="84" t="inlineStr">
        <is>
          <t>0000000531134095</t>
        </is>
      </c>
      <c r="D179" s="83" t="n">
        <v>45455</v>
      </c>
      <c r="E179" s="84" t="n">
        <v>387.2</v>
      </c>
      <c r="F179" s="84" t="n">
        <v>0</v>
      </c>
      <c r="G179" s="84" t="n">
        <v>27628.51</v>
      </c>
      <c r="H179" s="84" t="inlineStr"/>
      <c r="I179" s="84" t="inlineStr">
        <is>
          <t>HSL</t>
        </is>
      </c>
      <c r="J179" s="84" t="inlineStr">
        <is>
          <t>HDFC Securities - Buy</t>
        </is>
      </c>
      <c r="K179" s="84" t="inlineStr">
        <is>
          <t>HDFC Securities</t>
        </is>
      </c>
      <c r="L179" s="32" t="n">
        <v>0.97</v>
      </c>
      <c r="M179" s="84" t="inlineStr">
        <is>
          <t>[MATCH]</t>
        </is>
      </c>
    </row>
    <row r="180">
      <c r="A180" s="85" t="n">
        <v>45456</v>
      </c>
      <c r="B180" s="86" t="inlineStr">
        <is>
          <t>NET PO FROM HSL A/C 523686-50200085415108</t>
        </is>
      </c>
      <c r="C180" s="86" t="inlineStr">
        <is>
          <t>0000000531422119</t>
        </is>
      </c>
      <c r="D180" s="85" t="n">
        <v>45456</v>
      </c>
      <c r="E180" s="86" t="n">
        <v>0</v>
      </c>
      <c r="F180" s="86" t="n">
        <v>60155.52</v>
      </c>
      <c r="G180" s="86" t="n">
        <v>87784.03</v>
      </c>
      <c r="H180" s="86" t="inlineStr"/>
      <c r="I180" s="86" t="inlineStr">
        <is>
          <t>HSL</t>
        </is>
      </c>
      <c r="J180" s="86" t="inlineStr">
        <is>
          <t>HDFC Securities - Sell</t>
        </is>
      </c>
      <c r="K180" s="86" t="inlineStr">
        <is>
          <t>HDFC Securities</t>
        </is>
      </c>
      <c r="L180" s="32" t="n">
        <v>0.97</v>
      </c>
      <c r="M180" s="86" t="inlineStr">
        <is>
          <t>[MATCH]</t>
        </is>
      </c>
    </row>
    <row r="181">
      <c r="A181" s="85" t="n">
        <v>45456</v>
      </c>
      <c r="B181" s="86" t="inlineStr">
        <is>
          <t>NET PO FROM HSL A/C 523686-50200085415108</t>
        </is>
      </c>
      <c r="C181" s="86" t="inlineStr">
        <is>
          <t>0000000531468067</t>
        </is>
      </c>
      <c r="D181" s="85" t="n">
        <v>45456</v>
      </c>
      <c r="E181" s="86" t="n">
        <v>0</v>
      </c>
      <c r="F181" s="86" t="n">
        <v>48812.56</v>
      </c>
      <c r="G181" s="86" t="n">
        <v>136596.59</v>
      </c>
      <c r="H181" s="86" t="inlineStr"/>
      <c r="I181" s="86" t="inlineStr">
        <is>
          <t>HSL</t>
        </is>
      </c>
      <c r="J181" s="86" t="inlineStr">
        <is>
          <t>HDFC Securities - Sell</t>
        </is>
      </c>
      <c r="K181" s="86" t="inlineStr">
        <is>
          <t>HDFC Securities</t>
        </is>
      </c>
      <c r="L181" s="32" t="n">
        <v>0.97</v>
      </c>
      <c r="M181" s="86" t="inlineStr">
        <is>
          <t>[MATCH]</t>
        </is>
      </c>
    </row>
    <row r="182">
      <c r="A182" s="33" t="n">
        <v>45456</v>
      </c>
      <c r="B182" s="34" t="inlineStr">
        <is>
          <t>50100542230922-TPT-TRANS FROM SUNITA TO ARCHIT-ARCHIT GUPTA</t>
        </is>
      </c>
      <c r="C182" s="34" t="inlineStr">
        <is>
          <t>0000000455194334</t>
        </is>
      </c>
      <c r="D182" s="33" t="n">
        <v>45456</v>
      </c>
      <c r="E182" s="34" t="n">
        <v>50000</v>
      </c>
      <c r="F182" s="34" t="n">
        <v>0</v>
      </c>
      <c r="G182" s="34" t="n">
        <v>86596.59</v>
      </c>
      <c r="H182" s="34" t="inlineStr"/>
      <c r="I182" s="34" t="inlineStr">
        <is>
          <t>Transfer from Archit</t>
        </is>
      </c>
      <c r="J182" s="34" t="inlineStr">
        <is>
          <t>Transfer - Sunita Gupta</t>
        </is>
      </c>
      <c r="K182" s="34" t="inlineStr">
        <is>
          <t>Sunita Gupta</t>
        </is>
      </c>
      <c r="L182" s="35" t="n">
        <v>0.88</v>
      </c>
      <c r="M182" s="34" t="inlineStr">
        <is>
          <t>[DIFF]</t>
        </is>
      </c>
    </row>
    <row r="183">
      <c r="A183" s="28" t="n">
        <v>45456</v>
      </c>
      <c r="B183" s="29" t="inlineStr">
        <is>
          <t>YHDF2352323582/BILLDKINDIANCLEARING</t>
        </is>
      </c>
      <c r="C183" s="29" t="inlineStr">
        <is>
          <t>0002416553264785</t>
        </is>
      </c>
      <c r="D183" s="28" t="n">
        <v>45456</v>
      </c>
      <c r="E183" s="29" t="n">
        <v>50000</v>
      </c>
      <c r="F183" s="29" t="n">
        <v>0</v>
      </c>
      <c r="G183" s="29" t="n">
        <v>36596.59</v>
      </c>
      <c r="H183" s="29" t="inlineStr"/>
      <c r="I183" s="29" t="inlineStr">
        <is>
          <t>Electricity Bill</t>
        </is>
      </c>
      <c r="J183" s="29" t="inlineStr">
        <is>
          <t>SIP</t>
        </is>
      </c>
      <c r="K183" s="29" t="inlineStr">
        <is>
          <t>SIP</t>
        </is>
      </c>
      <c r="L183" s="35" t="n">
        <v>0.9</v>
      </c>
      <c r="M183" s="29" t="inlineStr">
        <is>
          <t>[DIFF]</t>
        </is>
      </c>
    </row>
    <row r="184">
      <c r="A184" s="83" t="n">
        <v>45456</v>
      </c>
      <c r="B184" s="84" t="inlineStr">
        <is>
          <t>NET PI TO HSL SEC A/C 523686-00602340029434</t>
        </is>
      </c>
      <c r="C184" s="84" t="inlineStr">
        <is>
          <t>0000000531577061</t>
        </is>
      </c>
      <c r="D184" s="83" t="n">
        <v>45456</v>
      </c>
      <c r="E184" s="84" t="n">
        <v>433.51</v>
      </c>
      <c r="F184" s="84" t="n">
        <v>0</v>
      </c>
      <c r="G184" s="84" t="n">
        <v>36163.08</v>
      </c>
      <c r="H184" s="84" t="inlineStr"/>
      <c r="I184" s="84" t="inlineStr">
        <is>
          <t>HSL</t>
        </is>
      </c>
      <c r="J184" s="84" t="inlineStr">
        <is>
          <t>HDFC Securities - Buy</t>
        </is>
      </c>
      <c r="K184" s="84" t="inlineStr">
        <is>
          <t>HDFC Securities</t>
        </is>
      </c>
      <c r="L184" s="32" t="n">
        <v>0.97</v>
      </c>
      <c r="M184" s="84" t="inlineStr">
        <is>
          <t>[MATCH]</t>
        </is>
      </c>
    </row>
    <row r="185">
      <c r="A185" s="33" t="n">
        <v>45456</v>
      </c>
      <c r="B185" s="34" t="inlineStr">
        <is>
          <t>NEFT CR-SBIN0004266-SBI GENERAL INSURANCE CO LTDSBI GEN-SUNITA GUPTA 0000000002717756-SBIN524165752954</t>
        </is>
      </c>
      <c r="C185" s="34" t="inlineStr">
        <is>
          <t>SBIN524165752954</t>
        </is>
      </c>
      <c r="D185" s="33" t="n">
        <v>45456</v>
      </c>
      <c r="E185" s="34" t="n">
        <v>0</v>
      </c>
      <c r="F185" s="34" t="n">
        <v>2380</v>
      </c>
      <c r="G185" s="34" t="n">
        <v>38543.08</v>
      </c>
      <c r="H185" s="34" t="inlineStr"/>
      <c r="I185" s="34" t="inlineStr">
        <is>
          <t>Rental Income</t>
        </is>
      </c>
      <c r="J185" s="34" t="inlineStr">
        <is>
          <t>Received - Sunita Gupta</t>
        </is>
      </c>
      <c r="K185" s="34" t="inlineStr">
        <is>
          <t>Sunita Gupta</t>
        </is>
      </c>
      <c r="L185" s="35" t="n">
        <v>0.88</v>
      </c>
      <c r="M185" s="34" t="inlineStr">
        <is>
          <t>[DIFF]</t>
        </is>
      </c>
    </row>
    <row r="186">
      <c r="A186" s="83" t="n">
        <v>45456</v>
      </c>
      <c r="B186" s="84" t="inlineStr">
        <is>
          <t>NET PI TO HSL SEC A/C 523686-00602340029434</t>
        </is>
      </c>
      <c r="C186" s="84" t="inlineStr">
        <is>
          <t>0000000531717456</t>
        </is>
      </c>
      <c r="D186" s="83" t="n">
        <v>45456</v>
      </c>
      <c r="E186" s="84" t="n">
        <v>26388.21</v>
      </c>
      <c r="F186" s="84" t="n">
        <v>0</v>
      </c>
      <c r="G186" s="84" t="n">
        <v>12154.87</v>
      </c>
      <c r="H186" s="84" t="inlineStr"/>
      <c r="I186" s="84" t="inlineStr">
        <is>
          <t>HSL</t>
        </is>
      </c>
      <c r="J186" s="84" t="inlineStr">
        <is>
          <t>HDFC Securities - Buy</t>
        </is>
      </c>
      <c r="K186" s="84" t="inlineStr">
        <is>
          <t>HDFC Securities</t>
        </is>
      </c>
      <c r="L186" s="32" t="n">
        <v>0.97</v>
      </c>
      <c r="M186" s="84" t="inlineStr">
        <is>
          <t>[MATCH]</t>
        </is>
      </c>
    </row>
    <row r="187">
      <c r="A187" s="83" t="n">
        <v>45457</v>
      </c>
      <c r="B187" s="84" t="inlineStr">
        <is>
          <t>NET PI TO HSL SEC A/C 523686-00602340029434</t>
        </is>
      </c>
      <c r="C187" s="84" t="inlineStr">
        <is>
          <t>0000000531975641</t>
        </is>
      </c>
      <c r="D187" s="83" t="n">
        <v>45457</v>
      </c>
      <c r="E187" s="84" t="n">
        <v>395.45</v>
      </c>
      <c r="F187" s="84" t="n">
        <v>0</v>
      </c>
      <c r="G187" s="84" t="n">
        <v>11759.42</v>
      </c>
      <c r="H187" s="84" t="inlineStr"/>
      <c r="I187" s="84" t="inlineStr">
        <is>
          <t>HSL</t>
        </is>
      </c>
      <c r="J187" s="84" t="inlineStr">
        <is>
          <t>HDFC Securities - Buy</t>
        </is>
      </c>
      <c r="K187" s="84" t="inlineStr">
        <is>
          <t>HDFC Securities</t>
        </is>
      </c>
      <c r="L187" s="32" t="n">
        <v>0.97</v>
      </c>
      <c r="M187" s="84" t="inlineStr">
        <is>
          <t>[MATCH]</t>
        </is>
      </c>
    </row>
    <row r="188">
      <c r="A188" s="85" t="n">
        <v>45461</v>
      </c>
      <c r="B188" s="86" t="inlineStr">
        <is>
          <t>NET PO FROM HSL A/C 523686-50200085415108</t>
        </is>
      </c>
      <c r="C188" s="86" t="inlineStr">
        <is>
          <t>0000000532270364</t>
        </is>
      </c>
      <c r="D188" s="85" t="n">
        <v>45461</v>
      </c>
      <c r="E188" s="86" t="n">
        <v>0</v>
      </c>
      <c r="F188" s="86" t="n">
        <v>42936.66</v>
      </c>
      <c r="G188" s="86" t="n">
        <v>54696.08</v>
      </c>
      <c r="H188" s="86" t="inlineStr"/>
      <c r="I188" s="86" t="inlineStr">
        <is>
          <t>HSL</t>
        </is>
      </c>
      <c r="J188" s="86" t="inlineStr">
        <is>
          <t>HDFC Securities - Sell</t>
        </is>
      </c>
      <c r="K188" s="86" t="inlineStr">
        <is>
          <t>HDFC Securities</t>
        </is>
      </c>
      <c r="L188" s="32" t="n">
        <v>0.97</v>
      </c>
      <c r="M188" s="86" t="inlineStr">
        <is>
          <t>[MATCH]</t>
        </is>
      </c>
    </row>
    <row r="189">
      <c r="A189" s="28" t="n">
        <v>45461</v>
      </c>
      <c r="B189" s="29" t="inlineStr">
        <is>
          <t>ACH D- INDIAN CLEARING CORP-P25847643X05</t>
        </is>
      </c>
      <c r="C189" s="29" t="inlineStr">
        <is>
          <t>0000004979980100</t>
        </is>
      </c>
      <c r="D189" s="28" t="n">
        <v>45461</v>
      </c>
      <c r="E189" s="29" t="n">
        <v>5000</v>
      </c>
      <c r="F189" s="29" t="n">
        <v>0</v>
      </c>
      <c r="G189" s="29" t="n">
        <v>49696.08</v>
      </c>
      <c r="H189" s="29" t="inlineStr"/>
      <c r="I189" s="29" t="inlineStr">
        <is>
          <t>SIP  - 5000</t>
        </is>
      </c>
      <c r="J189" s="29" t="inlineStr">
        <is>
          <t>MF Investment</t>
        </is>
      </c>
      <c r="K189" s="29" t="inlineStr">
        <is>
          <t>Mutual_Fund_Investments</t>
        </is>
      </c>
      <c r="L189" s="35" t="n">
        <v>0.92</v>
      </c>
      <c r="M189" s="29" t="inlineStr">
        <is>
          <t>[DIFF]</t>
        </is>
      </c>
    </row>
    <row r="190">
      <c r="A190" s="89" t="n">
        <v>45461</v>
      </c>
      <c r="B190" s="90" t="inlineStr">
        <is>
          <t>DEPOSITORY CHARGES MAY24 - 41060499</t>
        </is>
      </c>
      <c r="C190" s="90" t="inlineStr">
        <is>
          <t>000000000000000</t>
        </is>
      </c>
      <c r="D190" s="89" t="n">
        <v>45461</v>
      </c>
      <c r="E190" s="90" t="n">
        <v>2871.57</v>
      </c>
      <c r="F190" s="90" t="n">
        <v>0</v>
      </c>
      <c r="G190" s="90" t="n">
        <v>46824.51</v>
      </c>
      <c r="H190" s="90" t="inlineStr"/>
      <c r="I190" s="90" t="inlineStr">
        <is>
          <t>Depository Charges</t>
        </is>
      </c>
      <c r="J190" s="90" t="inlineStr">
        <is>
          <t>Depository Charges</t>
        </is>
      </c>
      <c r="K190" s="90" t="inlineStr">
        <is>
          <t>Depository Charges</t>
        </is>
      </c>
      <c r="L190" s="32" t="n">
        <v>0.93</v>
      </c>
      <c r="M190" s="90" t="inlineStr">
        <is>
          <t>[MATCH]</t>
        </is>
      </c>
    </row>
    <row r="191">
      <c r="A191" s="83" t="n">
        <v>45461</v>
      </c>
      <c r="B191" s="84" t="inlineStr">
        <is>
          <t>NET PI TO HSL SEC A/C 523686-00602340029434</t>
        </is>
      </c>
      <c r="C191" s="84" t="inlineStr">
        <is>
          <t>0000000532530653</t>
        </is>
      </c>
      <c r="D191" s="83" t="n">
        <v>45461</v>
      </c>
      <c r="E191" s="84" t="n">
        <v>1677.96</v>
      </c>
      <c r="F191" s="84" t="n">
        <v>0</v>
      </c>
      <c r="G191" s="84" t="n">
        <v>45146.55</v>
      </c>
      <c r="H191" s="84" t="inlineStr"/>
      <c r="I191" s="84" t="inlineStr">
        <is>
          <t>HSL</t>
        </is>
      </c>
      <c r="J191" s="84" t="inlineStr">
        <is>
          <t>HDFC Securities - Buy</t>
        </is>
      </c>
      <c r="K191" s="84" t="inlineStr">
        <is>
          <t>HDFC Securities</t>
        </is>
      </c>
      <c r="L191" s="32" t="n">
        <v>0.97</v>
      </c>
      <c r="M191" s="84" t="inlineStr">
        <is>
          <t>[MATCH]</t>
        </is>
      </c>
    </row>
    <row r="192">
      <c r="A192" s="85" t="n">
        <v>45462</v>
      </c>
      <c r="B192" s="86" t="inlineStr">
        <is>
          <t>NET PO FROM HSL A/C 523686-50200085415108</t>
        </is>
      </c>
      <c r="C192" s="86" t="inlineStr">
        <is>
          <t>0000000532819754</t>
        </is>
      </c>
      <c r="D192" s="85" t="n">
        <v>45462</v>
      </c>
      <c r="E192" s="86" t="n">
        <v>0</v>
      </c>
      <c r="F192" s="86" t="n">
        <v>56690.36</v>
      </c>
      <c r="G192" s="86" t="n">
        <v>101836.91</v>
      </c>
      <c r="H192" s="86" t="inlineStr"/>
      <c r="I192" s="86" t="inlineStr">
        <is>
          <t>HSL</t>
        </is>
      </c>
      <c r="J192" s="86" t="inlineStr">
        <is>
          <t>HDFC Securities - Sell</t>
        </is>
      </c>
      <c r="K192" s="86" t="inlineStr">
        <is>
          <t>HDFC Securities</t>
        </is>
      </c>
      <c r="L192" s="32" t="n">
        <v>0.97</v>
      </c>
      <c r="M192" s="86" t="inlineStr">
        <is>
          <t>[MATCH]</t>
        </is>
      </c>
    </row>
    <row r="193">
      <c r="A193" s="85" t="n">
        <v>45462</v>
      </c>
      <c r="B193" s="86" t="inlineStr">
        <is>
          <t>NET PO FROM HSL A/C 523686-50200085415108</t>
        </is>
      </c>
      <c r="C193" s="86" t="inlineStr">
        <is>
          <t>0000000532867643</t>
        </is>
      </c>
      <c r="D193" s="85" t="n">
        <v>45462</v>
      </c>
      <c r="E193" s="86" t="n">
        <v>0</v>
      </c>
      <c r="F193" s="86" t="n">
        <v>48063.89</v>
      </c>
      <c r="G193" s="86" t="n">
        <v>149900.8</v>
      </c>
      <c r="H193" s="86" t="inlineStr"/>
      <c r="I193" s="86" t="inlineStr">
        <is>
          <t>HSL</t>
        </is>
      </c>
      <c r="J193" s="86" t="inlineStr">
        <is>
          <t>HDFC Securities - Sell</t>
        </is>
      </c>
      <c r="K193" s="86" t="inlineStr">
        <is>
          <t>HDFC Securities</t>
        </is>
      </c>
      <c r="L193" s="32" t="n">
        <v>0.97</v>
      </c>
      <c r="M193" s="86" t="inlineStr">
        <is>
          <t>[MATCH]</t>
        </is>
      </c>
    </row>
    <row r="194">
      <c r="A194" s="83" t="n">
        <v>45462</v>
      </c>
      <c r="B194" s="84" t="inlineStr">
        <is>
          <t>NET PI TO HSL SEC A/C 523686-00602340029434</t>
        </is>
      </c>
      <c r="C194" s="84" t="inlineStr">
        <is>
          <t>0000000532975708</t>
        </is>
      </c>
      <c r="D194" s="83" t="n">
        <v>45462</v>
      </c>
      <c r="E194" s="84" t="n">
        <v>401.3</v>
      </c>
      <c r="F194" s="84" t="n">
        <v>0</v>
      </c>
      <c r="G194" s="84" t="n">
        <v>149499.5</v>
      </c>
      <c r="H194" s="84" t="inlineStr"/>
      <c r="I194" s="84" t="inlineStr">
        <is>
          <t>HSL</t>
        </is>
      </c>
      <c r="J194" s="84" t="inlineStr">
        <is>
          <t>HDFC Securities - Buy</t>
        </is>
      </c>
      <c r="K194" s="84" t="inlineStr">
        <is>
          <t>HDFC Securities</t>
        </is>
      </c>
      <c r="L194" s="32" t="n">
        <v>0.97</v>
      </c>
      <c r="M194" s="84" t="inlineStr">
        <is>
          <t>[MATCH]</t>
        </is>
      </c>
    </row>
    <row r="195">
      <c r="A195" s="83" t="n">
        <v>45462</v>
      </c>
      <c r="B195" s="84" t="inlineStr">
        <is>
          <t>NET PI TO HSL SEC A/C 523686-00602340029434</t>
        </is>
      </c>
      <c r="C195" s="84" t="inlineStr">
        <is>
          <t>0000000533156380</t>
        </is>
      </c>
      <c r="D195" s="83" t="n">
        <v>45462</v>
      </c>
      <c r="E195" s="84" t="n">
        <v>3814.25</v>
      </c>
      <c r="F195" s="84" t="n">
        <v>0</v>
      </c>
      <c r="G195" s="84" t="n">
        <v>145685.25</v>
      </c>
      <c r="H195" s="84" t="inlineStr"/>
      <c r="I195" s="84" t="inlineStr">
        <is>
          <t>HSL</t>
        </is>
      </c>
      <c r="J195" s="84" t="inlineStr">
        <is>
          <t>HDFC Securities - Buy</t>
        </is>
      </c>
      <c r="K195" s="84" t="inlineStr">
        <is>
          <t>HDFC Securities</t>
        </is>
      </c>
      <c r="L195" s="32" t="n">
        <v>0.97</v>
      </c>
      <c r="M195" s="84" t="inlineStr">
        <is>
          <t>[MATCH]</t>
        </is>
      </c>
    </row>
    <row r="196">
      <c r="A196" s="83" t="n">
        <v>45463</v>
      </c>
      <c r="B196" s="84" t="inlineStr">
        <is>
          <t>NET PI TO HSL SEC A/C 523686-00602340029434</t>
        </is>
      </c>
      <c r="C196" s="84" t="inlineStr">
        <is>
          <t>0000000533449055</t>
        </is>
      </c>
      <c r="D196" s="83" t="n">
        <v>45463</v>
      </c>
      <c r="E196" s="84" t="n">
        <v>387.58</v>
      </c>
      <c r="F196" s="84" t="n">
        <v>0</v>
      </c>
      <c r="G196" s="84" t="n">
        <v>145297.67</v>
      </c>
      <c r="H196" s="84" t="inlineStr"/>
      <c r="I196" s="84" t="inlineStr">
        <is>
          <t>HSL</t>
        </is>
      </c>
      <c r="J196" s="84" t="inlineStr">
        <is>
          <t>HDFC Securities - Buy</t>
        </is>
      </c>
      <c r="K196" s="84" t="inlineStr">
        <is>
          <t>HDFC Securities</t>
        </is>
      </c>
      <c r="L196" s="32" t="n">
        <v>0.97</v>
      </c>
      <c r="M196" s="84" t="inlineStr">
        <is>
          <t>[MATCH]</t>
        </is>
      </c>
    </row>
    <row r="197">
      <c r="A197" s="85" t="n">
        <v>45464</v>
      </c>
      <c r="B197" s="86" t="inlineStr">
        <is>
          <t>NET PO FROM HSL A/C 523686-50200085415108</t>
        </is>
      </c>
      <c r="C197" s="86" t="inlineStr">
        <is>
          <t>0000000533801563</t>
        </is>
      </c>
      <c r="D197" s="85" t="n">
        <v>45464</v>
      </c>
      <c r="E197" s="86" t="n">
        <v>0</v>
      </c>
      <c r="F197" s="86" t="n">
        <v>28677.57</v>
      </c>
      <c r="G197" s="86" t="n">
        <v>173975.24</v>
      </c>
      <c r="H197" s="86" t="inlineStr"/>
      <c r="I197" s="86" t="inlineStr">
        <is>
          <t>HSL</t>
        </is>
      </c>
      <c r="J197" s="86" t="inlineStr">
        <is>
          <t>HDFC Securities - Sell</t>
        </is>
      </c>
      <c r="K197" s="86" t="inlineStr">
        <is>
          <t>HDFC Securities</t>
        </is>
      </c>
      <c r="L197" s="32" t="n">
        <v>0.97</v>
      </c>
      <c r="M197" s="86" t="inlineStr">
        <is>
          <t>[MATCH]</t>
        </is>
      </c>
    </row>
    <row r="198">
      <c r="A198" s="85" t="n">
        <v>45464</v>
      </c>
      <c r="B198" s="86" t="inlineStr">
        <is>
          <t>NET PO FROM HSL A/C 523686-50200085415108</t>
        </is>
      </c>
      <c r="C198" s="86" t="inlineStr">
        <is>
          <t>0000000533845880</t>
        </is>
      </c>
      <c r="D198" s="85" t="n">
        <v>45464</v>
      </c>
      <c r="E198" s="86" t="n">
        <v>0</v>
      </c>
      <c r="F198" s="86" t="n">
        <v>39997.5</v>
      </c>
      <c r="G198" s="86" t="n">
        <v>213972.74</v>
      </c>
      <c r="H198" s="86" t="inlineStr"/>
      <c r="I198" s="86" t="inlineStr">
        <is>
          <t>HSL</t>
        </is>
      </c>
      <c r="J198" s="86" t="inlineStr">
        <is>
          <t>HDFC Securities - Sell</t>
        </is>
      </c>
      <c r="K198" s="86" t="inlineStr">
        <is>
          <t>HDFC Securities</t>
        </is>
      </c>
      <c r="L198" s="32" t="n">
        <v>0.97</v>
      </c>
      <c r="M198" s="86" t="inlineStr">
        <is>
          <t>[MATCH]</t>
        </is>
      </c>
    </row>
    <row r="199">
      <c r="A199" s="83" t="n">
        <v>45464</v>
      </c>
      <c r="B199" s="84" t="inlineStr">
        <is>
          <t>NET PI TO HSL SEC A/C 523686-00602340029434</t>
        </is>
      </c>
      <c r="C199" s="84" t="inlineStr">
        <is>
          <t>0000000533934791</t>
        </is>
      </c>
      <c r="D199" s="83" t="n">
        <v>45464</v>
      </c>
      <c r="E199" s="84" t="n">
        <v>387.58</v>
      </c>
      <c r="F199" s="84" t="n">
        <v>0</v>
      </c>
      <c r="G199" s="84" t="n">
        <v>213585.16</v>
      </c>
      <c r="H199" s="84" t="inlineStr"/>
      <c r="I199" s="84" t="inlineStr">
        <is>
          <t>HSL</t>
        </is>
      </c>
      <c r="J199" s="84" t="inlineStr">
        <is>
          <t>HDFC Securities - Buy</t>
        </is>
      </c>
      <c r="K199" s="84" t="inlineStr">
        <is>
          <t>HDFC Securities</t>
        </is>
      </c>
      <c r="L199" s="32" t="n">
        <v>0.97</v>
      </c>
      <c r="M199" s="84" t="inlineStr">
        <is>
          <t>[MATCH]</t>
        </is>
      </c>
    </row>
    <row r="200">
      <c r="A200" s="28" t="n">
        <v>45464</v>
      </c>
      <c r="B200" s="29" t="inlineStr">
        <is>
          <t>YHDF2359276422/BILLDKTHECALCUTTAELE</t>
        </is>
      </c>
      <c r="C200" s="29" t="inlineStr">
        <is>
          <t>0002417353944157</t>
        </is>
      </c>
      <c r="D200" s="28" t="n">
        <v>45464</v>
      </c>
      <c r="E200" s="29" t="n">
        <v>31329</v>
      </c>
      <c r="F200" s="29" t="n">
        <v>0</v>
      </c>
      <c r="G200" s="29" t="n">
        <v>182256.16</v>
      </c>
      <c r="H200" s="29" t="inlineStr"/>
      <c r="I200" s="29" t="inlineStr">
        <is>
          <t>Electricity Bill</t>
        </is>
      </c>
      <c r="J200" s="29" t="inlineStr">
        <is>
          <t>SIP</t>
        </is>
      </c>
      <c r="K200" s="29" t="inlineStr">
        <is>
          <t>SIP</t>
        </is>
      </c>
      <c r="L200" s="35" t="n">
        <v>0.9</v>
      </c>
      <c r="M200" s="29" t="inlineStr">
        <is>
          <t>[DIFF]</t>
        </is>
      </c>
    </row>
    <row r="201">
      <c r="A201" s="85" t="n">
        <v>45467</v>
      </c>
      <c r="B201" s="86" t="inlineStr">
        <is>
          <t>NET PO FROM HSL A/C 523686-50200085415108</t>
        </is>
      </c>
      <c r="C201" s="86" t="inlineStr">
        <is>
          <t>0000000534259814</t>
        </is>
      </c>
      <c r="D201" s="85" t="n">
        <v>45467</v>
      </c>
      <c r="E201" s="86" t="n">
        <v>0</v>
      </c>
      <c r="F201" s="86" t="n">
        <v>19521.12</v>
      </c>
      <c r="G201" s="86" t="n">
        <v>201777.28</v>
      </c>
      <c r="H201" s="86" t="inlineStr"/>
      <c r="I201" s="86" t="inlineStr">
        <is>
          <t>HSL</t>
        </is>
      </c>
      <c r="J201" s="86" t="inlineStr">
        <is>
          <t>HDFC Securities - Sell</t>
        </is>
      </c>
      <c r="K201" s="86" t="inlineStr">
        <is>
          <t>HDFC Securities</t>
        </is>
      </c>
      <c r="L201" s="32" t="n">
        <v>0.97</v>
      </c>
      <c r="M201" s="86" t="inlineStr">
        <is>
          <t>[MATCH]</t>
        </is>
      </c>
    </row>
    <row r="202">
      <c r="A202" s="85" t="n">
        <v>45467</v>
      </c>
      <c r="B202" s="86" t="inlineStr">
        <is>
          <t>NET PO FROM HSL A/C 523686-50200085415108</t>
        </is>
      </c>
      <c r="C202" s="86" t="inlineStr">
        <is>
          <t>0000000534298324</t>
        </is>
      </c>
      <c r="D202" s="85" t="n">
        <v>45467</v>
      </c>
      <c r="E202" s="86" t="n">
        <v>0</v>
      </c>
      <c r="F202" s="86" t="n">
        <v>25173.36</v>
      </c>
      <c r="G202" s="86" t="n">
        <v>226950.64</v>
      </c>
      <c r="H202" s="86" t="inlineStr"/>
      <c r="I202" s="86" t="inlineStr">
        <is>
          <t>HSL</t>
        </is>
      </c>
      <c r="J202" s="86" t="inlineStr">
        <is>
          <t>HDFC Securities - Sell</t>
        </is>
      </c>
      <c r="K202" s="86" t="inlineStr">
        <is>
          <t>HDFC Securities</t>
        </is>
      </c>
      <c r="L202" s="32" t="n">
        <v>0.97</v>
      </c>
      <c r="M202" s="86" t="inlineStr">
        <is>
          <t>[MATCH]</t>
        </is>
      </c>
    </row>
    <row r="203">
      <c r="A203" s="33" t="n">
        <v>45467</v>
      </c>
      <c r="B203" s="34" t="inlineStr">
        <is>
          <t>NEFT DR-UTIB0002656-SUNITA GUPTA-NETBANK, MUM-N176243108305610-TRF FRM SUNITA HDF</t>
        </is>
      </c>
      <c r="C203" s="34" t="inlineStr">
        <is>
          <t>N176243108305610</t>
        </is>
      </c>
      <c r="D203" s="33" t="n">
        <v>45467</v>
      </c>
      <c r="E203" s="34" t="n">
        <v>50000</v>
      </c>
      <c r="F203" s="34" t="n">
        <v>0</v>
      </c>
      <c r="G203" s="34" t="n">
        <v>176950.64</v>
      </c>
      <c r="H203" s="34" t="inlineStr"/>
      <c r="I203" s="34" t="inlineStr">
        <is>
          <t>Contra</t>
        </is>
      </c>
      <c r="J203" s="34" t="inlineStr">
        <is>
          <t>Transfer - Sunita Gupta</t>
        </is>
      </c>
      <c r="K203" s="34" t="inlineStr">
        <is>
          <t>Sunita Gupta</t>
        </is>
      </c>
      <c r="L203" s="35" t="n">
        <v>0.88</v>
      </c>
      <c r="M203" s="34" t="inlineStr">
        <is>
          <t>[DIFF]</t>
        </is>
      </c>
    </row>
    <row r="204">
      <c r="A204" s="83" t="n">
        <v>45467</v>
      </c>
      <c r="B204" s="84" t="inlineStr">
        <is>
          <t>NET PI TO HSL SEC A/C 523686-00602340029434</t>
        </is>
      </c>
      <c r="C204" s="84" t="inlineStr">
        <is>
          <t>0000000534434746</t>
        </is>
      </c>
      <c r="D204" s="83" t="n">
        <v>45467</v>
      </c>
      <c r="E204" s="84" t="n">
        <v>1135.23</v>
      </c>
      <c r="F204" s="84" t="n">
        <v>0</v>
      </c>
      <c r="G204" s="84" t="n">
        <v>175815.41</v>
      </c>
      <c r="H204" s="84" t="inlineStr"/>
      <c r="I204" s="84" t="inlineStr">
        <is>
          <t>HSL</t>
        </is>
      </c>
      <c r="J204" s="84" t="inlineStr">
        <is>
          <t>HDFC Securities - Buy</t>
        </is>
      </c>
      <c r="K204" s="84" t="inlineStr">
        <is>
          <t>HDFC Securities</t>
        </is>
      </c>
      <c r="L204" s="32" t="n">
        <v>0.97</v>
      </c>
      <c r="M204" s="84" t="inlineStr">
        <is>
          <t>[MATCH]</t>
        </is>
      </c>
    </row>
    <row r="205">
      <c r="A205" s="33" t="n">
        <v>45467</v>
      </c>
      <c r="B205" s="34" t="inlineStr">
        <is>
          <t>NEFT DR-UTIB0002656-SUNITA GUPTA-NETBANK, MUM-N176243109164220-TFR FRM AXIS 2 HFC</t>
        </is>
      </c>
      <c r="C205" s="34" t="inlineStr">
        <is>
          <t>N176243109164220</t>
        </is>
      </c>
      <c r="D205" s="33" t="n">
        <v>45467</v>
      </c>
      <c r="E205" s="34" t="n">
        <v>25000</v>
      </c>
      <c r="F205" s="34" t="n">
        <v>0</v>
      </c>
      <c r="G205" s="34" t="n">
        <v>150815.41</v>
      </c>
      <c r="H205" s="34" t="inlineStr"/>
      <c r="I205" s="34" t="inlineStr">
        <is>
          <t>Contra</t>
        </is>
      </c>
      <c r="J205" s="34" t="inlineStr">
        <is>
          <t>Transfer - Sunita Gupta</t>
        </is>
      </c>
      <c r="K205" s="34" t="inlineStr">
        <is>
          <t>Sunita Gupta</t>
        </is>
      </c>
      <c r="L205" s="35" t="n">
        <v>0.88</v>
      </c>
      <c r="M205" s="34" t="inlineStr">
        <is>
          <t>[DIFF]</t>
        </is>
      </c>
    </row>
    <row r="206">
      <c r="A206" s="85" t="n">
        <v>45468</v>
      </c>
      <c r="B206" s="86" t="inlineStr">
        <is>
          <t>NET PO FROM HSL A/C 523686-50200085415108</t>
        </is>
      </c>
      <c r="C206" s="86" t="inlineStr">
        <is>
          <t>0000000534739382</t>
        </is>
      </c>
      <c r="D206" s="85" t="n">
        <v>45468</v>
      </c>
      <c r="E206" s="86" t="n">
        <v>0</v>
      </c>
      <c r="F206" s="86" t="n">
        <v>34583.15</v>
      </c>
      <c r="G206" s="86" t="n">
        <v>185398.56</v>
      </c>
      <c r="H206" s="86" t="inlineStr"/>
      <c r="I206" s="86" t="inlineStr">
        <is>
          <t>HSL</t>
        </is>
      </c>
      <c r="J206" s="86" t="inlineStr">
        <is>
          <t>HDFC Securities - Sell</t>
        </is>
      </c>
      <c r="K206" s="86" t="inlineStr">
        <is>
          <t>HDFC Securities</t>
        </is>
      </c>
      <c r="L206" s="32" t="n">
        <v>0.97</v>
      </c>
      <c r="M206" s="86" t="inlineStr">
        <is>
          <t>[MATCH]</t>
        </is>
      </c>
    </row>
    <row r="207">
      <c r="A207" s="85" t="n">
        <v>45468</v>
      </c>
      <c r="B207" s="86" t="inlineStr">
        <is>
          <t>NET PO FROM HSL A/C 523686-50200085415108</t>
        </is>
      </c>
      <c r="C207" s="86" t="inlineStr">
        <is>
          <t>0000000534775946</t>
        </is>
      </c>
      <c r="D207" s="85" t="n">
        <v>45468</v>
      </c>
      <c r="E207" s="86" t="n">
        <v>0</v>
      </c>
      <c r="F207" s="86" t="n">
        <v>86730.8</v>
      </c>
      <c r="G207" s="86" t="n">
        <v>272129.36</v>
      </c>
      <c r="H207" s="86" t="inlineStr"/>
      <c r="I207" s="86" t="inlineStr">
        <is>
          <t>HSL</t>
        </is>
      </c>
      <c r="J207" s="86" t="inlineStr">
        <is>
          <t>HDFC Securities - Sell</t>
        </is>
      </c>
      <c r="K207" s="86" t="inlineStr">
        <is>
          <t>HDFC Securities</t>
        </is>
      </c>
      <c r="L207" s="32" t="n">
        <v>0.97</v>
      </c>
      <c r="M207" s="86" t="inlineStr">
        <is>
          <t>[MATCH]</t>
        </is>
      </c>
    </row>
    <row r="208">
      <c r="A208" s="28" t="n">
        <v>45468</v>
      </c>
      <c r="B208" s="29" t="inlineStr">
        <is>
          <t>ACH D- INDIAN CLEARING CORP-P25847643X05</t>
        </is>
      </c>
      <c r="C208" s="29" t="inlineStr">
        <is>
          <t>0000005424732775</t>
        </is>
      </c>
      <c r="D208" s="28" t="n">
        <v>45468</v>
      </c>
      <c r="E208" s="29" t="n">
        <v>10000</v>
      </c>
      <c r="F208" s="29" t="n">
        <v>0</v>
      </c>
      <c r="G208" s="29" t="n">
        <v>262129.36</v>
      </c>
      <c r="H208" s="29" t="inlineStr"/>
      <c r="I208" s="29" t="inlineStr">
        <is>
          <t>SIP  - 10000</t>
        </is>
      </c>
      <c r="J208" s="29" t="inlineStr">
        <is>
          <t>MF Investment</t>
        </is>
      </c>
      <c r="K208" s="29" t="inlineStr">
        <is>
          <t>Mutual_Fund_Investments</t>
        </is>
      </c>
      <c r="L208" s="35" t="n">
        <v>0.92</v>
      </c>
      <c r="M208" s="29" t="inlineStr">
        <is>
          <t>[DIFF]</t>
        </is>
      </c>
    </row>
    <row r="209">
      <c r="A209" s="33" t="n">
        <v>45468</v>
      </c>
      <c r="B209" s="34" t="inlineStr">
        <is>
          <t>01671000085930-TPT-MARRIAGE EXPENSES FROM SUNITA-AJAY KUMAR GUPTA</t>
        </is>
      </c>
      <c r="C209" s="34" t="inlineStr">
        <is>
          <t>0000000507065624</t>
        </is>
      </c>
      <c r="D209" s="33" t="n">
        <v>45468</v>
      </c>
      <c r="E209" s="34" t="n">
        <v>150000</v>
      </c>
      <c r="F209" s="34" t="n">
        <v>0</v>
      </c>
      <c r="G209" s="34" t="n">
        <v>112129.36</v>
      </c>
      <c r="H209" s="34" t="inlineStr"/>
      <c r="I209" s="34" t="inlineStr">
        <is>
          <t>Transfer from Ajay</t>
        </is>
      </c>
      <c r="J209" s="34" t="inlineStr">
        <is>
          <t>Transfer - Sunita Gupta</t>
        </is>
      </c>
      <c r="K209" s="34" t="inlineStr">
        <is>
          <t>Sunita Gupta</t>
        </is>
      </c>
      <c r="L209" s="35" t="n">
        <v>0.88</v>
      </c>
      <c r="M209" s="34" t="inlineStr">
        <is>
          <t>[DIFF]</t>
        </is>
      </c>
    </row>
    <row r="210">
      <c r="A210" s="83" t="n">
        <v>45468</v>
      </c>
      <c r="B210" s="84" t="inlineStr">
        <is>
          <t>NET PI TO HSL SEC A/C 523686-00602340029434</t>
        </is>
      </c>
      <c r="C210" s="84" t="inlineStr">
        <is>
          <t>0000000534876361</t>
        </is>
      </c>
      <c r="D210" s="83" t="n">
        <v>45468</v>
      </c>
      <c r="E210" s="84" t="n">
        <v>370.62</v>
      </c>
      <c r="F210" s="84" t="n">
        <v>0</v>
      </c>
      <c r="G210" s="84" t="n">
        <v>111758.74</v>
      </c>
      <c r="H210" s="84" t="inlineStr"/>
      <c r="I210" s="84" t="inlineStr">
        <is>
          <t>HSL</t>
        </is>
      </c>
      <c r="J210" s="84" t="inlineStr">
        <is>
          <t>HDFC Securities - Buy</t>
        </is>
      </c>
      <c r="K210" s="84" t="inlineStr">
        <is>
          <t>HDFC Securities</t>
        </is>
      </c>
      <c r="L210" s="32" t="n">
        <v>0.97</v>
      </c>
      <c r="M210" s="84" t="inlineStr">
        <is>
          <t>[MATCH]</t>
        </is>
      </c>
    </row>
    <row r="211">
      <c r="A211" s="42" t="n">
        <v>45468</v>
      </c>
      <c r="B211" s="43" t="inlineStr">
        <is>
          <t>ACH C- HINDUSTANUNILEVERL-00000000000030</t>
        </is>
      </c>
      <c r="C211" s="43" t="inlineStr">
        <is>
          <t>0000007063605177</t>
        </is>
      </c>
      <c r="D211" s="42" t="n">
        <v>45468</v>
      </c>
      <c r="E211" s="43" t="n">
        <v>0</v>
      </c>
      <c r="F211" s="43" t="n">
        <v>720</v>
      </c>
      <c r="G211" s="43" t="n">
        <v>112478.74</v>
      </c>
      <c r="H211" s="43" t="inlineStr"/>
      <c r="I211" s="43" t="inlineStr">
        <is>
          <t>Dividend Income</t>
        </is>
      </c>
      <c r="J211" s="43" t="inlineStr">
        <is>
          <t>Dividend Income</t>
        </is>
      </c>
      <c r="K211" s="43" t="inlineStr">
        <is>
          <t>Dividend Income</t>
        </is>
      </c>
      <c r="L211" s="32" t="n">
        <v>0.88</v>
      </c>
      <c r="M211" s="43" t="inlineStr">
        <is>
          <t>[MATCH]</t>
        </is>
      </c>
    </row>
    <row r="212">
      <c r="A212" s="42" t="n">
        <v>45468</v>
      </c>
      <c r="B212" s="43" t="inlineStr">
        <is>
          <t>ACH C- HIMADRI SPECIALITY C-NIN300476410</t>
        </is>
      </c>
      <c r="C212" s="43" t="inlineStr">
        <is>
          <t>0000005465884743</t>
        </is>
      </c>
      <c r="D212" s="42" t="n">
        <v>45468</v>
      </c>
      <c r="E212" s="43" t="n">
        <v>0</v>
      </c>
      <c r="F212" s="43" t="n">
        <v>50</v>
      </c>
      <c r="G212" s="43" t="n">
        <v>112528.74</v>
      </c>
      <c r="H212" s="43" t="inlineStr"/>
      <c r="I212" s="43" t="inlineStr">
        <is>
          <t>Dividend Income</t>
        </is>
      </c>
      <c r="J212" s="43" t="inlineStr">
        <is>
          <t>Dividend Income</t>
        </is>
      </c>
      <c r="K212" s="43" t="inlineStr">
        <is>
          <t>Dividend Income</t>
        </is>
      </c>
      <c r="L212" s="32" t="n">
        <v>0.88</v>
      </c>
      <c r="M212" s="43" t="inlineStr">
        <is>
          <t>[MATCH]</t>
        </is>
      </c>
    </row>
    <row r="213">
      <c r="A213" s="83" t="n">
        <v>45468</v>
      </c>
      <c r="B213" s="84" t="inlineStr">
        <is>
          <t>NET PI TO HSL SEC A/C 523686-00602340029434</t>
        </is>
      </c>
      <c r="C213" s="84" t="inlineStr">
        <is>
          <t>0000000535062991</t>
        </is>
      </c>
      <c r="D213" s="83" t="n">
        <v>45468</v>
      </c>
      <c r="E213" s="84" t="n">
        <v>31517.3</v>
      </c>
      <c r="F213" s="84" t="n">
        <v>0</v>
      </c>
      <c r="G213" s="84" t="n">
        <v>81011.44</v>
      </c>
      <c r="H213" s="84" t="inlineStr"/>
      <c r="I213" s="84" t="inlineStr">
        <is>
          <t>HSL</t>
        </is>
      </c>
      <c r="J213" s="84" t="inlineStr">
        <is>
          <t>HDFC Securities - Buy</t>
        </is>
      </c>
      <c r="K213" s="84" t="inlineStr">
        <is>
          <t>HDFC Securities</t>
        </is>
      </c>
      <c r="L213" s="32" t="n">
        <v>0.97</v>
      </c>
      <c r="M213" s="84" t="inlineStr">
        <is>
          <t>[MATCH]</t>
        </is>
      </c>
    </row>
    <row r="214">
      <c r="A214" s="85" t="n">
        <v>45469</v>
      </c>
      <c r="B214" s="86" t="inlineStr">
        <is>
          <t>NET PO FROM HSL A/C 523686-50200085415108</t>
        </is>
      </c>
      <c r="C214" s="86" t="inlineStr">
        <is>
          <t>0000000535184207</t>
        </is>
      </c>
      <c r="D214" s="85" t="n">
        <v>45469</v>
      </c>
      <c r="E214" s="86" t="n">
        <v>0</v>
      </c>
      <c r="F214" s="86" t="n">
        <v>7425.28</v>
      </c>
      <c r="G214" s="86" t="n">
        <v>88436.72</v>
      </c>
      <c r="H214" s="86" t="inlineStr"/>
      <c r="I214" s="86" t="inlineStr">
        <is>
          <t>HSL</t>
        </is>
      </c>
      <c r="J214" s="86" t="inlineStr">
        <is>
          <t>HDFC Securities - Sell</t>
        </is>
      </c>
      <c r="K214" s="86" t="inlineStr">
        <is>
          <t>HDFC Securities</t>
        </is>
      </c>
      <c r="L214" s="32" t="n">
        <v>0.97</v>
      </c>
      <c r="M214" s="86" t="inlineStr">
        <is>
          <t>[MATCH]</t>
        </is>
      </c>
    </row>
    <row r="215">
      <c r="A215" s="85" t="n">
        <v>45469</v>
      </c>
      <c r="B215" s="86" t="inlineStr">
        <is>
          <t>NET PO FROM HSL A/C 523686-50200085415108</t>
        </is>
      </c>
      <c r="C215" s="86" t="inlineStr">
        <is>
          <t>0000000535222691</t>
        </is>
      </c>
      <c r="D215" s="85" t="n">
        <v>45469</v>
      </c>
      <c r="E215" s="86" t="n">
        <v>0</v>
      </c>
      <c r="F215" s="86" t="n">
        <v>50389.77</v>
      </c>
      <c r="G215" s="86" t="n">
        <v>138826.49</v>
      </c>
      <c r="H215" s="86" t="inlineStr"/>
      <c r="I215" s="86" t="inlineStr">
        <is>
          <t>HSL</t>
        </is>
      </c>
      <c r="J215" s="86" t="inlineStr">
        <is>
          <t>HDFC Securities - Sell</t>
        </is>
      </c>
      <c r="K215" s="86" t="inlineStr">
        <is>
          <t>HDFC Securities</t>
        </is>
      </c>
      <c r="L215" s="32" t="n">
        <v>0.97</v>
      </c>
      <c r="M215" s="86" t="inlineStr">
        <is>
          <t>[MATCH]</t>
        </is>
      </c>
    </row>
    <row r="216">
      <c r="A216" s="83" t="n">
        <v>45469</v>
      </c>
      <c r="B216" s="84" t="inlineStr">
        <is>
          <t>NET PI TO HSL SEC A/C 523686-00602340029434</t>
        </is>
      </c>
      <c r="C216" s="84" t="inlineStr">
        <is>
          <t>0000000535337288</t>
        </is>
      </c>
      <c r="D216" s="83" t="n">
        <v>45469</v>
      </c>
      <c r="E216" s="84" t="n">
        <v>340.57</v>
      </c>
      <c r="F216" s="84" t="n">
        <v>0</v>
      </c>
      <c r="G216" s="84" t="n">
        <v>138485.92</v>
      </c>
      <c r="H216" s="84" t="inlineStr"/>
      <c r="I216" s="84" t="inlineStr">
        <is>
          <t>HSL</t>
        </is>
      </c>
      <c r="J216" s="84" t="inlineStr">
        <is>
          <t>HDFC Securities - Buy</t>
        </is>
      </c>
      <c r="K216" s="84" t="inlineStr">
        <is>
          <t>HDFC Securities</t>
        </is>
      </c>
      <c r="L216" s="32" t="n">
        <v>0.97</v>
      </c>
      <c r="M216" s="84" t="inlineStr">
        <is>
          <t>[MATCH]</t>
        </is>
      </c>
    </row>
    <row r="217">
      <c r="A217" s="83" t="n">
        <v>45469</v>
      </c>
      <c r="B217" s="84" t="inlineStr">
        <is>
          <t>NET PI TO HSL SEC A/C 523686-00602340029434</t>
        </is>
      </c>
      <c r="C217" s="84" t="inlineStr">
        <is>
          <t>0000000535488603</t>
        </is>
      </c>
      <c r="D217" s="83" t="n">
        <v>45469</v>
      </c>
      <c r="E217" s="84" t="n">
        <v>5260.5</v>
      </c>
      <c r="F217" s="84" t="n">
        <v>0</v>
      </c>
      <c r="G217" s="84" t="n">
        <v>133225.42</v>
      </c>
      <c r="H217" s="84" t="inlineStr"/>
      <c r="I217" s="84" t="inlineStr">
        <is>
          <t>HSL</t>
        </is>
      </c>
      <c r="J217" s="84" t="inlineStr">
        <is>
          <t>HDFC Securities - Buy</t>
        </is>
      </c>
      <c r="K217" s="84" t="inlineStr">
        <is>
          <t>HDFC Securities</t>
        </is>
      </c>
      <c r="L217" s="32" t="n">
        <v>0.97</v>
      </c>
      <c r="M217" s="84" t="inlineStr">
        <is>
          <t>[MATCH]</t>
        </is>
      </c>
    </row>
    <row r="218">
      <c r="A218" s="83" t="n">
        <v>45470</v>
      </c>
      <c r="B218" s="84" t="inlineStr">
        <is>
          <t>NET PI TO HSL SEC A/C 523686-00602340029434</t>
        </is>
      </c>
      <c r="C218" s="84" t="inlineStr">
        <is>
          <t>0000000535761235</t>
        </is>
      </c>
      <c r="D218" s="83" t="n">
        <v>45470</v>
      </c>
      <c r="E218" s="84" t="n">
        <v>316.84</v>
      </c>
      <c r="F218" s="84" t="n">
        <v>0</v>
      </c>
      <c r="G218" s="84" t="n">
        <v>132908.58</v>
      </c>
      <c r="H218" s="84" t="inlineStr"/>
      <c r="I218" s="84" t="inlineStr">
        <is>
          <t>HSL</t>
        </is>
      </c>
      <c r="J218" s="84" t="inlineStr">
        <is>
          <t>HDFC Securities - Buy</t>
        </is>
      </c>
      <c r="K218" s="84" t="inlineStr">
        <is>
          <t>HDFC Securities</t>
        </is>
      </c>
      <c r="L218" s="32" t="n">
        <v>0.97</v>
      </c>
      <c r="M218" s="84" t="inlineStr">
        <is>
          <t>[MATCH]</t>
        </is>
      </c>
    </row>
    <row r="219">
      <c r="A219" s="91" t="n">
        <v>45470</v>
      </c>
      <c r="B219" s="92" t="inlineStr">
        <is>
          <t>NEFT CR-UTIB0000004-AXIS MUTUAL FUND DIVIDEND A/C-SUNITA GUPTA-AXISCN0662480411</t>
        </is>
      </c>
      <c r="C219" s="92" t="inlineStr">
        <is>
          <t>AXISCN0662480411</t>
        </is>
      </c>
      <c r="D219" s="91" t="n">
        <v>45470</v>
      </c>
      <c r="E219" s="92" t="n">
        <v>0</v>
      </c>
      <c r="F219" s="92" t="n">
        <v>84.56999999999999</v>
      </c>
      <c r="G219" s="92" t="n">
        <v>132993.15</v>
      </c>
      <c r="H219" s="92" t="inlineStr"/>
      <c r="I219" s="92" t="inlineStr">
        <is>
          <t>MF - Dividend</t>
        </is>
      </c>
      <c r="J219" s="92" t="inlineStr">
        <is>
          <t>Dividend Income</t>
        </is>
      </c>
      <c r="K219" s="92" t="inlineStr">
        <is>
          <t>Dividend Income</t>
        </is>
      </c>
      <c r="L219" s="35" t="n">
        <v>0.85</v>
      </c>
      <c r="M219" s="92" t="inlineStr">
        <is>
          <t>[DIFF]</t>
        </is>
      </c>
    </row>
    <row r="220">
      <c r="A220" s="83" t="n">
        <v>45470</v>
      </c>
      <c r="B220" s="84" t="inlineStr">
        <is>
          <t>NET PI TO HSL SEC A/C 523686-00602340029434</t>
        </is>
      </c>
      <c r="C220" s="84" t="inlineStr">
        <is>
          <t>0000000535933355</t>
        </is>
      </c>
      <c r="D220" s="83" t="n">
        <v>45470</v>
      </c>
      <c r="E220" s="84" t="n">
        <v>2666.08</v>
      </c>
      <c r="F220" s="84" t="n">
        <v>0</v>
      </c>
      <c r="G220" s="84" t="n">
        <v>130327.07</v>
      </c>
      <c r="H220" s="84" t="inlineStr"/>
      <c r="I220" s="84" t="inlineStr">
        <is>
          <t>HSL</t>
        </is>
      </c>
      <c r="J220" s="84" t="inlineStr">
        <is>
          <t>HDFC Securities - Buy</t>
        </is>
      </c>
      <c r="K220" s="84" t="inlineStr">
        <is>
          <t>HDFC Securities</t>
        </is>
      </c>
      <c r="L220" s="32" t="n">
        <v>0.97</v>
      </c>
      <c r="M220" s="84" t="inlineStr">
        <is>
          <t>[MATCH]</t>
        </is>
      </c>
    </row>
    <row r="221">
      <c r="A221" s="42" t="n">
        <v>45471</v>
      </c>
      <c r="B221" s="43" t="inlineStr">
        <is>
          <t>ACH C- LTIMIN FINAL 2023 24-213986</t>
        </is>
      </c>
      <c r="C221" s="43" t="inlineStr">
        <is>
          <t>0000005527258486</t>
        </is>
      </c>
      <c r="D221" s="42" t="n">
        <v>45471</v>
      </c>
      <c r="E221" s="43" t="n">
        <v>0</v>
      </c>
      <c r="F221" s="43" t="n">
        <v>1800</v>
      </c>
      <c r="G221" s="43" t="n">
        <v>132127.07</v>
      </c>
      <c r="H221" s="43" t="inlineStr"/>
      <c r="I221" s="43" t="inlineStr">
        <is>
          <t>Dividend Income</t>
        </is>
      </c>
      <c r="J221" s="43" t="inlineStr">
        <is>
          <t>Dividend Income</t>
        </is>
      </c>
      <c r="K221" s="43" t="inlineStr">
        <is>
          <t>Dividend Income</t>
        </is>
      </c>
      <c r="L221" s="32" t="n">
        <v>0.88</v>
      </c>
      <c r="M221" s="43" t="inlineStr">
        <is>
          <t>[MATCH]</t>
        </is>
      </c>
    </row>
    <row r="222">
      <c r="A222" s="83" t="n">
        <v>45471</v>
      </c>
      <c r="B222" s="84" t="inlineStr">
        <is>
          <t>NET PI TO HSL SEC A/C 523686-00602340029434</t>
        </is>
      </c>
      <c r="C222" s="84" t="inlineStr">
        <is>
          <t>0000000536193081</t>
        </is>
      </c>
      <c r="D222" s="83" t="n">
        <v>45471</v>
      </c>
      <c r="E222" s="84" t="n">
        <v>315.89</v>
      </c>
      <c r="F222" s="84" t="n">
        <v>0</v>
      </c>
      <c r="G222" s="84" t="n">
        <v>131811.18</v>
      </c>
      <c r="H222" s="84" t="inlineStr"/>
      <c r="I222" s="84" t="inlineStr">
        <is>
          <t>HSL</t>
        </is>
      </c>
      <c r="J222" s="84" t="inlineStr">
        <is>
          <t>HDFC Securities - Buy</t>
        </is>
      </c>
      <c r="K222" s="84" t="inlineStr">
        <is>
          <t>HDFC Securities</t>
        </is>
      </c>
      <c r="L222" s="32" t="n">
        <v>0.97</v>
      </c>
      <c r="M222" s="84" t="inlineStr">
        <is>
          <t>[MATCH]</t>
        </is>
      </c>
    </row>
    <row r="223">
      <c r="A223" s="40" t="n">
        <v>45473</v>
      </c>
      <c r="B223" s="41" t="inlineStr">
        <is>
          <t>INTEREST PAID TILL 30-JUN-2024</t>
        </is>
      </c>
      <c r="C223" s="41" t="inlineStr">
        <is>
          <t>000000000000000</t>
        </is>
      </c>
      <c r="D223" s="40" t="n">
        <v>45473</v>
      </c>
      <c r="E223" s="41" t="n">
        <v>0</v>
      </c>
      <c r="F223" s="41" t="n">
        <v>567</v>
      </c>
      <c r="G223" s="41" t="n">
        <v>132378.18</v>
      </c>
      <c r="H223" s="41" t="inlineStr"/>
      <c r="I223" s="41" t="inlineStr">
        <is>
          <t>Bank Interest</t>
        </is>
      </c>
      <c r="J223" s="41" t="inlineStr">
        <is>
          <t>Bank Interest</t>
        </is>
      </c>
      <c r="K223" s="41" t="inlineStr">
        <is>
          <t>Bank Interest</t>
        </is>
      </c>
      <c r="L223" s="32" t="n">
        <v>0.95</v>
      </c>
      <c r="M223" s="41" t="inlineStr">
        <is>
          <t>[MATCH]</t>
        </is>
      </c>
    </row>
    <row r="224">
      <c r="A224" s="85" t="n">
        <v>45474</v>
      </c>
      <c r="B224" s="86" t="inlineStr">
        <is>
          <t>NET PO FROM HSL A/C 523686-50200085415108</t>
        </is>
      </c>
      <c r="C224" s="86" t="inlineStr">
        <is>
          <t>0000000536483454</t>
        </is>
      </c>
      <c r="D224" s="85" t="n">
        <v>45474</v>
      </c>
      <c r="E224" s="86" t="n">
        <v>0</v>
      </c>
      <c r="F224" s="86" t="n">
        <v>29030.37</v>
      </c>
      <c r="G224" s="86" t="n">
        <v>161408.55</v>
      </c>
      <c r="H224" s="86" t="inlineStr"/>
      <c r="I224" s="86" t="inlineStr">
        <is>
          <t>HSL</t>
        </is>
      </c>
      <c r="J224" s="86" t="inlineStr">
        <is>
          <t>HDFC Securities - Sell</t>
        </is>
      </c>
      <c r="K224" s="86" t="inlineStr">
        <is>
          <t>HDFC Securities</t>
        </is>
      </c>
      <c r="L224" s="32" t="n">
        <v>0.97</v>
      </c>
      <c r="M224" s="86" t="inlineStr">
        <is>
          <t>[MATCH]</t>
        </is>
      </c>
    </row>
    <row r="225">
      <c r="A225" s="83" t="n">
        <v>45474</v>
      </c>
      <c r="B225" s="84" t="inlineStr">
        <is>
          <t>NET PI TO HSL SEC A/C 523686-00602340029434</t>
        </is>
      </c>
      <c r="C225" s="84" t="inlineStr">
        <is>
          <t>0000000536692596</t>
        </is>
      </c>
      <c r="D225" s="83" t="n">
        <v>45474</v>
      </c>
      <c r="E225" s="84" t="n">
        <v>947.67</v>
      </c>
      <c r="F225" s="84" t="n">
        <v>0</v>
      </c>
      <c r="G225" s="84" t="n">
        <v>160460.88</v>
      </c>
      <c r="H225" s="84" t="inlineStr"/>
      <c r="I225" s="84" t="inlineStr">
        <is>
          <t>HSL</t>
        </is>
      </c>
      <c r="J225" s="84" t="inlineStr">
        <is>
          <t>HDFC Securities - Buy</t>
        </is>
      </c>
      <c r="K225" s="84" t="inlineStr">
        <is>
          <t>HDFC Securities</t>
        </is>
      </c>
      <c r="L225" s="32" t="n">
        <v>0.97</v>
      </c>
      <c r="M225" s="84" t="inlineStr">
        <is>
          <t>[MATCH]</t>
        </is>
      </c>
    </row>
    <row r="226">
      <c r="A226" s="42" t="n">
        <v>45474</v>
      </c>
      <c r="B226" s="43" t="inlineStr">
        <is>
          <t>ACH C- CANBANK DIV 2023-24-6273195</t>
        </is>
      </c>
      <c r="C226" s="43" t="inlineStr">
        <is>
          <t>0000005519468069</t>
        </is>
      </c>
      <c r="D226" s="42" t="n">
        <v>45474</v>
      </c>
      <c r="E226" s="43" t="n">
        <v>0</v>
      </c>
      <c r="F226" s="43" t="n">
        <v>1610</v>
      </c>
      <c r="G226" s="43" t="n">
        <v>162070.88</v>
      </c>
      <c r="H226" s="43" t="inlineStr"/>
      <c r="I226" s="43" t="inlineStr">
        <is>
          <t>Dividend Income</t>
        </is>
      </c>
      <c r="J226" s="43" t="inlineStr">
        <is>
          <t>Dividend Income</t>
        </is>
      </c>
      <c r="K226" s="43" t="inlineStr">
        <is>
          <t>Dividend Income</t>
        </is>
      </c>
      <c r="L226" s="32" t="n">
        <v>0.88</v>
      </c>
      <c r="M226" s="43" t="inlineStr">
        <is>
          <t>[MATCH]</t>
        </is>
      </c>
    </row>
    <row r="227">
      <c r="A227" s="42" t="n">
        <v>45474</v>
      </c>
      <c r="B227" s="43" t="inlineStr">
        <is>
          <t>ACH C- INFOSYS LIMITED-40612091</t>
        </is>
      </c>
      <c r="C227" s="43" t="inlineStr">
        <is>
          <t>0000005607467118</t>
        </is>
      </c>
      <c r="D227" s="42" t="n">
        <v>45474</v>
      </c>
      <c r="E227" s="43" t="n">
        <v>0</v>
      </c>
      <c r="F227" s="43" t="n">
        <v>2800</v>
      </c>
      <c r="G227" s="43" t="n">
        <v>164870.88</v>
      </c>
      <c r="H227" s="43" t="inlineStr"/>
      <c r="I227" s="43" t="inlineStr">
        <is>
          <t>Dividend Income</t>
        </is>
      </c>
      <c r="J227" s="43" t="inlineStr">
        <is>
          <t>Dividend Income</t>
        </is>
      </c>
      <c r="K227" s="43" t="inlineStr">
        <is>
          <t>Dividend Income</t>
        </is>
      </c>
      <c r="L227" s="32" t="n">
        <v>0.88</v>
      </c>
      <c r="M227" s="43" t="inlineStr">
        <is>
          <t>[MATCH]</t>
        </is>
      </c>
    </row>
    <row r="228">
      <c r="A228" s="30" t="n">
        <v>45474</v>
      </c>
      <c r="B228" s="31" t="inlineStr">
        <is>
          <t>ATW-498792XXXXXX0500-CHBDL001-NASHIK</t>
        </is>
      </c>
      <c r="C228" s="31" t="inlineStr">
        <is>
          <t>0000000000007690</t>
        </is>
      </c>
      <c r="D228" s="30" t="n">
        <v>45474</v>
      </c>
      <c r="E228" s="31" t="n">
        <v>5000</v>
      </c>
      <c r="F228" s="31" t="n">
        <v>0</v>
      </c>
      <c r="G228" s="31" t="n">
        <v>159870.88</v>
      </c>
      <c r="H228" s="31" t="inlineStr"/>
      <c r="I228" s="31" t="inlineStr">
        <is>
          <t>ATM Withdrawal</t>
        </is>
      </c>
      <c r="J228" s="31" t="inlineStr">
        <is>
          <t>Cash Withdrawal</t>
        </is>
      </c>
      <c r="K228" s="31" t="inlineStr">
        <is>
          <t>Cash</t>
        </is>
      </c>
      <c r="L228" s="32" t="n">
        <v>0.92</v>
      </c>
      <c r="M228" s="31" t="inlineStr">
        <is>
          <t>[MATCH]</t>
        </is>
      </c>
    </row>
    <row r="229">
      <c r="A229" s="85" t="n">
        <v>45475</v>
      </c>
      <c r="B229" s="86" t="inlineStr">
        <is>
          <t>NET PO FROM HSL A/C 523686-50200085415108</t>
        </is>
      </c>
      <c r="C229" s="86" t="inlineStr">
        <is>
          <t>0000000537004329</t>
        </is>
      </c>
      <c r="D229" s="85" t="n">
        <v>45475</v>
      </c>
      <c r="E229" s="86" t="n">
        <v>0</v>
      </c>
      <c r="F229" s="86" t="n">
        <v>11268.65</v>
      </c>
      <c r="G229" s="86" t="n">
        <v>171139.53</v>
      </c>
      <c r="H229" s="86" t="inlineStr"/>
      <c r="I229" s="86" t="inlineStr">
        <is>
          <t>HSL</t>
        </is>
      </c>
      <c r="J229" s="86" t="inlineStr">
        <is>
          <t>HDFC Securities - Sell</t>
        </is>
      </c>
      <c r="K229" s="86" t="inlineStr">
        <is>
          <t>HDFC Securities</t>
        </is>
      </c>
      <c r="L229" s="32" t="n">
        <v>0.97</v>
      </c>
      <c r="M229" s="86" t="inlineStr">
        <is>
          <t>[MATCH]</t>
        </is>
      </c>
    </row>
    <row r="230">
      <c r="A230" s="83" t="n">
        <v>45475</v>
      </c>
      <c r="B230" s="84" t="inlineStr">
        <is>
          <t>NET PI TO HSL SEC A/C 523686-00602340029434</t>
        </is>
      </c>
      <c r="C230" s="84" t="inlineStr">
        <is>
          <t>0000000537161174</t>
        </is>
      </c>
      <c r="D230" s="83" t="n">
        <v>45475</v>
      </c>
      <c r="E230" s="84" t="n">
        <v>306</v>
      </c>
      <c r="F230" s="84" t="n">
        <v>0</v>
      </c>
      <c r="G230" s="84" t="n">
        <v>170833.53</v>
      </c>
      <c r="H230" s="84" t="inlineStr"/>
      <c r="I230" s="84" t="inlineStr">
        <is>
          <t>HSL</t>
        </is>
      </c>
      <c r="J230" s="84" t="inlineStr">
        <is>
          <t>HDFC Securities - Buy</t>
        </is>
      </c>
      <c r="K230" s="84" t="inlineStr">
        <is>
          <t>HDFC Securities</t>
        </is>
      </c>
      <c r="L230" s="32" t="n">
        <v>0.97</v>
      </c>
      <c r="M230" s="84" t="inlineStr">
        <is>
          <t>[MATCH]</t>
        </is>
      </c>
    </row>
    <row r="231">
      <c r="A231" s="83" t="n">
        <v>45475</v>
      </c>
      <c r="B231" s="84" t="inlineStr">
        <is>
          <t>NET PI TO HSL SEC A/C 523686-00602340029434</t>
        </is>
      </c>
      <c r="C231" s="84" t="inlineStr">
        <is>
          <t>0000000537348821</t>
        </is>
      </c>
      <c r="D231" s="83" t="n">
        <v>45475</v>
      </c>
      <c r="E231" s="84" t="n">
        <v>49494.48</v>
      </c>
      <c r="F231" s="84" t="n">
        <v>0</v>
      </c>
      <c r="G231" s="84" t="n">
        <v>121339.05</v>
      </c>
      <c r="H231" s="84" t="inlineStr"/>
      <c r="I231" s="84" t="inlineStr">
        <is>
          <t>HSL</t>
        </is>
      </c>
      <c r="J231" s="84" t="inlineStr">
        <is>
          <t>HDFC Securities - Buy</t>
        </is>
      </c>
      <c r="K231" s="84" t="inlineStr">
        <is>
          <t>HDFC Securities</t>
        </is>
      </c>
      <c r="L231" s="32" t="n">
        <v>0.97</v>
      </c>
      <c r="M231" s="84" t="inlineStr">
        <is>
          <t>[MATCH]</t>
        </is>
      </c>
    </row>
    <row r="232">
      <c r="A232" s="83" t="n">
        <v>45476</v>
      </c>
      <c r="B232" s="84" t="inlineStr">
        <is>
          <t>NET PI TO HSL SEC A/C 523686-00602340029434</t>
        </is>
      </c>
      <c r="C232" s="84" t="inlineStr">
        <is>
          <t>0000000537624361</t>
        </is>
      </c>
      <c r="D232" s="83" t="n">
        <v>45476</v>
      </c>
      <c r="E232" s="84" t="n">
        <v>283.44</v>
      </c>
      <c r="F232" s="84" t="n">
        <v>0</v>
      </c>
      <c r="G232" s="84" t="n">
        <v>121055.61</v>
      </c>
      <c r="H232" s="84" t="inlineStr"/>
      <c r="I232" s="84" t="inlineStr">
        <is>
          <t>HSL</t>
        </is>
      </c>
      <c r="J232" s="84" t="inlineStr">
        <is>
          <t>HDFC Securities - Buy</t>
        </is>
      </c>
      <c r="K232" s="84" t="inlineStr">
        <is>
          <t>HDFC Securities</t>
        </is>
      </c>
      <c r="L232" s="32" t="n">
        <v>0.97</v>
      </c>
      <c r="M232" s="84" t="inlineStr">
        <is>
          <t>[MATCH]</t>
        </is>
      </c>
    </row>
    <row r="233">
      <c r="A233" s="85" t="n">
        <v>45477</v>
      </c>
      <c r="B233" s="86" t="inlineStr">
        <is>
          <t>NET PO FROM HSL A/C 523686-50200085415108</t>
        </is>
      </c>
      <c r="C233" s="86" t="inlineStr">
        <is>
          <t>0000000537925180</t>
        </is>
      </c>
      <c r="D233" s="85" t="n">
        <v>45477</v>
      </c>
      <c r="E233" s="86" t="n">
        <v>0</v>
      </c>
      <c r="F233" s="86" t="n">
        <v>4094.42</v>
      </c>
      <c r="G233" s="86" t="n">
        <v>125150.03</v>
      </c>
      <c r="H233" s="86" t="inlineStr"/>
      <c r="I233" s="86" t="inlineStr">
        <is>
          <t>HSL</t>
        </is>
      </c>
      <c r="J233" s="86" t="inlineStr">
        <is>
          <t>HDFC Securities - Sell</t>
        </is>
      </c>
      <c r="K233" s="86" t="inlineStr">
        <is>
          <t>HDFC Securities</t>
        </is>
      </c>
      <c r="L233" s="32" t="n">
        <v>0.97</v>
      </c>
      <c r="M233" s="86" t="inlineStr">
        <is>
          <t>[MATCH]</t>
        </is>
      </c>
    </row>
    <row r="234">
      <c r="A234" s="42" t="n">
        <v>45477</v>
      </c>
      <c r="B234" s="43" t="inlineStr">
        <is>
          <t>DR LAL PATH DIV23 2400000000000000009172</t>
        </is>
      </c>
      <c r="C234" s="43" t="inlineStr">
        <is>
          <t>0000241853654755</t>
        </is>
      </c>
      <c r="D234" s="42" t="n">
        <v>45477</v>
      </c>
      <c r="E234" s="43" t="n">
        <v>0</v>
      </c>
      <c r="F234" s="43" t="n">
        <v>210</v>
      </c>
      <c r="G234" s="43" t="n">
        <v>125360.03</v>
      </c>
      <c r="H234" s="43" t="inlineStr"/>
      <c r="I234" s="43" t="inlineStr">
        <is>
          <t>Dividend Income</t>
        </is>
      </c>
      <c r="J234" s="43" t="inlineStr">
        <is>
          <t>Dividend Income</t>
        </is>
      </c>
      <c r="K234" s="43" t="inlineStr">
        <is>
          <t>Dividend Income</t>
        </is>
      </c>
      <c r="L234" s="32" t="n">
        <v>0.85</v>
      </c>
      <c r="M234" s="43" t="inlineStr">
        <is>
          <t>[MATCH]</t>
        </is>
      </c>
    </row>
    <row r="235">
      <c r="A235" s="83" t="n">
        <v>45477</v>
      </c>
      <c r="B235" s="84" t="inlineStr">
        <is>
          <t>NET PI TO HSL SEC A/C 523686-00602340029434</t>
        </is>
      </c>
      <c r="C235" s="84" t="inlineStr">
        <is>
          <t>0000000538072401</t>
        </is>
      </c>
      <c r="D235" s="83" t="n">
        <v>45477</v>
      </c>
      <c r="E235" s="84" t="n">
        <v>322.26</v>
      </c>
      <c r="F235" s="84" t="n">
        <v>0</v>
      </c>
      <c r="G235" s="84" t="n">
        <v>125037.77</v>
      </c>
      <c r="H235" s="84" t="inlineStr"/>
      <c r="I235" s="84" t="inlineStr">
        <is>
          <t>HSL</t>
        </is>
      </c>
      <c r="J235" s="84" t="inlineStr">
        <is>
          <t>HDFC Securities - Buy</t>
        </is>
      </c>
      <c r="K235" s="84" t="inlineStr">
        <is>
          <t>HDFC Securities</t>
        </is>
      </c>
      <c r="L235" s="32" t="n">
        <v>0.97</v>
      </c>
      <c r="M235" s="84" t="inlineStr">
        <is>
          <t>[MATCH]</t>
        </is>
      </c>
    </row>
    <row r="236">
      <c r="A236" s="83" t="n">
        <v>45477</v>
      </c>
      <c r="B236" s="84" t="inlineStr">
        <is>
          <t>NET PI TO HSL SEC A/C 523686-00602340029434</t>
        </is>
      </c>
      <c r="C236" s="84" t="inlineStr">
        <is>
          <t>0000000538242270</t>
        </is>
      </c>
      <c r="D236" s="83" t="n">
        <v>45477</v>
      </c>
      <c r="E236" s="84" t="n">
        <v>3478.18</v>
      </c>
      <c r="F236" s="84" t="n">
        <v>0</v>
      </c>
      <c r="G236" s="84" t="n">
        <v>121559.59</v>
      </c>
      <c r="H236" s="84" t="inlineStr"/>
      <c r="I236" s="84" t="inlineStr">
        <is>
          <t>HSL</t>
        </is>
      </c>
      <c r="J236" s="84" t="inlineStr">
        <is>
          <t>HDFC Securities - Buy</t>
        </is>
      </c>
      <c r="K236" s="84" t="inlineStr">
        <is>
          <t>HDFC Securities</t>
        </is>
      </c>
      <c r="L236" s="32" t="n">
        <v>0.97</v>
      </c>
      <c r="M236" s="84" t="inlineStr">
        <is>
          <t>[MATCH]</t>
        </is>
      </c>
    </row>
    <row r="237">
      <c r="A237" s="83" t="n">
        <v>45478</v>
      </c>
      <c r="B237" s="84" t="inlineStr">
        <is>
          <t>NET PI TO HSL SEC A/C 523686-00602340029434</t>
        </is>
      </c>
      <c r="C237" s="84" t="inlineStr">
        <is>
          <t>0000000538557605</t>
        </is>
      </c>
      <c r="D237" s="83" t="n">
        <v>45478</v>
      </c>
      <c r="E237" s="84" t="n">
        <v>322.48</v>
      </c>
      <c r="F237" s="84" t="n">
        <v>0</v>
      </c>
      <c r="G237" s="84" t="n">
        <v>121237.11</v>
      </c>
      <c r="H237" s="84" t="inlineStr"/>
      <c r="I237" s="84" t="inlineStr">
        <is>
          <t>HSL</t>
        </is>
      </c>
      <c r="J237" s="84" t="inlineStr">
        <is>
          <t>HDFC Securities - Buy</t>
        </is>
      </c>
      <c r="K237" s="84" t="inlineStr">
        <is>
          <t>HDFC Securities</t>
        </is>
      </c>
      <c r="L237" s="32" t="n">
        <v>0.97</v>
      </c>
      <c r="M237" s="84" t="inlineStr">
        <is>
          <t>[MATCH]</t>
        </is>
      </c>
    </row>
    <row r="238">
      <c r="A238" s="33" t="n">
        <v>45478</v>
      </c>
      <c r="B238" s="34" t="inlineStr">
        <is>
          <t>NEFT CR-SBIN0004266-SBI GENERAL INSURANCE CO LTDSBI GEN-SUNITA GUPTA 0000000002717756-SBIN224187615721</t>
        </is>
      </c>
      <c r="C238" s="34" t="inlineStr">
        <is>
          <t>SBIN224187615721</t>
        </is>
      </c>
      <c r="D238" s="33" t="n">
        <v>45478</v>
      </c>
      <c r="E238" s="34" t="n">
        <v>0</v>
      </c>
      <c r="F238" s="34" t="n">
        <v>29757</v>
      </c>
      <c r="G238" s="34" t="n">
        <v>150994.11</v>
      </c>
      <c r="H238" s="34" t="inlineStr"/>
      <c r="I238" s="34" t="inlineStr">
        <is>
          <t>Rental Income</t>
        </is>
      </c>
      <c r="J238" s="34" t="inlineStr">
        <is>
          <t>Received - Sunita Gupta</t>
        </is>
      </c>
      <c r="K238" s="34" t="inlineStr">
        <is>
          <t>Sunita Gupta</t>
        </is>
      </c>
      <c r="L238" s="35" t="n">
        <v>0.88</v>
      </c>
      <c r="M238" s="34" t="inlineStr">
        <is>
          <t>[DIFF]</t>
        </is>
      </c>
    </row>
    <row r="239">
      <c r="A239" s="33" t="n">
        <v>45478</v>
      </c>
      <c r="B239" s="34" t="inlineStr">
        <is>
          <t>NEFT CR-SBIN0004266-SBI GENERAL INSURANCE CO LTDSBI GEN-SUNITA GUPTA 0000000002717756-SBIN224187636782</t>
        </is>
      </c>
      <c r="C239" s="34" t="inlineStr">
        <is>
          <t>SBIN224187636782</t>
        </is>
      </c>
      <c r="D239" s="33" t="n">
        <v>45478</v>
      </c>
      <c r="E239" s="34" t="n">
        <v>0</v>
      </c>
      <c r="F239" s="34" t="n">
        <v>31329</v>
      </c>
      <c r="G239" s="34" t="n">
        <v>182323.11</v>
      </c>
      <c r="H239" s="34" t="inlineStr"/>
      <c r="I239" s="34" t="inlineStr">
        <is>
          <t>Rental Income</t>
        </is>
      </c>
      <c r="J239" s="34" t="inlineStr">
        <is>
          <t>Received - Sunita Gupta</t>
        </is>
      </c>
      <c r="K239" s="34" t="inlineStr">
        <is>
          <t>Sunita Gupta</t>
        </is>
      </c>
      <c r="L239" s="35" t="n">
        <v>0.88</v>
      </c>
      <c r="M239" s="34" t="inlineStr">
        <is>
          <t>[DIFF]</t>
        </is>
      </c>
    </row>
    <row r="240">
      <c r="A240" s="83" t="n">
        <v>45478</v>
      </c>
      <c r="B240" s="84" t="inlineStr">
        <is>
          <t>NET PI TO HSL SEC A/C 523686-00602340029434</t>
        </is>
      </c>
      <c r="C240" s="84" t="inlineStr">
        <is>
          <t>0000000538741295</t>
        </is>
      </c>
      <c r="D240" s="83" t="n">
        <v>45478</v>
      </c>
      <c r="E240" s="84" t="n">
        <v>77779.53999999999</v>
      </c>
      <c r="F240" s="84" t="n">
        <v>0</v>
      </c>
      <c r="G240" s="84" t="n">
        <v>104543.57</v>
      </c>
      <c r="H240" s="84" t="inlineStr"/>
      <c r="I240" s="84" t="inlineStr">
        <is>
          <t>HSL</t>
        </is>
      </c>
      <c r="J240" s="84" t="inlineStr">
        <is>
          <t>HDFC Securities - Buy</t>
        </is>
      </c>
      <c r="K240" s="84" t="inlineStr">
        <is>
          <t>HDFC Securities</t>
        </is>
      </c>
      <c r="L240" s="32" t="n">
        <v>0.97</v>
      </c>
      <c r="M240" s="84" t="inlineStr">
        <is>
          <t>[MATCH]</t>
        </is>
      </c>
    </row>
    <row r="241">
      <c r="A241" s="83" t="n">
        <v>45481</v>
      </c>
      <c r="B241" s="84" t="inlineStr">
        <is>
          <t>NET PI TO HSL SEC A/C 523686-00602340029434</t>
        </is>
      </c>
      <c r="C241" s="84" t="inlineStr">
        <is>
          <t>0000000539198016</t>
        </is>
      </c>
      <c r="D241" s="83" t="n">
        <v>45481</v>
      </c>
      <c r="E241" s="84" t="n">
        <v>884.3099999999999</v>
      </c>
      <c r="F241" s="84" t="n">
        <v>0</v>
      </c>
      <c r="G241" s="84" t="n">
        <v>103659.26</v>
      </c>
      <c r="H241" s="84" t="inlineStr"/>
      <c r="I241" s="84" t="inlineStr">
        <is>
          <t>HSL</t>
        </is>
      </c>
      <c r="J241" s="84" t="inlineStr">
        <is>
          <t>HDFC Securities - Buy</t>
        </is>
      </c>
      <c r="K241" s="84" t="inlineStr">
        <is>
          <t>HDFC Securities</t>
        </is>
      </c>
      <c r="L241" s="32" t="n">
        <v>0.97</v>
      </c>
      <c r="M241" s="84" t="inlineStr">
        <is>
          <t>[MATCH]</t>
        </is>
      </c>
    </row>
    <row r="242">
      <c r="A242" s="85" t="n">
        <v>45482</v>
      </c>
      <c r="B242" s="86" t="inlineStr">
        <is>
          <t>NET PO FROM HSL A/C 523686-50200085415108</t>
        </is>
      </c>
      <c r="C242" s="86" t="inlineStr">
        <is>
          <t>0000000539617105</t>
        </is>
      </c>
      <c r="D242" s="85" t="n">
        <v>45482</v>
      </c>
      <c r="E242" s="86" t="n">
        <v>0</v>
      </c>
      <c r="F242" s="86" t="n">
        <v>105064.81</v>
      </c>
      <c r="G242" s="86" t="n">
        <v>208724.07</v>
      </c>
      <c r="H242" s="86" t="inlineStr"/>
      <c r="I242" s="86" t="inlineStr">
        <is>
          <t>HSL</t>
        </is>
      </c>
      <c r="J242" s="86" t="inlineStr">
        <is>
          <t>HDFC Securities - Sell</t>
        </is>
      </c>
      <c r="K242" s="86" t="inlineStr">
        <is>
          <t>HDFC Securities</t>
        </is>
      </c>
      <c r="L242" s="32" t="n">
        <v>0.97</v>
      </c>
      <c r="M242" s="86" t="inlineStr">
        <is>
          <t>[MATCH]</t>
        </is>
      </c>
    </row>
    <row r="243">
      <c r="A243" s="83" t="n">
        <v>45482</v>
      </c>
      <c r="B243" s="84" t="inlineStr">
        <is>
          <t>NET PI TO HSL SEC A/C 523686-00602340029434</t>
        </is>
      </c>
      <c r="C243" s="84" t="inlineStr">
        <is>
          <t>0000000539759941</t>
        </is>
      </c>
      <c r="D243" s="83" t="n">
        <v>45482</v>
      </c>
      <c r="E243" s="84" t="n">
        <v>366.05</v>
      </c>
      <c r="F243" s="84" t="n">
        <v>0</v>
      </c>
      <c r="G243" s="84" t="n">
        <v>208358.02</v>
      </c>
      <c r="H243" s="84" t="inlineStr"/>
      <c r="I243" s="84" t="inlineStr">
        <is>
          <t>HSL</t>
        </is>
      </c>
      <c r="J243" s="84" t="inlineStr">
        <is>
          <t>HDFC Securities - Buy</t>
        </is>
      </c>
      <c r="K243" s="84" t="inlineStr">
        <is>
          <t>HDFC Securities</t>
        </is>
      </c>
      <c r="L243" s="32" t="n">
        <v>0.97</v>
      </c>
      <c r="M243" s="84" t="inlineStr">
        <is>
          <t>[MATCH]</t>
        </is>
      </c>
    </row>
    <row r="244">
      <c r="A244" s="83" t="n">
        <v>45482</v>
      </c>
      <c r="B244" s="84" t="inlineStr">
        <is>
          <t>NET PI TO HSL SEC A/C 523686-00602340029434</t>
        </is>
      </c>
      <c r="C244" s="84" t="inlineStr">
        <is>
          <t>0000000539948191</t>
        </is>
      </c>
      <c r="D244" s="83" t="n">
        <v>45482</v>
      </c>
      <c r="E244" s="84" t="n">
        <v>26096.89</v>
      </c>
      <c r="F244" s="84" t="n">
        <v>0</v>
      </c>
      <c r="G244" s="84" t="n">
        <v>182261.13</v>
      </c>
      <c r="H244" s="84" t="inlineStr"/>
      <c r="I244" s="84" t="inlineStr">
        <is>
          <t>HSL</t>
        </is>
      </c>
      <c r="J244" s="84" t="inlineStr">
        <is>
          <t>HDFC Securities - Buy</t>
        </is>
      </c>
      <c r="K244" s="84" t="inlineStr">
        <is>
          <t>HDFC Securities</t>
        </is>
      </c>
      <c r="L244" s="32" t="n">
        <v>0.97</v>
      </c>
      <c r="M244" s="84" t="inlineStr">
        <is>
          <t>[MATCH]</t>
        </is>
      </c>
    </row>
    <row r="245">
      <c r="A245" s="83" t="n">
        <v>45483</v>
      </c>
      <c r="B245" s="84" t="inlineStr">
        <is>
          <t>NET PI TO HSL SEC A/C 523686-00602340029434</t>
        </is>
      </c>
      <c r="C245" s="84" t="inlineStr">
        <is>
          <t>0000000540276944</t>
        </is>
      </c>
      <c r="D245" s="83" t="n">
        <v>45483</v>
      </c>
      <c r="E245" s="84" t="n">
        <v>314.46</v>
      </c>
      <c r="F245" s="84" t="n">
        <v>0</v>
      </c>
      <c r="G245" s="84" t="n">
        <v>181946.67</v>
      </c>
      <c r="H245" s="84" t="inlineStr"/>
      <c r="I245" s="84" t="inlineStr">
        <is>
          <t>HSL</t>
        </is>
      </c>
      <c r="J245" s="84" t="inlineStr">
        <is>
          <t>HDFC Securities - Buy</t>
        </is>
      </c>
      <c r="K245" s="84" t="inlineStr">
        <is>
          <t>HDFC Securities</t>
        </is>
      </c>
      <c r="L245" s="32" t="n">
        <v>0.97</v>
      </c>
      <c r="M245" s="84" t="inlineStr">
        <is>
          <t>[MATCH]</t>
        </is>
      </c>
    </row>
    <row r="246">
      <c r="A246" s="33" t="n">
        <v>45483</v>
      </c>
      <c r="B246" s="34" t="inlineStr">
        <is>
          <t>NEFT DR-CBIN0281016-THE ORIENTAL INSURANACE COMPANY LTD-NETBANK, MUM-N192243146013226-BLD SUNITA INSURAN</t>
        </is>
      </c>
      <c r="C246" s="34" t="inlineStr">
        <is>
          <t>N192243146013226</t>
        </is>
      </c>
      <c r="D246" s="33" t="n">
        <v>45483</v>
      </c>
      <c r="E246" s="34" t="n">
        <v>849</v>
      </c>
      <c r="F246" s="34" t="n">
        <v>0</v>
      </c>
      <c r="G246" s="34" t="n">
        <v>181097.67</v>
      </c>
      <c r="H246" s="34" t="inlineStr"/>
      <c r="I246" s="34" t="inlineStr">
        <is>
          <t>Insurance</t>
        </is>
      </c>
      <c r="J246" s="34" t="inlineStr">
        <is>
          <t>Transfer - Sunita Gupta</t>
        </is>
      </c>
      <c r="K246" s="34" t="inlineStr">
        <is>
          <t>Sunita Gupta</t>
        </is>
      </c>
      <c r="L246" s="35" t="n">
        <v>0.88</v>
      </c>
      <c r="M246" s="34" t="inlineStr">
        <is>
          <t>[DIFF]</t>
        </is>
      </c>
    </row>
    <row r="247">
      <c r="A247" s="85" t="n">
        <v>45484</v>
      </c>
      <c r="B247" s="86" t="inlineStr">
        <is>
          <t>NET PO FROM HSL A/C 523686-50200085415108</t>
        </is>
      </c>
      <c r="C247" s="86" t="inlineStr">
        <is>
          <t>0000000540627159</t>
        </is>
      </c>
      <c r="D247" s="85" t="n">
        <v>45484</v>
      </c>
      <c r="E247" s="86" t="n">
        <v>0</v>
      </c>
      <c r="F247" s="86" t="n">
        <v>32435.39</v>
      </c>
      <c r="G247" s="86" t="n">
        <v>213533.06</v>
      </c>
      <c r="H247" s="86" t="inlineStr"/>
      <c r="I247" s="86" t="inlineStr">
        <is>
          <t>HSL</t>
        </is>
      </c>
      <c r="J247" s="86" t="inlineStr">
        <is>
          <t>HDFC Securities - Sell</t>
        </is>
      </c>
      <c r="K247" s="86" t="inlineStr">
        <is>
          <t>HDFC Securities</t>
        </is>
      </c>
      <c r="L247" s="32" t="n">
        <v>0.97</v>
      </c>
      <c r="M247" s="86" t="inlineStr">
        <is>
          <t>[MATCH]</t>
        </is>
      </c>
    </row>
    <row r="248">
      <c r="A248" s="85" t="n">
        <v>45484</v>
      </c>
      <c r="B248" s="86" t="inlineStr">
        <is>
          <t>NET PO FROM HSL A/C 523686-50200085415108</t>
        </is>
      </c>
      <c r="C248" s="86" t="inlineStr">
        <is>
          <t>0000000540665713</t>
        </is>
      </c>
      <c r="D248" s="85" t="n">
        <v>45484</v>
      </c>
      <c r="E248" s="86" t="n">
        <v>0</v>
      </c>
      <c r="F248" s="86" t="n">
        <v>42358.74</v>
      </c>
      <c r="G248" s="86" t="n">
        <v>255891.8</v>
      </c>
      <c r="H248" s="86" t="inlineStr"/>
      <c r="I248" s="86" t="inlineStr">
        <is>
          <t>HSL</t>
        </is>
      </c>
      <c r="J248" s="86" t="inlineStr">
        <is>
          <t>HDFC Securities - Sell</t>
        </is>
      </c>
      <c r="K248" s="86" t="inlineStr">
        <is>
          <t>HDFC Securities</t>
        </is>
      </c>
      <c r="L248" s="32" t="n">
        <v>0.97</v>
      </c>
      <c r="M248" s="86" t="inlineStr">
        <is>
          <t>[MATCH]</t>
        </is>
      </c>
    </row>
    <row r="249">
      <c r="A249" s="83" t="n">
        <v>45484</v>
      </c>
      <c r="B249" s="84" t="inlineStr">
        <is>
          <t>NET PI TO HSL SEC A/C 523686-00602340029434</t>
        </is>
      </c>
      <c r="C249" s="84" t="inlineStr">
        <is>
          <t>0000000540765306</t>
        </is>
      </c>
      <c r="D249" s="83" t="n">
        <v>45484</v>
      </c>
      <c r="E249" s="84" t="n">
        <v>347.36</v>
      </c>
      <c r="F249" s="84" t="n">
        <v>0</v>
      </c>
      <c r="G249" s="84" t="n">
        <v>255544.44</v>
      </c>
      <c r="H249" s="84" t="inlineStr"/>
      <c r="I249" s="84" t="inlineStr">
        <is>
          <t>HSL</t>
        </is>
      </c>
      <c r="J249" s="84" t="inlineStr">
        <is>
          <t>HDFC Securities - Buy</t>
        </is>
      </c>
      <c r="K249" s="84" t="inlineStr">
        <is>
          <t>HDFC Securities</t>
        </is>
      </c>
      <c r="L249" s="32" t="n">
        <v>0.97</v>
      </c>
      <c r="M249" s="84" t="inlineStr">
        <is>
          <t>[MATCH]</t>
        </is>
      </c>
    </row>
    <row r="250">
      <c r="A250" s="83" t="n">
        <v>45484</v>
      </c>
      <c r="B250" s="84" t="inlineStr">
        <is>
          <t>NET PI TO HSL SEC A/C 523686-00602340029434</t>
        </is>
      </c>
      <c r="C250" s="84" t="inlineStr">
        <is>
          <t>0000000540942700</t>
        </is>
      </c>
      <c r="D250" s="83" t="n">
        <v>45484</v>
      </c>
      <c r="E250" s="84" t="n">
        <v>226741.8</v>
      </c>
      <c r="F250" s="84" t="n">
        <v>0</v>
      </c>
      <c r="G250" s="84" t="n">
        <v>28802.64</v>
      </c>
      <c r="H250" s="84" t="inlineStr"/>
      <c r="I250" s="84" t="inlineStr">
        <is>
          <t>HSL</t>
        </is>
      </c>
      <c r="J250" s="84" t="inlineStr">
        <is>
          <t>HDFC Securities - Buy</t>
        </is>
      </c>
      <c r="K250" s="84" t="inlineStr">
        <is>
          <t>HDFC Securities</t>
        </is>
      </c>
      <c r="L250" s="32" t="n">
        <v>0.97</v>
      </c>
      <c r="M250" s="84" t="inlineStr">
        <is>
          <t>[MATCH]</t>
        </is>
      </c>
    </row>
    <row r="251">
      <c r="A251" s="83" t="n">
        <v>45485</v>
      </c>
      <c r="B251" s="84" t="inlineStr">
        <is>
          <t>NET PI TO HSL SEC A/C 523686-00602340029434</t>
        </is>
      </c>
      <c r="C251" s="84" t="inlineStr">
        <is>
          <t>0000000541225758</t>
        </is>
      </c>
      <c r="D251" s="83" t="n">
        <v>45485</v>
      </c>
      <c r="E251" s="84" t="n">
        <v>258.48</v>
      </c>
      <c r="F251" s="84" t="n">
        <v>0</v>
      </c>
      <c r="G251" s="84" t="n">
        <v>28544.16</v>
      </c>
      <c r="H251" s="84" t="inlineStr"/>
      <c r="I251" s="84" t="inlineStr">
        <is>
          <t>HSL</t>
        </is>
      </c>
      <c r="J251" s="84" t="inlineStr">
        <is>
          <t>HDFC Securities - Buy</t>
        </is>
      </c>
      <c r="K251" s="84" t="inlineStr">
        <is>
          <t>HDFC Securities</t>
        </is>
      </c>
      <c r="L251" s="32" t="n">
        <v>0.97</v>
      </c>
      <c r="M251" s="84" t="inlineStr">
        <is>
          <t>[MATCH]</t>
        </is>
      </c>
    </row>
    <row r="252">
      <c r="A252" s="85" t="n">
        <v>45488</v>
      </c>
      <c r="B252" s="86" t="inlineStr">
        <is>
          <t>NET PO FROM HSL A/C 523686-50200085415108</t>
        </is>
      </c>
      <c r="C252" s="86" t="inlineStr">
        <is>
          <t>0000000541552533</t>
        </is>
      </c>
      <c r="D252" s="85" t="n">
        <v>45488</v>
      </c>
      <c r="E252" s="86" t="n">
        <v>0</v>
      </c>
      <c r="F252" s="86" t="n">
        <v>70547.13</v>
      </c>
      <c r="G252" s="86" t="n">
        <v>99091.28999999999</v>
      </c>
      <c r="H252" s="86" t="inlineStr"/>
      <c r="I252" s="86" t="inlineStr">
        <is>
          <t>HSL</t>
        </is>
      </c>
      <c r="J252" s="86" t="inlineStr">
        <is>
          <t>HDFC Securities - Sell</t>
        </is>
      </c>
      <c r="K252" s="86" t="inlineStr">
        <is>
          <t>HDFC Securities</t>
        </is>
      </c>
      <c r="L252" s="32" t="n">
        <v>0.97</v>
      </c>
      <c r="M252" s="86" t="inlineStr">
        <is>
          <t>[MATCH]</t>
        </is>
      </c>
    </row>
    <row r="253">
      <c r="A253" s="28" t="n">
        <v>45488</v>
      </c>
      <c r="B253" s="29" t="inlineStr">
        <is>
          <t>ACH D- INDIAN CLEARING CORP-P25847643X05</t>
        </is>
      </c>
      <c r="C253" s="29" t="inlineStr">
        <is>
          <t>0000006191549497</t>
        </is>
      </c>
      <c r="D253" s="28" t="n">
        <v>45488</v>
      </c>
      <c r="E253" s="29" t="n">
        <v>5000</v>
      </c>
      <c r="F253" s="29" t="n">
        <v>0</v>
      </c>
      <c r="G253" s="29" t="n">
        <v>94091.28999999999</v>
      </c>
      <c r="H253" s="29" t="inlineStr"/>
      <c r="I253" s="29" t="inlineStr">
        <is>
          <t>SIP  - 5000</t>
        </is>
      </c>
      <c r="J253" s="29" t="inlineStr">
        <is>
          <t>MF Investment</t>
        </is>
      </c>
      <c r="K253" s="29" t="inlineStr">
        <is>
          <t>Mutual_Fund_Investments</t>
        </is>
      </c>
      <c r="L253" s="35" t="n">
        <v>0.92</v>
      </c>
      <c r="M253" s="29" t="inlineStr">
        <is>
          <t>[DIFF]</t>
        </is>
      </c>
    </row>
    <row r="254">
      <c r="A254" s="83" t="n">
        <v>45488</v>
      </c>
      <c r="B254" s="84" t="inlineStr">
        <is>
          <t>NET PI TO HSL SEC A/C 523686-00602340029434</t>
        </is>
      </c>
      <c r="C254" s="84" t="inlineStr">
        <is>
          <t>0000000541746211</t>
        </is>
      </c>
      <c r="D254" s="83" t="n">
        <v>45488</v>
      </c>
      <c r="E254" s="84" t="n">
        <v>1146.24</v>
      </c>
      <c r="F254" s="84" t="n">
        <v>0</v>
      </c>
      <c r="G254" s="84" t="n">
        <v>92945.05</v>
      </c>
      <c r="H254" s="84" t="inlineStr"/>
      <c r="I254" s="84" t="inlineStr">
        <is>
          <t>HSL</t>
        </is>
      </c>
      <c r="J254" s="84" t="inlineStr">
        <is>
          <t>HDFC Securities - Buy</t>
        </is>
      </c>
      <c r="K254" s="84" t="inlineStr">
        <is>
          <t>HDFC Securities</t>
        </is>
      </c>
      <c r="L254" s="32" t="n">
        <v>0.97</v>
      </c>
      <c r="M254" s="84" t="inlineStr">
        <is>
          <t>[MATCH]</t>
        </is>
      </c>
    </row>
    <row r="255">
      <c r="A255" s="83" t="n">
        <v>45488</v>
      </c>
      <c r="B255" s="84" t="inlineStr">
        <is>
          <t>NET PI TO HSL SEC A/C 523686-00602340029434</t>
        </is>
      </c>
      <c r="C255" s="84" t="inlineStr">
        <is>
          <t>0000000541939860</t>
        </is>
      </c>
      <c r="D255" s="83" t="n">
        <v>45488</v>
      </c>
      <c r="E255" s="84" t="n">
        <v>4746.73</v>
      </c>
      <c r="F255" s="84" t="n">
        <v>0</v>
      </c>
      <c r="G255" s="84" t="n">
        <v>88198.32000000001</v>
      </c>
      <c r="H255" s="84" t="inlineStr"/>
      <c r="I255" s="84" t="inlineStr">
        <is>
          <t>HSL</t>
        </is>
      </c>
      <c r="J255" s="84" t="inlineStr">
        <is>
          <t>HDFC Securities - Buy</t>
        </is>
      </c>
      <c r="K255" s="84" t="inlineStr">
        <is>
          <t>HDFC Securities</t>
        </is>
      </c>
      <c r="L255" s="32" t="n">
        <v>0.97</v>
      </c>
      <c r="M255" s="84" t="inlineStr">
        <is>
          <t>[MATCH]</t>
        </is>
      </c>
    </row>
    <row r="256">
      <c r="A256" s="85" t="n">
        <v>45489</v>
      </c>
      <c r="B256" s="86" t="inlineStr">
        <is>
          <t>NET PO FROM HSL A/C 523686-50200085415108</t>
        </is>
      </c>
      <c r="C256" s="86" t="inlineStr">
        <is>
          <t>0000000542122503</t>
        </is>
      </c>
      <c r="D256" s="85" t="n">
        <v>45489</v>
      </c>
      <c r="E256" s="86" t="n">
        <v>0</v>
      </c>
      <c r="F256" s="86" t="n">
        <v>37095.78</v>
      </c>
      <c r="G256" s="86" t="n">
        <v>125294.1</v>
      </c>
      <c r="H256" s="86" t="inlineStr"/>
      <c r="I256" s="86" t="inlineStr">
        <is>
          <t>HSL</t>
        </is>
      </c>
      <c r="J256" s="86" t="inlineStr">
        <is>
          <t>HDFC Securities - Sell</t>
        </is>
      </c>
      <c r="K256" s="86" t="inlineStr">
        <is>
          <t>HDFC Securities</t>
        </is>
      </c>
      <c r="L256" s="32" t="n">
        <v>0.97</v>
      </c>
      <c r="M256" s="86" t="inlineStr">
        <is>
          <t>[MATCH]</t>
        </is>
      </c>
    </row>
    <row r="257">
      <c r="A257" s="83" t="n">
        <v>45489</v>
      </c>
      <c r="B257" s="84" t="inlineStr">
        <is>
          <t>NET PI TO HSL SEC A/C 523686-00602340029434</t>
        </is>
      </c>
      <c r="C257" s="84" t="inlineStr">
        <is>
          <t>0000000542209757</t>
        </is>
      </c>
      <c r="D257" s="83" t="n">
        <v>45489</v>
      </c>
      <c r="E257" s="84" t="n">
        <v>353.43</v>
      </c>
      <c r="F257" s="84" t="n">
        <v>0</v>
      </c>
      <c r="G257" s="84" t="n">
        <v>124940.67</v>
      </c>
      <c r="H257" s="84" t="inlineStr"/>
      <c r="I257" s="84" t="inlineStr">
        <is>
          <t>HSL</t>
        </is>
      </c>
      <c r="J257" s="84" t="inlineStr">
        <is>
          <t>HDFC Securities - Buy</t>
        </is>
      </c>
      <c r="K257" s="84" t="inlineStr">
        <is>
          <t>HDFC Securities</t>
        </is>
      </c>
      <c r="L257" s="32" t="n">
        <v>0.97</v>
      </c>
      <c r="M257" s="84" t="inlineStr">
        <is>
          <t>[MATCH]</t>
        </is>
      </c>
    </row>
    <row r="258">
      <c r="A258" s="89" t="n">
        <v>45489</v>
      </c>
      <c r="B258" s="90" t="inlineStr">
        <is>
          <t>DEPOSITORY CHARGES JUN24 - 41060499</t>
        </is>
      </c>
      <c r="C258" s="90" t="inlineStr">
        <is>
          <t>000000000000000</t>
        </is>
      </c>
      <c r="D258" s="89" t="n">
        <v>45489</v>
      </c>
      <c r="E258" s="90" t="n">
        <v>2017.8</v>
      </c>
      <c r="F258" s="90" t="n">
        <v>0</v>
      </c>
      <c r="G258" s="90" t="n">
        <v>122922.87</v>
      </c>
      <c r="H258" s="90" t="inlineStr"/>
      <c r="I258" s="90" t="inlineStr">
        <is>
          <t>Depository Charges</t>
        </is>
      </c>
      <c r="J258" s="90" t="inlineStr">
        <is>
          <t>Depository Charges</t>
        </is>
      </c>
      <c r="K258" s="90" t="inlineStr">
        <is>
          <t>Depository Charges</t>
        </is>
      </c>
      <c r="L258" s="32" t="n">
        <v>0.93</v>
      </c>
      <c r="M258" s="90" t="inlineStr">
        <is>
          <t>[MATCH]</t>
        </is>
      </c>
    </row>
    <row r="259">
      <c r="A259" s="83" t="n">
        <v>45489</v>
      </c>
      <c r="B259" s="84" t="inlineStr">
        <is>
          <t>NET PI TO HSL SEC A/C 523686-00602340029434</t>
        </is>
      </c>
      <c r="C259" s="84" t="inlineStr">
        <is>
          <t>0000000542412119</t>
        </is>
      </c>
      <c r="D259" s="83" t="n">
        <v>45489</v>
      </c>
      <c r="E259" s="84" t="n">
        <v>64797.19</v>
      </c>
      <c r="F259" s="84" t="n">
        <v>0</v>
      </c>
      <c r="G259" s="84" t="n">
        <v>58125.68</v>
      </c>
      <c r="H259" s="84" t="inlineStr"/>
      <c r="I259" s="84" t="inlineStr">
        <is>
          <t>HSL</t>
        </is>
      </c>
      <c r="J259" s="84" t="inlineStr">
        <is>
          <t>HDFC Securities - Buy</t>
        </is>
      </c>
      <c r="K259" s="84" t="inlineStr">
        <is>
          <t>HDFC Securities</t>
        </is>
      </c>
      <c r="L259" s="32" t="n">
        <v>0.97</v>
      </c>
      <c r="M259" s="84" t="inlineStr">
        <is>
          <t>[MATCH]</t>
        </is>
      </c>
    </row>
    <row r="260">
      <c r="A260" s="85" t="n">
        <v>45491</v>
      </c>
      <c r="B260" s="86" t="inlineStr">
        <is>
          <t>NET PO FROM HSL A/C 523686-50200085415108</t>
        </is>
      </c>
      <c r="C260" s="86" t="inlineStr">
        <is>
          <t>0000000542541158</t>
        </is>
      </c>
      <c r="D260" s="85" t="n">
        <v>45491</v>
      </c>
      <c r="E260" s="86" t="n">
        <v>0</v>
      </c>
      <c r="F260" s="86" t="n">
        <v>2706.67</v>
      </c>
      <c r="G260" s="86" t="n">
        <v>60832.35</v>
      </c>
      <c r="H260" s="86" t="inlineStr"/>
      <c r="I260" s="86" t="inlineStr">
        <is>
          <t>HSL</t>
        </is>
      </c>
      <c r="J260" s="86" t="inlineStr">
        <is>
          <t>HDFC Securities - Sell</t>
        </is>
      </c>
      <c r="K260" s="86" t="inlineStr">
        <is>
          <t>HDFC Securities</t>
        </is>
      </c>
      <c r="L260" s="32" t="n">
        <v>0.97</v>
      </c>
      <c r="M260" s="86" t="inlineStr">
        <is>
          <t>[MATCH]</t>
        </is>
      </c>
    </row>
    <row r="261">
      <c r="A261" s="85" t="n">
        <v>45491</v>
      </c>
      <c r="B261" s="86" t="inlineStr">
        <is>
          <t>NET PO FROM HSL A/C 523686-50200085415108</t>
        </is>
      </c>
      <c r="C261" s="86" t="inlineStr">
        <is>
          <t>0000000542578947</t>
        </is>
      </c>
      <c r="D261" s="85" t="n">
        <v>45491</v>
      </c>
      <c r="E261" s="86" t="n">
        <v>0</v>
      </c>
      <c r="F261" s="86" t="n">
        <v>103150.07</v>
      </c>
      <c r="G261" s="86" t="n">
        <v>163982.42</v>
      </c>
      <c r="H261" s="86" t="inlineStr"/>
      <c r="I261" s="86" t="inlineStr">
        <is>
          <t>HSL</t>
        </is>
      </c>
      <c r="J261" s="86" t="inlineStr">
        <is>
          <t>HDFC Securities - Sell</t>
        </is>
      </c>
      <c r="K261" s="86" t="inlineStr">
        <is>
          <t>HDFC Securities</t>
        </is>
      </c>
      <c r="L261" s="32" t="n">
        <v>0.97</v>
      </c>
      <c r="M261" s="86" t="inlineStr">
        <is>
          <t>[MATCH]</t>
        </is>
      </c>
    </row>
    <row r="262">
      <c r="A262" s="83" t="n">
        <v>45491</v>
      </c>
      <c r="B262" s="84" t="inlineStr">
        <is>
          <t>NET PI TO HSL SEC A/C 523686-00602340029434</t>
        </is>
      </c>
      <c r="C262" s="84" t="inlineStr">
        <is>
          <t>0000000542689847</t>
        </is>
      </c>
      <c r="D262" s="83" t="n">
        <v>45491</v>
      </c>
      <c r="E262" s="84" t="n">
        <v>660.7</v>
      </c>
      <c r="F262" s="84" t="n">
        <v>0</v>
      </c>
      <c r="G262" s="84" t="n">
        <v>163321.72</v>
      </c>
      <c r="H262" s="84" t="inlineStr"/>
      <c r="I262" s="84" t="inlineStr">
        <is>
          <t>HSL</t>
        </is>
      </c>
      <c r="J262" s="84" t="inlineStr">
        <is>
          <t>HDFC Securities - Buy</t>
        </is>
      </c>
      <c r="K262" s="84" t="inlineStr">
        <is>
          <t>HDFC Securities</t>
        </is>
      </c>
      <c r="L262" s="32" t="n">
        <v>0.97</v>
      </c>
      <c r="M262" s="84" t="inlineStr">
        <is>
          <t>[MATCH]</t>
        </is>
      </c>
    </row>
    <row r="263">
      <c r="A263" s="83" t="n">
        <v>45491</v>
      </c>
      <c r="B263" s="84" t="inlineStr">
        <is>
          <t>NET PI TO HSL SEC A/C 523686-00602340029434</t>
        </is>
      </c>
      <c r="C263" s="84" t="inlineStr">
        <is>
          <t>0000000542895537</t>
        </is>
      </c>
      <c r="D263" s="83" t="n">
        <v>45491</v>
      </c>
      <c r="E263" s="84" t="n">
        <v>11607.97</v>
      </c>
      <c r="F263" s="84" t="n">
        <v>0</v>
      </c>
      <c r="G263" s="84" t="n">
        <v>151713.75</v>
      </c>
      <c r="H263" s="84" t="inlineStr"/>
      <c r="I263" s="84" t="inlineStr">
        <is>
          <t>HSL</t>
        </is>
      </c>
      <c r="J263" s="84" t="inlineStr">
        <is>
          <t>HDFC Securities - Buy</t>
        </is>
      </c>
      <c r="K263" s="84" t="inlineStr">
        <is>
          <t>HDFC Securities</t>
        </is>
      </c>
      <c r="L263" s="32" t="n">
        <v>0.97</v>
      </c>
      <c r="M263" s="84" t="inlineStr">
        <is>
          <t>[MATCH]</t>
        </is>
      </c>
    </row>
    <row r="264">
      <c r="A264" s="83" t="n">
        <v>45492</v>
      </c>
      <c r="B264" s="84" t="inlineStr">
        <is>
          <t>NET PI TO HSL SEC A/C 523686-00602340029434</t>
        </is>
      </c>
      <c r="C264" s="84" t="inlineStr">
        <is>
          <t>0000000543201870</t>
        </is>
      </c>
      <c r="D264" s="83" t="n">
        <v>45492</v>
      </c>
      <c r="E264" s="84" t="n">
        <v>307.65</v>
      </c>
      <c r="F264" s="84" t="n">
        <v>0</v>
      </c>
      <c r="G264" s="84" t="n">
        <v>151406.1</v>
      </c>
      <c r="H264" s="84" t="inlineStr"/>
      <c r="I264" s="84" t="inlineStr">
        <is>
          <t>HSL</t>
        </is>
      </c>
      <c r="J264" s="84" t="inlineStr">
        <is>
          <t>HDFC Securities - Buy</t>
        </is>
      </c>
      <c r="K264" s="84" t="inlineStr">
        <is>
          <t>HDFC Securities</t>
        </is>
      </c>
      <c r="L264" s="32" t="n">
        <v>0.97</v>
      </c>
      <c r="M264" s="84" t="inlineStr">
        <is>
          <t>[MATCH]</t>
        </is>
      </c>
    </row>
    <row r="265">
      <c r="A265" s="42" t="n">
        <v>45492</v>
      </c>
      <c r="B265" s="43" t="inlineStr">
        <is>
          <t>ACH C- CAMSL FINALDIV23 24-148614</t>
        </is>
      </c>
      <c r="C265" s="43" t="inlineStr">
        <is>
          <t>0000006386328282</t>
        </is>
      </c>
      <c r="D265" s="42" t="n">
        <v>45492</v>
      </c>
      <c r="E265" s="43" t="n">
        <v>0</v>
      </c>
      <c r="F265" s="43" t="n">
        <v>330</v>
      </c>
      <c r="G265" s="43" t="n">
        <v>151736.1</v>
      </c>
      <c r="H265" s="43" t="inlineStr"/>
      <c r="I265" s="43" t="inlineStr">
        <is>
          <t>Dividend Income</t>
        </is>
      </c>
      <c r="J265" s="43" t="inlineStr">
        <is>
          <t>Dividend Income</t>
        </is>
      </c>
      <c r="K265" s="43" t="inlineStr">
        <is>
          <t>Dividend Income</t>
        </is>
      </c>
      <c r="L265" s="32" t="n">
        <v>0.88</v>
      </c>
      <c r="M265" s="43" t="inlineStr">
        <is>
          <t>[MATCH]</t>
        </is>
      </c>
    </row>
    <row r="266">
      <c r="A266" s="83" t="n">
        <v>45493</v>
      </c>
      <c r="B266" s="84" t="inlineStr">
        <is>
          <t>NET PI TO HSL SEC A/C 523686-00602340029434</t>
        </is>
      </c>
      <c r="C266" s="84" t="inlineStr">
        <is>
          <t>0000000543429104</t>
        </is>
      </c>
      <c r="D266" s="83" t="n">
        <v>45493</v>
      </c>
      <c r="E266" s="84" t="n">
        <v>23844.72</v>
      </c>
      <c r="F266" s="84" t="n">
        <v>0</v>
      </c>
      <c r="G266" s="84" t="n">
        <v>127891.38</v>
      </c>
      <c r="H266" s="84" t="inlineStr"/>
      <c r="I266" s="84" t="inlineStr">
        <is>
          <t>HSL</t>
        </is>
      </c>
      <c r="J266" s="84" t="inlineStr">
        <is>
          <t>HDFC Securities - Buy</t>
        </is>
      </c>
      <c r="K266" s="84" t="inlineStr">
        <is>
          <t>HDFC Securities</t>
        </is>
      </c>
      <c r="L266" s="32" t="n">
        <v>0.97</v>
      </c>
      <c r="M266" s="84" t="inlineStr">
        <is>
          <t>[MATCH]</t>
        </is>
      </c>
    </row>
    <row r="267">
      <c r="A267" s="64" t="n">
        <v>45495</v>
      </c>
      <c r="B267" s="65" t="inlineStr">
        <is>
          <t>YHDF2391587417/BILLDKINDIANCLEARING</t>
        </is>
      </c>
      <c r="C267" s="65" t="inlineStr">
        <is>
          <t>0002420456722849</t>
        </is>
      </c>
      <c r="D267" s="64" t="n">
        <v>45495</v>
      </c>
      <c r="E267" s="65" t="n">
        <v>10000</v>
      </c>
      <c r="F267" s="65" t="n">
        <v>0</v>
      </c>
      <c r="G267" s="65" t="n">
        <v>117891.38</v>
      </c>
      <c r="H267" s="65" t="inlineStr"/>
      <c r="I267" s="65" t="inlineStr">
        <is>
          <t>SIP - 10000</t>
        </is>
      </c>
      <c r="J267" s="65" t="inlineStr">
        <is>
          <t>SIP</t>
        </is>
      </c>
      <c r="K267" s="65" t="inlineStr">
        <is>
          <t>SIP</t>
        </is>
      </c>
      <c r="L267" s="32" t="n">
        <v>0.9</v>
      </c>
      <c r="M267" s="65" t="inlineStr">
        <is>
          <t>[MATCH]</t>
        </is>
      </c>
    </row>
    <row r="268">
      <c r="A268" s="83" t="n">
        <v>45495</v>
      </c>
      <c r="B268" s="84" t="inlineStr">
        <is>
          <t>NET PI TO HSL SEC A/C 523686-00602340029434</t>
        </is>
      </c>
      <c r="C268" s="84" t="inlineStr">
        <is>
          <t>0000000543767902</t>
        </is>
      </c>
      <c r="D268" s="83" t="n">
        <v>45495</v>
      </c>
      <c r="E268" s="84" t="n">
        <v>897.45</v>
      </c>
      <c r="F268" s="84" t="n">
        <v>0</v>
      </c>
      <c r="G268" s="84" t="n">
        <v>116993.93</v>
      </c>
      <c r="H268" s="84" t="inlineStr"/>
      <c r="I268" s="84" t="inlineStr">
        <is>
          <t>HSL</t>
        </is>
      </c>
      <c r="J268" s="84" t="inlineStr">
        <is>
          <t>HDFC Securities - Buy</t>
        </is>
      </c>
      <c r="K268" s="84" t="inlineStr">
        <is>
          <t>HDFC Securities</t>
        </is>
      </c>
      <c r="L268" s="32" t="n">
        <v>0.97</v>
      </c>
      <c r="M268" s="84" t="inlineStr">
        <is>
          <t>[MATCH]</t>
        </is>
      </c>
    </row>
    <row r="269">
      <c r="A269" s="85" t="n">
        <v>45496</v>
      </c>
      <c r="B269" s="86" t="inlineStr">
        <is>
          <t>NET PO FROM HSL A/C 523686-50200085415108</t>
        </is>
      </c>
      <c r="C269" s="86" t="inlineStr">
        <is>
          <t>0000000544112396</t>
        </is>
      </c>
      <c r="D269" s="85" t="n">
        <v>45496</v>
      </c>
      <c r="E269" s="86" t="n">
        <v>0</v>
      </c>
      <c r="F269" s="86" t="n">
        <v>14093.07</v>
      </c>
      <c r="G269" s="86" t="n">
        <v>131087</v>
      </c>
      <c r="H269" s="86" t="inlineStr"/>
      <c r="I269" s="86" t="inlineStr">
        <is>
          <t>HSL</t>
        </is>
      </c>
      <c r="J269" s="86" t="inlineStr">
        <is>
          <t>HDFC Securities - Sell</t>
        </is>
      </c>
      <c r="K269" s="86" t="inlineStr">
        <is>
          <t>HDFC Securities</t>
        </is>
      </c>
      <c r="L269" s="32" t="n">
        <v>0.97</v>
      </c>
      <c r="M269" s="86" t="inlineStr">
        <is>
          <t>[MATCH]</t>
        </is>
      </c>
    </row>
    <row r="270">
      <c r="A270" s="83" t="n">
        <v>45496</v>
      </c>
      <c r="B270" s="84" t="inlineStr">
        <is>
          <t>NET PI TO HSL SEC A/C 523686-00602340029434</t>
        </is>
      </c>
      <c r="C270" s="84" t="inlineStr">
        <is>
          <t>0000000544256386</t>
        </is>
      </c>
      <c r="D270" s="83" t="n">
        <v>45496</v>
      </c>
      <c r="E270" s="84" t="n">
        <v>299.15</v>
      </c>
      <c r="F270" s="84" t="n">
        <v>0</v>
      </c>
      <c r="G270" s="84" t="n">
        <v>130787.85</v>
      </c>
      <c r="H270" s="84" t="inlineStr"/>
      <c r="I270" s="84" t="inlineStr">
        <is>
          <t>HSL</t>
        </is>
      </c>
      <c r="J270" s="84" t="inlineStr">
        <is>
          <t>HDFC Securities - Buy</t>
        </is>
      </c>
      <c r="K270" s="84" t="inlineStr">
        <is>
          <t>HDFC Securities</t>
        </is>
      </c>
      <c r="L270" s="32" t="n">
        <v>0.97</v>
      </c>
      <c r="M270" s="84" t="inlineStr">
        <is>
          <t>[MATCH]</t>
        </is>
      </c>
    </row>
    <row r="271">
      <c r="A271" s="83" t="n">
        <v>45496</v>
      </c>
      <c r="B271" s="84" t="inlineStr">
        <is>
          <t>NET PI TO HSL SEC A/C 523686-00602340029434</t>
        </is>
      </c>
      <c r="C271" s="84" t="inlineStr">
        <is>
          <t>0000000544462183</t>
        </is>
      </c>
      <c r="D271" s="83" t="n">
        <v>45496</v>
      </c>
      <c r="E271" s="84" t="n">
        <v>9363.379999999999</v>
      </c>
      <c r="F271" s="84" t="n">
        <v>0</v>
      </c>
      <c r="G271" s="84" t="n">
        <v>121424.47</v>
      </c>
      <c r="H271" s="84" t="inlineStr"/>
      <c r="I271" s="84" t="inlineStr">
        <is>
          <t>HSL</t>
        </is>
      </c>
      <c r="J271" s="84" t="inlineStr">
        <is>
          <t>HDFC Securities - Buy</t>
        </is>
      </c>
      <c r="K271" s="84" t="inlineStr">
        <is>
          <t>HDFC Securities</t>
        </is>
      </c>
      <c r="L271" s="32" t="n">
        <v>0.97</v>
      </c>
      <c r="M271" s="84" t="inlineStr">
        <is>
          <t>[MATCH]</t>
        </is>
      </c>
    </row>
    <row r="272">
      <c r="A272" s="83" t="n">
        <v>45497</v>
      </c>
      <c r="B272" s="84" t="inlineStr">
        <is>
          <t>NET PI TO HSL SEC A/C 523686-00602340029434</t>
        </is>
      </c>
      <c r="C272" s="84" t="inlineStr">
        <is>
          <t>0000000544754071</t>
        </is>
      </c>
      <c r="D272" s="83" t="n">
        <v>45497</v>
      </c>
      <c r="E272" s="84" t="n">
        <v>300.84</v>
      </c>
      <c r="F272" s="84" t="n">
        <v>0</v>
      </c>
      <c r="G272" s="84" t="n">
        <v>121123.63</v>
      </c>
      <c r="H272" s="84" t="inlineStr"/>
      <c r="I272" s="84" t="inlineStr">
        <is>
          <t>HSL</t>
        </is>
      </c>
      <c r="J272" s="84" t="inlineStr">
        <is>
          <t>HDFC Securities - Buy</t>
        </is>
      </c>
      <c r="K272" s="84" t="inlineStr">
        <is>
          <t>HDFC Securities</t>
        </is>
      </c>
      <c r="L272" s="32" t="n">
        <v>0.97</v>
      </c>
      <c r="M272" s="84" t="inlineStr">
        <is>
          <t>[MATCH]</t>
        </is>
      </c>
    </row>
    <row r="273">
      <c r="A273" s="33" t="n">
        <v>45497</v>
      </c>
      <c r="B273" s="34" t="inlineStr">
        <is>
          <t>NEFT CR-SBIN0004266-SBI GENERAL INSURANCE CO LTDSBI GEN-SUNITA GUPTA 0000000002717756-SBIN224206827961</t>
        </is>
      </c>
      <c r="C273" s="34" t="inlineStr">
        <is>
          <t>SBIN224206827961</t>
        </is>
      </c>
      <c r="D273" s="33" t="n">
        <v>45497</v>
      </c>
      <c r="E273" s="34" t="n">
        <v>0</v>
      </c>
      <c r="F273" s="34" t="n">
        <v>2380</v>
      </c>
      <c r="G273" s="34" t="n">
        <v>123503.63</v>
      </c>
      <c r="H273" s="34" t="inlineStr"/>
      <c r="I273" s="34" t="inlineStr">
        <is>
          <t>Rental Income</t>
        </is>
      </c>
      <c r="J273" s="34" t="inlineStr">
        <is>
          <t>Received - Sunita Gupta</t>
        </is>
      </c>
      <c r="K273" s="34" t="inlineStr">
        <is>
          <t>Sunita Gupta</t>
        </is>
      </c>
      <c r="L273" s="35" t="n">
        <v>0.88</v>
      </c>
      <c r="M273" s="34" t="inlineStr">
        <is>
          <t>[DIFF]</t>
        </is>
      </c>
    </row>
    <row r="274">
      <c r="A274" s="42" t="n">
        <v>45497</v>
      </c>
      <c r="B274" s="43" t="inlineStr">
        <is>
          <t>ACH C- BAJAJ FINANCE LIMITE-5697403</t>
        </is>
      </c>
      <c r="C274" s="43" t="inlineStr">
        <is>
          <t>0000006533137200</t>
        </is>
      </c>
      <c r="D274" s="42" t="n">
        <v>45497</v>
      </c>
      <c r="E274" s="43" t="n">
        <v>0</v>
      </c>
      <c r="F274" s="43" t="n">
        <v>828</v>
      </c>
      <c r="G274" s="43" t="n">
        <v>124331.63</v>
      </c>
      <c r="H274" s="43" t="inlineStr"/>
      <c r="I274" s="43" t="inlineStr">
        <is>
          <t>Dividend Income</t>
        </is>
      </c>
      <c r="J274" s="43" t="inlineStr">
        <is>
          <t>Dividend Income</t>
        </is>
      </c>
      <c r="K274" s="43" t="inlineStr">
        <is>
          <t>Dividend Income</t>
        </is>
      </c>
      <c r="L274" s="32" t="n">
        <v>0.88</v>
      </c>
      <c r="M274" s="43" t="inlineStr">
        <is>
          <t>[MATCH]</t>
        </is>
      </c>
    </row>
    <row r="275">
      <c r="A275" s="85" t="n">
        <v>45498</v>
      </c>
      <c r="B275" s="86" t="inlineStr">
        <is>
          <t>NET PO FROM HSL A/C 523686-50200085415108</t>
        </is>
      </c>
      <c r="C275" s="86" t="inlineStr">
        <is>
          <t>0000000545097815</t>
        </is>
      </c>
      <c r="D275" s="85" t="n">
        <v>45498</v>
      </c>
      <c r="E275" s="86" t="n">
        <v>0</v>
      </c>
      <c r="F275" s="86" t="n">
        <v>1781.86</v>
      </c>
      <c r="G275" s="86" t="n">
        <v>126113.49</v>
      </c>
      <c r="H275" s="86" t="inlineStr"/>
      <c r="I275" s="86" t="inlineStr">
        <is>
          <t>HSL</t>
        </is>
      </c>
      <c r="J275" s="86" t="inlineStr">
        <is>
          <t>HDFC Securities - Sell</t>
        </is>
      </c>
      <c r="K275" s="86" t="inlineStr">
        <is>
          <t>HDFC Securities</t>
        </is>
      </c>
      <c r="L275" s="32" t="n">
        <v>0.97</v>
      </c>
      <c r="M275" s="86" t="inlineStr">
        <is>
          <t>[MATCH]</t>
        </is>
      </c>
    </row>
    <row r="276">
      <c r="A276" s="28" t="n">
        <v>45498</v>
      </c>
      <c r="B276" s="29" t="inlineStr">
        <is>
          <t>ACH D- INDIAN CLEARING CORP-P25847643X05</t>
        </is>
      </c>
      <c r="C276" s="29" t="inlineStr">
        <is>
          <t>0000006531099812</t>
        </is>
      </c>
      <c r="D276" s="28" t="n">
        <v>45498</v>
      </c>
      <c r="E276" s="29" t="n">
        <v>10000</v>
      </c>
      <c r="F276" s="29" t="n">
        <v>0</v>
      </c>
      <c r="G276" s="29" t="n">
        <v>116113.49</v>
      </c>
      <c r="H276" s="29" t="inlineStr"/>
      <c r="I276" s="29" t="inlineStr">
        <is>
          <t>SIP  - 10000</t>
        </is>
      </c>
      <c r="J276" s="29" t="inlineStr">
        <is>
          <t>MF Investment</t>
        </is>
      </c>
      <c r="K276" s="29" t="inlineStr">
        <is>
          <t>Mutual_Fund_Investments</t>
        </is>
      </c>
      <c r="L276" s="35" t="n">
        <v>0.92</v>
      </c>
      <c r="M276" s="29" t="inlineStr">
        <is>
          <t>[DIFF]</t>
        </is>
      </c>
    </row>
    <row r="277">
      <c r="A277" s="83" t="n">
        <v>45498</v>
      </c>
      <c r="B277" s="84" t="inlineStr">
        <is>
          <t>NET PI TO HSL SEC A/C 523686-00602340029434</t>
        </is>
      </c>
      <c r="C277" s="84" t="inlineStr">
        <is>
          <t>0000000545240088</t>
        </is>
      </c>
      <c r="D277" s="83" t="n">
        <v>45498</v>
      </c>
      <c r="E277" s="84" t="n">
        <v>300.84</v>
      </c>
      <c r="F277" s="84" t="n">
        <v>0</v>
      </c>
      <c r="G277" s="84" t="n">
        <v>115812.65</v>
      </c>
      <c r="H277" s="84" t="inlineStr"/>
      <c r="I277" s="84" t="inlineStr">
        <is>
          <t>HSL</t>
        </is>
      </c>
      <c r="J277" s="84" t="inlineStr">
        <is>
          <t>HDFC Securities - Buy</t>
        </is>
      </c>
      <c r="K277" s="84" t="inlineStr">
        <is>
          <t>HDFC Securities</t>
        </is>
      </c>
      <c r="L277" s="32" t="n">
        <v>0.97</v>
      </c>
      <c r="M277" s="84" t="inlineStr">
        <is>
          <t>[MATCH]</t>
        </is>
      </c>
    </row>
    <row r="278">
      <c r="A278" s="42" t="n">
        <v>45498</v>
      </c>
      <c r="B278" s="43" t="inlineStr">
        <is>
          <t>ALEMBIC PHAR DIV232400000000000000006995</t>
        </is>
      </c>
      <c r="C278" s="43" t="inlineStr">
        <is>
          <t>0000242061374335</t>
        </is>
      </c>
      <c r="D278" s="42" t="n">
        <v>45498</v>
      </c>
      <c r="E278" s="43" t="n">
        <v>0</v>
      </c>
      <c r="F278" s="43" t="n">
        <v>550</v>
      </c>
      <c r="G278" s="43" t="n">
        <v>116362.65</v>
      </c>
      <c r="H278" s="43" t="inlineStr"/>
      <c r="I278" s="43" t="inlineStr">
        <is>
          <t>Dividend Income</t>
        </is>
      </c>
      <c r="J278" s="43" t="inlineStr">
        <is>
          <t>Dividend Income</t>
        </is>
      </c>
      <c r="K278" s="43" t="inlineStr">
        <is>
          <t>Dividend Income</t>
        </is>
      </c>
      <c r="L278" s="32" t="n">
        <v>0.85</v>
      </c>
      <c r="M278" s="43" t="inlineStr">
        <is>
          <t>[MATCH]</t>
        </is>
      </c>
    </row>
    <row r="279">
      <c r="A279" s="42" t="n">
        <v>45498</v>
      </c>
      <c r="B279" s="43" t="inlineStr">
        <is>
          <t>ACH C- BAJAJ FINSERV LIMITE-5166374</t>
        </is>
      </c>
      <c r="C279" s="43" t="inlineStr">
        <is>
          <t>0000006541185854</t>
        </is>
      </c>
      <c r="D279" s="42" t="n">
        <v>45498</v>
      </c>
      <c r="E279" s="43" t="n">
        <v>0</v>
      </c>
      <c r="F279" s="43" t="n">
        <v>35</v>
      </c>
      <c r="G279" s="43" t="n">
        <v>116397.65</v>
      </c>
      <c r="H279" s="43" t="inlineStr"/>
      <c r="I279" s="43" t="inlineStr">
        <is>
          <t>Dividend Income</t>
        </is>
      </c>
      <c r="J279" s="43" t="inlineStr">
        <is>
          <t>Dividend Income</t>
        </is>
      </c>
      <c r="K279" s="43" t="inlineStr">
        <is>
          <t>Dividend Income</t>
        </is>
      </c>
      <c r="L279" s="32" t="n">
        <v>0.88</v>
      </c>
      <c r="M279" s="43" t="inlineStr">
        <is>
          <t>[MATCH]</t>
        </is>
      </c>
    </row>
    <row r="280">
      <c r="A280" s="28" t="n">
        <v>45498</v>
      </c>
      <c r="B280" s="29" t="inlineStr">
        <is>
          <t>YHDF2395191501/BILLDKTHECALCUTTAELE</t>
        </is>
      </c>
      <c r="C280" s="29" t="inlineStr">
        <is>
          <t>0002420757134422</t>
        </is>
      </c>
      <c r="D280" s="28" t="n">
        <v>45498</v>
      </c>
      <c r="E280" s="29" t="n">
        <v>21546</v>
      </c>
      <c r="F280" s="29" t="n">
        <v>0</v>
      </c>
      <c r="G280" s="29" t="n">
        <v>94851.64999999999</v>
      </c>
      <c r="H280" s="29" t="inlineStr"/>
      <c r="I280" s="29" t="inlineStr">
        <is>
          <t>Electricity Bill</t>
        </is>
      </c>
      <c r="J280" s="29" t="inlineStr">
        <is>
          <t>SIP</t>
        </is>
      </c>
      <c r="K280" s="29" t="inlineStr">
        <is>
          <t>SIP</t>
        </is>
      </c>
      <c r="L280" s="35" t="n">
        <v>0.9</v>
      </c>
      <c r="M280" s="29" t="inlineStr">
        <is>
          <t>[DIFF]</t>
        </is>
      </c>
    </row>
    <row r="281">
      <c r="A281" s="83" t="n">
        <v>45498</v>
      </c>
      <c r="B281" s="84" t="inlineStr">
        <is>
          <t>NET PI TO HSL SEC A/C 523686-00602340029434</t>
        </is>
      </c>
      <c r="C281" s="84" t="inlineStr">
        <is>
          <t>0000000545686491</t>
        </is>
      </c>
      <c r="D281" s="83" t="n">
        <v>45498</v>
      </c>
      <c r="E281" s="84" t="n">
        <v>9542.030000000001</v>
      </c>
      <c r="F281" s="84" t="n">
        <v>0</v>
      </c>
      <c r="G281" s="84" t="n">
        <v>85309.62</v>
      </c>
      <c r="H281" s="84" t="inlineStr"/>
      <c r="I281" s="84" t="inlineStr">
        <is>
          <t>HSL</t>
        </is>
      </c>
      <c r="J281" s="84" t="inlineStr">
        <is>
          <t>HDFC Securities - Buy</t>
        </is>
      </c>
      <c r="K281" s="84" t="inlineStr">
        <is>
          <t>HDFC Securities</t>
        </is>
      </c>
      <c r="L281" s="32" t="n">
        <v>0.97</v>
      </c>
      <c r="M281" s="84" t="inlineStr">
        <is>
          <t>[MATCH]</t>
        </is>
      </c>
    </row>
    <row r="282">
      <c r="A282" s="83" t="n">
        <v>45499</v>
      </c>
      <c r="B282" s="84" t="inlineStr">
        <is>
          <t>NET PI TO HSL SEC A/C 523686-00602340029434</t>
        </is>
      </c>
      <c r="C282" s="84" t="inlineStr">
        <is>
          <t>0000000545980754</t>
        </is>
      </c>
      <c r="D282" s="83" t="n">
        <v>45499</v>
      </c>
      <c r="E282" s="84" t="n">
        <v>298.07</v>
      </c>
      <c r="F282" s="84" t="n">
        <v>0</v>
      </c>
      <c r="G282" s="84" t="n">
        <v>85011.55</v>
      </c>
      <c r="H282" s="84" t="inlineStr"/>
      <c r="I282" s="84" t="inlineStr">
        <is>
          <t>HSL</t>
        </is>
      </c>
      <c r="J282" s="84" t="inlineStr">
        <is>
          <t>HDFC Securities - Buy</t>
        </is>
      </c>
      <c r="K282" s="84" t="inlineStr">
        <is>
          <t>HDFC Securities</t>
        </is>
      </c>
      <c r="L282" s="32" t="n">
        <v>0.97</v>
      </c>
      <c r="M282" s="84" t="inlineStr">
        <is>
          <t>[MATCH]</t>
        </is>
      </c>
    </row>
    <row r="283">
      <c r="A283" s="85" t="n">
        <v>45502</v>
      </c>
      <c r="B283" s="86" t="inlineStr">
        <is>
          <t>NET PO FROM HSL A/C 523686-50200085415108</t>
        </is>
      </c>
      <c r="C283" s="86" t="inlineStr">
        <is>
          <t>0000000546268978</t>
        </is>
      </c>
      <c r="D283" s="85" t="n">
        <v>45502</v>
      </c>
      <c r="E283" s="86" t="n">
        <v>0</v>
      </c>
      <c r="F283" s="86" t="n">
        <v>6065.09</v>
      </c>
      <c r="G283" s="86" t="n">
        <v>91076.64</v>
      </c>
      <c r="H283" s="86" t="inlineStr"/>
      <c r="I283" s="86" t="inlineStr">
        <is>
          <t>HSL</t>
        </is>
      </c>
      <c r="J283" s="86" t="inlineStr">
        <is>
          <t>HDFC Securities - Sell</t>
        </is>
      </c>
      <c r="K283" s="86" t="inlineStr">
        <is>
          <t>HDFC Securities</t>
        </is>
      </c>
      <c r="L283" s="32" t="n">
        <v>0.97</v>
      </c>
      <c r="M283" s="86" t="inlineStr">
        <is>
          <t>[MATCH]</t>
        </is>
      </c>
    </row>
    <row r="284">
      <c r="A284" s="83" t="n">
        <v>45502</v>
      </c>
      <c r="B284" s="84" t="inlineStr">
        <is>
          <t>NET PI TO HSL SEC A/C 523686-00602340029434</t>
        </is>
      </c>
      <c r="C284" s="84" t="inlineStr">
        <is>
          <t>0000000546470683</t>
        </is>
      </c>
      <c r="D284" s="83" t="n">
        <v>45502</v>
      </c>
      <c r="E284" s="84" t="n">
        <v>894.21</v>
      </c>
      <c r="F284" s="84" t="n">
        <v>0</v>
      </c>
      <c r="G284" s="84" t="n">
        <v>90182.42999999999</v>
      </c>
      <c r="H284" s="84" t="inlineStr"/>
      <c r="I284" s="84" t="inlineStr">
        <is>
          <t>HSL</t>
        </is>
      </c>
      <c r="J284" s="84" t="inlineStr">
        <is>
          <t>HDFC Securities - Buy</t>
        </is>
      </c>
      <c r="K284" s="84" t="inlineStr">
        <is>
          <t>HDFC Securities</t>
        </is>
      </c>
      <c r="L284" s="32" t="n">
        <v>0.97</v>
      </c>
      <c r="M284" s="84" t="inlineStr">
        <is>
          <t>[MATCH]</t>
        </is>
      </c>
    </row>
    <row r="285">
      <c r="A285" s="42" t="n">
        <v>45502</v>
      </c>
      <c r="B285" s="43" t="inlineStr">
        <is>
          <t>ACH C- MPH FIN DIV 2023-24-0000IN3004764</t>
        </is>
      </c>
      <c r="C285" s="43" t="inlineStr">
        <is>
          <t>0000007064385211</t>
        </is>
      </c>
      <c r="D285" s="42" t="n">
        <v>45502</v>
      </c>
      <c r="E285" s="43" t="n">
        <v>0</v>
      </c>
      <c r="F285" s="43" t="n">
        <v>825</v>
      </c>
      <c r="G285" s="43" t="n">
        <v>91007.42999999999</v>
      </c>
      <c r="H285" s="43" t="inlineStr"/>
      <c r="I285" s="43" t="inlineStr">
        <is>
          <t>Dividend Income</t>
        </is>
      </c>
      <c r="J285" s="43" t="inlineStr">
        <is>
          <t>Dividend Income</t>
        </is>
      </c>
      <c r="K285" s="43" t="inlineStr">
        <is>
          <t>Dividend Income</t>
        </is>
      </c>
      <c r="L285" s="32" t="n">
        <v>0.88</v>
      </c>
      <c r="M285" s="43" t="inlineStr">
        <is>
          <t>[MATCH]</t>
        </is>
      </c>
    </row>
    <row r="286">
      <c r="A286" s="42" t="n">
        <v>45502</v>
      </c>
      <c r="B286" s="43" t="inlineStr">
        <is>
          <t>NEFT CR-UTIB0000004-AXIS MUTUAL FUND DIVIDEND A/C-SUNITA GUPTA-AXISCN0694049003</t>
        </is>
      </c>
      <c r="C286" s="43" t="inlineStr">
        <is>
          <t>AXISCN0694049003</t>
        </is>
      </c>
      <c r="D286" s="42" t="n">
        <v>45502</v>
      </c>
      <c r="E286" s="43" t="n">
        <v>0</v>
      </c>
      <c r="F286" s="43" t="n">
        <v>84.56999999999999</v>
      </c>
      <c r="G286" s="43" t="n">
        <v>91092</v>
      </c>
      <c r="H286" s="43" t="inlineStr"/>
      <c r="I286" s="43" t="inlineStr">
        <is>
          <t>Dividend Income</t>
        </is>
      </c>
      <c r="J286" s="43" t="inlineStr">
        <is>
          <t>Dividend Income</t>
        </is>
      </c>
      <c r="K286" s="43" t="inlineStr">
        <is>
          <t>Dividend Income</t>
        </is>
      </c>
      <c r="L286" s="32" t="n">
        <v>0.85</v>
      </c>
      <c r="M286" s="43" t="inlineStr">
        <is>
          <t>[MATCH]</t>
        </is>
      </c>
    </row>
    <row r="287">
      <c r="A287" s="83" t="n">
        <v>45502</v>
      </c>
      <c r="B287" s="84" t="inlineStr">
        <is>
          <t>NET PI TO HSL SEC A/C 523686-00602340029434</t>
        </is>
      </c>
      <c r="C287" s="84" t="inlineStr">
        <is>
          <t>0000000546568869</t>
        </is>
      </c>
      <c r="D287" s="83" t="n">
        <v>45502</v>
      </c>
      <c r="E287" s="84" t="n">
        <v>29487.13</v>
      </c>
      <c r="F287" s="84" t="n">
        <v>0</v>
      </c>
      <c r="G287" s="84" t="n">
        <v>61604.87</v>
      </c>
      <c r="H287" s="84" t="inlineStr"/>
      <c r="I287" s="84" t="inlineStr">
        <is>
          <t>HSL</t>
        </is>
      </c>
      <c r="J287" s="84" t="inlineStr">
        <is>
          <t>HDFC Securities - Buy</t>
        </is>
      </c>
      <c r="K287" s="84" t="inlineStr">
        <is>
          <t>HDFC Securities</t>
        </is>
      </c>
      <c r="L287" s="32" t="n">
        <v>0.97</v>
      </c>
      <c r="M287" s="84" t="inlineStr">
        <is>
          <t>[MATCH]</t>
        </is>
      </c>
    </row>
    <row r="288">
      <c r="A288" s="83" t="n">
        <v>45502</v>
      </c>
      <c r="B288" s="84" t="inlineStr">
        <is>
          <t>NET PI TO HSL SEC A/C 523686-00602340029434</t>
        </is>
      </c>
      <c r="C288" s="84" t="inlineStr">
        <is>
          <t>0000000546619066</t>
        </is>
      </c>
      <c r="D288" s="83" t="n">
        <v>45502</v>
      </c>
      <c r="E288" s="84" t="n">
        <v>27304.28</v>
      </c>
      <c r="F288" s="84" t="n">
        <v>0</v>
      </c>
      <c r="G288" s="84" t="n">
        <v>34300.59</v>
      </c>
      <c r="H288" s="84" t="inlineStr"/>
      <c r="I288" s="84" t="inlineStr">
        <is>
          <t>HSL</t>
        </is>
      </c>
      <c r="J288" s="84" t="inlineStr">
        <is>
          <t>HDFC Securities - Buy</t>
        </is>
      </c>
      <c r="K288" s="84" t="inlineStr">
        <is>
          <t>HDFC Securities</t>
        </is>
      </c>
      <c r="L288" s="32" t="n">
        <v>0.97</v>
      </c>
      <c r="M288" s="84" t="inlineStr">
        <is>
          <t>[MATCH]</t>
        </is>
      </c>
    </row>
    <row r="289">
      <c r="A289" s="85" t="n">
        <v>45503</v>
      </c>
      <c r="B289" s="86" t="inlineStr">
        <is>
          <t>NET PO FROM HSL A/C 523686-50200085415108</t>
        </is>
      </c>
      <c r="C289" s="86" t="inlineStr">
        <is>
          <t>0000000546755724</t>
        </is>
      </c>
      <c r="D289" s="85" t="n">
        <v>45503</v>
      </c>
      <c r="E289" s="86" t="n">
        <v>0</v>
      </c>
      <c r="F289" s="86" t="n">
        <v>10280.34</v>
      </c>
      <c r="G289" s="86" t="n">
        <v>44580.93</v>
      </c>
      <c r="H289" s="86" t="inlineStr"/>
      <c r="I289" s="86" t="inlineStr">
        <is>
          <t>HSL</t>
        </is>
      </c>
      <c r="J289" s="86" t="inlineStr">
        <is>
          <t>HDFC Securities - Sell</t>
        </is>
      </c>
      <c r="K289" s="86" t="inlineStr">
        <is>
          <t>HDFC Securities</t>
        </is>
      </c>
      <c r="L289" s="32" t="n">
        <v>0.97</v>
      </c>
      <c r="M289" s="86" t="inlineStr">
        <is>
          <t>[MATCH]</t>
        </is>
      </c>
    </row>
    <row r="290">
      <c r="A290" s="83" t="n">
        <v>45503</v>
      </c>
      <c r="B290" s="84" t="inlineStr">
        <is>
          <t>NET PI TO HSL SEC A/C 523686-00602340029434</t>
        </is>
      </c>
      <c r="C290" s="84" t="inlineStr">
        <is>
          <t>0000000546903673</t>
        </is>
      </c>
      <c r="D290" s="83" t="n">
        <v>45503</v>
      </c>
      <c r="E290" s="84" t="n">
        <v>290.51</v>
      </c>
      <c r="F290" s="84" t="n">
        <v>0</v>
      </c>
      <c r="G290" s="84" t="n">
        <v>44290.42</v>
      </c>
      <c r="H290" s="84" t="inlineStr"/>
      <c r="I290" s="84" t="inlineStr">
        <is>
          <t>HSL</t>
        </is>
      </c>
      <c r="J290" s="84" t="inlineStr">
        <is>
          <t>HDFC Securities - Buy</t>
        </is>
      </c>
      <c r="K290" s="84" t="inlineStr">
        <is>
          <t>HDFC Securities</t>
        </is>
      </c>
      <c r="L290" s="32" t="n">
        <v>0.97</v>
      </c>
      <c r="M290" s="84" t="inlineStr">
        <is>
          <t>[MATCH]</t>
        </is>
      </c>
    </row>
    <row r="291">
      <c r="A291" s="42" t="n">
        <v>45503</v>
      </c>
      <c r="B291" s="43" t="inlineStr">
        <is>
          <t>ACH C- JSW STEEL LIMITED-21931557</t>
        </is>
      </c>
      <c r="C291" s="43" t="inlineStr">
        <is>
          <t>0000006680260603</t>
        </is>
      </c>
      <c r="D291" s="42" t="n">
        <v>45503</v>
      </c>
      <c r="E291" s="43" t="n">
        <v>0</v>
      </c>
      <c r="F291" s="43" t="n">
        <v>949</v>
      </c>
      <c r="G291" s="43" t="n">
        <v>45239.42</v>
      </c>
      <c r="H291" s="43" t="inlineStr"/>
      <c r="I291" s="43" t="inlineStr">
        <is>
          <t>Dividend Income</t>
        </is>
      </c>
      <c r="J291" s="43" t="inlineStr">
        <is>
          <t>Dividend Income</t>
        </is>
      </c>
      <c r="K291" s="43" t="inlineStr">
        <is>
          <t>Dividend Income</t>
        </is>
      </c>
      <c r="L291" s="32" t="n">
        <v>0.88</v>
      </c>
      <c r="M291" s="43" t="inlineStr">
        <is>
          <t>[MATCH]</t>
        </is>
      </c>
    </row>
    <row r="292">
      <c r="A292" s="85" t="n">
        <v>45504</v>
      </c>
      <c r="B292" s="86" t="inlineStr">
        <is>
          <t>NET PO FROM HSL A/C 523686-50200085415108</t>
        </is>
      </c>
      <c r="C292" s="86" t="inlineStr">
        <is>
          <t>0000000547180920</t>
        </is>
      </c>
      <c r="D292" s="85" t="n">
        <v>45504</v>
      </c>
      <c r="E292" s="86" t="n">
        <v>0</v>
      </c>
      <c r="F292" s="86" t="n">
        <v>6906.74</v>
      </c>
      <c r="G292" s="86" t="n">
        <v>52146.16</v>
      </c>
      <c r="H292" s="86" t="inlineStr"/>
      <c r="I292" s="86" t="inlineStr">
        <is>
          <t>HSL</t>
        </is>
      </c>
      <c r="J292" s="86" t="inlineStr">
        <is>
          <t>HDFC Securities - Sell</t>
        </is>
      </c>
      <c r="K292" s="86" t="inlineStr">
        <is>
          <t>HDFC Securities</t>
        </is>
      </c>
      <c r="L292" s="32" t="n">
        <v>0.97</v>
      </c>
      <c r="M292" s="86" t="inlineStr">
        <is>
          <t>[MATCH]</t>
        </is>
      </c>
    </row>
    <row r="293">
      <c r="A293" s="83" t="n">
        <v>45504</v>
      </c>
      <c r="B293" s="84" t="inlineStr">
        <is>
          <t>NET PI TO HSL SEC A/C 523686-00602340029434</t>
        </is>
      </c>
      <c r="C293" s="84" t="inlineStr">
        <is>
          <t>0000000547292420</t>
        </is>
      </c>
      <c r="D293" s="83" t="n">
        <v>45504</v>
      </c>
      <c r="E293" s="84" t="n">
        <v>336.24</v>
      </c>
      <c r="F293" s="84" t="n">
        <v>0</v>
      </c>
      <c r="G293" s="84" t="n">
        <v>51809.92</v>
      </c>
      <c r="H293" s="84" t="inlineStr"/>
      <c r="I293" s="84" t="inlineStr">
        <is>
          <t>HSL</t>
        </is>
      </c>
      <c r="J293" s="84" t="inlineStr">
        <is>
          <t>HDFC Securities - Buy</t>
        </is>
      </c>
      <c r="K293" s="84" t="inlineStr">
        <is>
          <t>HDFC Securities</t>
        </is>
      </c>
      <c r="L293" s="32" t="n">
        <v>0.97</v>
      </c>
      <c r="M293" s="84" t="inlineStr">
        <is>
          <t>[MATCH]</t>
        </is>
      </c>
    </row>
    <row r="294">
      <c r="A294" s="42" t="n">
        <v>45504</v>
      </c>
      <c r="B294" s="43" t="inlineStr">
        <is>
          <t>ACH C- ATUL LTDFNLDIV 23 24-19440</t>
        </is>
      </c>
      <c r="C294" s="43" t="inlineStr">
        <is>
          <t>0000006685376965</t>
        </is>
      </c>
      <c r="D294" s="42" t="n">
        <v>45504</v>
      </c>
      <c r="E294" s="43" t="n">
        <v>0</v>
      </c>
      <c r="F294" s="43" t="n">
        <v>380</v>
      </c>
      <c r="G294" s="43" t="n">
        <v>52189.92</v>
      </c>
      <c r="H294" s="43" t="inlineStr"/>
      <c r="I294" s="43" t="inlineStr">
        <is>
          <t>Dividend Income</t>
        </is>
      </c>
      <c r="J294" s="43" t="inlineStr">
        <is>
          <t>Dividend Income</t>
        </is>
      </c>
      <c r="K294" s="43" t="inlineStr">
        <is>
          <t>Dividend Income</t>
        </is>
      </c>
      <c r="L294" s="32" t="n">
        <v>0.88</v>
      </c>
      <c r="M294" s="43" t="inlineStr">
        <is>
          <t>[MATCH]</t>
        </is>
      </c>
    </row>
    <row r="295">
      <c r="A295" s="83" t="n">
        <v>45504</v>
      </c>
      <c r="B295" s="84" t="inlineStr">
        <is>
          <t>NET PI TO HSL SEC A/C 523686-00602340029434</t>
        </is>
      </c>
      <c r="C295" s="84" t="inlineStr">
        <is>
          <t>0000000547471222</t>
        </is>
      </c>
      <c r="D295" s="83" t="n">
        <v>45504</v>
      </c>
      <c r="E295" s="84" t="n">
        <v>3412.52</v>
      </c>
      <c r="F295" s="84" t="n">
        <v>0</v>
      </c>
      <c r="G295" s="84" t="n">
        <v>48777.4</v>
      </c>
      <c r="H295" s="84" t="inlineStr"/>
      <c r="I295" s="84" t="inlineStr">
        <is>
          <t>HSL</t>
        </is>
      </c>
      <c r="J295" s="84" t="inlineStr">
        <is>
          <t>HDFC Securities - Buy</t>
        </is>
      </c>
      <c r="K295" s="84" t="inlineStr">
        <is>
          <t>HDFC Securities</t>
        </is>
      </c>
      <c r="L295" s="32" t="n">
        <v>0.97</v>
      </c>
      <c r="M295" s="84" t="inlineStr">
        <is>
          <t>[MATCH]</t>
        </is>
      </c>
    </row>
    <row r="296">
      <c r="A296" s="85" t="n">
        <v>45505</v>
      </c>
      <c r="B296" s="86" t="inlineStr">
        <is>
          <t>NET PO FROM HSL A/C 523686-50200085415108</t>
        </is>
      </c>
      <c r="C296" s="86" t="inlineStr">
        <is>
          <t>0000000547639950</t>
        </is>
      </c>
      <c r="D296" s="85" t="n">
        <v>45505</v>
      </c>
      <c r="E296" s="86" t="n">
        <v>0</v>
      </c>
      <c r="F296" s="86" t="n">
        <v>39882.72</v>
      </c>
      <c r="G296" s="86" t="n">
        <v>88660.12</v>
      </c>
      <c r="H296" s="86" t="inlineStr"/>
      <c r="I296" s="86" t="inlineStr">
        <is>
          <t>HSL</t>
        </is>
      </c>
      <c r="J296" s="86" t="inlineStr">
        <is>
          <t>HDFC Securities - Sell</t>
        </is>
      </c>
      <c r="K296" s="86" t="inlineStr">
        <is>
          <t>HDFC Securities</t>
        </is>
      </c>
      <c r="L296" s="32" t="n">
        <v>0.97</v>
      </c>
      <c r="M296" s="86" t="inlineStr">
        <is>
          <t>[MATCH]</t>
        </is>
      </c>
    </row>
    <row r="297">
      <c r="A297" s="83" t="n">
        <v>45505</v>
      </c>
      <c r="B297" s="84" t="inlineStr">
        <is>
          <t>NET PI TO HSL SEC A/C 523686-00602340029434</t>
        </is>
      </c>
      <c r="C297" s="84" t="inlineStr">
        <is>
          <t>0000000547786653</t>
        </is>
      </c>
      <c r="D297" s="83" t="n">
        <v>45505</v>
      </c>
      <c r="E297" s="84" t="n">
        <v>337.49</v>
      </c>
      <c r="F297" s="84" t="n">
        <v>0</v>
      </c>
      <c r="G297" s="84" t="n">
        <v>88322.63</v>
      </c>
      <c r="H297" s="84" t="inlineStr"/>
      <c r="I297" s="84" t="inlineStr">
        <is>
          <t>HSL</t>
        </is>
      </c>
      <c r="J297" s="84" t="inlineStr">
        <is>
          <t>HDFC Securities - Buy</t>
        </is>
      </c>
      <c r="K297" s="84" t="inlineStr">
        <is>
          <t>HDFC Securities</t>
        </is>
      </c>
      <c r="L297" s="32" t="n">
        <v>0.97</v>
      </c>
      <c r="M297" s="84" t="inlineStr">
        <is>
          <t>[MATCH]</t>
        </is>
      </c>
    </row>
    <row r="298">
      <c r="A298" s="83" t="n">
        <v>45505</v>
      </c>
      <c r="B298" s="84" t="inlineStr">
        <is>
          <t>NET PI TO HSL SEC A/C 523686-00602340029434</t>
        </is>
      </c>
      <c r="C298" s="84" t="inlineStr">
        <is>
          <t>0000000547981336</t>
        </is>
      </c>
      <c r="D298" s="83" t="n">
        <v>45505</v>
      </c>
      <c r="E298" s="84" t="n">
        <v>1376.77</v>
      </c>
      <c r="F298" s="84" t="n">
        <v>0</v>
      </c>
      <c r="G298" s="84" t="n">
        <v>86945.86</v>
      </c>
      <c r="H298" s="84" t="inlineStr"/>
      <c r="I298" s="84" t="inlineStr">
        <is>
          <t>HSL</t>
        </is>
      </c>
      <c r="J298" s="84" t="inlineStr">
        <is>
          <t>HDFC Securities - Buy</t>
        </is>
      </c>
      <c r="K298" s="84" t="inlineStr">
        <is>
          <t>HDFC Securities</t>
        </is>
      </c>
      <c r="L298" s="32" t="n">
        <v>0.97</v>
      </c>
      <c r="M298" s="84" t="inlineStr">
        <is>
          <t>[MATCH]</t>
        </is>
      </c>
    </row>
    <row r="299">
      <c r="A299" s="83" t="n">
        <v>45506</v>
      </c>
      <c r="B299" s="84" t="inlineStr">
        <is>
          <t>NET PI TO HSL SEC A/C 523686-00602340029434</t>
        </is>
      </c>
      <c r="C299" s="84" t="inlineStr">
        <is>
          <t>0000000548272032</t>
        </is>
      </c>
      <c r="D299" s="83" t="n">
        <v>45506</v>
      </c>
      <c r="E299" s="84" t="n">
        <v>337</v>
      </c>
      <c r="F299" s="84" t="n">
        <v>0</v>
      </c>
      <c r="G299" s="84" t="n">
        <v>86608.86</v>
      </c>
      <c r="H299" s="84" t="inlineStr"/>
      <c r="I299" s="84" t="inlineStr">
        <is>
          <t>HSL</t>
        </is>
      </c>
      <c r="J299" s="84" t="inlineStr">
        <is>
          <t>HDFC Securities - Buy</t>
        </is>
      </c>
      <c r="K299" s="84" t="inlineStr">
        <is>
          <t>HDFC Securities</t>
        </is>
      </c>
      <c r="L299" s="32" t="n">
        <v>0.97</v>
      </c>
      <c r="M299" s="84" t="inlineStr">
        <is>
          <t>[MATCH]</t>
        </is>
      </c>
    </row>
    <row r="300">
      <c r="A300" s="83" t="n">
        <v>45507</v>
      </c>
      <c r="B300" s="84" t="inlineStr">
        <is>
          <t>NET PI TO HSL SEC A/C 523686-00602340029434</t>
        </is>
      </c>
      <c r="C300" s="84" t="inlineStr">
        <is>
          <t>0000000548458629</t>
        </is>
      </c>
      <c r="D300" s="83" t="n">
        <v>45507</v>
      </c>
      <c r="E300" s="84" t="n">
        <v>9965.549999999999</v>
      </c>
      <c r="F300" s="84" t="n">
        <v>0</v>
      </c>
      <c r="G300" s="84" t="n">
        <v>76643.31</v>
      </c>
      <c r="H300" s="84" t="inlineStr"/>
      <c r="I300" s="84" t="inlineStr">
        <is>
          <t>HSL</t>
        </is>
      </c>
      <c r="J300" s="84" t="inlineStr">
        <is>
          <t>HDFC Securities - Buy</t>
        </is>
      </c>
      <c r="K300" s="84" t="inlineStr">
        <is>
          <t>HDFC Securities</t>
        </is>
      </c>
      <c r="L300" s="32" t="n">
        <v>0.97</v>
      </c>
      <c r="M300" s="84" t="inlineStr">
        <is>
          <t>[MATCH]</t>
        </is>
      </c>
    </row>
    <row r="301">
      <c r="A301" s="83" t="n">
        <v>45509</v>
      </c>
      <c r="B301" s="84" t="inlineStr">
        <is>
          <t>NET PI TO HSL SEC A/C 523686-00602340029434</t>
        </is>
      </c>
      <c r="C301" s="84" t="inlineStr">
        <is>
          <t>0000000548874168</t>
        </is>
      </c>
      <c r="D301" s="83" t="n">
        <v>45509</v>
      </c>
      <c r="E301" s="84" t="n">
        <v>1000.35</v>
      </c>
      <c r="F301" s="84" t="n">
        <v>0</v>
      </c>
      <c r="G301" s="84" t="n">
        <v>75642.96000000001</v>
      </c>
      <c r="H301" s="84" t="inlineStr"/>
      <c r="I301" s="84" t="inlineStr">
        <is>
          <t>HSL</t>
        </is>
      </c>
      <c r="J301" s="84" t="inlineStr">
        <is>
          <t>HDFC Securities - Buy</t>
        </is>
      </c>
      <c r="K301" s="84" t="inlineStr">
        <is>
          <t>HDFC Securities</t>
        </is>
      </c>
      <c r="L301" s="32" t="n">
        <v>0.97</v>
      </c>
      <c r="M301" s="84" t="inlineStr">
        <is>
          <t>[MATCH]</t>
        </is>
      </c>
    </row>
    <row r="302">
      <c r="A302" s="42" t="n">
        <v>45509</v>
      </c>
      <c r="B302" s="43" t="inlineStr">
        <is>
          <t>ACH C- TCS1STINTDIV050824-803726</t>
        </is>
      </c>
      <c r="C302" s="43" t="inlineStr">
        <is>
          <t>0000006929039098</t>
        </is>
      </c>
      <c r="D302" s="42" t="n">
        <v>45509</v>
      </c>
      <c r="E302" s="43" t="n">
        <v>0</v>
      </c>
      <c r="F302" s="43" t="n">
        <v>310</v>
      </c>
      <c r="G302" s="43" t="n">
        <v>75952.96000000001</v>
      </c>
      <c r="H302" s="43" t="inlineStr"/>
      <c r="I302" s="43" t="inlineStr">
        <is>
          <t>Dividend Income</t>
        </is>
      </c>
      <c r="J302" s="43" t="inlineStr">
        <is>
          <t>Dividend Income</t>
        </is>
      </c>
      <c r="K302" s="43" t="inlineStr">
        <is>
          <t>Dividend Income</t>
        </is>
      </c>
      <c r="L302" s="32" t="n">
        <v>0.88</v>
      </c>
      <c r="M302" s="43" t="inlineStr">
        <is>
          <t>[MATCH]</t>
        </is>
      </c>
    </row>
    <row r="303">
      <c r="A303" s="83" t="n">
        <v>45509</v>
      </c>
      <c r="B303" s="84" t="inlineStr">
        <is>
          <t>NET PI TO HSL SEC A/C 523686-00602340029434</t>
        </is>
      </c>
      <c r="C303" s="84" t="inlineStr">
        <is>
          <t>0000000549172769</t>
        </is>
      </c>
      <c r="D303" s="83" t="n">
        <v>45509</v>
      </c>
      <c r="E303" s="84" t="n">
        <v>12167.78</v>
      </c>
      <c r="F303" s="84" t="n">
        <v>0</v>
      </c>
      <c r="G303" s="84" t="n">
        <v>63785.18</v>
      </c>
      <c r="H303" s="84" t="inlineStr"/>
      <c r="I303" s="84" t="inlineStr">
        <is>
          <t>HSL</t>
        </is>
      </c>
      <c r="J303" s="84" t="inlineStr">
        <is>
          <t>HDFC Securities - Buy</t>
        </is>
      </c>
      <c r="K303" s="84" t="inlineStr">
        <is>
          <t>HDFC Securities</t>
        </is>
      </c>
      <c r="L303" s="32" t="n">
        <v>0.97</v>
      </c>
      <c r="M303" s="84" t="inlineStr">
        <is>
          <t>[MATCH]</t>
        </is>
      </c>
    </row>
    <row r="304">
      <c r="A304" s="85" t="n">
        <v>45510</v>
      </c>
      <c r="B304" s="86" t="inlineStr">
        <is>
          <t>NET PO FROM HSL A/C 523686-50200085415108</t>
        </is>
      </c>
      <c r="C304" s="86" t="inlineStr">
        <is>
          <t>0000000549373953</t>
        </is>
      </c>
      <c r="D304" s="85" t="n">
        <v>45510</v>
      </c>
      <c r="E304" s="86" t="n">
        <v>0</v>
      </c>
      <c r="F304" s="86" t="n">
        <v>56809.92</v>
      </c>
      <c r="G304" s="86" t="n">
        <v>120595.1</v>
      </c>
      <c r="H304" s="86" t="inlineStr"/>
      <c r="I304" s="86" t="inlineStr">
        <is>
          <t>HSL</t>
        </is>
      </c>
      <c r="J304" s="86" t="inlineStr">
        <is>
          <t>HDFC Securities - Sell</t>
        </is>
      </c>
      <c r="K304" s="86" t="inlineStr">
        <is>
          <t>HDFC Securities</t>
        </is>
      </c>
      <c r="L304" s="32" t="n">
        <v>0.97</v>
      </c>
      <c r="M304" s="86" t="inlineStr">
        <is>
          <t>[MATCH]</t>
        </is>
      </c>
    </row>
    <row r="305">
      <c r="A305" s="83" t="n">
        <v>45510</v>
      </c>
      <c r="B305" s="84" t="inlineStr">
        <is>
          <t>NET PI TO HSL SEC A/C 523686-00602340029434</t>
        </is>
      </c>
      <c r="C305" s="84" t="inlineStr">
        <is>
          <t>0000000549494763</t>
        </is>
      </c>
      <c r="D305" s="83" t="n">
        <v>45510</v>
      </c>
      <c r="E305" s="84" t="n">
        <v>329.12</v>
      </c>
      <c r="F305" s="84" t="n">
        <v>0</v>
      </c>
      <c r="G305" s="84" t="n">
        <v>120265.98</v>
      </c>
      <c r="H305" s="84" t="inlineStr"/>
      <c r="I305" s="84" t="inlineStr">
        <is>
          <t>HSL</t>
        </is>
      </c>
      <c r="J305" s="84" t="inlineStr">
        <is>
          <t>HDFC Securities - Buy</t>
        </is>
      </c>
      <c r="K305" s="84" t="inlineStr">
        <is>
          <t>HDFC Securities</t>
        </is>
      </c>
      <c r="L305" s="32" t="n">
        <v>0.97</v>
      </c>
      <c r="M305" s="84" t="inlineStr">
        <is>
          <t>[MATCH]</t>
        </is>
      </c>
    </row>
    <row r="306">
      <c r="A306" s="93" t="n">
        <v>45510</v>
      </c>
      <c r="B306" s="94" t="inlineStr">
        <is>
          <t>NEFT CR-SBIN0000TBU-ITDTAX REFUND 2024-25 AKDPG7463Q-SUNITA GUPTA-SBIN524219475023</t>
        </is>
      </c>
      <c r="C306" s="94" t="inlineStr">
        <is>
          <t>SBIN524219475023</t>
        </is>
      </c>
      <c r="D306" s="93" t="n">
        <v>45510</v>
      </c>
      <c r="E306" s="94" t="n">
        <v>0</v>
      </c>
      <c r="F306" s="94" t="n">
        <v>45810</v>
      </c>
      <c r="G306" s="94" t="n">
        <v>166075.98</v>
      </c>
      <c r="H306" s="94" t="inlineStr"/>
      <c r="I306" s="94" t="inlineStr">
        <is>
          <t>Income Tax Refund</t>
        </is>
      </c>
      <c r="J306" s="94" t="inlineStr">
        <is>
          <t>Income Tax Refund</t>
        </is>
      </c>
      <c r="K306" s="94" t="inlineStr">
        <is>
          <t>Income Tax</t>
        </is>
      </c>
      <c r="L306" s="32" t="n">
        <v>0.95</v>
      </c>
      <c r="M306" s="94" t="inlineStr">
        <is>
          <t>[MATCH]</t>
        </is>
      </c>
    </row>
    <row r="307">
      <c r="A307" s="83" t="n">
        <v>45510</v>
      </c>
      <c r="B307" s="84" t="inlineStr">
        <is>
          <t>NET PI TO HSL SEC A/C 523686-00602340029434</t>
        </is>
      </c>
      <c r="C307" s="84" t="inlineStr">
        <is>
          <t>0000000549700186</t>
        </is>
      </c>
      <c r="D307" s="83" t="n">
        <v>45510</v>
      </c>
      <c r="E307" s="84" t="n">
        <v>28428.92</v>
      </c>
      <c r="F307" s="84" t="n">
        <v>0</v>
      </c>
      <c r="G307" s="84" t="n">
        <v>137647.06</v>
      </c>
      <c r="H307" s="84" t="inlineStr"/>
      <c r="I307" s="84" t="inlineStr">
        <is>
          <t>HSL</t>
        </is>
      </c>
      <c r="J307" s="84" t="inlineStr">
        <is>
          <t>HDFC Securities - Buy</t>
        </is>
      </c>
      <c r="K307" s="84" t="inlineStr">
        <is>
          <t>HDFC Securities</t>
        </is>
      </c>
      <c r="L307" s="32" t="n">
        <v>0.97</v>
      </c>
      <c r="M307" s="84" t="inlineStr">
        <is>
          <t>[MATCH]</t>
        </is>
      </c>
    </row>
    <row r="308">
      <c r="A308" s="42" t="n">
        <v>45511</v>
      </c>
      <c r="B308" s="43" t="inlineStr">
        <is>
          <t>ACH C- NFIL-00000000000003531754</t>
        </is>
      </c>
      <c r="C308" s="43" t="inlineStr">
        <is>
          <t>0000007006432220</t>
        </is>
      </c>
      <c r="D308" s="42" t="n">
        <v>45511</v>
      </c>
      <c r="E308" s="43" t="n">
        <v>0</v>
      </c>
      <c r="F308" s="43" t="n">
        <v>175</v>
      </c>
      <c r="G308" s="43" t="n">
        <v>137822.06</v>
      </c>
      <c r="H308" s="43" t="inlineStr"/>
      <c r="I308" s="43" t="inlineStr">
        <is>
          <t>Dividend Income</t>
        </is>
      </c>
      <c r="J308" s="43" t="inlineStr">
        <is>
          <t>Dividend Income</t>
        </is>
      </c>
      <c r="K308" s="43" t="inlineStr">
        <is>
          <t>Dividend Income</t>
        </is>
      </c>
      <c r="L308" s="32" t="n">
        <v>0.88</v>
      </c>
      <c r="M308" s="43" t="inlineStr">
        <is>
          <t>[MATCH]</t>
        </is>
      </c>
    </row>
    <row r="309">
      <c r="A309" s="83" t="n">
        <v>45511</v>
      </c>
      <c r="B309" s="84" t="inlineStr">
        <is>
          <t>NET PI TO HSL SEC A/C 523686-00602340029434</t>
        </is>
      </c>
      <c r="C309" s="84" t="inlineStr">
        <is>
          <t>0000000550072784</t>
        </is>
      </c>
      <c r="D309" s="83" t="n">
        <v>45511</v>
      </c>
      <c r="E309" s="84" t="n">
        <v>302.48</v>
      </c>
      <c r="F309" s="84" t="n">
        <v>0</v>
      </c>
      <c r="G309" s="84" t="n">
        <v>137519.58</v>
      </c>
      <c r="H309" s="84" t="inlineStr"/>
      <c r="I309" s="84" t="inlineStr">
        <is>
          <t>HSL</t>
        </is>
      </c>
      <c r="J309" s="84" t="inlineStr">
        <is>
          <t>HDFC Securities - Buy</t>
        </is>
      </c>
      <c r="K309" s="84" t="inlineStr">
        <is>
          <t>HDFC Securities</t>
        </is>
      </c>
      <c r="L309" s="32" t="n">
        <v>0.97</v>
      </c>
      <c r="M309" s="84" t="inlineStr">
        <is>
          <t>[MATCH]</t>
        </is>
      </c>
    </row>
    <row r="310">
      <c r="A310" s="83" t="n">
        <v>45511</v>
      </c>
      <c r="B310" s="84" t="inlineStr">
        <is>
          <t>NET PI TO HSL SEC A/C 523686-00602340029434</t>
        </is>
      </c>
      <c r="C310" s="84" t="inlineStr">
        <is>
          <t>0000000550208798</t>
        </is>
      </c>
      <c r="D310" s="83" t="n">
        <v>45511</v>
      </c>
      <c r="E310" s="84" t="n">
        <v>57623.28</v>
      </c>
      <c r="F310" s="84" t="n">
        <v>0</v>
      </c>
      <c r="G310" s="84" t="n">
        <v>79896.3</v>
      </c>
      <c r="H310" s="84" t="inlineStr"/>
      <c r="I310" s="84" t="inlineStr">
        <is>
          <t>HSL</t>
        </is>
      </c>
      <c r="J310" s="84" t="inlineStr">
        <is>
          <t>HDFC Securities - Buy</t>
        </is>
      </c>
      <c r="K310" s="84" t="inlineStr">
        <is>
          <t>HDFC Securities</t>
        </is>
      </c>
      <c r="L310" s="32" t="n">
        <v>0.97</v>
      </c>
      <c r="M310" s="84" t="inlineStr">
        <is>
          <t>[MATCH]</t>
        </is>
      </c>
    </row>
    <row r="311">
      <c r="A311" s="85" t="n">
        <v>45512</v>
      </c>
      <c r="B311" s="86" t="inlineStr">
        <is>
          <t>NET PO FROM HSL A/C 523686-50200085415108</t>
        </is>
      </c>
      <c r="C311" s="86" t="inlineStr">
        <is>
          <t>0000000550340675</t>
        </is>
      </c>
      <c r="D311" s="85" t="n">
        <v>45512</v>
      </c>
      <c r="E311" s="86" t="n">
        <v>0</v>
      </c>
      <c r="F311" s="86" t="n">
        <v>11098.7</v>
      </c>
      <c r="G311" s="86" t="n">
        <v>90995</v>
      </c>
      <c r="H311" s="86" t="inlineStr"/>
      <c r="I311" s="86" t="inlineStr">
        <is>
          <t>HSL</t>
        </is>
      </c>
      <c r="J311" s="86" t="inlineStr">
        <is>
          <t>HDFC Securities - Sell</t>
        </is>
      </c>
      <c r="K311" s="86" t="inlineStr">
        <is>
          <t>HDFC Securities</t>
        </is>
      </c>
      <c r="L311" s="32" t="n">
        <v>0.97</v>
      </c>
      <c r="M311" s="86" t="inlineStr">
        <is>
          <t>[MATCH]</t>
        </is>
      </c>
    </row>
    <row r="312">
      <c r="A312" s="83" t="n">
        <v>45512</v>
      </c>
      <c r="B312" s="84" t="inlineStr">
        <is>
          <t>NET PI TO HSL SEC A/C 523686-00602340029434</t>
        </is>
      </c>
      <c r="C312" s="84" t="inlineStr">
        <is>
          <t>0000000550475159</t>
        </is>
      </c>
      <c r="D312" s="83" t="n">
        <v>45512</v>
      </c>
      <c r="E312" s="84" t="n">
        <v>304.04</v>
      </c>
      <c r="F312" s="84" t="n">
        <v>0</v>
      </c>
      <c r="G312" s="84" t="n">
        <v>90690.96000000001</v>
      </c>
      <c r="H312" s="84" t="inlineStr"/>
      <c r="I312" s="84" t="inlineStr">
        <is>
          <t>HSL</t>
        </is>
      </c>
      <c r="J312" s="84" t="inlineStr">
        <is>
          <t>HDFC Securities - Buy</t>
        </is>
      </c>
      <c r="K312" s="84" t="inlineStr">
        <is>
          <t>HDFC Securities</t>
        </is>
      </c>
      <c r="L312" s="32" t="n">
        <v>0.97</v>
      </c>
      <c r="M312" s="84" t="inlineStr">
        <is>
          <t>[MATCH]</t>
        </is>
      </c>
    </row>
    <row r="313">
      <c r="A313" s="83" t="n">
        <v>45512</v>
      </c>
      <c r="B313" s="84" t="inlineStr">
        <is>
          <t>NET PI TO HSL SEC A/C 523686-00602340029434</t>
        </is>
      </c>
      <c r="C313" s="84" t="inlineStr">
        <is>
          <t>0000000550705331</t>
        </is>
      </c>
      <c r="D313" s="83" t="n">
        <v>45512</v>
      </c>
      <c r="E313" s="84" t="n">
        <v>7344.01</v>
      </c>
      <c r="F313" s="84" t="n">
        <v>0</v>
      </c>
      <c r="G313" s="84" t="n">
        <v>83346.95</v>
      </c>
      <c r="H313" s="84" t="inlineStr"/>
      <c r="I313" s="84" t="inlineStr">
        <is>
          <t>HSL</t>
        </is>
      </c>
      <c r="J313" s="84" t="inlineStr">
        <is>
          <t>HDFC Securities - Buy</t>
        </is>
      </c>
      <c r="K313" s="84" t="inlineStr">
        <is>
          <t>HDFC Securities</t>
        </is>
      </c>
      <c r="L313" s="32" t="n">
        <v>0.97</v>
      </c>
      <c r="M313" s="84" t="inlineStr">
        <is>
          <t>[MATCH]</t>
        </is>
      </c>
    </row>
    <row r="314">
      <c r="A314" s="33" t="n">
        <v>45513</v>
      </c>
      <c r="B314" s="34" t="inlineStr">
        <is>
          <t>NEFT CR-SBIN0004266-SBI GENERAL INSURANCE CO LTDSBI GEN-SUNITA GUPTA 0000000002717756-SBIN524222218819</t>
        </is>
      </c>
      <c r="C314" s="34" t="inlineStr">
        <is>
          <t>SBIN524222218819</t>
        </is>
      </c>
      <c r="D314" s="33" t="n">
        <v>45513</v>
      </c>
      <c r="E314" s="34" t="n">
        <v>0</v>
      </c>
      <c r="F314" s="34" t="n">
        <v>21546</v>
      </c>
      <c r="G314" s="34" t="n">
        <v>104892.95</v>
      </c>
      <c r="H314" s="34" t="inlineStr"/>
      <c r="I314" s="34" t="inlineStr">
        <is>
          <t>Rental Income</t>
        </is>
      </c>
      <c r="J314" s="34" t="inlineStr">
        <is>
          <t>Received - Sunita Gupta</t>
        </is>
      </c>
      <c r="K314" s="34" t="inlineStr">
        <is>
          <t>Sunita Gupta</t>
        </is>
      </c>
      <c r="L314" s="35" t="n">
        <v>0.88</v>
      </c>
      <c r="M314" s="34" t="inlineStr">
        <is>
          <t>[DIFF]</t>
        </is>
      </c>
    </row>
    <row r="315">
      <c r="A315" s="83" t="n">
        <v>45513</v>
      </c>
      <c r="B315" s="84" t="inlineStr">
        <is>
          <t>NET PI TO HSL SEC A/C 523686-00602340029434</t>
        </is>
      </c>
      <c r="C315" s="84" t="inlineStr">
        <is>
          <t>0000000550930582</t>
        </is>
      </c>
      <c r="D315" s="83" t="n">
        <v>45513</v>
      </c>
      <c r="E315" s="84" t="n">
        <v>305.46</v>
      </c>
      <c r="F315" s="84" t="n">
        <v>0</v>
      </c>
      <c r="G315" s="84" t="n">
        <v>104587.49</v>
      </c>
      <c r="H315" s="84" t="inlineStr"/>
      <c r="I315" s="84" t="inlineStr">
        <is>
          <t>HSL</t>
        </is>
      </c>
      <c r="J315" s="84" t="inlineStr">
        <is>
          <t>HDFC Securities - Buy</t>
        </is>
      </c>
      <c r="K315" s="84" t="inlineStr">
        <is>
          <t>HDFC Securities</t>
        </is>
      </c>
      <c r="L315" s="32" t="n">
        <v>0.97</v>
      </c>
      <c r="M315" s="84" t="inlineStr">
        <is>
          <t>[MATCH]</t>
        </is>
      </c>
    </row>
    <row r="316">
      <c r="A316" s="33" t="n">
        <v>45513</v>
      </c>
      <c r="B316" s="34" t="inlineStr">
        <is>
          <t>NEFT CR-SBIN0004266-SBI GENERAL INSURANCE CO LTDSBI GEN-SUNITA GUPTA 0000000002717756-SBIN124222221223</t>
        </is>
      </c>
      <c r="C316" s="34" t="inlineStr">
        <is>
          <t>SBIN124222221223</t>
        </is>
      </c>
      <c r="D316" s="33" t="n">
        <v>45513</v>
      </c>
      <c r="E316" s="34" t="n">
        <v>0</v>
      </c>
      <c r="F316" s="34" t="n">
        <v>29757</v>
      </c>
      <c r="G316" s="34" t="n">
        <v>134344.49</v>
      </c>
      <c r="H316" s="34" t="inlineStr"/>
      <c r="I316" s="34" t="inlineStr">
        <is>
          <t>Rental Income</t>
        </is>
      </c>
      <c r="J316" s="34" t="inlineStr">
        <is>
          <t>Received - Sunita Gupta</t>
        </is>
      </c>
      <c r="K316" s="34" t="inlineStr">
        <is>
          <t>Sunita Gupta</t>
        </is>
      </c>
      <c r="L316" s="35" t="n">
        <v>0.88</v>
      </c>
      <c r="M316" s="34" t="inlineStr">
        <is>
          <t>[DIFF]</t>
        </is>
      </c>
    </row>
    <row r="317">
      <c r="A317" s="85" t="n">
        <v>45516</v>
      </c>
      <c r="B317" s="86" t="inlineStr">
        <is>
          <t>NET PO FROM HSL A/C 523686-50200085415108</t>
        </is>
      </c>
      <c r="C317" s="86" t="inlineStr">
        <is>
          <t>0000000551230058</t>
        </is>
      </c>
      <c r="D317" s="85" t="n">
        <v>45516</v>
      </c>
      <c r="E317" s="86" t="n">
        <v>0</v>
      </c>
      <c r="F317" s="86" t="n">
        <v>2383.87</v>
      </c>
      <c r="G317" s="86" t="n">
        <v>136728.36</v>
      </c>
      <c r="H317" s="86" t="inlineStr"/>
      <c r="I317" s="86" t="inlineStr">
        <is>
          <t>HSL</t>
        </is>
      </c>
      <c r="J317" s="86" t="inlineStr">
        <is>
          <t>HDFC Securities - Sell</t>
        </is>
      </c>
      <c r="K317" s="86" t="inlineStr">
        <is>
          <t>HDFC Securities</t>
        </is>
      </c>
      <c r="L317" s="32" t="n">
        <v>0.97</v>
      </c>
      <c r="M317" s="86" t="inlineStr">
        <is>
          <t>[MATCH]</t>
        </is>
      </c>
    </row>
    <row r="318">
      <c r="A318" s="89" t="n">
        <v>45516</v>
      </c>
      <c r="B318" s="90" t="inlineStr">
        <is>
          <t>DEPOSITORY CHARGES JUL24 - 41060499</t>
        </is>
      </c>
      <c r="C318" s="90" t="inlineStr">
        <is>
          <t>000000000000000</t>
        </is>
      </c>
      <c r="D318" s="89" t="n">
        <v>45516</v>
      </c>
      <c r="E318" s="90" t="n">
        <v>1085.6</v>
      </c>
      <c r="F318" s="90" t="n">
        <v>0</v>
      </c>
      <c r="G318" s="90" t="n">
        <v>135642.76</v>
      </c>
      <c r="H318" s="90" t="inlineStr"/>
      <c r="I318" s="90" t="inlineStr">
        <is>
          <t>Depository Charges</t>
        </is>
      </c>
      <c r="J318" s="90" t="inlineStr">
        <is>
          <t>Depository Charges</t>
        </is>
      </c>
      <c r="K318" s="90" t="inlineStr">
        <is>
          <t>Depository Charges</t>
        </is>
      </c>
      <c r="L318" s="32" t="n">
        <v>0.93</v>
      </c>
      <c r="M318" s="90" t="inlineStr">
        <is>
          <t>[MATCH]</t>
        </is>
      </c>
    </row>
    <row r="319">
      <c r="A319" s="83" t="n">
        <v>45516</v>
      </c>
      <c r="B319" s="84" t="inlineStr">
        <is>
          <t>NET PI TO HSL SEC A/C 523686-00602340029434</t>
        </is>
      </c>
      <c r="C319" s="84" t="inlineStr">
        <is>
          <t>0000000551461856</t>
        </is>
      </c>
      <c r="D319" s="83" t="n">
        <v>45516</v>
      </c>
      <c r="E319" s="84" t="n">
        <v>916.38</v>
      </c>
      <c r="F319" s="84" t="n">
        <v>0</v>
      </c>
      <c r="G319" s="84" t="n">
        <v>134726.38</v>
      </c>
      <c r="H319" s="84" t="inlineStr"/>
      <c r="I319" s="84" t="inlineStr">
        <is>
          <t>HSL</t>
        </is>
      </c>
      <c r="J319" s="84" t="inlineStr">
        <is>
          <t>HDFC Securities - Buy</t>
        </is>
      </c>
      <c r="K319" s="84" t="inlineStr">
        <is>
          <t>HDFC Securities</t>
        </is>
      </c>
      <c r="L319" s="32" t="n">
        <v>0.97</v>
      </c>
      <c r="M319" s="84" t="inlineStr">
        <is>
          <t>[MATCH]</t>
        </is>
      </c>
    </row>
    <row r="320">
      <c r="A320" s="42" t="n">
        <v>45516</v>
      </c>
      <c r="B320" s="43" t="inlineStr">
        <is>
          <t>ACH C- DABUR INDIA LIMITED-8600449</t>
        </is>
      </c>
      <c r="C320" s="43" t="inlineStr">
        <is>
          <t>0000007325386692</t>
        </is>
      </c>
      <c r="D320" s="42" t="n">
        <v>45516</v>
      </c>
      <c r="E320" s="43" t="n">
        <v>0</v>
      </c>
      <c r="F320" s="43" t="n">
        <v>206.25</v>
      </c>
      <c r="G320" s="43" t="n">
        <v>134932.63</v>
      </c>
      <c r="H320" s="43" t="inlineStr"/>
      <c r="I320" s="43" t="inlineStr">
        <is>
          <t>Dividend Income</t>
        </is>
      </c>
      <c r="J320" s="43" t="inlineStr">
        <is>
          <t>Dividend Income</t>
        </is>
      </c>
      <c r="K320" s="43" t="inlineStr">
        <is>
          <t>Dividend Income</t>
        </is>
      </c>
      <c r="L320" s="32" t="n">
        <v>0.88</v>
      </c>
      <c r="M320" s="43" t="inlineStr">
        <is>
          <t>[MATCH]</t>
        </is>
      </c>
    </row>
    <row r="321">
      <c r="A321" s="83" t="n">
        <v>45516</v>
      </c>
      <c r="B321" s="84" t="inlineStr">
        <is>
          <t>NET PI TO HSL SEC A/C 523686-00602340029434</t>
        </is>
      </c>
      <c r="C321" s="84" t="inlineStr">
        <is>
          <t>0000000551587104</t>
        </is>
      </c>
      <c r="D321" s="83" t="n">
        <v>45516</v>
      </c>
      <c r="E321" s="84" t="n">
        <v>15357.07</v>
      </c>
      <c r="F321" s="84" t="n">
        <v>0</v>
      </c>
      <c r="G321" s="84" t="n">
        <v>119575.56</v>
      </c>
      <c r="H321" s="84" t="inlineStr"/>
      <c r="I321" s="84" t="inlineStr">
        <is>
          <t>HSL</t>
        </is>
      </c>
      <c r="J321" s="84" t="inlineStr">
        <is>
          <t>HDFC Securities - Buy</t>
        </is>
      </c>
      <c r="K321" s="84" t="inlineStr">
        <is>
          <t>HDFC Securities</t>
        </is>
      </c>
      <c r="L321" s="32" t="n">
        <v>0.97</v>
      </c>
      <c r="M321" s="84" t="inlineStr">
        <is>
          <t>[MATCH]</t>
        </is>
      </c>
    </row>
    <row r="322">
      <c r="A322" s="83" t="n">
        <v>45516</v>
      </c>
      <c r="B322" s="84" t="inlineStr">
        <is>
          <t>NET PI TO HSL SEC A/C 523686-00602340029434</t>
        </is>
      </c>
      <c r="C322" s="84" t="inlineStr">
        <is>
          <t>0000000551658198</t>
        </is>
      </c>
      <c r="D322" s="83" t="n">
        <v>45516</v>
      </c>
      <c r="E322" s="84" t="n">
        <v>10959.09</v>
      </c>
      <c r="F322" s="84" t="n">
        <v>0</v>
      </c>
      <c r="G322" s="84" t="n">
        <v>108616.47</v>
      </c>
      <c r="H322" s="84" t="inlineStr"/>
      <c r="I322" s="84" t="inlineStr">
        <is>
          <t>HSL</t>
        </is>
      </c>
      <c r="J322" s="84" t="inlineStr">
        <is>
          <t>HDFC Securities - Buy</t>
        </is>
      </c>
      <c r="K322" s="84" t="inlineStr">
        <is>
          <t>HDFC Securities</t>
        </is>
      </c>
      <c r="L322" s="32" t="n">
        <v>0.97</v>
      </c>
      <c r="M322" s="84" t="inlineStr">
        <is>
          <t>[MATCH]</t>
        </is>
      </c>
    </row>
    <row r="323">
      <c r="A323" s="83" t="n">
        <v>45517</v>
      </c>
      <c r="B323" s="84" t="inlineStr">
        <is>
          <t>NET PI TO HSL SEC A/C 523686-00602340029434</t>
        </is>
      </c>
      <c r="C323" s="84" t="inlineStr">
        <is>
          <t>0000000551931267</t>
        </is>
      </c>
      <c r="D323" s="83" t="n">
        <v>45517</v>
      </c>
      <c r="E323" s="84" t="n">
        <v>302.4</v>
      </c>
      <c r="F323" s="84" t="n">
        <v>0</v>
      </c>
      <c r="G323" s="84" t="n">
        <v>108314.07</v>
      </c>
      <c r="H323" s="84" t="inlineStr"/>
      <c r="I323" s="84" t="inlineStr">
        <is>
          <t>HSL</t>
        </is>
      </c>
      <c r="J323" s="84" t="inlineStr">
        <is>
          <t>HDFC Securities - Buy</t>
        </is>
      </c>
      <c r="K323" s="84" t="inlineStr">
        <is>
          <t>HDFC Securities</t>
        </is>
      </c>
      <c r="L323" s="32" t="n">
        <v>0.97</v>
      </c>
      <c r="M323" s="84" t="inlineStr">
        <is>
          <t>[MATCH]</t>
        </is>
      </c>
    </row>
    <row r="324">
      <c r="A324" s="83" t="n">
        <v>45517</v>
      </c>
      <c r="B324" s="84" t="inlineStr">
        <is>
          <t>NET PI TO HSL SEC A/C 523686-00602340029434</t>
        </is>
      </c>
      <c r="C324" s="84" t="inlineStr">
        <is>
          <t>0000000552157806</t>
        </is>
      </c>
      <c r="D324" s="83" t="n">
        <v>45517</v>
      </c>
      <c r="E324" s="84" t="n">
        <v>15948.05</v>
      </c>
      <c r="F324" s="84" t="n">
        <v>0</v>
      </c>
      <c r="G324" s="84" t="n">
        <v>92366.02</v>
      </c>
      <c r="H324" s="84" t="inlineStr"/>
      <c r="I324" s="84" t="inlineStr">
        <is>
          <t>HSL</t>
        </is>
      </c>
      <c r="J324" s="84" t="inlineStr">
        <is>
          <t>HDFC Securities - Buy</t>
        </is>
      </c>
      <c r="K324" s="84" t="inlineStr">
        <is>
          <t>HDFC Securities</t>
        </is>
      </c>
      <c r="L324" s="32" t="n">
        <v>0.97</v>
      </c>
      <c r="M324" s="84" t="inlineStr">
        <is>
          <t>[MATCH]</t>
        </is>
      </c>
    </row>
    <row r="325">
      <c r="A325" s="83" t="n">
        <v>45518</v>
      </c>
      <c r="B325" s="84" t="inlineStr">
        <is>
          <t>NET PI TO HSL SEC A/C 523686-00602340029434</t>
        </is>
      </c>
      <c r="C325" s="84" t="inlineStr">
        <is>
          <t>0000000552435534</t>
        </is>
      </c>
      <c r="D325" s="83" t="n">
        <v>45518</v>
      </c>
      <c r="E325" s="84" t="n">
        <v>296.72</v>
      </c>
      <c r="F325" s="84" t="n">
        <v>0</v>
      </c>
      <c r="G325" s="84" t="n">
        <v>92069.3</v>
      </c>
      <c r="H325" s="84" t="inlineStr"/>
      <c r="I325" s="84" t="inlineStr">
        <is>
          <t>HSL</t>
        </is>
      </c>
      <c r="J325" s="84" t="inlineStr">
        <is>
          <t>HDFC Securities - Buy</t>
        </is>
      </c>
      <c r="K325" s="84" t="inlineStr">
        <is>
          <t>HDFC Securities</t>
        </is>
      </c>
      <c r="L325" s="32" t="n">
        <v>0.97</v>
      </c>
      <c r="M325" s="84" t="inlineStr">
        <is>
          <t>[MATCH]</t>
        </is>
      </c>
    </row>
    <row r="326">
      <c r="A326" s="83" t="n">
        <v>45518</v>
      </c>
      <c r="B326" s="84" t="inlineStr">
        <is>
          <t>NET PI TO HSL SEC A/C 523686-00602340029434</t>
        </is>
      </c>
      <c r="C326" s="84" t="inlineStr">
        <is>
          <t>0000000552527534</t>
        </is>
      </c>
      <c r="D326" s="83" t="n">
        <v>45518</v>
      </c>
      <c r="E326" s="84" t="n">
        <v>7437.78</v>
      </c>
      <c r="F326" s="84" t="n">
        <v>0</v>
      </c>
      <c r="G326" s="84" t="n">
        <v>84631.52</v>
      </c>
      <c r="H326" s="84" t="inlineStr"/>
      <c r="I326" s="84" t="inlineStr">
        <is>
          <t>HSL</t>
        </is>
      </c>
      <c r="J326" s="84" t="inlineStr">
        <is>
          <t>HDFC Securities - Buy</t>
        </is>
      </c>
      <c r="K326" s="84" t="inlineStr">
        <is>
          <t>HDFC Securities</t>
        </is>
      </c>
      <c r="L326" s="32" t="n">
        <v>0.97</v>
      </c>
      <c r="M326" s="84" t="inlineStr">
        <is>
          <t>[MATCH]</t>
        </is>
      </c>
    </row>
    <row r="327">
      <c r="A327" s="83" t="n">
        <v>45518</v>
      </c>
      <c r="B327" s="84" t="inlineStr">
        <is>
          <t>NET PI TO HSL SEC A/C 523686-00602340029434</t>
        </is>
      </c>
      <c r="C327" s="84" t="inlineStr">
        <is>
          <t>0000000552608973</t>
        </is>
      </c>
      <c r="D327" s="83" t="n">
        <v>45518</v>
      </c>
      <c r="E327" s="84" t="n">
        <v>11570.08</v>
      </c>
      <c r="F327" s="84" t="n">
        <v>0</v>
      </c>
      <c r="G327" s="84" t="n">
        <v>73061.44</v>
      </c>
      <c r="H327" s="84" t="inlineStr"/>
      <c r="I327" s="84" t="inlineStr">
        <is>
          <t>HSL</t>
        </is>
      </c>
      <c r="J327" s="84" t="inlineStr">
        <is>
          <t>HDFC Securities - Buy</t>
        </is>
      </c>
      <c r="K327" s="84" t="inlineStr">
        <is>
          <t>HDFC Securities</t>
        </is>
      </c>
      <c r="L327" s="32" t="n">
        <v>0.97</v>
      </c>
      <c r="M327" s="84" t="inlineStr">
        <is>
          <t>[MATCH]</t>
        </is>
      </c>
    </row>
    <row r="328">
      <c r="A328" s="85" t="n">
        <v>45520</v>
      </c>
      <c r="B328" s="86" t="inlineStr">
        <is>
          <t>NET PO FROM HSL A/C 523686-50200085415108</t>
        </is>
      </c>
      <c r="C328" s="86" t="inlineStr">
        <is>
          <t>0000000552747093</t>
        </is>
      </c>
      <c r="D328" s="85" t="n">
        <v>45520</v>
      </c>
      <c r="E328" s="86" t="n">
        <v>0</v>
      </c>
      <c r="F328" s="86" t="n">
        <v>237.12</v>
      </c>
      <c r="G328" s="86" t="n">
        <v>73298.56</v>
      </c>
      <c r="H328" s="86" t="inlineStr"/>
      <c r="I328" s="86" t="inlineStr">
        <is>
          <t>HSL</t>
        </is>
      </c>
      <c r="J328" s="86" t="inlineStr">
        <is>
          <t>HDFC Securities - Sell</t>
        </is>
      </c>
      <c r="K328" s="86" t="inlineStr">
        <is>
          <t>HDFC Securities</t>
        </is>
      </c>
      <c r="L328" s="32" t="n">
        <v>0.97</v>
      </c>
      <c r="M328" s="86" t="inlineStr">
        <is>
          <t>[MATCH]</t>
        </is>
      </c>
    </row>
    <row r="329">
      <c r="A329" s="28" t="n">
        <v>45520</v>
      </c>
      <c r="B329" s="29" t="inlineStr">
        <is>
          <t>ACH D- INDIAN CLEARING CORP-P25847643X05</t>
        </is>
      </c>
      <c r="C329" s="29" t="inlineStr">
        <is>
          <t>0000007436414035</t>
        </is>
      </c>
      <c r="D329" s="28" t="n">
        <v>45520</v>
      </c>
      <c r="E329" s="29" t="n">
        <v>5000</v>
      </c>
      <c r="F329" s="29" t="n">
        <v>0</v>
      </c>
      <c r="G329" s="29" t="n">
        <v>68298.56</v>
      </c>
      <c r="H329" s="29" t="inlineStr"/>
      <c r="I329" s="29" t="inlineStr">
        <is>
          <t>SIP  - 5000</t>
        </is>
      </c>
      <c r="J329" s="29" t="inlineStr">
        <is>
          <t>MF Investment</t>
        </is>
      </c>
      <c r="K329" s="29" t="inlineStr">
        <is>
          <t>Mutual_Fund_Investments</t>
        </is>
      </c>
      <c r="L329" s="35" t="n">
        <v>0.92</v>
      </c>
      <c r="M329" s="29" t="inlineStr">
        <is>
          <t>[DIFF]</t>
        </is>
      </c>
    </row>
    <row r="330">
      <c r="A330" s="83" t="n">
        <v>45520</v>
      </c>
      <c r="B330" s="84" t="inlineStr">
        <is>
          <t>NET PI TO HSL SEC A/C 523686-00602340029434</t>
        </is>
      </c>
      <c r="C330" s="84" t="inlineStr">
        <is>
          <t>0000000552934696</t>
        </is>
      </c>
      <c r="D330" s="83" t="n">
        <v>45520</v>
      </c>
      <c r="E330" s="84" t="n">
        <v>594.5599999999999</v>
      </c>
      <c r="F330" s="84" t="n">
        <v>0</v>
      </c>
      <c r="G330" s="84" t="n">
        <v>67704</v>
      </c>
      <c r="H330" s="84" t="inlineStr"/>
      <c r="I330" s="84" t="inlineStr">
        <is>
          <t>HSL</t>
        </is>
      </c>
      <c r="J330" s="84" t="inlineStr">
        <is>
          <t>HDFC Securities - Buy</t>
        </is>
      </c>
      <c r="K330" s="84" t="inlineStr">
        <is>
          <t>HDFC Securities</t>
        </is>
      </c>
      <c r="L330" s="32" t="n">
        <v>0.97</v>
      </c>
      <c r="M330" s="84" t="inlineStr">
        <is>
          <t>[MATCH]</t>
        </is>
      </c>
    </row>
    <row r="331">
      <c r="A331" s="42" t="n">
        <v>45520</v>
      </c>
      <c r="B331" s="43" t="inlineStr">
        <is>
          <t>ACH C- COFORGE LTD-100452</t>
        </is>
      </c>
      <c r="C331" s="43" t="inlineStr">
        <is>
          <t>0000007481452514</t>
        </is>
      </c>
      <c r="D331" s="42" t="n">
        <v>45520</v>
      </c>
      <c r="E331" s="43" t="n">
        <v>0</v>
      </c>
      <c r="F331" s="43" t="n">
        <v>627</v>
      </c>
      <c r="G331" s="43" t="n">
        <v>68331</v>
      </c>
      <c r="H331" s="43" t="inlineStr"/>
      <c r="I331" s="43" t="inlineStr">
        <is>
          <t>Dividend Income</t>
        </is>
      </c>
      <c r="J331" s="43" t="inlineStr">
        <is>
          <t>Dividend Income</t>
        </is>
      </c>
      <c r="K331" s="43" t="inlineStr">
        <is>
          <t>Dividend Income</t>
        </is>
      </c>
      <c r="L331" s="32" t="n">
        <v>0.88</v>
      </c>
      <c r="M331" s="43" t="inlineStr">
        <is>
          <t>[MATCH]</t>
        </is>
      </c>
    </row>
    <row r="332">
      <c r="A332" s="42" t="n">
        <v>45520</v>
      </c>
      <c r="B332" s="43" t="inlineStr">
        <is>
          <t>ACH C- ULTRATECHCEMENTLTD-00000000000004</t>
        </is>
      </c>
      <c r="C332" s="43" t="inlineStr">
        <is>
          <t>0000007046732229</t>
        </is>
      </c>
      <c r="D332" s="42" t="n">
        <v>45520</v>
      </c>
      <c r="E332" s="43" t="n">
        <v>0</v>
      </c>
      <c r="F332" s="43" t="n">
        <v>1190</v>
      </c>
      <c r="G332" s="43" t="n">
        <v>69521</v>
      </c>
      <c r="H332" s="43" t="inlineStr"/>
      <c r="I332" s="43" t="inlineStr">
        <is>
          <t>Dividend Income</t>
        </is>
      </c>
      <c r="J332" s="43" t="inlineStr">
        <is>
          <t>Dividend Income</t>
        </is>
      </c>
      <c r="K332" s="43" t="inlineStr">
        <is>
          <t>Dividend Income</t>
        </is>
      </c>
      <c r="L332" s="32" t="n">
        <v>0.88</v>
      </c>
      <c r="M332" s="43" t="inlineStr">
        <is>
          <t>[MATCH]</t>
        </is>
      </c>
    </row>
    <row r="333">
      <c r="A333" s="42" t="n">
        <v>45520</v>
      </c>
      <c r="B333" s="43" t="inlineStr">
        <is>
          <t>ACH C- DIVISLABORATORIES-000000000000033</t>
        </is>
      </c>
      <c r="C333" s="43" t="inlineStr">
        <is>
          <t>0000007121401229</t>
        </is>
      </c>
      <c r="D333" s="42" t="n">
        <v>45520</v>
      </c>
      <c r="E333" s="43" t="n">
        <v>0</v>
      </c>
      <c r="F333" s="43" t="n">
        <v>330</v>
      </c>
      <c r="G333" s="43" t="n">
        <v>69851</v>
      </c>
      <c r="H333" s="43" t="inlineStr"/>
      <c r="I333" s="43" t="inlineStr">
        <is>
          <t>Dividend Income</t>
        </is>
      </c>
      <c r="J333" s="43" t="inlineStr">
        <is>
          <t>Dividend Income</t>
        </is>
      </c>
      <c r="K333" s="43" t="inlineStr">
        <is>
          <t>Dividend Income</t>
        </is>
      </c>
      <c r="L333" s="32" t="n">
        <v>0.88</v>
      </c>
      <c r="M333" s="43" t="inlineStr">
        <is>
          <t>[MATCH]</t>
        </is>
      </c>
    </row>
    <row r="334">
      <c r="A334" s="38" t="n">
        <v>45521</v>
      </c>
      <c r="B334" s="39" t="inlineStr">
        <is>
          <t>ISAQMC-APR-JUN24-323600 230724-MIR2522961261616</t>
        </is>
      </c>
      <c r="C334" s="39" t="inlineStr">
        <is>
          <t>MIR2522961261616</t>
        </is>
      </c>
      <c r="D334" s="38" t="n">
        <v>45521</v>
      </c>
      <c r="E334" s="39" t="n">
        <v>295</v>
      </c>
      <c r="F334" s="39" t="n">
        <v>0</v>
      </c>
      <c r="G334" s="39" t="n">
        <v>69556</v>
      </c>
      <c r="H334" s="39" t="inlineStr"/>
      <c r="I334" s="39" t="inlineStr">
        <is>
          <t>Bank Charges</t>
        </is>
      </c>
      <c r="J334" s="39" t="inlineStr">
        <is>
          <t>Bank Charges</t>
        </is>
      </c>
      <c r="K334" s="39" t="inlineStr">
        <is>
          <t>Bank Charges</t>
        </is>
      </c>
      <c r="L334" s="32" t="n">
        <v>0.9</v>
      </c>
      <c r="M334" s="39" t="inlineStr">
        <is>
          <t>[MATCH]</t>
        </is>
      </c>
    </row>
    <row r="335">
      <c r="A335" s="85" t="n">
        <v>45523</v>
      </c>
      <c r="B335" s="86" t="inlineStr">
        <is>
          <t>NET PO FROM HSL A/C 523686-50200085415108</t>
        </is>
      </c>
      <c r="C335" s="86" t="inlineStr">
        <is>
          <t>0000000553203102</t>
        </is>
      </c>
      <c r="D335" s="85" t="n">
        <v>45523</v>
      </c>
      <c r="E335" s="86" t="n">
        <v>0</v>
      </c>
      <c r="F335" s="86" t="n">
        <v>13649.2</v>
      </c>
      <c r="G335" s="86" t="n">
        <v>83205.2</v>
      </c>
      <c r="H335" s="86" t="inlineStr"/>
      <c r="I335" s="86" t="inlineStr">
        <is>
          <t>HSL</t>
        </is>
      </c>
      <c r="J335" s="86" t="inlineStr">
        <is>
          <t>HDFC Securities - Sell</t>
        </is>
      </c>
      <c r="K335" s="86" t="inlineStr">
        <is>
          <t>HDFC Securities</t>
        </is>
      </c>
      <c r="L335" s="32" t="n">
        <v>0.97</v>
      </c>
      <c r="M335" s="86" t="inlineStr">
        <is>
          <t>[MATCH]</t>
        </is>
      </c>
    </row>
    <row r="336">
      <c r="A336" s="83" t="n">
        <v>45523</v>
      </c>
      <c r="B336" s="84" t="inlineStr">
        <is>
          <t>NET PI TO HSL SEC A/C 523686-00602340029434</t>
        </is>
      </c>
      <c r="C336" s="84" t="inlineStr">
        <is>
          <t>0000000553401436</t>
        </is>
      </c>
      <c r="D336" s="83" t="n">
        <v>45523</v>
      </c>
      <c r="E336" s="84" t="n">
        <v>891.84</v>
      </c>
      <c r="F336" s="84" t="n">
        <v>0</v>
      </c>
      <c r="G336" s="84" t="n">
        <v>82313.36</v>
      </c>
      <c r="H336" s="84" t="inlineStr"/>
      <c r="I336" s="84" t="inlineStr">
        <is>
          <t>HSL</t>
        </is>
      </c>
      <c r="J336" s="84" t="inlineStr">
        <is>
          <t>HDFC Securities - Buy</t>
        </is>
      </c>
      <c r="K336" s="84" t="inlineStr">
        <is>
          <t>HDFC Securities</t>
        </is>
      </c>
      <c r="L336" s="32" t="n">
        <v>0.97</v>
      </c>
      <c r="M336" s="84" t="inlineStr">
        <is>
          <t>[MATCH]</t>
        </is>
      </c>
    </row>
    <row r="337">
      <c r="A337" s="48" t="n">
        <v>45523</v>
      </c>
      <c r="B337" s="49" t="inlineStr">
        <is>
          <t>UPI-BHARAT SHIVAJI SALVE-Q693795930@YBL-YESB0YBLUPI-459804001805-VEGITABLE</t>
        </is>
      </c>
      <c r="C337" s="49" t="inlineStr">
        <is>
          <t>0000459804001805</t>
        </is>
      </c>
      <c r="D337" s="48" t="n">
        <v>45523</v>
      </c>
      <c r="E337" s="49" t="n">
        <v>290</v>
      </c>
      <c r="F337" s="49" t="n">
        <v>0</v>
      </c>
      <c r="G337" s="49" t="n">
        <v>82023.36</v>
      </c>
      <c r="H337" s="49" t="inlineStr">
        <is>
          <t>Bharat Shivaji Salve</t>
        </is>
      </c>
      <c r="I337" s="49" t="inlineStr">
        <is>
          <t>UPI</t>
        </is>
      </c>
      <c r="J337" s="49" t="inlineStr">
        <is>
          <t>UPI Payment</t>
        </is>
      </c>
      <c r="K337" s="49" t="inlineStr">
        <is>
          <t>Personal</t>
        </is>
      </c>
      <c r="L337" s="50" t="n">
        <v>0.55</v>
      </c>
      <c r="M337" s="49" t="inlineStr">
        <is>
          <t>[MATCH]</t>
        </is>
      </c>
    </row>
    <row r="338">
      <c r="A338" s="28" t="n">
        <v>45523</v>
      </c>
      <c r="B338" s="29" t="inlineStr">
        <is>
          <t>YHDF2417946248/BILLDKTHECALCUTTAELE</t>
        </is>
      </c>
      <c r="C338" s="29" t="inlineStr">
        <is>
          <t>0002423259470626</t>
        </is>
      </c>
      <c r="D338" s="28" t="n">
        <v>45523</v>
      </c>
      <c r="E338" s="29" t="n">
        <v>17805</v>
      </c>
      <c r="F338" s="29" t="n">
        <v>0</v>
      </c>
      <c r="G338" s="29" t="n">
        <v>64218.36</v>
      </c>
      <c r="H338" s="29" t="inlineStr"/>
      <c r="I338" s="29" t="inlineStr">
        <is>
          <t>Electricity Bill</t>
        </is>
      </c>
      <c r="J338" s="29" t="inlineStr">
        <is>
          <t>SIP</t>
        </is>
      </c>
      <c r="K338" s="29" t="inlineStr">
        <is>
          <t>SIP</t>
        </is>
      </c>
      <c r="L338" s="35" t="n">
        <v>0.9</v>
      </c>
      <c r="M338" s="29" t="inlineStr">
        <is>
          <t>[DIFF]</t>
        </is>
      </c>
    </row>
    <row r="339">
      <c r="A339" s="83" t="n">
        <v>45523</v>
      </c>
      <c r="B339" s="84" t="inlineStr">
        <is>
          <t>NET PI TO HSL SEC A/C 523686-00602340029434</t>
        </is>
      </c>
      <c r="C339" s="84" t="inlineStr">
        <is>
          <t>0000000553549010</t>
        </is>
      </c>
      <c r="D339" s="83" t="n">
        <v>45523</v>
      </c>
      <c r="E339" s="84" t="n">
        <v>1362.77</v>
      </c>
      <c r="F339" s="84" t="n">
        <v>0</v>
      </c>
      <c r="G339" s="84" t="n">
        <v>62855.59</v>
      </c>
      <c r="H339" s="84" t="inlineStr"/>
      <c r="I339" s="84" t="inlineStr">
        <is>
          <t>HSL</t>
        </is>
      </c>
      <c r="J339" s="84" t="inlineStr">
        <is>
          <t>HDFC Securities - Buy</t>
        </is>
      </c>
      <c r="K339" s="84" t="inlineStr">
        <is>
          <t>HDFC Securities</t>
        </is>
      </c>
      <c r="L339" s="32" t="n">
        <v>0.97</v>
      </c>
      <c r="M339" s="84" t="inlineStr">
        <is>
          <t>[MATCH]</t>
        </is>
      </c>
    </row>
    <row r="340">
      <c r="A340" s="85" t="n">
        <v>45524</v>
      </c>
      <c r="B340" s="86" t="inlineStr">
        <is>
          <t>NET PO FROM HSL A/C 523686-50200085415108</t>
        </is>
      </c>
      <c r="C340" s="86" t="inlineStr">
        <is>
          <t>0000000553719337</t>
        </is>
      </c>
      <c r="D340" s="85" t="n">
        <v>45524</v>
      </c>
      <c r="E340" s="86" t="n">
        <v>0</v>
      </c>
      <c r="F340" s="86" t="n">
        <v>87679.60000000001</v>
      </c>
      <c r="G340" s="86" t="n">
        <v>150535.19</v>
      </c>
      <c r="H340" s="86" t="inlineStr"/>
      <c r="I340" s="86" t="inlineStr">
        <is>
          <t>HSL</t>
        </is>
      </c>
      <c r="J340" s="86" t="inlineStr">
        <is>
          <t>HDFC Securities - Sell</t>
        </is>
      </c>
      <c r="K340" s="86" t="inlineStr">
        <is>
          <t>HDFC Securities</t>
        </is>
      </c>
      <c r="L340" s="32" t="n">
        <v>0.97</v>
      </c>
      <c r="M340" s="86" t="inlineStr">
        <is>
          <t>[MATCH]</t>
        </is>
      </c>
    </row>
    <row r="341">
      <c r="A341" s="95" t="n">
        <v>45524</v>
      </c>
      <c r="B341" s="96" t="inlineStr">
        <is>
          <t>UPI-OM SUPAR SHOPI-PAYTMQR1BM2V0ZITY@PAYTM-YESB0PTMUPI-423376646504-CHACH</t>
        </is>
      </c>
      <c r="C341" s="96" t="inlineStr">
        <is>
          <t>0000423376646504</t>
        </is>
      </c>
      <c r="D341" s="95" t="n">
        <v>45524</v>
      </c>
      <c r="E341" s="96" t="n">
        <v>18</v>
      </c>
      <c r="F341" s="96" t="n">
        <v>0</v>
      </c>
      <c r="G341" s="96" t="n">
        <v>150517.19</v>
      </c>
      <c r="H341" s="96" t="inlineStr"/>
      <c r="I341" s="96" t="inlineStr">
        <is>
          <t>UPI</t>
        </is>
      </c>
      <c r="J341" s="96" t="inlineStr">
        <is>
          <t>UPI - Paytm</t>
        </is>
      </c>
      <c r="K341" s="96" t="inlineStr">
        <is>
          <t>Personal</t>
        </is>
      </c>
      <c r="L341" s="53" t="n">
        <v>0.65</v>
      </c>
      <c r="M341" s="96" t="inlineStr">
        <is>
          <t>[MATCH]</t>
        </is>
      </c>
    </row>
    <row r="342">
      <c r="A342" s="51" t="n">
        <v>45524</v>
      </c>
      <c r="B342" s="52" t="inlineStr">
        <is>
          <t>UPI-BHARAT SHIVAJI SALVE-Q275219389@YBL-YESB0YBLUPI-459917741143-FRUIT</t>
        </is>
      </c>
      <c r="C342" s="52" t="inlineStr">
        <is>
          <t>0000459917741143</t>
        </is>
      </c>
      <c r="D342" s="51" t="n">
        <v>45524</v>
      </c>
      <c r="E342" s="52" t="n">
        <v>300</v>
      </c>
      <c r="F342" s="52" t="n">
        <v>0</v>
      </c>
      <c r="G342" s="52" t="n">
        <v>150217.19</v>
      </c>
      <c r="H342" s="52" t="inlineStr"/>
      <c r="I342" s="52" t="inlineStr">
        <is>
          <t>UPI</t>
        </is>
      </c>
      <c r="J342" s="52" t="inlineStr">
        <is>
          <t>UPI - Fresh Produce</t>
        </is>
      </c>
      <c r="K342" s="52" t="inlineStr">
        <is>
          <t>Groceries</t>
        </is>
      </c>
      <c r="L342" s="53" t="n">
        <v>0.82</v>
      </c>
      <c r="M342" s="52" t="inlineStr">
        <is>
          <t>[MATCH]</t>
        </is>
      </c>
    </row>
    <row r="343">
      <c r="A343" s="83" t="n">
        <v>45524</v>
      </c>
      <c r="B343" s="84" t="inlineStr">
        <is>
          <t>NET PI TO HSL SEC A/C 523686-00602340029434</t>
        </is>
      </c>
      <c r="C343" s="84" t="inlineStr">
        <is>
          <t>0000000553854506</t>
        </is>
      </c>
      <c r="D343" s="83" t="n">
        <v>45524</v>
      </c>
      <c r="E343" s="84" t="n">
        <v>279.69</v>
      </c>
      <c r="F343" s="84" t="n">
        <v>0</v>
      </c>
      <c r="G343" s="84" t="n">
        <v>149937.5</v>
      </c>
      <c r="H343" s="84" t="inlineStr"/>
      <c r="I343" s="84" t="inlineStr">
        <is>
          <t>HSL</t>
        </is>
      </c>
      <c r="J343" s="84" t="inlineStr">
        <is>
          <t>HDFC Securities - Buy</t>
        </is>
      </c>
      <c r="K343" s="84" t="inlineStr">
        <is>
          <t>HDFC Securities</t>
        </is>
      </c>
      <c r="L343" s="32" t="n">
        <v>0.97</v>
      </c>
      <c r="M343" s="84" t="inlineStr">
        <is>
          <t>[MATCH]</t>
        </is>
      </c>
    </row>
    <row r="344">
      <c r="A344" s="48" t="n">
        <v>45524</v>
      </c>
      <c r="B344" s="49" t="inlineStr">
        <is>
          <t>UPI-KUNAL RAMESH JADHAV-Q579080630@YBL-YESB0YBLUPI-459947687018-BUKE</t>
        </is>
      </c>
      <c r="C344" s="49" t="inlineStr">
        <is>
          <t>0000459947687018</t>
        </is>
      </c>
      <c r="D344" s="48" t="n">
        <v>45524</v>
      </c>
      <c r="E344" s="49" t="n">
        <v>130</v>
      </c>
      <c r="F344" s="49" t="n">
        <v>0</v>
      </c>
      <c r="G344" s="49" t="n">
        <v>149807.5</v>
      </c>
      <c r="H344" s="49" t="inlineStr">
        <is>
          <t>Kunal Ramesh Jadhav</t>
        </is>
      </c>
      <c r="I344" s="49" t="inlineStr">
        <is>
          <t>UPI</t>
        </is>
      </c>
      <c r="J344" s="49" t="inlineStr">
        <is>
          <t>UPI Payment</t>
        </is>
      </c>
      <c r="K344" s="49" t="inlineStr">
        <is>
          <t>Personal</t>
        </is>
      </c>
      <c r="L344" s="50" t="n">
        <v>0.55</v>
      </c>
      <c r="M344" s="49" t="inlineStr">
        <is>
          <t>[MATCH]</t>
        </is>
      </c>
    </row>
    <row r="345">
      <c r="A345" s="85" t="n">
        <v>45525</v>
      </c>
      <c r="B345" s="86" t="inlineStr">
        <is>
          <t>NET PO FROM HSL A/C 523686-50200085415108</t>
        </is>
      </c>
      <c r="C345" s="86" t="inlineStr">
        <is>
          <t>0000000554118937</t>
        </is>
      </c>
      <c r="D345" s="85" t="n">
        <v>45525</v>
      </c>
      <c r="E345" s="86" t="n">
        <v>0</v>
      </c>
      <c r="F345" s="86" t="n">
        <v>87035.28</v>
      </c>
      <c r="G345" s="86" t="n">
        <v>236842.78</v>
      </c>
      <c r="H345" s="86" t="inlineStr"/>
      <c r="I345" s="86" t="inlineStr">
        <is>
          <t>HSL</t>
        </is>
      </c>
      <c r="J345" s="86" t="inlineStr">
        <is>
          <t>HDFC Securities - Sell</t>
        </is>
      </c>
      <c r="K345" s="86" t="inlineStr">
        <is>
          <t>HDFC Securities</t>
        </is>
      </c>
      <c r="L345" s="32" t="n">
        <v>0.97</v>
      </c>
      <c r="M345" s="86" t="inlineStr">
        <is>
          <t>[MATCH]</t>
        </is>
      </c>
    </row>
    <row r="346">
      <c r="A346" s="95" t="n">
        <v>45525</v>
      </c>
      <c r="B346" s="96" t="inlineStr">
        <is>
          <t>UPI-KRUSHNASAGAR MITHAI-PAYTMQR596DKQ@PAYTM-YESB0PTMUPI-423452847251-NAMKIN</t>
        </is>
      </c>
      <c r="C346" s="96" t="inlineStr">
        <is>
          <t>0000423452847251</t>
        </is>
      </c>
      <c r="D346" s="95" t="n">
        <v>45525</v>
      </c>
      <c r="E346" s="96" t="n">
        <v>55</v>
      </c>
      <c r="F346" s="96" t="n">
        <v>0</v>
      </c>
      <c r="G346" s="96" t="n">
        <v>236787.78</v>
      </c>
      <c r="H346" s="96" t="inlineStr"/>
      <c r="I346" s="96" t="inlineStr">
        <is>
          <t>UPI</t>
        </is>
      </c>
      <c r="J346" s="96" t="inlineStr">
        <is>
          <t>UPI - Paytm</t>
        </is>
      </c>
      <c r="K346" s="96" t="inlineStr">
        <is>
          <t>Personal</t>
        </is>
      </c>
      <c r="L346" s="53" t="n">
        <v>0.65</v>
      </c>
      <c r="M346" s="96" t="inlineStr">
        <is>
          <t>[MATCH]</t>
        </is>
      </c>
    </row>
    <row r="347">
      <c r="A347" s="33" t="n">
        <v>45525</v>
      </c>
      <c r="B347" s="34" t="inlineStr">
        <is>
          <t>01671000085930-TPT-BORROW FROM SUNITA-AJAY KUMAR GUPTA</t>
        </is>
      </c>
      <c r="C347" s="34" t="inlineStr">
        <is>
          <t>0000000311404451</t>
        </is>
      </c>
      <c r="D347" s="33" t="n">
        <v>45525</v>
      </c>
      <c r="E347" s="34" t="n">
        <v>200000</v>
      </c>
      <c r="F347" s="34" t="n">
        <v>0</v>
      </c>
      <c r="G347" s="34" t="n">
        <v>36787.78</v>
      </c>
      <c r="H347" s="34" t="inlineStr"/>
      <c r="I347" s="34" t="inlineStr">
        <is>
          <t>Transfer to Ajay</t>
        </is>
      </c>
      <c r="J347" s="34" t="inlineStr">
        <is>
          <t>Transfer - Sunita Gupta</t>
        </is>
      </c>
      <c r="K347" s="34" t="inlineStr">
        <is>
          <t>Sunita Gupta</t>
        </is>
      </c>
      <c r="L347" s="35" t="n">
        <v>0.88</v>
      </c>
      <c r="M347" s="34" t="inlineStr">
        <is>
          <t>[DIFF]</t>
        </is>
      </c>
    </row>
    <row r="348">
      <c r="A348" s="42" t="n">
        <v>45525</v>
      </c>
      <c r="B348" s="43" t="inlineStr">
        <is>
          <t>ACH C- CDSL FNLDIV 2023 24-345199</t>
        </is>
      </c>
      <c r="C348" s="43" t="inlineStr">
        <is>
          <t>0000007667792344</t>
        </is>
      </c>
      <c r="D348" s="42" t="n">
        <v>45525</v>
      </c>
      <c r="E348" s="43" t="n">
        <v>0</v>
      </c>
      <c r="F348" s="43" t="n">
        <v>1980</v>
      </c>
      <c r="G348" s="43" t="n">
        <v>38767.78</v>
      </c>
      <c r="H348" s="43" t="inlineStr"/>
      <c r="I348" s="43" t="inlineStr">
        <is>
          <t>Dividend Income</t>
        </is>
      </c>
      <c r="J348" s="43" t="inlineStr">
        <is>
          <t>Dividend Income</t>
        </is>
      </c>
      <c r="K348" s="43" t="inlineStr">
        <is>
          <t>Dividend Income</t>
        </is>
      </c>
      <c r="L348" s="32" t="n">
        <v>0.88</v>
      </c>
      <c r="M348" s="43" t="inlineStr">
        <is>
          <t>[MATCH]</t>
        </is>
      </c>
    </row>
    <row r="349">
      <c r="A349" s="83" t="n">
        <v>45525</v>
      </c>
      <c r="B349" s="84" t="inlineStr">
        <is>
          <t>NET PI TO HSL SEC A/C 523686-00602340029434</t>
        </is>
      </c>
      <c r="C349" s="84" t="inlineStr">
        <is>
          <t>0000000554261223</t>
        </is>
      </c>
      <c r="D349" s="83" t="n">
        <v>45525</v>
      </c>
      <c r="E349" s="84" t="n">
        <v>280.7</v>
      </c>
      <c r="F349" s="84" t="n">
        <v>0</v>
      </c>
      <c r="G349" s="84" t="n">
        <v>38487.08</v>
      </c>
      <c r="H349" s="84" t="inlineStr"/>
      <c r="I349" s="84" t="inlineStr">
        <is>
          <t>HSL</t>
        </is>
      </c>
      <c r="J349" s="84" t="inlineStr">
        <is>
          <t>HDFC Securities - Buy</t>
        </is>
      </c>
      <c r="K349" s="84" t="inlineStr">
        <is>
          <t>HDFC Securities</t>
        </is>
      </c>
      <c r="L349" s="32" t="n">
        <v>0.97</v>
      </c>
      <c r="M349" s="84" t="inlineStr">
        <is>
          <t>[MATCH]</t>
        </is>
      </c>
    </row>
    <row r="350">
      <c r="A350" s="85" t="n">
        <v>45526</v>
      </c>
      <c r="B350" s="86" t="inlineStr">
        <is>
          <t>NET PO FROM HSL A/C 523686-50200085415108</t>
        </is>
      </c>
      <c r="C350" s="86" t="inlineStr">
        <is>
          <t>0000000554540381</t>
        </is>
      </c>
      <c r="D350" s="85" t="n">
        <v>45526</v>
      </c>
      <c r="E350" s="86" t="n">
        <v>0</v>
      </c>
      <c r="F350" s="86" t="n">
        <v>13652.52</v>
      </c>
      <c r="G350" s="86" t="n">
        <v>52139.6</v>
      </c>
      <c r="H350" s="86" t="inlineStr"/>
      <c r="I350" s="86" t="inlineStr">
        <is>
          <t>HSL</t>
        </is>
      </c>
      <c r="J350" s="86" t="inlineStr">
        <is>
          <t>HDFC Securities - Sell</t>
        </is>
      </c>
      <c r="K350" s="86" t="inlineStr">
        <is>
          <t>HDFC Securities</t>
        </is>
      </c>
      <c r="L350" s="32" t="n">
        <v>0.97</v>
      </c>
      <c r="M350" s="86" t="inlineStr">
        <is>
          <t>[MATCH]</t>
        </is>
      </c>
    </row>
    <row r="351">
      <c r="A351" s="83" t="n">
        <v>45526</v>
      </c>
      <c r="B351" s="84" t="inlineStr">
        <is>
          <t>NET PI TO HSL SEC A/C 523686-00602340029434</t>
        </is>
      </c>
      <c r="C351" s="84" t="inlineStr">
        <is>
          <t>0000000554671236</t>
        </is>
      </c>
      <c r="D351" s="83" t="n">
        <v>45526</v>
      </c>
      <c r="E351" s="84" t="n">
        <v>254.07</v>
      </c>
      <c r="F351" s="84" t="n">
        <v>0</v>
      </c>
      <c r="G351" s="84" t="n">
        <v>51885.53</v>
      </c>
      <c r="H351" s="84" t="inlineStr"/>
      <c r="I351" s="84" t="inlineStr">
        <is>
          <t>HSL</t>
        </is>
      </c>
      <c r="J351" s="84" t="inlineStr">
        <is>
          <t>HDFC Securities - Buy</t>
        </is>
      </c>
      <c r="K351" s="84" t="inlineStr">
        <is>
          <t>HDFC Securities</t>
        </is>
      </c>
      <c r="L351" s="32" t="n">
        <v>0.97</v>
      </c>
      <c r="M351" s="84" t="inlineStr">
        <is>
          <t>[MATCH]</t>
        </is>
      </c>
    </row>
    <row r="352">
      <c r="A352" s="62" t="n">
        <v>45526</v>
      </c>
      <c r="B352" s="63" t="inlineStr">
        <is>
          <t>01671000085930-TPT-MONEY RETURNED-AJAY KUMAR GUPTA</t>
        </is>
      </c>
      <c r="C352" s="63" t="inlineStr">
        <is>
          <t>0000000317317050</t>
        </is>
      </c>
      <c r="D352" s="62" t="n">
        <v>45526</v>
      </c>
      <c r="E352" s="63" t="n">
        <v>0</v>
      </c>
      <c r="F352" s="63" t="n">
        <v>200000</v>
      </c>
      <c r="G352" s="63" t="n">
        <v>251885.53</v>
      </c>
      <c r="H352" s="63" t="inlineStr"/>
      <c r="I352" s="63" t="inlineStr">
        <is>
          <t>Transfer by Ajay</t>
        </is>
      </c>
      <c r="J352" s="63" t="inlineStr">
        <is>
          <t>Received - Ajay Gupta</t>
        </is>
      </c>
      <c r="K352" s="63" t="inlineStr">
        <is>
          <t>Ajay Gupta</t>
        </is>
      </c>
      <c r="L352" s="35" t="n">
        <v>0.88</v>
      </c>
      <c r="M352" s="63" t="inlineStr">
        <is>
          <t>[DIFF]</t>
        </is>
      </c>
    </row>
    <row r="353">
      <c r="A353" s="85" t="n">
        <v>45527</v>
      </c>
      <c r="B353" s="86" t="inlineStr">
        <is>
          <t>NET PO FROM HSL A/C 523686-50200085415108</t>
        </is>
      </c>
      <c r="C353" s="86" t="inlineStr">
        <is>
          <t>0000000554967819</t>
        </is>
      </c>
      <c r="D353" s="85" t="n">
        <v>45527</v>
      </c>
      <c r="E353" s="86" t="n">
        <v>0</v>
      </c>
      <c r="F353" s="86" t="n">
        <v>1025.02</v>
      </c>
      <c r="G353" s="86" t="n">
        <v>252910.55</v>
      </c>
      <c r="H353" s="86" t="inlineStr"/>
      <c r="I353" s="86" t="inlineStr">
        <is>
          <t>HSL</t>
        </is>
      </c>
      <c r="J353" s="86" t="inlineStr">
        <is>
          <t>HDFC Securities - Sell</t>
        </is>
      </c>
      <c r="K353" s="86" t="inlineStr">
        <is>
          <t>HDFC Securities</t>
        </is>
      </c>
      <c r="L353" s="32" t="n">
        <v>0.97</v>
      </c>
      <c r="M353" s="86" t="inlineStr">
        <is>
          <t>[MATCH]</t>
        </is>
      </c>
    </row>
    <row r="354">
      <c r="A354" s="85" t="n">
        <v>45527</v>
      </c>
      <c r="B354" s="86" t="inlineStr">
        <is>
          <t>NET PO FROM HSL A/C 523686-50200085415108</t>
        </is>
      </c>
      <c r="C354" s="86" t="inlineStr">
        <is>
          <t>0000000555007760</t>
        </is>
      </c>
      <c r="D354" s="85" t="n">
        <v>45527</v>
      </c>
      <c r="E354" s="86" t="n">
        <v>0</v>
      </c>
      <c r="F354" s="86" t="n">
        <v>41057.08</v>
      </c>
      <c r="G354" s="86" t="n">
        <v>293967.63</v>
      </c>
      <c r="H354" s="86" t="inlineStr"/>
      <c r="I354" s="86" t="inlineStr">
        <is>
          <t>HSL</t>
        </is>
      </c>
      <c r="J354" s="86" t="inlineStr">
        <is>
          <t>HDFC Securities - Sell</t>
        </is>
      </c>
      <c r="K354" s="86" t="inlineStr">
        <is>
          <t>HDFC Securities</t>
        </is>
      </c>
      <c r="L354" s="32" t="n">
        <v>0.97</v>
      </c>
      <c r="M354" s="86" t="inlineStr">
        <is>
          <t>[MATCH]</t>
        </is>
      </c>
    </row>
    <row r="355">
      <c r="A355" s="83" t="n">
        <v>45527</v>
      </c>
      <c r="B355" s="84" t="inlineStr">
        <is>
          <t>NET PI TO HSL SEC A/C 523686-00602340029434</t>
        </is>
      </c>
      <c r="C355" s="84" t="inlineStr">
        <is>
          <t>0000000555104327</t>
        </is>
      </c>
      <c r="D355" s="83" t="n">
        <v>45527</v>
      </c>
      <c r="E355" s="84" t="n">
        <v>258.93</v>
      </c>
      <c r="F355" s="84" t="n">
        <v>0</v>
      </c>
      <c r="G355" s="84" t="n">
        <v>293708.7</v>
      </c>
      <c r="H355" s="84" t="inlineStr"/>
      <c r="I355" s="84" t="inlineStr">
        <is>
          <t>HSL</t>
        </is>
      </c>
      <c r="J355" s="84" t="inlineStr">
        <is>
          <t>HDFC Securities - Buy</t>
        </is>
      </c>
      <c r="K355" s="84" t="inlineStr">
        <is>
          <t>HDFC Securities</t>
        </is>
      </c>
      <c r="L355" s="32" t="n">
        <v>0.97</v>
      </c>
      <c r="M355" s="84" t="inlineStr">
        <is>
          <t>[MATCH]</t>
        </is>
      </c>
    </row>
    <row r="356">
      <c r="A356" s="42" t="n">
        <v>45527</v>
      </c>
      <c r="B356" s="43" t="inlineStr">
        <is>
          <t>ACH C- CAMS INT DIV 2024 25-154890</t>
        </is>
      </c>
      <c r="C356" s="43" t="inlineStr">
        <is>
          <t>0000007750640328</t>
        </is>
      </c>
      <c r="D356" s="42" t="n">
        <v>45527</v>
      </c>
      <c r="E356" s="43" t="n">
        <v>0</v>
      </c>
      <c r="F356" s="43" t="n">
        <v>220</v>
      </c>
      <c r="G356" s="43" t="n">
        <v>293928.7</v>
      </c>
      <c r="H356" s="43" t="inlineStr"/>
      <c r="I356" s="43" t="inlineStr">
        <is>
          <t>Dividend Income</t>
        </is>
      </c>
      <c r="J356" s="43" t="inlineStr">
        <is>
          <t>Dividend Income</t>
        </is>
      </c>
      <c r="K356" s="43" t="inlineStr">
        <is>
          <t>Dividend Income</t>
        </is>
      </c>
      <c r="L356" s="32" t="n">
        <v>0.88</v>
      </c>
      <c r="M356" s="43" t="inlineStr">
        <is>
          <t>[MATCH]</t>
        </is>
      </c>
    </row>
    <row r="357">
      <c r="A357" s="33" t="n">
        <v>45527</v>
      </c>
      <c r="B357" s="34" t="inlineStr">
        <is>
          <t>NEFT CR-SBIN0004266-SBI GENERAL INSURANCE CO LTDSBI GEN-SUNITA GUPTA 0000000002717756-SBIN424236896638</t>
        </is>
      </c>
      <c r="C357" s="34" t="inlineStr">
        <is>
          <t>SBIN424236896638</t>
        </is>
      </c>
      <c r="D357" s="33" t="n">
        <v>45527</v>
      </c>
      <c r="E357" s="34" t="n">
        <v>0</v>
      </c>
      <c r="F357" s="34" t="n">
        <v>17805</v>
      </c>
      <c r="G357" s="34" t="n">
        <v>311733.7</v>
      </c>
      <c r="H357" s="34" t="inlineStr"/>
      <c r="I357" s="34" t="inlineStr">
        <is>
          <t>Rental Income</t>
        </is>
      </c>
      <c r="J357" s="34" t="inlineStr">
        <is>
          <t>Received - Sunita Gupta</t>
        </is>
      </c>
      <c r="K357" s="34" t="inlineStr">
        <is>
          <t>Sunita Gupta</t>
        </is>
      </c>
      <c r="L357" s="35" t="n">
        <v>0.88</v>
      </c>
      <c r="M357" s="34" t="inlineStr">
        <is>
          <t>[DIFF]</t>
        </is>
      </c>
    </row>
    <row r="358">
      <c r="A358" s="33" t="n">
        <v>45527</v>
      </c>
      <c r="B358" s="34" t="inlineStr">
        <is>
          <t>NEFT CR-SBIN0004266-SBI GENERAL INSURANCE CO LTDSBI GEN-SUNITA GUPTA 0000000002717756-SBIN524236319092</t>
        </is>
      </c>
      <c r="C358" s="34" t="inlineStr">
        <is>
          <t>SBIN524236319092</t>
        </is>
      </c>
      <c r="D358" s="33" t="n">
        <v>45527</v>
      </c>
      <c r="E358" s="34" t="n">
        <v>0</v>
      </c>
      <c r="F358" s="34" t="n">
        <v>2380</v>
      </c>
      <c r="G358" s="34" t="n">
        <v>314113.7</v>
      </c>
      <c r="H358" s="34" t="inlineStr"/>
      <c r="I358" s="34" t="inlineStr">
        <is>
          <t>Rental Income</t>
        </is>
      </c>
      <c r="J358" s="34" t="inlineStr">
        <is>
          <t>Received - Sunita Gupta</t>
        </is>
      </c>
      <c r="K358" s="34" t="inlineStr">
        <is>
          <t>Sunita Gupta</t>
        </is>
      </c>
      <c r="L358" s="35" t="n">
        <v>0.88</v>
      </c>
      <c r="M358" s="34" t="inlineStr">
        <is>
          <t>[DIFF]</t>
        </is>
      </c>
    </row>
    <row r="359">
      <c r="A359" s="83" t="n">
        <v>45527</v>
      </c>
      <c r="B359" s="84" t="inlineStr">
        <is>
          <t>NET PI TO HSL SEC A/C 523686-00602340029434</t>
        </is>
      </c>
      <c r="C359" s="84" t="inlineStr">
        <is>
          <t>0000000555287184</t>
        </is>
      </c>
      <c r="D359" s="83" t="n">
        <v>45527</v>
      </c>
      <c r="E359" s="84" t="n">
        <v>2481.05</v>
      </c>
      <c r="F359" s="84" t="n">
        <v>0</v>
      </c>
      <c r="G359" s="84" t="n">
        <v>311632.65</v>
      </c>
      <c r="H359" s="84" t="inlineStr"/>
      <c r="I359" s="84" t="inlineStr">
        <is>
          <t>HSL</t>
        </is>
      </c>
      <c r="J359" s="84" t="inlineStr">
        <is>
          <t>HDFC Securities - Buy</t>
        </is>
      </c>
      <c r="K359" s="84" t="inlineStr">
        <is>
          <t>HDFC Securities</t>
        </is>
      </c>
      <c r="L359" s="32" t="n">
        <v>0.97</v>
      </c>
      <c r="M359" s="84" t="inlineStr">
        <is>
          <t>[MATCH]</t>
        </is>
      </c>
    </row>
    <row r="360">
      <c r="A360" s="33" t="n">
        <v>45529</v>
      </c>
      <c r="B360" s="34" t="inlineStr">
        <is>
          <t>NEFT DR-UTIB0002656-SUNITA GUPTA-NETBANK, MUM-N238243225110515-TRF FRM HDFC SUNIT</t>
        </is>
      </c>
      <c r="C360" s="34" t="inlineStr">
        <is>
          <t>N238243225110515</t>
        </is>
      </c>
      <c r="D360" s="33" t="n">
        <v>45529</v>
      </c>
      <c r="E360" s="34" t="n">
        <v>150000</v>
      </c>
      <c r="F360" s="34" t="n">
        <v>0</v>
      </c>
      <c r="G360" s="34" t="n">
        <v>161632.65</v>
      </c>
      <c r="H360" s="34" t="inlineStr"/>
      <c r="I360" s="34" t="inlineStr">
        <is>
          <t>Contra</t>
        </is>
      </c>
      <c r="J360" s="34" t="inlineStr">
        <is>
          <t>Transfer - Sunita Gupta</t>
        </is>
      </c>
      <c r="K360" s="34" t="inlineStr">
        <is>
          <t>Sunita Gupta</t>
        </is>
      </c>
      <c r="L360" s="35" t="n">
        <v>0.88</v>
      </c>
      <c r="M360" s="34" t="inlineStr">
        <is>
          <t>[DIFF]</t>
        </is>
      </c>
    </row>
    <row r="361">
      <c r="A361" s="85" t="n">
        <v>45530</v>
      </c>
      <c r="B361" s="86" t="inlineStr">
        <is>
          <t>NET PO FROM HSL A/C 523686-50200085415108</t>
        </is>
      </c>
      <c r="C361" s="86" t="inlineStr">
        <is>
          <t>0000000555444510</t>
        </is>
      </c>
      <c r="D361" s="85" t="n">
        <v>45530</v>
      </c>
      <c r="E361" s="86" t="n">
        <v>0</v>
      </c>
      <c r="F361" s="86" t="n">
        <v>77978.2</v>
      </c>
      <c r="G361" s="86" t="n">
        <v>239610.85</v>
      </c>
      <c r="H361" s="86" t="inlineStr"/>
      <c r="I361" s="86" t="inlineStr">
        <is>
          <t>HSL</t>
        </is>
      </c>
      <c r="J361" s="86" t="inlineStr">
        <is>
          <t>HDFC Securities - Sell</t>
        </is>
      </c>
      <c r="K361" s="86" t="inlineStr">
        <is>
          <t>HDFC Securities</t>
        </is>
      </c>
      <c r="L361" s="32" t="n">
        <v>0.97</v>
      </c>
      <c r="M361" s="86" t="inlineStr">
        <is>
          <t>[MATCH]</t>
        </is>
      </c>
    </row>
    <row r="362">
      <c r="A362" s="28" t="n">
        <v>45530</v>
      </c>
      <c r="B362" s="29" t="inlineStr">
        <is>
          <t>ACH D- INDIAN CLEARING CORP-P25847643X05</t>
        </is>
      </c>
      <c r="C362" s="29" t="inlineStr">
        <is>
          <t>0000007757624564</t>
        </is>
      </c>
      <c r="D362" s="28" t="n">
        <v>45530</v>
      </c>
      <c r="E362" s="29" t="n">
        <v>10000</v>
      </c>
      <c r="F362" s="29" t="n">
        <v>0</v>
      </c>
      <c r="G362" s="29" t="n">
        <v>229610.85</v>
      </c>
      <c r="H362" s="29" t="inlineStr"/>
      <c r="I362" s="29" t="inlineStr">
        <is>
          <t>SIP  - 10000</t>
        </is>
      </c>
      <c r="J362" s="29" t="inlineStr">
        <is>
          <t>MF Investment</t>
        </is>
      </c>
      <c r="K362" s="29" t="inlineStr">
        <is>
          <t>Mutual_Fund_Investments</t>
        </is>
      </c>
      <c r="L362" s="35" t="n">
        <v>0.92</v>
      </c>
      <c r="M362" s="29" t="inlineStr">
        <is>
          <t>[DIFF]</t>
        </is>
      </c>
    </row>
    <row r="363">
      <c r="A363" s="83" t="n">
        <v>45530</v>
      </c>
      <c r="B363" s="84" t="inlineStr">
        <is>
          <t>NET PI TO HSL SEC A/C 523686-00602340029434</t>
        </is>
      </c>
      <c r="C363" s="84" t="inlineStr">
        <is>
          <t>0000000555626883</t>
        </is>
      </c>
      <c r="D363" s="83" t="n">
        <v>45530</v>
      </c>
      <c r="E363" s="84" t="n">
        <v>775.23</v>
      </c>
      <c r="F363" s="84" t="n">
        <v>0</v>
      </c>
      <c r="G363" s="84" t="n">
        <v>228835.62</v>
      </c>
      <c r="H363" s="84" t="inlineStr"/>
      <c r="I363" s="84" t="inlineStr">
        <is>
          <t>HSL</t>
        </is>
      </c>
      <c r="J363" s="84" t="inlineStr">
        <is>
          <t>HDFC Securities - Buy</t>
        </is>
      </c>
      <c r="K363" s="84" t="inlineStr">
        <is>
          <t>HDFC Securities</t>
        </is>
      </c>
      <c r="L363" s="32" t="n">
        <v>0.97</v>
      </c>
      <c r="M363" s="84" t="inlineStr">
        <is>
          <t>[MATCH]</t>
        </is>
      </c>
    </row>
    <row r="364">
      <c r="A364" s="83" t="n">
        <v>45530</v>
      </c>
      <c r="B364" s="84" t="inlineStr">
        <is>
          <t>NET PI TO HSL SEC A/C 523686-00602340029434</t>
        </is>
      </c>
      <c r="C364" s="84" t="inlineStr">
        <is>
          <t>0000000555785329</t>
        </is>
      </c>
      <c r="D364" s="83" t="n">
        <v>45530</v>
      </c>
      <c r="E364" s="84" t="n">
        <v>54974.79</v>
      </c>
      <c r="F364" s="84" t="n">
        <v>0</v>
      </c>
      <c r="G364" s="84" t="n">
        <v>173860.83</v>
      </c>
      <c r="H364" s="84" t="inlineStr"/>
      <c r="I364" s="84" t="inlineStr">
        <is>
          <t>HSL</t>
        </is>
      </c>
      <c r="J364" s="84" t="inlineStr">
        <is>
          <t>HDFC Securities - Buy</t>
        </is>
      </c>
      <c r="K364" s="84" t="inlineStr">
        <is>
          <t>HDFC Securities</t>
        </is>
      </c>
      <c r="L364" s="32" t="n">
        <v>0.97</v>
      </c>
      <c r="M364" s="84" t="inlineStr">
        <is>
          <t>[MATCH]</t>
        </is>
      </c>
    </row>
    <row r="365">
      <c r="A365" s="85" t="n">
        <v>45531</v>
      </c>
      <c r="B365" s="86" t="inlineStr">
        <is>
          <t>NET PO FROM HSL A/C 523686-50200085415108</t>
        </is>
      </c>
      <c r="C365" s="86" t="inlineStr">
        <is>
          <t>0000000555916940</t>
        </is>
      </c>
      <c r="D365" s="85" t="n">
        <v>45531</v>
      </c>
      <c r="E365" s="86" t="n">
        <v>0</v>
      </c>
      <c r="F365" s="86" t="n">
        <v>7078.49</v>
      </c>
      <c r="G365" s="86" t="n">
        <v>180939.32</v>
      </c>
      <c r="H365" s="86" t="inlineStr"/>
      <c r="I365" s="86" t="inlineStr">
        <is>
          <t>HSL</t>
        </is>
      </c>
      <c r="J365" s="86" t="inlineStr">
        <is>
          <t>HDFC Securities - Sell</t>
        </is>
      </c>
      <c r="K365" s="86" t="inlineStr">
        <is>
          <t>HDFC Securities</t>
        </is>
      </c>
      <c r="L365" s="32" t="n">
        <v>0.97</v>
      </c>
      <c r="M365" s="86" t="inlineStr">
        <is>
          <t>[MATCH]</t>
        </is>
      </c>
    </row>
    <row r="366">
      <c r="A366" s="85" t="n">
        <v>45531</v>
      </c>
      <c r="B366" s="86" t="inlineStr">
        <is>
          <t>NET PO FROM HSL A/C 523686-50200085415108</t>
        </is>
      </c>
      <c r="C366" s="86" t="inlineStr">
        <is>
          <t>0000000555961838</t>
        </is>
      </c>
      <c r="D366" s="85" t="n">
        <v>45531</v>
      </c>
      <c r="E366" s="86" t="n">
        <v>0</v>
      </c>
      <c r="F366" s="86" t="n">
        <v>51065.7</v>
      </c>
      <c r="G366" s="86" t="n">
        <v>232005.02</v>
      </c>
      <c r="H366" s="86" t="inlineStr"/>
      <c r="I366" s="86" t="inlineStr">
        <is>
          <t>HSL</t>
        </is>
      </c>
      <c r="J366" s="86" t="inlineStr">
        <is>
          <t>HDFC Securities - Sell</t>
        </is>
      </c>
      <c r="K366" s="86" t="inlineStr">
        <is>
          <t>HDFC Securities</t>
        </is>
      </c>
      <c r="L366" s="32" t="n">
        <v>0.97</v>
      </c>
      <c r="M366" s="86" t="inlineStr">
        <is>
          <t>[MATCH]</t>
        </is>
      </c>
    </row>
    <row r="367">
      <c r="A367" s="83" t="n">
        <v>45531</v>
      </c>
      <c r="B367" s="84" t="inlineStr">
        <is>
          <t>NET PI TO HSL SEC A/C 523686-00602340029434</t>
        </is>
      </c>
      <c r="C367" s="84" t="inlineStr">
        <is>
          <t>0000000556075417</t>
        </is>
      </c>
      <c r="D367" s="83" t="n">
        <v>45531</v>
      </c>
      <c r="E367" s="84" t="n">
        <v>238.83</v>
      </c>
      <c r="F367" s="84" t="n">
        <v>0</v>
      </c>
      <c r="G367" s="84" t="n">
        <v>231766.19</v>
      </c>
      <c r="H367" s="84" t="inlineStr"/>
      <c r="I367" s="84" t="inlineStr">
        <is>
          <t>HSL</t>
        </is>
      </c>
      <c r="J367" s="84" t="inlineStr">
        <is>
          <t>HDFC Securities - Buy</t>
        </is>
      </c>
      <c r="K367" s="84" t="inlineStr">
        <is>
          <t>HDFC Securities</t>
        </is>
      </c>
      <c r="L367" s="32" t="n">
        <v>0.97</v>
      </c>
      <c r="M367" s="84" t="inlineStr">
        <is>
          <t>[MATCH]</t>
        </is>
      </c>
    </row>
    <row r="368">
      <c r="A368" s="42" t="n">
        <v>45531</v>
      </c>
      <c r="B368" s="43" t="inlineStr">
        <is>
          <t>ACH C- HINDALCO FIN DIV 24-288092</t>
        </is>
      </c>
      <c r="C368" s="43" t="inlineStr">
        <is>
          <t>0000007820818140</t>
        </is>
      </c>
      <c r="D368" s="42" t="n">
        <v>45531</v>
      </c>
      <c r="E368" s="43" t="n">
        <v>0</v>
      </c>
      <c r="F368" s="43" t="n">
        <v>175</v>
      </c>
      <c r="G368" s="43" t="n">
        <v>231941.19</v>
      </c>
      <c r="H368" s="43" t="inlineStr"/>
      <c r="I368" s="43" t="inlineStr">
        <is>
          <t>Dividend Income</t>
        </is>
      </c>
      <c r="J368" s="43" t="inlineStr">
        <is>
          <t>Dividend Income</t>
        </is>
      </c>
      <c r="K368" s="43" t="inlineStr">
        <is>
          <t>Dividend Income</t>
        </is>
      </c>
      <c r="L368" s="32" t="n">
        <v>0.88</v>
      </c>
      <c r="M368" s="43" t="inlineStr">
        <is>
          <t>[MATCH]</t>
        </is>
      </c>
    </row>
    <row r="369">
      <c r="A369" s="85" t="n">
        <v>45532</v>
      </c>
      <c r="B369" s="86" t="inlineStr">
        <is>
          <t>NET PO FROM HSL A/C 523686-50200085415108</t>
        </is>
      </c>
      <c r="C369" s="86" t="inlineStr">
        <is>
          <t>0000000556362276</t>
        </is>
      </c>
      <c r="D369" s="85" t="n">
        <v>45532</v>
      </c>
      <c r="E369" s="86" t="n">
        <v>0</v>
      </c>
      <c r="F369" s="86" t="n">
        <v>45543.92</v>
      </c>
      <c r="G369" s="86" t="n">
        <v>277485.11</v>
      </c>
      <c r="H369" s="86" t="inlineStr"/>
      <c r="I369" s="86" t="inlineStr">
        <is>
          <t>HSL</t>
        </is>
      </c>
      <c r="J369" s="86" t="inlineStr">
        <is>
          <t>HDFC Securities - Sell</t>
        </is>
      </c>
      <c r="K369" s="86" t="inlineStr">
        <is>
          <t>HDFC Securities</t>
        </is>
      </c>
      <c r="L369" s="32" t="n">
        <v>0.97</v>
      </c>
      <c r="M369" s="86" t="inlineStr">
        <is>
          <t>[MATCH]</t>
        </is>
      </c>
    </row>
    <row r="370">
      <c r="A370" s="83" t="n">
        <v>45532</v>
      </c>
      <c r="B370" s="84" t="inlineStr">
        <is>
          <t>NET PI TO HSL SEC A/C 523686-00602340029434</t>
        </is>
      </c>
      <c r="C370" s="84" t="inlineStr">
        <is>
          <t>0000000556500377</t>
        </is>
      </c>
      <c r="D370" s="83" t="n">
        <v>45532</v>
      </c>
      <c r="E370" s="84" t="n">
        <v>214.73</v>
      </c>
      <c r="F370" s="84" t="n">
        <v>0</v>
      </c>
      <c r="G370" s="84" t="n">
        <v>277270.38</v>
      </c>
      <c r="H370" s="84" t="inlineStr"/>
      <c r="I370" s="84" t="inlineStr">
        <is>
          <t>HSL</t>
        </is>
      </c>
      <c r="J370" s="84" t="inlineStr">
        <is>
          <t>HDFC Securities - Buy</t>
        </is>
      </c>
      <c r="K370" s="84" t="inlineStr">
        <is>
          <t>HDFC Securities</t>
        </is>
      </c>
      <c r="L370" s="32" t="n">
        <v>0.97</v>
      </c>
      <c r="M370" s="84" t="inlineStr">
        <is>
          <t>[MATCH]</t>
        </is>
      </c>
    </row>
    <row r="371">
      <c r="A371" s="42" t="n">
        <v>45532</v>
      </c>
      <c r="B371" s="43" t="inlineStr">
        <is>
          <t>ACH C- IBL FINL DIV 2023 24-114432</t>
        </is>
      </c>
      <c r="C371" s="43" t="inlineStr">
        <is>
          <t>0000007842158630</t>
        </is>
      </c>
      <c r="D371" s="42" t="n">
        <v>45532</v>
      </c>
      <c r="E371" s="43" t="n">
        <v>0</v>
      </c>
      <c r="F371" s="43" t="n">
        <v>1386</v>
      </c>
      <c r="G371" s="43" t="n">
        <v>278656.38</v>
      </c>
      <c r="H371" s="43" t="inlineStr"/>
      <c r="I371" s="43" t="inlineStr">
        <is>
          <t>Dividend Income</t>
        </is>
      </c>
      <c r="J371" s="43" t="inlineStr">
        <is>
          <t>Dividend Income</t>
        </is>
      </c>
      <c r="K371" s="43" t="inlineStr">
        <is>
          <t>Dividend Income</t>
        </is>
      </c>
      <c r="L371" s="32" t="n">
        <v>0.88</v>
      </c>
      <c r="M371" s="43" t="inlineStr">
        <is>
          <t>[MATCH]</t>
        </is>
      </c>
    </row>
    <row r="372">
      <c r="A372" s="42" t="n">
        <v>45532</v>
      </c>
      <c r="B372" s="43" t="inlineStr">
        <is>
          <t>NEFT CR-UTIB0000004-AXIS MUTUAL FUND DIVIDEND A/C-SUNITA GUPTA-AXISCN0725504131</t>
        </is>
      </c>
      <c r="C372" s="43" t="inlineStr">
        <is>
          <t>AXISCN0725504131</t>
        </is>
      </c>
      <c r="D372" s="42" t="n">
        <v>45532</v>
      </c>
      <c r="E372" s="43" t="n">
        <v>0</v>
      </c>
      <c r="F372" s="43" t="n">
        <v>84.56999999999999</v>
      </c>
      <c r="G372" s="43" t="n">
        <v>278740.95</v>
      </c>
      <c r="H372" s="43" t="inlineStr"/>
      <c r="I372" s="43" t="inlineStr">
        <is>
          <t>Dividend Income</t>
        </is>
      </c>
      <c r="J372" s="43" t="inlineStr">
        <is>
          <t>Dividend Income</t>
        </is>
      </c>
      <c r="K372" s="43" t="inlineStr">
        <is>
          <t>Dividend Income</t>
        </is>
      </c>
      <c r="L372" s="32" t="n">
        <v>0.85</v>
      </c>
      <c r="M372" s="43" t="inlineStr">
        <is>
          <t>[MATCH]</t>
        </is>
      </c>
    </row>
    <row r="373">
      <c r="A373" s="83" t="n">
        <v>45533</v>
      </c>
      <c r="B373" s="84" t="inlineStr">
        <is>
          <t>NET PI TO HSL SEC A/C 523686-00602340029434</t>
        </is>
      </c>
      <c r="C373" s="84" t="inlineStr">
        <is>
          <t>0000000556685633</t>
        </is>
      </c>
      <c r="D373" s="83" t="n">
        <v>45533</v>
      </c>
      <c r="E373" s="84" t="n">
        <v>16093.87</v>
      </c>
      <c r="F373" s="84" t="n">
        <v>0</v>
      </c>
      <c r="G373" s="84" t="n">
        <v>262647.08</v>
      </c>
      <c r="H373" s="84" t="inlineStr"/>
      <c r="I373" s="84" t="inlineStr">
        <is>
          <t>HSL</t>
        </is>
      </c>
      <c r="J373" s="84" t="inlineStr">
        <is>
          <t>HDFC Securities - Buy</t>
        </is>
      </c>
      <c r="K373" s="84" t="inlineStr">
        <is>
          <t>HDFC Securities</t>
        </is>
      </c>
      <c r="L373" s="32" t="n">
        <v>0.97</v>
      </c>
      <c r="M373" s="84" t="inlineStr">
        <is>
          <t>[MATCH]</t>
        </is>
      </c>
    </row>
    <row r="374">
      <c r="A374" s="42" t="n">
        <v>45533</v>
      </c>
      <c r="B374" s="43" t="inlineStr">
        <is>
          <t>ACH C- PI INDUSTRIES LTD-3534031</t>
        </is>
      </c>
      <c r="C374" s="43" t="inlineStr">
        <is>
          <t>0000007860709428</t>
        </is>
      </c>
      <c r="D374" s="42" t="n">
        <v>45533</v>
      </c>
      <c r="E374" s="43" t="n">
        <v>0</v>
      </c>
      <c r="F374" s="43" t="n">
        <v>144</v>
      </c>
      <c r="G374" s="43" t="n">
        <v>262791.08</v>
      </c>
      <c r="H374" s="43" t="inlineStr"/>
      <c r="I374" s="43" t="inlineStr">
        <is>
          <t>Dividend Income</t>
        </is>
      </c>
      <c r="J374" s="43" t="inlineStr">
        <is>
          <t>Dividend Income</t>
        </is>
      </c>
      <c r="K374" s="43" t="inlineStr">
        <is>
          <t>Dividend Income</t>
        </is>
      </c>
      <c r="L374" s="32" t="n">
        <v>0.88</v>
      </c>
      <c r="M374" s="43" t="inlineStr">
        <is>
          <t>[MATCH]</t>
        </is>
      </c>
    </row>
    <row r="375">
      <c r="A375" s="83" t="n">
        <v>45533</v>
      </c>
      <c r="B375" s="84" t="inlineStr">
        <is>
          <t>NET PI TO HSL SEC A/C 523686-00602340029434</t>
        </is>
      </c>
      <c r="C375" s="84" t="inlineStr">
        <is>
          <t>0000000556932429</t>
        </is>
      </c>
      <c r="D375" s="83" t="n">
        <v>45533</v>
      </c>
      <c r="E375" s="84" t="n">
        <v>189.07</v>
      </c>
      <c r="F375" s="84" t="n">
        <v>0</v>
      </c>
      <c r="G375" s="84" t="n">
        <v>262602.01</v>
      </c>
      <c r="H375" s="84" t="inlineStr"/>
      <c r="I375" s="84" t="inlineStr">
        <is>
          <t>HSL</t>
        </is>
      </c>
      <c r="J375" s="84" t="inlineStr">
        <is>
          <t>HDFC Securities - Buy</t>
        </is>
      </c>
      <c r="K375" s="84" t="inlineStr">
        <is>
          <t>HDFC Securities</t>
        </is>
      </c>
      <c r="L375" s="32" t="n">
        <v>0.97</v>
      </c>
      <c r="M375" s="84" t="inlineStr">
        <is>
          <t>[MATCH]</t>
        </is>
      </c>
    </row>
    <row r="376">
      <c r="A376" s="42" t="n">
        <v>45533</v>
      </c>
      <c r="B376" s="43" t="inlineStr">
        <is>
          <t>DR LAL PATH DIV24 2500000000000000008450</t>
        </is>
      </c>
      <c r="C376" s="43" t="inlineStr">
        <is>
          <t>0000242423755028</t>
        </is>
      </c>
      <c r="D376" s="42" t="n">
        <v>45533</v>
      </c>
      <c r="E376" s="43" t="n">
        <v>0</v>
      </c>
      <c r="F376" s="43" t="n">
        <v>210</v>
      </c>
      <c r="G376" s="43" t="n">
        <v>262812.01</v>
      </c>
      <c r="H376" s="43" t="inlineStr"/>
      <c r="I376" s="43" t="inlineStr">
        <is>
          <t>Dividend Income</t>
        </is>
      </c>
      <c r="J376" s="43" t="inlineStr">
        <is>
          <t>Dividend Income</t>
        </is>
      </c>
      <c r="K376" s="43" t="inlineStr">
        <is>
          <t>Dividend Income</t>
        </is>
      </c>
      <c r="L376" s="32" t="n">
        <v>0.85</v>
      </c>
      <c r="M376" s="43" t="inlineStr">
        <is>
          <t>[MATCH]</t>
        </is>
      </c>
    </row>
    <row r="377">
      <c r="A377" s="42" t="n">
        <v>45533</v>
      </c>
      <c r="B377" s="43" t="inlineStr">
        <is>
          <t>ACH C- RELIANCE INDUSTRIES-241361424</t>
        </is>
      </c>
      <c r="C377" s="43" t="inlineStr">
        <is>
          <t>0000007891654103</t>
        </is>
      </c>
      <c r="D377" s="42" t="n">
        <v>45533</v>
      </c>
      <c r="E377" s="43" t="n">
        <v>0</v>
      </c>
      <c r="F377" s="43" t="n">
        <v>370</v>
      </c>
      <c r="G377" s="43" t="n">
        <v>263182.01</v>
      </c>
      <c r="H377" s="43" t="inlineStr"/>
      <c r="I377" s="43" t="inlineStr">
        <is>
          <t>Dividend Income</t>
        </is>
      </c>
      <c r="J377" s="43" t="inlineStr">
        <is>
          <t>Dividend Income</t>
        </is>
      </c>
      <c r="K377" s="43" t="inlineStr">
        <is>
          <t>Dividend Income</t>
        </is>
      </c>
      <c r="L377" s="32" t="n">
        <v>0.88</v>
      </c>
      <c r="M377" s="43" t="inlineStr">
        <is>
          <t>[MATCH]</t>
        </is>
      </c>
    </row>
    <row r="378">
      <c r="A378" s="83" t="n">
        <v>45534</v>
      </c>
      <c r="B378" s="84" t="inlineStr">
        <is>
          <t>NET PI TO HSL SEC A/C 523686-00602340029434</t>
        </is>
      </c>
      <c r="C378" s="84" t="inlineStr">
        <is>
          <t>0000000557122919</t>
        </is>
      </c>
      <c r="D378" s="83" t="n">
        <v>45534</v>
      </c>
      <c r="E378" s="84" t="n">
        <v>2395.65</v>
      </c>
      <c r="F378" s="84" t="n">
        <v>0</v>
      </c>
      <c r="G378" s="84" t="n">
        <v>260786.36</v>
      </c>
      <c r="H378" s="84" t="inlineStr"/>
      <c r="I378" s="84" t="inlineStr">
        <is>
          <t>HSL</t>
        </is>
      </c>
      <c r="J378" s="84" t="inlineStr">
        <is>
          <t>HDFC Securities - Buy</t>
        </is>
      </c>
      <c r="K378" s="84" t="inlineStr">
        <is>
          <t>HDFC Securities</t>
        </is>
      </c>
      <c r="L378" s="32" t="n">
        <v>0.97</v>
      </c>
      <c r="M378" s="84" t="inlineStr">
        <is>
          <t>[MATCH]</t>
        </is>
      </c>
    </row>
    <row r="379">
      <c r="A379" s="83" t="n">
        <v>45534</v>
      </c>
      <c r="B379" s="84" t="inlineStr">
        <is>
          <t>NET PI TO HSL SEC A/C 523686-00602340029434</t>
        </is>
      </c>
      <c r="C379" s="84" t="inlineStr">
        <is>
          <t>0000000557390234</t>
        </is>
      </c>
      <c r="D379" s="83" t="n">
        <v>45534</v>
      </c>
      <c r="E379" s="84" t="n">
        <v>205.17</v>
      </c>
      <c r="F379" s="84" t="n">
        <v>0</v>
      </c>
      <c r="G379" s="84" t="n">
        <v>260581.19</v>
      </c>
      <c r="H379" s="84" t="inlineStr"/>
      <c r="I379" s="84" t="inlineStr">
        <is>
          <t>HSL</t>
        </is>
      </c>
      <c r="J379" s="84" t="inlineStr">
        <is>
          <t>HDFC Securities - Buy</t>
        </is>
      </c>
      <c r="K379" s="84" t="inlineStr">
        <is>
          <t>HDFC Securities</t>
        </is>
      </c>
      <c r="L379" s="32" t="n">
        <v>0.97</v>
      </c>
      <c r="M379" s="84" t="inlineStr">
        <is>
          <t>[MATCH]</t>
        </is>
      </c>
    </row>
    <row r="380">
      <c r="A380" s="83" t="n">
        <v>45534</v>
      </c>
      <c r="B380" s="84" t="inlineStr">
        <is>
          <t>NET PI TO HSL SEC A/C 523686-00602340029434</t>
        </is>
      </c>
      <c r="C380" s="84" t="inlineStr">
        <is>
          <t>0000000557551340</t>
        </is>
      </c>
      <c r="D380" s="83" t="n">
        <v>45534</v>
      </c>
      <c r="E380" s="84" t="n">
        <v>260581.19</v>
      </c>
      <c r="F380" s="84" t="n">
        <v>0</v>
      </c>
      <c r="G380" s="84" t="n">
        <v>0</v>
      </c>
      <c r="H380" s="84" t="inlineStr"/>
      <c r="I380" s="84" t="inlineStr">
        <is>
          <t>HSL</t>
        </is>
      </c>
      <c r="J380" s="84" t="inlineStr">
        <is>
          <t>HDFC Securities - Buy</t>
        </is>
      </c>
      <c r="K380" s="84" t="inlineStr">
        <is>
          <t>HDFC Securities</t>
        </is>
      </c>
      <c r="L380" s="32" t="n">
        <v>0.97</v>
      </c>
      <c r="M380" s="84" t="inlineStr">
        <is>
          <t>[MATCH]</t>
        </is>
      </c>
    </row>
    <row r="381">
      <c r="A381" s="42" t="n">
        <v>45537</v>
      </c>
      <c r="B381" s="43" t="inlineStr">
        <is>
          <t>ACH C- CONCOR INTDIV 202425-CN1708240048</t>
        </is>
      </c>
      <c r="C381" s="43" t="inlineStr">
        <is>
          <t>0000007928699717</t>
        </is>
      </c>
      <c r="D381" s="42" t="n">
        <v>45537</v>
      </c>
      <c r="E381" s="43" t="n">
        <v>0</v>
      </c>
      <c r="F381" s="43" t="n">
        <v>270</v>
      </c>
      <c r="G381" s="43" t="n">
        <v>270</v>
      </c>
      <c r="H381" s="43" t="inlineStr"/>
      <c r="I381" s="43" t="inlineStr">
        <is>
          <t>Dividend Income</t>
        </is>
      </c>
      <c r="J381" s="43" t="inlineStr">
        <is>
          <t>Dividend Income</t>
        </is>
      </c>
      <c r="K381" s="43" t="inlineStr">
        <is>
          <t>Dividend Income</t>
        </is>
      </c>
      <c r="L381" s="32" t="n">
        <v>0.88</v>
      </c>
      <c r="M381" s="43" t="inlineStr">
        <is>
          <t>[MATCH]</t>
        </is>
      </c>
    </row>
    <row r="382">
      <c r="A382" s="42" t="n">
        <v>45537</v>
      </c>
      <c r="B382" s="43" t="inlineStr">
        <is>
          <t>ACH C- ICICI BANK LTD.-7312296</t>
        </is>
      </c>
      <c r="C382" s="43" t="inlineStr">
        <is>
          <t>0000007945707652</t>
        </is>
      </c>
      <c r="D382" s="42" t="n">
        <v>45537</v>
      </c>
      <c r="E382" s="43" t="n">
        <v>0</v>
      </c>
      <c r="F382" s="43" t="n">
        <v>1350</v>
      </c>
      <c r="G382" s="43" t="n">
        <v>1620</v>
      </c>
      <c r="H382" s="43" t="inlineStr"/>
      <c r="I382" s="43" t="inlineStr">
        <is>
          <t>Dividend Income</t>
        </is>
      </c>
      <c r="J382" s="43" t="inlineStr">
        <is>
          <t>Dividend Income</t>
        </is>
      </c>
      <c r="K382" s="43" t="inlineStr">
        <is>
          <t>Dividend Income</t>
        </is>
      </c>
      <c r="L382" s="32" t="n">
        <v>0.88</v>
      </c>
      <c r="M382" s="43" t="inlineStr">
        <is>
          <t>[MATCH]</t>
        </is>
      </c>
    </row>
    <row r="383">
      <c r="A383" s="83" t="n">
        <v>45537</v>
      </c>
      <c r="B383" s="84" t="inlineStr">
        <is>
          <t>NET PI TO HSL SEC A/C 523686-00602340029434</t>
        </is>
      </c>
      <c r="C383" s="84" t="inlineStr">
        <is>
          <t>0000000558033088</t>
        </is>
      </c>
      <c r="D383" s="83" t="n">
        <v>45537</v>
      </c>
      <c r="E383" s="84" t="n">
        <v>1620</v>
      </c>
      <c r="F383" s="84" t="n">
        <v>0</v>
      </c>
      <c r="G383" s="84" t="n">
        <v>0</v>
      </c>
      <c r="H383" s="84" t="inlineStr"/>
      <c r="I383" s="84" t="inlineStr">
        <is>
          <t>HSL</t>
        </is>
      </c>
      <c r="J383" s="84" t="inlineStr">
        <is>
          <t>HDFC Securities - Buy</t>
        </is>
      </c>
      <c r="K383" s="84" t="inlineStr">
        <is>
          <t>HDFC Securities</t>
        </is>
      </c>
      <c r="L383" s="32" t="n">
        <v>0.97</v>
      </c>
      <c r="M383" s="84" t="inlineStr">
        <is>
          <t>[MATCH]</t>
        </is>
      </c>
    </row>
    <row r="384">
      <c r="A384" s="87" t="n">
        <v>45538</v>
      </c>
      <c r="B384" s="88" t="inlineStr">
        <is>
          <t>50100128155413-TPT-FROM AAYUSH-AAYUSH KUMAR GUPTA</t>
        </is>
      </c>
      <c r="C384" s="88" t="inlineStr">
        <is>
          <t>0000000378890154</t>
        </is>
      </c>
      <c r="D384" s="87" t="n">
        <v>45538</v>
      </c>
      <c r="E384" s="88" t="n">
        <v>0</v>
      </c>
      <c r="F384" s="88" t="n">
        <v>75000</v>
      </c>
      <c r="G384" s="88" t="n">
        <v>75000</v>
      </c>
      <c r="H384" s="88" t="inlineStr"/>
      <c r="I384" s="88" t="inlineStr">
        <is>
          <t>Transfer from Aayush</t>
        </is>
      </c>
      <c r="J384" s="88" t="inlineStr">
        <is>
          <t>Internal Transfer</t>
        </is>
      </c>
      <c r="K384" s="88" t="inlineStr">
        <is>
          <t>Transfer</t>
        </is>
      </c>
      <c r="L384" s="24" t="n">
        <v>0.8</v>
      </c>
      <c r="M384" s="88" t="inlineStr">
        <is>
          <t>[DIFF]</t>
        </is>
      </c>
    </row>
    <row r="385">
      <c r="A385" s="83" t="n">
        <v>45538</v>
      </c>
      <c r="B385" s="84" t="inlineStr">
        <is>
          <t>NET PI TO HSL SEC A/C 523686-00602340029434</t>
        </is>
      </c>
      <c r="C385" s="84" t="inlineStr">
        <is>
          <t>0000000558286697</t>
        </is>
      </c>
      <c r="D385" s="83" t="n">
        <v>45538</v>
      </c>
      <c r="E385" s="84" t="n">
        <v>75000</v>
      </c>
      <c r="F385" s="84" t="n">
        <v>0</v>
      </c>
      <c r="G385" s="84" t="n">
        <v>0</v>
      </c>
      <c r="H385" s="84" t="inlineStr"/>
      <c r="I385" s="84" t="inlineStr">
        <is>
          <t>HSL</t>
        </is>
      </c>
      <c r="J385" s="84" t="inlineStr">
        <is>
          <t>HDFC Securities - Buy</t>
        </is>
      </c>
      <c r="K385" s="84" t="inlineStr">
        <is>
          <t>HDFC Securities</t>
        </is>
      </c>
      <c r="L385" s="32" t="n">
        <v>0.97</v>
      </c>
      <c r="M385" s="84" t="inlineStr">
        <is>
          <t>[MATCH]</t>
        </is>
      </c>
    </row>
    <row r="386">
      <c r="A386" s="85" t="n">
        <v>45540</v>
      </c>
      <c r="B386" s="86" t="inlineStr">
        <is>
          <t>NET PO FROM HSL A/C 523686-50200085415108</t>
        </is>
      </c>
      <c r="C386" s="86" t="inlineStr">
        <is>
          <t>0000000559134042</t>
        </is>
      </c>
      <c r="D386" s="85" t="n">
        <v>45540</v>
      </c>
      <c r="E386" s="86" t="n">
        <v>0</v>
      </c>
      <c r="F386" s="86" t="n">
        <v>2267.51</v>
      </c>
      <c r="G386" s="86" t="n">
        <v>2267.51</v>
      </c>
      <c r="H386" s="86" t="inlineStr"/>
      <c r="I386" s="86" t="inlineStr">
        <is>
          <t>HSL</t>
        </is>
      </c>
      <c r="J386" s="86" t="inlineStr">
        <is>
          <t>HDFC Securities - Sell</t>
        </is>
      </c>
      <c r="K386" s="86" t="inlineStr">
        <is>
          <t>HDFC Securities</t>
        </is>
      </c>
      <c r="L386" s="32" t="n">
        <v>0.97</v>
      </c>
      <c r="M386" s="86" t="inlineStr">
        <is>
          <t>[MATCH]</t>
        </is>
      </c>
    </row>
    <row r="387">
      <c r="A387" s="62" t="n">
        <v>45540</v>
      </c>
      <c r="B387" s="63" t="inlineStr">
        <is>
          <t>UPI-AJAY KUMAR GUPTA-AJAYGUPTANEL@YBL-HDFC0000167-424930662852-PAYMENT FROM PHONE</t>
        </is>
      </c>
      <c r="C387" s="63" t="inlineStr">
        <is>
          <t>0000424930662852</t>
        </is>
      </c>
      <c r="D387" s="62" t="n">
        <v>45540</v>
      </c>
      <c r="E387" s="63" t="n">
        <v>0</v>
      </c>
      <c r="F387" s="63" t="n">
        <v>10000</v>
      </c>
      <c r="G387" s="63" t="n">
        <v>12267.51</v>
      </c>
      <c r="H387" s="63" t="inlineStr"/>
      <c r="I387" s="63" t="inlineStr">
        <is>
          <t>UPI</t>
        </is>
      </c>
      <c r="J387" s="63" t="inlineStr">
        <is>
          <t>Received - Ajay Gupta</t>
        </is>
      </c>
      <c r="K387" s="63" t="inlineStr">
        <is>
          <t>Ajay Gupta</t>
        </is>
      </c>
      <c r="L387" s="35" t="n">
        <v>0.88</v>
      </c>
      <c r="M387" s="63" t="inlineStr">
        <is>
          <t>[DIFF]</t>
        </is>
      </c>
    </row>
    <row r="388">
      <c r="A388" s="83" t="n">
        <v>45540</v>
      </c>
      <c r="B388" s="84" t="inlineStr">
        <is>
          <t>NET PI TO HSL SEC A/C 523686-00602340029434</t>
        </is>
      </c>
      <c r="C388" s="84" t="inlineStr">
        <is>
          <t>0000000559314702</t>
        </is>
      </c>
      <c r="D388" s="83" t="n">
        <v>45540</v>
      </c>
      <c r="E388" s="84" t="n">
        <v>314.37</v>
      </c>
      <c r="F388" s="84" t="n">
        <v>0</v>
      </c>
      <c r="G388" s="84" t="n">
        <v>11953.14</v>
      </c>
      <c r="H388" s="84" t="inlineStr"/>
      <c r="I388" s="84" t="inlineStr">
        <is>
          <t>HSL</t>
        </is>
      </c>
      <c r="J388" s="84" t="inlineStr">
        <is>
          <t>HDFC Securities - Buy</t>
        </is>
      </c>
      <c r="K388" s="84" t="inlineStr">
        <is>
          <t>HDFC Securities</t>
        </is>
      </c>
      <c r="L388" s="32" t="n">
        <v>0.97</v>
      </c>
      <c r="M388" s="84" t="inlineStr">
        <is>
          <t>[MATCH]</t>
        </is>
      </c>
    </row>
    <row r="389">
      <c r="A389" s="85" t="n">
        <v>45541</v>
      </c>
      <c r="B389" s="86" t="inlineStr">
        <is>
          <t>NET PO FROM HSL A/C 523686-50200085415108</t>
        </is>
      </c>
      <c r="C389" s="86" t="inlineStr">
        <is>
          <t>0000000559615455</t>
        </is>
      </c>
      <c r="D389" s="85" t="n">
        <v>45541</v>
      </c>
      <c r="E389" s="86" t="n">
        <v>0</v>
      </c>
      <c r="F389" s="86" t="n">
        <v>839.73</v>
      </c>
      <c r="G389" s="86" t="n">
        <v>12792.87</v>
      </c>
      <c r="H389" s="86" t="inlineStr"/>
      <c r="I389" s="86" t="inlineStr">
        <is>
          <t>HSL</t>
        </is>
      </c>
      <c r="J389" s="86" t="inlineStr">
        <is>
          <t>HDFC Securities - Sell</t>
        </is>
      </c>
      <c r="K389" s="86" t="inlineStr">
        <is>
          <t>HDFC Securities</t>
        </is>
      </c>
      <c r="L389" s="32" t="n">
        <v>0.97</v>
      </c>
      <c r="M389" s="86" t="inlineStr">
        <is>
          <t>[MATCH]</t>
        </is>
      </c>
    </row>
    <row r="390">
      <c r="A390" s="85" t="n">
        <v>45541</v>
      </c>
      <c r="B390" s="86" t="inlineStr">
        <is>
          <t>NET PO FROM HSL A/C 523686-50200085415108</t>
        </is>
      </c>
      <c r="C390" s="86" t="inlineStr">
        <is>
          <t>0000000559653055</t>
        </is>
      </c>
      <c r="D390" s="85" t="n">
        <v>45541</v>
      </c>
      <c r="E390" s="86" t="n">
        <v>0</v>
      </c>
      <c r="F390" s="86" t="n">
        <v>30658.41</v>
      </c>
      <c r="G390" s="86" t="n">
        <v>43451.28</v>
      </c>
      <c r="H390" s="86" t="inlineStr"/>
      <c r="I390" s="86" t="inlineStr">
        <is>
          <t>HSL</t>
        </is>
      </c>
      <c r="J390" s="86" t="inlineStr">
        <is>
          <t>HDFC Securities - Sell</t>
        </is>
      </c>
      <c r="K390" s="86" t="inlineStr">
        <is>
          <t>HDFC Securities</t>
        </is>
      </c>
      <c r="L390" s="32" t="n">
        <v>0.97</v>
      </c>
      <c r="M390" s="86" t="inlineStr">
        <is>
          <t>[MATCH]</t>
        </is>
      </c>
    </row>
    <row r="391">
      <c r="A391" s="83" t="n">
        <v>45541</v>
      </c>
      <c r="B391" s="84" t="inlineStr">
        <is>
          <t>NET PI TO HSL SEC A/C 523686-00602340029434</t>
        </is>
      </c>
      <c r="C391" s="84" t="inlineStr">
        <is>
          <t>0000000559779445</t>
        </is>
      </c>
      <c r="D391" s="83" t="n">
        <v>45541</v>
      </c>
      <c r="E391" s="84" t="n">
        <v>307.99</v>
      </c>
      <c r="F391" s="84" t="n">
        <v>0</v>
      </c>
      <c r="G391" s="84" t="n">
        <v>43143.29</v>
      </c>
      <c r="H391" s="84" t="inlineStr"/>
      <c r="I391" s="84" t="inlineStr">
        <is>
          <t>HSL</t>
        </is>
      </c>
      <c r="J391" s="84" t="inlineStr">
        <is>
          <t>HDFC Securities - Buy</t>
        </is>
      </c>
      <c r="K391" s="84" t="inlineStr">
        <is>
          <t>HDFC Securities</t>
        </is>
      </c>
      <c r="L391" s="32" t="n">
        <v>0.97</v>
      </c>
      <c r="M391" s="84" t="inlineStr">
        <is>
          <t>[MATCH]</t>
        </is>
      </c>
    </row>
    <row r="392">
      <c r="A392" s="85" t="n">
        <v>45541</v>
      </c>
      <c r="B392" s="86" t="inlineStr">
        <is>
          <t>NET PO FROM HSL A/C 523686-50200085415108</t>
        </is>
      </c>
      <c r="C392" s="86" t="inlineStr">
        <is>
          <t>0000000560008519</t>
        </is>
      </c>
      <c r="D392" s="85" t="n">
        <v>45541</v>
      </c>
      <c r="E392" s="86" t="n">
        <v>0</v>
      </c>
      <c r="F392" s="86" t="n">
        <v>67576.46000000001</v>
      </c>
      <c r="G392" s="86" t="n">
        <v>110719.75</v>
      </c>
      <c r="H392" s="86" t="inlineStr"/>
      <c r="I392" s="86" t="inlineStr">
        <is>
          <t>HSL</t>
        </is>
      </c>
      <c r="J392" s="86" t="inlineStr">
        <is>
          <t>HDFC Securities - Sell</t>
        </is>
      </c>
      <c r="K392" s="86" t="inlineStr">
        <is>
          <t>HDFC Securities</t>
        </is>
      </c>
      <c r="L392" s="32" t="n">
        <v>0.97</v>
      </c>
      <c r="M392" s="86" t="inlineStr">
        <is>
          <t>[MATCH]</t>
        </is>
      </c>
    </row>
    <row r="393">
      <c r="A393" s="36" t="n">
        <v>45541</v>
      </c>
      <c r="B393" s="37" t="inlineStr">
        <is>
          <t>UPI-AJAY KUMAR GUPTA-AJAYGUPTANEL@AXL-HDFC0000167-074263747998-MONEY RETURNED FRO</t>
        </is>
      </c>
      <c r="C393" s="37" t="inlineStr">
        <is>
          <t>0000074263747998</t>
        </is>
      </c>
      <c r="D393" s="36" t="n">
        <v>45541</v>
      </c>
      <c r="E393" s="37" t="n">
        <v>10000</v>
      </c>
      <c r="F393" s="37" t="n">
        <v>0</v>
      </c>
      <c r="G393" s="37" t="n">
        <v>100719.75</v>
      </c>
      <c r="H393" s="37" t="inlineStr"/>
      <c r="I393" s="37" t="inlineStr">
        <is>
          <t>UPI</t>
        </is>
      </c>
      <c r="J393" s="37" t="inlineStr">
        <is>
          <t>Transfer - Ajay Gupta</t>
        </is>
      </c>
      <c r="K393" s="37" t="inlineStr">
        <is>
          <t>Ajay Gupta</t>
        </is>
      </c>
      <c r="L393" s="32" t="n">
        <v>0.88</v>
      </c>
      <c r="M393" s="37" t="inlineStr">
        <is>
          <t>[MATCH]</t>
        </is>
      </c>
    </row>
    <row r="394">
      <c r="A394" s="83" t="n">
        <v>45544</v>
      </c>
      <c r="B394" s="84" t="inlineStr">
        <is>
          <t>NET PI TO HSL SEC A/C 523686-00602340029434</t>
        </is>
      </c>
      <c r="C394" s="84" t="inlineStr">
        <is>
          <t>0000000560353533</t>
        </is>
      </c>
      <c r="D394" s="83" t="n">
        <v>45544</v>
      </c>
      <c r="E394" s="84" t="n">
        <v>997.08</v>
      </c>
      <c r="F394" s="84" t="n">
        <v>0</v>
      </c>
      <c r="G394" s="84" t="n">
        <v>99722.67</v>
      </c>
      <c r="H394" s="84" t="inlineStr"/>
      <c r="I394" s="84" t="inlineStr">
        <is>
          <t>HSL</t>
        </is>
      </c>
      <c r="J394" s="84" t="inlineStr">
        <is>
          <t>HDFC Securities - Buy</t>
        </is>
      </c>
      <c r="K394" s="84" t="inlineStr">
        <is>
          <t>HDFC Securities</t>
        </is>
      </c>
      <c r="L394" s="32" t="n">
        <v>0.97</v>
      </c>
      <c r="M394" s="84" t="inlineStr">
        <is>
          <t>[MATCH]</t>
        </is>
      </c>
    </row>
    <row r="395">
      <c r="A395" s="33" t="n">
        <v>45544</v>
      </c>
      <c r="B395" s="34" t="inlineStr">
        <is>
          <t>NEFT CR-SBIN0004266-SBI GENERAL INSURANCE CO LTDSBI GEN-SUNITA GUPTA 0000000002717756-SBIN424253641625</t>
        </is>
      </c>
      <c r="C395" s="34" t="inlineStr">
        <is>
          <t>SBIN424253641625</t>
        </is>
      </c>
      <c r="D395" s="33" t="n">
        <v>45544</v>
      </c>
      <c r="E395" s="34" t="n">
        <v>0</v>
      </c>
      <c r="F395" s="34" t="n">
        <v>29757</v>
      </c>
      <c r="G395" s="34" t="n">
        <v>129479.67</v>
      </c>
      <c r="H395" s="34" t="inlineStr"/>
      <c r="I395" s="34" t="inlineStr">
        <is>
          <t>Rental Income</t>
        </is>
      </c>
      <c r="J395" s="34" t="inlineStr">
        <is>
          <t>Received - Sunita Gupta</t>
        </is>
      </c>
      <c r="K395" s="34" t="inlineStr">
        <is>
          <t>Sunita Gupta</t>
        </is>
      </c>
      <c r="L395" s="35" t="n">
        <v>0.88</v>
      </c>
      <c r="M395" s="34" t="inlineStr">
        <is>
          <t>[DIFF]</t>
        </is>
      </c>
    </row>
    <row r="396">
      <c r="A396" s="85" t="n">
        <v>45545</v>
      </c>
      <c r="B396" s="86" t="inlineStr">
        <is>
          <t>NET PO FROM HSL A/C 523686-50200085415108</t>
        </is>
      </c>
      <c r="C396" s="86" t="inlineStr">
        <is>
          <t>0000000560713658</t>
        </is>
      </c>
      <c r="D396" s="85" t="n">
        <v>45545</v>
      </c>
      <c r="E396" s="86" t="n">
        <v>0</v>
      </c>
      <c r="F396" s="86" t="n">
        <v>6103.31</v>
      </c>
      <c r="G396" s="86" t="n">
        <v>135582.98</v>
      </c>
      <c r="H396" s="86" t="inlineStr"/>
      <c r="I396" s="86" t="inlineStr">
        <is>
          <t>HSL</t>
        </is>
      </c>
      <c r="J396" s="86" t="inlineStr">
        <is>
          <t>HDFC Securities - Sell</t>
        </is>
      </c>
      <c r="K396" s="86" t="inlineStr">
        <is>
          <t>HDFC Securities</t>
        </is>
      </c>
      <c r="L396" s="32" t="n">
        <v>0.97</v>
      </c>
      <c r="M396" s="86" t="inlineStr">
        <is>
          <t>[MATCH]</t>
        </is>
      </c>
    </row>
    <row r="397">
      <c r="A397" s="83" t="n">
        <v>45545</v>
      </c>
      <c r="B397" s="84" t="inlineStr">
        <is>
          <t>NET PI TO HSL SEC A/C 523686-00602340029434</t>
        </is>
      </c>
      <c r="C397" s="84" t="inlineStr">
        <is>
          <t>0000000560939308</t>
        </is>
      </c>
      <c r="D397" s="83" t="n">
        <v>45545</v>
      </c>
      <c r="E397" s="84" t="n">
        <v>332.36</v>
      </c>
      <c r="F397" s="84" t="n">
        <v>0</v>
      </c>
      <c r="G397" s="84" t="n">
        <v>135250.62</v>
      </c>
      <c r="H397" s="84" t="inlineStr"/>
      <c r="I397" s="84" t="inlineStr">
        <is>
          <t>HSL</t>
        </is>
      </c>
      <c r="J397" s="84" t="inlineStr">
        <is>
          <t>HDFC Securities - Buy</t>
        </is>
      </c>
      <c r="K397" s="84" t="inlineStr">
        <is>
          <t>HDFC Securities</t>
        </is>
      </c>
      <c r="L397" s="32" t="n">
        <v>0.97</v>
      </c>
      <c r="M397" s="84" t="inlineStr">
        <is>
          <t>[MATCH]</t>
        </is>
      </c>
    </row>
    <row r="398">
      <c r="A398" s="42" t="n">
        <v>45545</v>
      </c>
      <c r="B398" s="43" t="inlineStr">
        <is>
          <t>ACH C- HINDUSTANAERONAUTICS-4568724</t>
        </is>
      </c>
      <c r="C398" s="43" t="inlineStr">
        <is>
          <t>0000008454736091</t>
        </is>
      </c>
      <c r="D398" s="42" t="n">
        <v>45545</v>
      </c>
      <c r="E398" s="43" t="n">
        <v>0</v>
      </c>
      <c r="F398" s="43" t="n">
        <v>390</v>
      </c>
      <c r="G398" s="43" t="n">
        <v>135640.62</v>
      </c>
      <c r="H398" s="43" t="inlineStr"/>
      <c r="I398" s="43" t="inlineStr">
        <is>
          <t>Dividend Income</t>
        </is>
      </c>
      <c r="J398" s="43" t="inlineStr">
        <is>
          <t>Dividend Income</t>
        </is>
      </c>
      <c r="K398" s="43" t="inlineStr">
        <is>
          <t>Dividend Income</t>
        </is>
      </c>
      <c r="L398" s="32" t="n">
        <v>0.88</v>
      </c>
      <c r="M398" s="43" t="inlineStr">
        <is>
          <t>[MATCH]</t>
        </is>
      </c>
    </row>
    <row r="399">
      <c r="A399" s="42" t="n">
        <v>45545</v>
      </c>
      <c r="B399" s="43" t="inlineStr">
        <is>
          <t>ACH C- COAL INDIA LTD-1337214</t>
        </is>
      </c>
      <c r="C399" s="43" t="inlineStr">
        <is>
          <t>0000008479011377</t>
        </is>
      </c>
      <c r="D399" s="42" t="n">
        <v>45545</v>
      </c>
      <c r="E399" s="43" t="n">
        <v>0</v>
      </c>
      <c r="F399" s="43" t="n">
        <v>15</v>
      </c>
      <c r="G399" s="43" t="n">
        <v>135655.62</v>
      </c>
      <c r="H399" s="43" t="inlineStr"/>
      <c r="I399" s="43" t="inlineStr">
        <is>
          <t>Dividend Income</t>
        </is>
      </c>
      <c r="J399" s="43" t="inlineStr">
        <is>
          <t>Dividend Income</t>
        </is>
      </c>
      <c r="K399" s="43" t="inlineStr">
        <is>
          <t>Dividend Income</t>
        </is>
      </c>
      <c r="L399" s="32" t="n">
        <v>0.88</v>
      </c>
      <c r="M399" s="43" t="inlineStr">
        <is>
          <t>[MATCH]</t>
        </is>
      </c>
    </row>
    <row r="400">
      <c r="A400" s="97" t="n">
        <v>45546</v>
      </c>
      <c r="B400" s="98" t="inlineStr">
        <is>
          <t>FT- 561193411-50200085415108 - HDFC SECURITIES LTD-CLIENT DSCNB A/C -</t>
        </is>
      </c>
      <c r="C400" s="98" t="inlineStr">
        <is>
          <t>0000000769397677</t>
        </is>
      </c>
      <c r="D400" s="97" t="n">
        <v>45546</v>
      </c>
      <c r="E400" s="98" t="n">
        <v>0</v>
      </c>
      <c r="F400" s="98" t="n">
        <v>3515.71</v>
      </c>
      <c r="G400" s="98" t="n">
        <v>139171.33</v>
      </c>
      <c r="H400" s="98" t="inlineStr"/>
      <c r="I400" s="98" t="inlineStr">
        <is>
          <t>HDFC Sec</t>
        </is>
      </c>
      <c r="J400" s="98" t="inlineStr">
        <is>
          <t>HDFC Securities - Settlement</t>
        </is>
      </c>
      <c r="K400" s="98" t="inlineStr">
        <is>
          <t>HDFC Securities</t>
        </is>
      </c>
      <c r="L400" s="35" t="n">
        <v>0.93</v>
      </c>
      <c r="M400" s="98" t="inlineStr">
        <is>
          <t>[DIFF]</t>
        </is>
      </c>
    </row>
    <row r="401">
      <c r="A401" s="42" t="n">
        <v>45546</v>
      </c>
      <c r="B401" s="43" t="inlineStr">
        <is>
          <t>ACH C- NTPC- FINAL DIV 23-2-NT0708240357</t>
        </is>
      </c>
      <c r="C401" s="43" t="inlineStr">
        <is>
          <t>0000008487135873</t>
        </is>
      </c>
      <c r="D401" s="42" t="n">
        <v>45546</v>
      </c>
      <c r="E401" s="43" t="n">
        <v>0</v>
      </c>
      <c r="F401" s="43" t="n">
        <v>812.5</v>
      </c>
      <c r="G401" s="43" t="n">
        <v>139983.83</v>
      </c>
      <c r="H401" s="43" t="inlineStr"/>
      <c r="I401" s="43" t="inlineStr">
        <is>
          <t>Dividend Income</t>
        </is>
      </c>
      <c r="J401" s="43" t="inlineStr">
        <is>
          <t>Dividend Income</t>
        </is>
      </c>
      <c r="K401" s="43" t="inlineStr">
        <is>
          <t>Dividend Income</t>
        </is>
      </c>
      <c r="L401" s="32" t="n">
        <v>0.88</v>
      </c>
      <c r="M401" s="43" t="inlineStr">
        <is>
          <t>[MATCH]</t>
        </is>
      </c>
    </row>
    <row r="402">
      <c r="A402" s="83" t="n">
        <v>45546</v>
      </c>
      <c r="B402" s="84" t="inlineStr">
        <is>
          <t>NET PI TO HSL SEC A/C 523686-00602340029434</t>
        </is>
      </c>
      <c r="C402" s="84" t="inlineStr">
        <is>
          <t>0000000561335070</t>
        </is>
      </c>
      <c r="D402" s="83" t="n">
        <v>45546</v>
      </c>
      <c r="E402" s="84" t="n">
        <v>334.53</v>
      </c>
      <c r="F402" s="84" t="n">
        <v>0</v>
      </c>
      <c r="G402" s="84" t="n">
        <v>139649.3</v>
      </c>
      <c r="H402" s="84" t="inlineStr"/>
      <c r="I402" s="84" t="inlineStr">
        <is>
          <t>HSL</t>
        </is>
      </c>
      <c r="J402" s="84" t="inlineStr">
        <is>
          <t>HDFC Securities - Buy</t>
        </is>
      </c>
      <c r="K402" s="84" t="inlineStr">
        <is>
          <t>HDFC Securities</t>
        </is>
      </c>
      <c r="L402" s="32" t="n">
        <v>0.97</v>
      </c>
      <c r="M402" s="84" t="inlineStr">
        <is>
          <t>[MATCH]</t>
        </is>
      </c>
    </row>
    <row r="403">
      <c r="A403" s="42" t="n">
        <v>45546</v>
      </c>
      <c r="B403" s="43" t="inlineStr">
        <is>
          <t>ACH C- POWER GRID CORPORATI-94348114</t>
        </is>
      </c>
      <c r="C403" s="43" t="inlineStr">
        <is>
          <t>0000008523476941</t>
        </is>
      </c>
      <c r="D403" s="42" t="n">
        <v>45546</v>
      </c>
      <c r="E403" s="43" t="n">
        <v>0</v>
      </c>
      <c r="F403" s="43" t="n">
        <v>275</v>
      </c>
      <c r="G403" s="43" t="n">
        <v>139924.3</v>
      </c>
      <c r="H403" s="43" t="inlineStr"/>
      <c r="I403" s="43" t="inlineStr">
        <is>
          <t>Dividend Income</t>
        </is>
      </c>
      <c r="J403" s="43" t="inlineStr">
        <is>
          <t>Dividend Income</t>
        </is>
      </c>
      <c r="K403" s="43" t="inlineStr">
        <is>
          <t>Dividend Income</t>
        </is>
      </c>
      <c r="L403" s="32" t="n">
        <v>0.88</v>
      </c>
      <c r="M403" s="43" t="inlineStr">
        <is>
          <t>[MATCH]</t>
        </is>
      </c>
    </row>
    <row r="404">
      <c r="A404" s="42" t="n">
        <v>45546</v>
      </c>
      <c r="B404" s="43" t="inlineStr">
        <is>
          <t>ACH C- MANORAMA FNLDIV2324-4219</t>
        </is>
      </c>
      <c r="C404" s="43" t="inlineStr">
        <is>
          <t>0000008545572486</t>
        </is>
      </c>
      <c r="D404" s="42" t="n">
        <v>45546</v>
      </c>
      <c r="E404" s="43" t="n">
        <v>0</v>
      </c>
      <c r="F404" s="43" t="n">
        <v>100</v>
      </c>
      <c r="G404" s="43" t="n">
        <v>140024.3</v>
      </c>
      <c r="H404" s="43" t="inlineStr"/>
      <c r="I404" s="43" t="inlineStr">
        <is>
          <t>Dividend Income</t>
        </is>
      </c>
      <c r="J404" s="43" t="inlineStr">
        <is>
          <t>Dividend Income</t>
        </is>
      </c>
      <c r="K404" s="43" t="inlineStr">
        <is>
          <t>Dividend Income</t>
        </is>
      </c>
      <c r="L404" s="32" t="n">
        <v>0.88</v>
      </c>
      <c r="M404" s="43" t="inlineStr">
        <is>
          <t>[MATCH]</t>
        </is>
      </c>
    </row>
    <row r="405">
      <c r="A405" s="83" t="n">
        <v>45546</v>
      </c>
      <c r="B405" s="84" t="inlineStr">
        <is>
          <t>NET PI TO HSL SEC A/C 523686-00602340029434</t>
        </is>
      </c>
      <c r="C405" s="84" t="inlineStr">
        <is>
          <t>0000000561534916</t>
        </is>
      </c>
      <c r="D405" s="83" t="n">
        <v>45546</v>
      </c>
      <c r="E405" s="84" t="n">
        <v>42275.96</v>
      </c>
      <c r="F405" s="84" t="n">
        <v>0</v>
      </c>
      <c r="G405" s="84" t="n">
        <v>97748.34</v>
      </c>
      <c r="H405" s="84" t="inlineStr"/>
      <c r="I405" s="84" t="inlineStr">
        <is>
          <t>HSL</t>
        </is>
      </c>
      <c r="J405" s="84" t="inlineStr">
        <is>
          <t>HDFC Securities - Buy</t>
        </is>
      </c>
      <c r="K405" s="84" t="inlineStr">
        <is>
          <t>HDFC Securities</t>
        </is>
      </c>
      <c r="L405" s="32" t="n">
        <v>0.97</v>
      </c>
      <c r="M405" s="84" t="inlineStr">
        <is>
          <t>[MATCH]</t>
        </is>
      </c>
    </row>
    <row r="406">
      <c r="A406" s="85" t="n">
        <v>45547</v>
      </c>
      <c r="B406" s="86" t="inlineStr">
        <is>
          <t>NET PO FROM HSL A/C 523686-50200085415108</t>
        </is>
      </c>
      <c r="C406" s="86" t="inlineStr">
        <is>
          <t>0000000561688429</t>
        </is>
      </c>
      <c r="D406" s="85" t="n">
        <v>45547</v>
      </c>
      <c r="E406" s="86" t="n">
        <v>0</v>
      </c>
      <c r="F406" s="86" t="n">
        <v>26296.32</v>
      </c>
      <c r="G406" s="86" t="n">
        <v>124044.66</v>
      </c>
      <c r="H406" s="86" t="inlineStr"/>
      <c r="I406" s="86" t="inlineStr">
        <is>
          <t>HSL</t>
        </is>
      </c>
      <c r="J406" s="86" t="inlineStr">
        <is>
          <t>HDFC Securities - Sell</t>
        </is>
      </c>
      <c r="K406" s="86" t="inlineStr">
        <is>
          <t>HDFC Securities</t>
        </is>
      </c>
      <c r="L406" s="32" t="n">
        <v>0.97</v>
      </c>
      <c r="M406" s="86" t="inlineStr">
        <is>
          <t>[MATCH]</t>
        </is>
      </c>
    </row>
    <row r="407">
      <c r="A407" s="83" t="n">
        <v>45547</v>
      </c>
      <c r="B407" s="84" t="inlineStr">
        <is>
          <t>NET PI TO HSL SEC A/C 523686-00602340029434</t>
        </is>
      </c>
      <c r="C407" s="84" t="inlineStr">
        <is>
          <t>0000000561796409</t>
        </is>
      </c>
      <c r="D407" s="83" t="n">
        <v>45547</v>
      </c>
      <c r="E407" s="84" t="n">
        <v>320.73</v>
      </c>
      <c r="F407" s="84" t="n">
        <v>0</v>
      </c>
      <c r="G407" s="84" t="n">
        <v>123723.93</v>
      </c>
      <c r="H407" s="84" t="inlineStr"/>
      <c r="I407" s="84" t="inlineStr">
        <is>
          <t>HSL</t>
        </is>
      </c>
      <c r="J407" s="84" t="inlineStr">
        <is>
          <t>HDFC Securities - Buy</t>
        </is>
      </c>
      <c r="K407" s="84" t="inlineStr">
        <is>
          <t>HDFC Securities</t>
        </is>
      </c>
      <c r="L407" s="32" t="n">
        <v>0.97</v>
      </c>
      <c r="M407" s="84" t="inlineStr">
        <is>
          <t>[MATCH]</t>
        </is>
      </c>
    </row>
    <row r="408">
      <c r="A408" s="85" t="n">
        <v>45548</v>
      </c>
      <c r="B408" s="86" t="inlineStr">
        <is>
          <t>NET PO FROM HSL A/C 523686-50200085415108</t>
        </is>
      </c>
      <c r="C408" s="86" t="inlineStr">
        <is>
          <t>0000000562112468</t>
        </is>
      </c>
      <c r="D408" s="85" t="n">
        <v>45548</v>
      </c>
      <c r="E408" s="86" t="n">
        <v>0</v>
      </c>
      <c r="F408" s="86" t="n">
        <v>1</v>
      </c>
      <c r="G408" s="86" t="n">
        <v>123724.93</v>
      </c>
      <c r="H408" s="86" t="inlineStr"/>
      <c r="I408" s="86" t="inlineStr">
        <is>
          <t>HSL</t>
        </is>
      </c>
      <c r="J408" s="86" t="inlineStr">
        <is>
          <t>HDFC Securities - Sell</t>
        </is>
      </c>
      <c r="K408" s="86" t="inlineStr">
        <is>
          <t>HDFC Securities</t>
        </is>
      </c>
      <c r="L408" s="32" t="n">
        <v>0.97</v>
      </c>
      <c r="M408" s="86" t="inlineStr">
        <is>
          <t>[MATCH]</t>
        </is>
      </c>
    </row>
    <row r="409">
      <c r="A409" s="97" t="n">
        <v>45548</v>
      </c>
      <c r="B409" s="98" t="inlineStr">
        <is>
          <t>FT- 562070321-50200085415108 - HDFC SECURITIES LTD-CLIENT DSCNB A/C -</t>
        </is>
      </c>
      <c r="C409" s="98" t="inlineStr">
        <is>
          <t>0000000771669728</t>
        </is>
      </c>
      <c r="D409" s="97" t="n">
        <v>45548</v>
      </c>
      <c r="E409" s="98" t="n">
        <v>0</v>
      </c>
      <c r="F409" s="98" t="n">
        <v>8964.040000000001</v>
      </c>
      <c r="G409" s="98" t="n">
        <v>132688.97</v>
      </c>
      <c r="H409" s="98" t="inlineStr"/>
      <c r="I409" s="98" t="inlineStr">
        <is>
          <t>HDFC Sec</t>
        </is>
      </c>
      <c r="J409" s="98" t="inlineStr">
        <is>
          <t>HDFC Securities - Settlement</t>
        </is>
      </c>
      <c r="K409" s="98" t="inlineStr">
        <is>
          <t>HDFC Securities</t>
        </is>
      </c>
      <c r="L409" s="35" t="n">
        <v>0.93</v>
      </c>
      <c r="M409" s="98" t="inlineStr">
        <is>
          <t>[DIFF]</t>
        </is>
      </c>
    </row>
    <row r="410">
      <c r="A410" s="83" t="n">
        <v>45548</v>
      </c>
      <c r="B410" s="84" t="inlineStr">
        <is>
          <t>NET PI TO HSL SEC A/C 523686-00602340029434</t>
        </is>
      </c>
      <c r="C410" s="84" t="inlineStr">
        <is>
          <t>0000000562227997</t>
        </is>
      </c>
      <c r="D410" s="83" t="n">
        <v>45548</v>
      </c>
      <c r="E410" s="84" t="n">
        <v>348.93</v>
      </c>
      <c r="F410" s="84" t="n">
        <v>0</v>
      </c>
      <c r="G410" s="84" t="n">
        <v>132340.04</v>
      </c>
      <c r="H410" s="84" t="inlineStr"/>
      <c r="I410" s="84" t="inlineStr">
        <is>
          <t>HSL</t>
        </is>
      </c>
      <c r="J410" s="84" t="inlineStr">
        <is>
          <t>HDFC Securities - Buy</t>
        </is>
      </c>
      <c r="K410" s="84" t="inlineStr">
        <is>
          <t>HDFC Securities</t>
        </is>
      </c>
      <c r="L410" s="32" t="n">
        <v>0.97</v>
      </c>
      <c r="M410" s="84" t="inlineStr">
        <is>
          <t>[MATCH]</t>
        </is>
      </c>
    </row>
    <row r="411">
      <c r="A411" s="83" t="n">
        <v>45548</v>
      </c>
      <c r="B411" s="84" t="inlineStr">
        <is>
          <t>NET PI TO HSL SEC A/C 523686-00602340029434</t>
        </is>
      </c>
      <c r="C411" s="84" t="inlineStr">
        <is>
          <t>0000000562366504</t>
        </is>
      </c>
      <c r="D411" s="83" t="n">
        <v>45548</v>
      </c>
      <c r="E411" s="84" t="n">
        <v>401.48</v>
      </c>
      <c r="F411" s="84" t="n">
        <v>0</v>
      </c>
      <c r="G411" s="84" t="n">
        <v>131938.56</v>
      </c>
      <c r="H411" s="84" t="inlineStr"/>
      <c r="I411" s="84" t="inlineStr">
        <is>
          <t>HSL</t>
        </is>
      </c>
      <c r="J411" s="84" t="inlineStr">
        <is>
          <t>HDFC Securities - Buy</t>
        </is>
      </c>
      <c r="K411" s="84" t="inlineStr">
        <is>
          <t>HDFC Securities</t>
        </is>
      </c>
      <c r="L411" s="32" t="n">
        <v>0.97</v>
      </c>
      <c r="M411" s="84" t="inlineStr">
        <is>
          <t>[MATCH]</t>
        </is>
      </c>
    </row>
    <row r="412">
      <c r="A412" s="33" t="n">
        <v>45550</v>
      </c>
      <c r="B412" s="34" t="inlineStr">
        <is>
          <t>50100128155413-TPT-MNY RETRN FRM SUNITA TO AAYUSH-AAYUSH KUMAR GUPTA</t>
        </is>
      </c>
      <c r="C412" s="34" t="inlineStr">
        <is>
          <t>0000000447885753</t>
        </is>
      </c>
      <c r="D412" s="33" t="n">
        <v>45550</v>
      </c>
      <c r="E412" s="34" t="n">
        <v>105000</v>
      </c>
      <c r="F412" s="34" t="n">
        <v>0</v>
      </c>
      <c r="G412" s="34" t="n">
        <v>26938.56</v>
      </c>
      <c r="H412" s="34" t="inlineStr"/>
      <c r="I412" s="34" t="inlineStr">
        <is>
          <t>Transfer to Aayush</t>
        </is>
      </c>
      <c r="J412" s="34" t="inlineStr">
        <is>
          <t>Transfer - Sunita Gupta</t>
        </is>
      </c>
      <c r="K412" s="34" t="inlineStr">
        <is>
          <t>Sunita Gupta</t>
        </is>
      </c>
      <c r="L412" s="35" t="n">
        <v>0.88</v>
      </c>
      <c r="M412" s="34" t="inlineStr">
        <is>
          <t>[DIFF]</t>
        </is>
      </c>
    </row>
    <row r="413">
      <c r="A413" s="28" t="n">
        <v>45551</v>
      </c>
      <c r="B413" s="29" t="inlineStr">
        <is>
          <t>ACH D- INDIAN CLEARING CORP-P25847643X05</t>
        </is>
      </c>
      <c r="C413" s="29" t="inlineStr">
        <is>
          <t>0000008615800050</t>
        </is>
      </c>
      <c r="D413" s="28" t="n">
        <v>45551</v>
      </c>
      <c r="E413" s="29" t="n">
        <v>5000</v>
      </c>
      <c r="F413" s="29" t="n">
        <v>0</v>
      </c>
      <c r="G413" s="29" t="n">
        <v>21938.56</v>
      </c>
      <c r="H413" s="29" t="inlineStr"/>
      <c r="I413" s="29" t="inlineStr">
        <is>
          <t>SIP  - 5000</t>
        </is>
      </c>
      <c r="J413" s="29" t="inlineStr">
        <is>
          <t>MF Investment</t>
        </is>
      </c>
      <c r="K413" s="29" t="inlineStr">
        <is>
          <t>Mutual_Fund_Investments</t>
        </is>
      </c>
      <c r="L413" s="35" t="n">
        <v>0.92</v>
      </c>
      <c r="M413" s="29" t="inlineStr">
        <is>
          <t>[DIFF]</t>
        </is>
      </c>
    </row>
    <row r="414">
      <c r="A414" s="83" t="n">
        <v>45551</v>
      </c>
      <c r="B414" s="84" t="inlineStr">
        <is>
          <t>NET PI TO HSL SEC A/C 523686-00602340029434</t>
        </is>
      </c>
      <c r="C414" s="84" t="inlineStr">
        <is>
          <t>0000000562604240</t>
        </is>
      </c>
      <c r="D414" s="83" t="n">
        <v>45551</v>
      </c>
      <c r="E414" s="84" t="n">
        <v>1055.94</v>
      </c>
      <c r="F414" s="84" t="n">
        <v>0</v>
      </c>
      <c r="G414" s="84" t="n">
        <v>20882.62</v>
      </c>
      <c r="H414" s="84" t="inlineStr"/>
      <c r="I414" s="84" t="inlineStr">
        <is>
          <t>HSL</t>
        </is>
      </c>
      <c r="J414" s="84" t="inlineStr">
        <is>
          <t>HDFC Securities - Buy</t>
        </is>
      </c>
      <c r="K414" s="84" t="inlineStr">
        <is>
          <t>HDFC Securities</t>
        </is>
      </c>
      <c r="L414" s="32" t="n">
        <v>0.97</v>
      </c>
      <c r="M414" s="84" t="inlineStr">
        <is>
          <t>[MATCH]</t>
        </is>
      </c>
    </row>
    <row r="415">
      <c r="A415" s="97" t="n">
        <v>45552</v>
      </c>
      <c r="B415" s="98" t="inlineStr">
        <is>
          <t>FT- 562928476-50200085415108 - HDFC SECURITIES LTD-CLIENT DSCNB A/C -</t>
        </is>
      </c>
      <c r="C415" s="98" t="inlineStr">
        <is>
          <t>0000000774494820</t>
        </is>
      </c>
      <c r="D415" s="97" t="n">
        <v>45552</v>
      </c>
      <c r="E415" s="98" t="n">
        <v>0</v>
      </c>
      <c r="F415" s="98" t="n">
        <v>16944.84</v>
      </c>
      <c r="G415" s="98" t="n">
        <v>37827.46</v>
      </c>
      <c r="H415" s="98" t="inlineStr"/>
      <c r="I415" s="98" t="inlineStr">
        <is>
          <t>HDFC Sec</t>
        </is>
      </c>
      <c r="J415" s="98" t="inlineStr">
        <is>
          <t>HDFC Securities - Settlement</t>
        </is>
      </c>
      <c r="K415" s="98" t="inlineStr">
        <is>
          <t>HDFC Securities</t>
        </is>
      </c>
      <c r="L415" s="35" t="n">
        <v>0.93</v>
      </c>
      <c r="M415" s="98" t="inlineStr">
        <is>
          <t>[DIFF]</t>
        </is>
      </c>
    </row>
    <row r="416">
      <c r="A416" s="83" t="n">
        <v>45552</v>
      </c>
      <c r="B416" s="84" t="inlineStr">
        <is>
          <t>NET PI TO HSL SEC A/C 523686-00602340029434</t>
        </is>
      </c>
      <c r="C416" s="84" t="inlineStr">
        <is>
          <t>0000000563098219</t>
        </is>
      </c>
      <c r="D416" s="83" t="n">
        <v>45552</v>
      </c>
      <c r="E416" s="84" t="n">
        <v>351.98</v>
      </c>
      <c r="F416" s="84" t="n">
        <v>0</v>
      </c>
      <c r="G416" s="84" t="n">
        <v>37475.48</v>
      </c>
      <c r="H416" s="84" t="inlineStr"/>
      <c r="I416" s="84" t="inlineStr">
        <is>
          <t>HSL</t>
        </is>
      </c>
      <c r="J416" s="84" t="inlineStr">
        <is>
          <t>HDFC Securities - Buy</t>
        </is>
      </c>
      <c r="K416" s="84" t="inlineStr">
        <is>
          <t>HDFC Securities</t>
        </is>
      </c>
      <c r="L416" s="32" t="n">
        <v>0.97</v>
      </c>
      <c r="M416" s="84" t="inlineStr">
        <is>
          <t>[MATCH]</t>
        </is>
      </c>
    </row>
    <row r="417">
      <c r="A417" s="89" t="n">
        <v>45552</v>
      </c>
      <c r="B417" s="90" t="inlineStr">
        <is>
          <t>DEPOSITORY CHARGES AUG24 - 41060499</t>
        </is>
      </c>
      <c r="C417" s="90" t="inlineStr">
        <is>
          <t>000000000000000</t>
        </is>
      </c>
      <c r="D417" s="89" t="n">
        <v>45552</v>
      </c>
      <c r="E417" s="90" t="n">
        <v>1454.21</v>
      </c>
      <c r="F417" s="90" t="n">
        <v>0</v>
      </c>
      <c r="G417" s="90" t="n">
        <v>36021.27</v>
      </c>
      <c r="H417" s="90" t="inlineStr"/>
      <c r="I417" s="90" t="inlineStr">
        <is>
          <t>Depository Charges</t>
        </is>
      </c>
      <c r="J417" s="90" t="inlineStr">
        <is>
          <t>Depository Charges</t>
        </is>
      </c>
      <c r="K417" s="90" t="inlineStr">
        <is>
          <t>Depository Charges</t>
        </is>
      </c>
      <c r="L417" s="32" t="n">
        <v>0.93</v>
      </c>
      <c r="M417" s="90" t="inlineStr">
        <is>
          <t>[MATCH]</t>
        </is>
      </c>
    </row>
    <row r="418">
      <c r="A418" s="42" t="n">
        <v>45552</v>
      </c>
      <c r="B418" s="43" t="inlineStr">
        <is>
          <t>FT- ICICI PRUDENTIAL DIVIDEND DC A/C - ICICI_PRU_MF_DIVIDEND_  2759P_ 27883351</t>
        </is>
      </c>
      <c r="C418" s="43" t="inlineStr">
        <is>
          <t>0000001774979815</t>
        </is>
      </c>
      <c r="D418" s="42" t="n">
        <v>45552</v>
      </c>
      <c r="E418" s="43" t="n">
        <v>0</v>
      </c>
      <c r="F418" s="43" t="n">
        <v>3139.26</v>
      </c>
      <c r="G418" s="43" t="n">
        <v>39160.53</v>
      </c>
      <c r="H418" s="43" t="inlineStr"/>
      <c r="I418" s="43" t="inlineStr">
        <is>
          <t>Dividend Income</t>
        </is>
      </c>
      <c r="J418" s="43" t="inlineStr">
        <is>
          <t>Dividend Income</t>
        </is>
      </c>
      <c r="K418" s="43" t="inlineStr">
        <is>
          <t>Dividend Income</t>
        </is>
      </c>
      <c r="L418" s="32" t="n">
        <v>0.85</v>
      </c>
      <c r="M418" s="43" t="inlineStr">
        <is>
          <t>[MATCH]</t>
        </is>
      </c>
    </row>
    <row r="419">
      <c r="A419" s="83" t="n">
        <v>45552</v>
      </c>
      <c r="B419" s="84" t="inlineStr">
        <is>
          <t>NET PI TO HSL SEC A/C 523686-00602340029434</t>
        </is>
      </c>
      <c r="C419" s="84" t="inlineStr">
        <is>
          <t>0000000563300428</t>
        </is>
      </c>
      <c r="D419" s="83" t="n">
        <v>45552</v>
      </c>
      <c r="E419" s="84" t="n">
        <v>2257.47</v>
      </c>
      <c r="F419" s="84" t="n">
        <v>0</v>
      </c>
      <c r="G419" s="84" t="n">
        <v>36903.06</v>
      </c>
      <c r="H419" s="84" t="inlineStr"/>
      <c r="I419" s="84" t="inlineStr">
        <is>
          <t>HSL</t>
        </is>
      </c>
      <c r="J419" s="84" t="inlineStr">
        <is>
          <t>HDFC Securities - Buy</t>
        </is>
      </c>
      <c r="K419" s="84" t="inlineStr">
        <is>
          <t>HDFC Securities</t>
        </is>
      </c>
      <c r="L419" s="32" t="n">
        <v>0.97</v>
      </c>
      <c r="M419" s="84" t="inlineStr">
        <is>
          <t>[MATCH]</t>
        </is>
      </c>
    </row>
    <row r="420">
      <c r="A420" s="83" t="n">
        <v>45553</v>
      </c>
      <c r="B420" s="84" t="inlineStr">
        <is>
          <t>NET PI TO HSL SEC A/C 523686-00602340029434</t>
        </is>
      </c>
      <c r="C420" s="84" t="inlineStr">
        <is>
          <t>0000000563531699</t>
        </is>
      </c>
      <c r="D420" s="83" t="n">
        <v>45553</v>
      </c>
      <c r="E420" s="84" t="n">
        <v>342.65</v>
      </c>
      <c r="F420" s="84" t="n">
        <v>0</v>
      </c>
      <c r="G420" s="84" t="n">
        <v>36560.41</v>
      </c>
      <c r="H420" s="84" t="inlineStr"/>
      <c r="I420" s="84" t="inlineStr">
        <is>
          <t>HSL</t>
        </is>
      </c>
      <c r="J420" s="84" t="inlineStr">
        <is>
          <t>HDFC Securities - Buy</t>
        </is>
      </c>
      <c r="K420" s="84" t="inlineStr">
        <is>
          <t>HDFC Securities</t>
        </is>
      </c>
      <c r="L420" s="32" t="n">
        <v>0.97</v>
      </c>
      <c r="M420" s="84" t="inlineStr">
        <is>
          <t>[MATCH]</t>
        </is>
      </c>
    </row>
    <row r="421">
      <c r="A421" s="83" t="n">
        <v>45553</v>
      </c>
      <c r="B421" s="84" t="inlineStr">
        <is>
          <t>NET PI TO HSL SEC A/C 523686-00602340029434</t>
        </is>
      </c>
      <c r="C421" s="84" t="inlineStr">
        <is>
          <t>0000000563713390</t>
        </is>
      </c>
      <c r="D421" s="83" t="n">
        <v>45553</v>
      </c>
      <c r="E421" s="84" t="n">
        <v>36560.41</v>
      </c>
      <c r="F421" s="84" t="n">
        <v>0</v>
      </c>
      <c r="G421" s="84" t="n">
        <v>0</v>
      </c>
      <c r="H421" s="84" t="inlineStr"/>
      <c r="I421" s="84" t="inlineStr">
        <is>
          <t>HSL</t>
        </is>
      </c>
      <c r="J421" s="84" t="inlineStr">
        <is>
          <t>HDFC Securities - Buy</t>
        </is>
      </c>
      <c r="K421" s="84" t="inlineStr">
        <is>
          <t>HDFC Securities</t>
        </is>
      </c>
      <c r="L421" s="32" t="n">
        <v>0.97</v>
      </c>
      <c r="M421" s="84" t="inlineStr">
        <is>
          <t>[MATCH]</t>
        </is>
      </c>
    </row>
    <row r="422">
      <c r="A422" s="85" t="n">
        <v>45554</v>
      </c>
      <c r="B422" s="86" t="inlineStr">
        <is>
          <t>NET PO FROM HSL A/C 523686-50200085415108</t>
        </is>
      </c>
      <c r="C422" s="86" t="inlineStr">
        <is>
          <t>0000000563894192</t>
        </is>
      </c>
      <c r="D422" s="85" t="n">
        <v>45554</v>
      </c>
      <c r="E422" s="86" t="n">
        <v>0</v>
      </c>
      <c r="F422" s="86" t="n">
        <v>19217.6</v>
      </c>
      <c r="G422" s="86" t="n">
        <v>19217.6</v>
      </c>
      <c r="H422" s="86" t="inlineStr"/>
      <c r="I422" s="86" t="inlineStr">
        <is>
          <t>HSL</t>
        </is>
      </c>
      <c r="J422" s="86" t="inlineStr">
        <is>
          <t>HDFC Securities - Sell</t>
        </is>
      </c>
      <c r="K422" s="86" t="inlineStr">
        <is>
          <t>HDFC Securities</t>
        </is>
      </c>
      <c r="L422" s="32" t="n">
        <v>0.97</v>
      </c>
      <c r="M422" s="86" t="inlineStr">
        <is>
          <t>[MATCH]</t>
        </is>
      </c>
    </row>
    <row r="423">
      <c r="A423" s="83" t="n">
        <v>45554</v>
      </c>
      <c r="B423" s="84" t="inlineStr">
        <is>
          <t>NET PI TO HSL SEC A/C 523686-00602340029434</t>
        </is>
      </c>
      <c r="C423" s="84" t="inlineStr">
        <is>
          <t>0000000564000369</t>
        </is>
      </c>
      <c r="D423" s="83" t="n">
        <v>45554</v>
      </c>
      <c r="E423" s="84" t="n">
        <v>329.62</v>
      </c>
      <c r="F423" s="84" t="n">
        <v>0</v>
      </c>
      <c r="G423" s="84" t="n">
        <v>18887.98</v>
      </c>
      <c r="H423" s="84" t="inlineStr"/>
      <c r="I423" s="84" t="inlineStr">
        <is>
          <t>HSL</t>
        </is>
      </c>
      <c r="J423" s="84" t="inlineStr">
        <is>
          <t>HDFC Securities - Buy</t>
        </is>
      </c>
      <c r="K423" s="84" t="inlineStr">
        <is>
          <t>HDFC Securities</t>
        </is>
      </c>
      <c r="L423" s="32" t="n">
        <v>0.97</v>
      </c>
      <c r="M423" s="84" t="inlineStr">
        <is>
          <t>[MATCH]</t>
        </is>
      </c>
    </row>
    <row r="424">
      <c r="A424" s="83" t="n">
        <v>45554</v>
      </c>
      <c r="B424" s="84" t="inlineStr">
        <is>
          <t>NET PI TO HSL SEC A/C 523686-00602340029434</t>
        </is>
      </c>
      <c r="C424" s="84" t="inlineStr">
        <is>
          <t>0000000564228802</t>
        </is>
      </c>
      <c r="D424" s="83" t="n">
        <v>45554</v>
      </c>
      <c r="E424" s="84" t="n">
        <v>7169.87</v>
      </c>
      <c r="F424" s="84" t="n">
        <v>0</v>
      </c>
      <c r="G424" s="84" t="n">
        <v>11718.11</v>
      </c>
      <c r="H424" s="84" t="inlineStr"/>
      <c r="I424" s="84" t="inlineStr">
        <is>
          <t>HSL</t>
        </is>
      </c>
      <c r="J424" s="84" t="inlineStr">
        <is>
          <t>HDFC Securities - Buy</t>
        </is>
      </c>
      <c r="K424" s="84" t="inlineStr">
        <is>
          <t>HDFC Securities</t>
        </is>
      </c>
      <c r="L424" s="32" t="n">
        <v>0.97</v>
      </c>
      <c r="M424" s="84" t="inlineStr">
        <is>
          <t>[MATCH]</t>
        </is>
      </c>
    </row>
    <row r="425">
      <c r="A425" s="83" t="n">
        <v>45555</v>
      </c>
      <c r="B425" s="84" t="inlineStr">
        <is>
          <t>NET PI TO HSL SEC A/C 523686-00602340029434</t>
        </is>
      </c>
      <c r="C425" s="84" t="inlineStr">
        <is>
          <t>0000000564557579</t>
        </is>
      </c>
      <c r="D425" s="83" t="n">
        <v>45555</v>
      </c>
      <c r="E425" s="84" t="n">
        <v>366.63</v>
      </c>
      <c r="F425" s="84" t="n">
        <v>0</v>
      </c>
      <c r="G425" s="84" t="n">
        <v>11351.48</v>
      </c>
      <c r="H425" s="84" t="inlineStr"/>
      <c r="I425" s="84" t="inlineStr">
        <is>
          <t>HSL</t>
        </is>
      </c>
      <c r="J425" s="84" t="inlineStr">
        <is>
          <t>HDFC Securities - Buy</t>
        </is>
      </c>
      <c r="K425" s="84" t="inlineStr">
        <is>
          <t>HDFC Securities</t>
        </is>
      </c>
      <c r="L425" s="32" t="n">
        <v>0.97</v>
      </c>
      <c r="M425" s="84" t="inlineStr">
        <is>
          <t>[MATCH]</t>
        </is>
      </c>
    </row>
    <row r="426">
      <c r="A426" s="97" t="n">
        <v>45558</v>
      </c>
      <c r="B426" s="98" t="inlineStr">
        <is>
          <t>FT- 564856018-50200085415108 - HDFC SECURITIES LTD-CLIENT DSCNB A/C -</t>
        </is>
      </c>
      <c r="C426" s="98" t="inlineStr">
        <is>
          <t>0000000779555955</t>
        </is>
      </c>
      <c r="D426" s="97" t="n">
        <v>45558</v>
      </c>
      <c r="E426" s="98" t="n">
        <v>0</v>
      </c>
      <c r="F426" s="98" t="n">
        <v>88747.78</v>
      </c>
      <c r="G426" s="98" t="n">
        <v>100099.26</v>
      </c>
      <c r="H426" s="98" t="inlineStr"/>
      <c r="I426" s="98" t="inlineStr">
        <is>
          <t>HDFC Sec</t>
        </is>
      </c>
      <c r="J426" s="98" t="inlineStr">
        <is>
          <t>HDFC Securities - Settlement</t>
        </is>
      </c>
      <c r="K426" s="98" t="inlineStr">
        <is>
          <t>HDFC Securities</t>
        </is>
      </c>
      <c r="L426" s="35" t="n">
        <v>0.93</v>
      </c>
      <c r="M426" s="98" t="inlineStr">
        <is>
          <t>[DIFF]</t>
        </is>
      </c>
    </row>
    <row r="427">
      <c r="A427" s="83" t="n">
        <v>45558</v>
      </c>
      <c r="B427" s="84" t="inlineStr">
        <is>
          <t>NET PI TO HSL SEC A/C 523686-00602340029434</t>
        </is>
      </c>
      <c r="C427" s="84" t="inlineStr">
        <is>
          <t>0000000565055253</t>
        </is>
      </c>
      <c r="D427" s="83" t="n">
        <v>45558</v>
      </c>
      <c r="E427" s="84" t="n">
        <v>1099.89</v>
      </c>
      <c r="F427" s="84" t="n">
        <v>0</v>
      </c>
      <c r="G427" s="84" t="n">
        <v>98999.37</v>
      </c>
      <c r="H427" s="84" t="inlineStr"/>
      <c r="I427" s="84" t="inlineStr">
        <is>
          <t>HSL</t>
        </is>
      </c>
      <c r="J427" s="84" t="inlineStr">
        <is>
          <t>HDFC Securities - Buy</t>
        </is>
      </c>
      <c r="K427" s="84" t="inlineStr">
        <is>
          <t>HDFC Securities</t>
        </is>
      </c>
      <c r="L427" s="32" t="n">
        <v>0.97</v>
      </c>
      <c r="M427" s="84" t="inlineStr">
        <is>
          <t>[MATCH]</t>
        </is>
      </c>
    </row>
    <row r="428">
      <c r="A428" s="28" t="n">
        <v>45558</v>
      </c>
      <c r="B428" s="29" t="inlineStr">
        <is>
          <t>YHDF2442937528/BILLDKTHECALCUTTAELE</t>
        </is>
      </c>
      <c r="C428" s="29" t="inlineStr">
        <is>
          <t>0002426762566375</t>
        </is>
      </c>
      <c r="D428" s="28" t="n">
        <v>45558</v>
      </c>
      <c r="E428" s="29" t="n">
        <v>16728</v>
      </c>
      <c r="F428" s="29" t="n">
        <v>0</v>
      </c>
      <c r="G428" s="29" t="n">
        <v>82271.37</v>
      </c>
      <c r="H428" s="29" t="inlineStr"/>
      <c r="I428" s="29" t="inlineStr">
        <is>
          <t>Electricity Bill</t>
        </is>
      </c>
      <c r="J428" s="29" t="inlineStr">
        <is>
          <t>SIP</t>
        </is>
      </c>
      <c r="K428" s="29" t="inlineStr">
        <is>
          <t>SIP</t>
        </is>
      </c>
      <c r="L428" s="35" t="n">
        <v>0.9</v>
      </c>
      <c r="M428" s="29" t="inlineStr">
        <is>
          <t>[DIFF]</t>
        </is>
      </c>
    </row>
    <row r="429">
      <c r="A429" s="83" t="n">
        <v>45558</v>
      </c>
      <c r="B429" s="84" t="inlineStr">
        <is>
          <t>NET PI TO HSL SEC A/C 523686-00602340029434</t>
        </is>
      </c>
      <c r="C429" s="84" t="inlineStr">
        <is>
          <t>0000000565232384</t>
        </is>
      </c>
      <c r="D429" s="83" t="n">
        <v>45558</v>
      </c>
      <c r="E429" s="84" t="n">
        <v>181.39</v>
      </c>
      <c r="F429" s="84" t="n">
        <v>0</v>
      </c>
      <c r="G429" s="84" t="n">
        <v>82089.98</v>
      </c>
      <c r="H429" s="84" t="inlineStr"/>
      <c r="I429" s="84" t="inlineStr">
        <is>
          <t>HSL</t>
        </is>
      </c>
      <c r="J429" s="84" t="inlineStr">
        <is>
          <t>HDFC Securities - Buy</t>
        </is>
      </c>
      <c r="K429" s="84" t="inlineStr">
        <is>
          <t>HDFC Securities</t>
        </is>
      </c>
      <c r="L429" s="32" t="n">
        <v>0.97</v>
      </c>
      <c r="M429" s="84" t="inlineStr">
        <is>
          <t>[MATCH]</t>
        </is>
      </c>
    </row>
    <row r="430">
      <c r="A430" s="83" t="n">
        <v>45559</v>
      </c>
      <c r="B430" s="84" t="inlineStr">
        <is>
          <t>NET PI TO HSL SEC A/C 523686-00602340029434</t>
        </is>
      </c>
      <c r="C430" s="84" t="inlineStr">
        <is>
          <t>0000000565543352</t>
        </is>
      </c>
      <c r="D430" s="83" t="n">
        <v>45559</v>
      </c>
      <c r="E430" s="84" t="n">
        <v>339.23</v>
      </c>
      <c r="F430" s="84" t="n">
        <v>0</v>
      </c>
      <c r="G430" s="84" t="n">
        <v>81750.75</v>
      </c>
      <c r="H430" s="84" t="inlineStr"/>
      <c r="I430" s="84" t="inlineStr">
        <is>
          <t>HSL</t>
        </is>
      </c>
      <c r="J430" s="84" t="inlineStr">
        <is>
          <t>HDFC Securities - Buy</t>
        </is>
      </c>
      <c r="K430" s="84" t="inlineStr">
        <is>
          <t>HDFC Securities</t>
        </is>
      </c>
      <c r="L430" s="32" t="n">
        <v>0.97</v>
      </c>
      <c r="M430" s="84" t="inlineStr">
        <is>
          <t>[MATCH]</t>
        </is>
      </c>
    </row>
    <row r="431">
      <c r="A431" s="83" t="n">
        <v>45559</v>
      </c>
      <c r="B431" s="84" t="inlineStr">
        <is>
          <t>NET PI TO HSL SEC A/C 523686-00602340029434</t>
        </is>
      </c>
      <c r="C431" s="84" t="inlineStr">
        <is>
          <t>0000000565714330</t>
        </is>
      </c>
      <c r="D431" s="83" t="n">
        <v>45559</v>
      </c>
      <c r="E431" s="84" t="n">
        <v>71920.67999999999</v>
      </c>
      <c r="F431" s="84" t="n">
        <v>0</v>
      </c>
      <c r="G431" s="84" t="n">
        <v>9830.07</v>
      </c>
      <c r="H431" s="84" t="inlineStr"/>
      <c r="I431" s="84" t="inlineStr">
        <is>
          <t>HSL</t>
        </is>
      </c>
      <c r="J431" s="84" t="inlineStr">
        <is>
          <t>HDFC Securities - Buy</t>
        </is>
      </c>
      <c r="K431" s="84" t="inlineStr">
        <is>
          <t>HDFC Securities</t>
        </is>
      </c>
      <c r="L431" s="32" t="n">
        <v>0.97</v>
      </c>
      <c r="M431" s="84" t="inlineStr">
        <is>
          <t>[MATCH]</t>
        </is>
      </c>
    </row>
    <row r="432">
      <c r="A432" s="97" t="n">
        <v>45560</v>
      </c>
      <c r="B432" s="98" t="inlineStr">
        <is>
          <t>FT- 565885294-50200085415108 - HDFC SECURITIES LTD-CLIENT DSCNB A/C -</t>
        </is>
      </c>
      <c r="C432" s="98" t="inlineStr">
        <is>
          <t>0000000782037940</t>
        </is>
      </c>
      <c r="D432" s="97" t="n">
        <v>45560</v>
      </c>
      <c r="E432" s="98" t="n">
        <v>0</v>
      </c>
      <c r="F432" s="98" t="n">
        <v>60928.57</v>
      </c>
      <c r="G432" s="98" t="n">
        <v>70758.64</v>
      </c>
      <c r="H432" s="98" t="inlineStr"/>
      <c r="I432" s="98" t="inlineStr">
        <is>
          <t>HDFC Sec</t>
        </is>
      </c>
      <c r="J432" s="98" t="inlineStr">
        <is>
          <t>HDFC Securities - Settlement</t>
        </is>
      </c>
      <c r="K432" s="98" t="inlineStr">
        <is>
          <t>HDFC Securities</t>
        </is>
      </c>
      <c r="L432" s="35" t="n">
        <v>0.93</v>
      </c>
      <c r="M432" s="98" t="inlineStr">
        <is>
          <t>[DIFF]</t>
        </is>
      </c>
    </row>
    <row r="433">
      <c r="A433" s="28" t="n">
        <v>45560</v>
      </c>
      <c r="B433" s="29" t="inlineStr">
        <is>
          <t>ACH D- INDIAN CLEARING CORP-P25847643X05</t>
        </is>
      </c>
      <c r="C433" s="29" t="inlineStr">
        <is>
          <t>0000008957347293</t>
        </is>
      </c>
      <c r="D433" s="28" t="n">
        <v>45560</v>
      </c>
      <c r="E433" s="29" t="n">
        <v>10000</v>
      </c>
      <c r="F433" s="29" t="n">
        <v>0</v>
      </c>
      <c r="G433" s="29" t="n">
        <v>60758.64</v>
      </c>
      <c r="H433" s="29" t="inlineStr"/>
      <c r="I433" s="29" t="inlineStr">
        <is>
          <t>SIP  - 10000</t>
        </is>
      </c>
      <c r="J433" s="29" t="inlineStr">
        <is>
          <t>MF Investment</t>
        </is>
      </c>
      <c r="K433" s="29" t="inlineStr">
        <is>
          <t>Mutual_Fund_Investments</t>
        </is>
      </c>
      <c r="L433" s="35" t="n">
        <v>0.92</v>
      </c>
      <c r="M433" s="29" t="inlineStr">
        <is>
          <t>[DIFF]</t>
        </is>
      </c>
    </row>
    <row r="434">
      <c r="A434" s="83" t="n">
        <v>45560</v>
      </c>
      <c r="B434" s="84" t="inlineStr">
        <is>
          <t>NET PI TO HSL SEC A/C 523686-00602340029434</t>
        </is>
      </c>
      <c r="C434" s="84" t="inlineStr">
        <is>
          <t>0000000565990106</t>
        </is>
      </c>
      <c r="D434" s="83" t="n">
        <v>45560</v>
      </c>
      <c r="E434" s="84" t="n">
        <v>313.62</v>
      </c>
      <c r="F434" s="84" t="n">
        <v>0</v>
      </c>
      <c r="G434" s="84" t="n">
        <v>60445.02</v>
      </c>
      <c r="H434" s="84" t="inlineStr"/>
      <c r="I434" s="84" t="inlineStr">
        <is>
          <t>HSL</t>
        </is>
      </c>
      <c r="J434" s="84" t="inlineStr">
        <is>
          <t>HDFC Securities - Buy</t>
        </is>
      </c>
      <c r="K434" s="84" t="inlineStr">
        <is>
          <t>HDFC Securities</t>
        </is>
      </c>
      <c r="L434" s="32" t="n">
        <v>0.97</v>
      </c>
      <c r="M434" s="84" t="inlineStr">
        <is>
          <t>[MATCH]</t>
        </is>
      </c>
    </row>
    <row r="435">
      <c r="A435" s="30" t="n">
        <v>45560</v>
      </c>
      <c r="B435" s="31" t="inlineStr">
        <is>
          <t>ATW-498792XXXXXX0500-S1ANMN04-NASHIK</t>
        </is>
      </c>
      <c r="C435" s="31" t="inlineStr">
        <is>
          <t>0000000000005540</t>
        </is>
      </c>
      <c r="D435" s="30" t="n">
        <v>45560</v>
      </c>
      <c r="E435" s="31" t="n">
        <v>10000</v>
      </c>
      <c r="F435" s="31" t="n">
        <v>0</v>
      </c>
      <c r="G435" s="31" t="n">
        <v>50445.02</v>
      </c>
      <c r="H435" s="31" t="inlineStr"/>
      <c r="I435" s="31" t="inlineStr">
        <is>
          <t>ATM Withdrawal</t>
        </is>
      </c>
      <c r="J435" s="31" t="inlineStr">
        <is>
          <t>Cash Withdrawal</t>
        </is>
      </c>
      <c r="K435" s="31" t="inlineStr">
        <is>
          <t>Cash</t>
        </is>
      </c>
      <c r="L435" s="32" t="n">
        <v>0.92</v>
      </c>
      <c r="M435" s="31" t="inlineStr">
        <is>
          <t>[MATCH]</t>
        </is>
      </c>
    </row>
    <row r="436">
      <c r="A436" s="85" t="n">
        <v>45561</v>
      </c>
      <c r="B436" s="86" t="inlineStr">
        <is>
          <t>NET PO FROM HSL A/C 523686-50200085415108</t>
        </is>
      </c>
      <c r="C436" s="86" t="inlineStr">
        <is>
          <t>0000000566338714</t>
        </is>
      </c>
      <c r="D436" s="85" t="n">
        <v>45561</v>
      </c>
      <c r="E436" s="86" t="n">
        <v>0</v>
      </c>
      <c r="F436" s="86" t="n">
        <v>132691.64</v>
      </c>
      <c r="G436" s="86" t="n">
        <v>183136.66</v>
      </c>
      <c r="H436" s="86" t="inlineStr"/>
      <c r="I436" s="86" t="inlineStr">
        <is>
          <t>HSL</t>
        </is>
      </c>
      <c r="J436" s="86" t="inlineStr">
        <is>
          <t>HDFC Securities - Sell</t>
        </is>
      </c>
      <c r="K436" s="86" t="inlineStr">
        <is>
          <t>HDFC Securities</t>
        </is>
      </c>
      <c r="L436" s="32" t="n">
        <v>0.97</v>
      </c>
      <c r="M436" s="86" t="inlineStr">
        <is>
          <t>[MATCH]</t>
        </is>
      </c>
    </row>
    <row r="437">
      <c r="A437" s="83" t="n">
        <v>45561</v>
      </c>
      <c r="B437" s="84" t="inlineStr">
        <is>
          <t>NET PI TO HSL SEC A/C 523686-00602340029434</t>
        </is>
      </c>
      <c r="C437" s="84" t="inlineStr">
        <is>
          <t>0000000566467505</t>
        </is>
      </c>
      <c r="D437" s="83" t="n">
        <v>45561</v>
      </c>
      <c r="E437" s="84" t="n">
        <v>313.62</v>
      </c>
      <c r="F437" s="84" t="n">
        <v>0</v>
      </c>
      <c r="G437" s="84" t="n">
        <v>182823.04</v>
      </c>
      <c r="H437" s="84" t="inlineStr"/>
      <c r="I437" s="84" t="inlineStr">
        <is>
          <t>HSL</t>
        </is>
      </c>
      <c r="J437" s="84" t="inlineStr">
        <is>
          <t>HDFC Securities - Buy</t>
        </is>
      </c>
      <c r="K437" s="84" t="inlineStr">
        <is>
          <t>HDFC Securities</t>
        </is>
      </c>
      <c r="L437" s="32" t="n">
        <v>0.97</v>
      </c>
      <c r="M437" s="84" t="inlineStr">
        <is>
          <t>[MATCH]</t>
        </is>
      </c>
    </row>
    <row r="438">
      <c r="A438" s="33" t="n">
        <v>45561</v>
      </c>
      <c r="B438" s="34" t="inlineStr">
        <is>
          <t>NEFT CR-SBIN0004266-SBI GENERAL INSURANCE CO LTDSBI GEN-SUNITA GUPTA 0000000002717756-SBIN324270219069</t>
        </is>
      </c>
      <c r="C438" s="34" t="inlineStr">
        <is>
          <t>SBIN324270219069</t>
        </is>
      </c>
      <c r="D438" s="33" t="n">
        <v>45561</v>
      </c>
      <c r="E438" s="34" t="n">
        <v>0</v>
      </c>
      <c r="F438" s="34" t="n">
        <v>2380</v>
      </c>
      <c r="G438" s="34" t="n">
        <v>185203.04</v>
      </c>
      <c r="H438" s="34" t="inlineStr"/>
      <c r="I438" s="34" t="inlineStr">
        <is>
          <t>Rental Income</t>
        </is>
      </c>
      <c r="J438" s="34" t="inlineStr">
        <is>
          <t>Received - Sunita Gupta</t>
        </is>
      </c>
      <c r="K438" s="34" t="inlineStr">
        <is>
          <t>Sunita Gupta</t>
        </is>
      </c>
      <c r="L438" s="35" t="n">
        <v>0.88</v>
      </c>
      <c r="M438" s="34" t="inlineStr">
        <is>
          <t>[DIFF]</t>
        </is>
      </c>
    </row>
    <row r="439">
      <c r="A439" s="97" t="n">
        <v>45562</v>
      </c>
      <c r="B439" s="98" t="inlineStr">
        <is>
          <t>FT- 566781852-50200085415108 - HDFC SECURITIES LTD-CLIENT DSCNB A/C -</t>
        </is>
      </c>
      <c r="C439" s="98" t="inlineStr">
        <is>
          <t>0000000784623671</t>
        </is>
      </c>
      <c r="D439" s="97" t="n">
        <v>45562</v>
      </c>
      <c r="E439" s="98" t="n">
        <v>0</v>
      </c>
      <c r="F439" s="98" t="n">
        <v>2984.22</v>
      </c>
      <c r="G439" s="98" t="n">
        <v>188187.26</v>
      </c>
      <c r="H439" s="98" t="inlineStr"/>
      <c r="I439" s="98" t="inlineStr">
        <is>
          <t>HDFC Sec</t>
        </is>
      </c>
      <c r="J439" s="98" t="inlineStr">
        <is>
          <t>HDFC Securities - Settlement</t>
        </is>
      </c>
      <c r="K439" s="98" t="inlineStr">
        <is>
          <t>HDFC Securities</t>
        </is>
      </c>
      <c r="L439" s="35" t="n">
        <v>0.93</v>
      </c>
      <c r="M439" s="98" t="inlineStr">
        <is>
          <t>[DIFF]</t>
        </is>
      </c>
    </row>
    <row r="440">
      <c r="A440" s="83" t="n">
        <v>45562</v>
      </c>
      <c r="B440" s="84" t="inlineStr">
        <is>
          <t>NET PI TO HSL SEC A/C 523686-00602340029434</t>
        </is>
      </c>
      <c r="C440" s="84" t="inlineStr">
        <is>
          <t>0000000566936909</t>
        </is>
      </c>
      <c r="D440" s="83" t="n">
        <v>45562</v>
      </c>
      <c r="E440" s="84" t="n">
        <v>316.1</v>
      </c>
      <c r="F440" s="84" t="n">
        <v>0</v>
      </c>
      <c r="G440" s="84" t="n">
        <v>187871.16</v>
      </c>
      <c r="H440" s="84" t="inlineStr"/>
      <c r="I440" s="84" t="inlineStr">
        <is>
          <t>HSL</t>
        </is>
      </c>
      <c r="J440" s="84" t="inlineStr">
        <is>
          <t>HDFC Securities - Buy</t>
        </is>
      </c>
      <c r="K440" s="84" t="inlineStr">
        <is>
          <t>HDFC Securities</t>
        </is>
      </c>
      <c r="L440" s="32" t="n">
        <v>0.97</v>
      </c>
      <c r="M440" s="84" t="inlineStr">
        <is>
          <t>[MATCH]</t>
        </is>
      </c>
    </row>
    <row r="441">
      <c r="A441" s="66" t="n">
        <v>45562</v>
      </c>
      <c r="B441" s="67" t="inlineStr">
        <is>
          <t>50100542230922-TPT-FOR EXPENSES TRN TO ARCHIT-ARCHIT GUPTA</t>
        </is>
      </c>
      <c r="C441" s="67" t="inlineStr">
        <is>
          <t>0000000503500292</t>
        </is>
      </c>
      <c r="D441" s="66" t="n">
        <v>45562</v>
      </c>
      <c r="E441" s="67" t="n">
        <v>50000</v>
      </c>
      <c r="F441" s="67" t="n">
        <v>0</v>
      </c>
      <c r="G441" s="67" t="n">
        <v>137871.16</v>
      </c>
      <c r="H441" s="67" t="inlineStr"/>
      <c r="I441" s="67" t="inlineStr">
        <is>
          <t>Transfer to Archit</t>
        </is>
      </c>
      <c r="J441" s="67" t="inlineStr">
        <is>
          <t>Transfer - Archit Gupta</t>
        </is>
      </c>
      <c r="K441" s="67" t="inlineStr">
        <is>
          <t>Archit Gupta</t>
        </is>
      </c>
      <c r="L441" s="32" t="n">
        <v>0.85</v>
      </c>
      <c r="M441" s="67" t="inlineStr">
        <is>
          <t>[MATCH]</t>
        </is>
      </c>
    </row>
    <row r="442">
      <c r="A442" s="33" t="n">
        <v>45562</v>
      </c>
      <c r="B442" s="34" t="inlineStr">
        <is>
          <t>NEFT CR-SBIN0004266-SBI GENERAL INSURANCE CO LTDSBI GEN-SUNITA GUPTA 0000000002717756-SBIN424271842614</t>
        </is>
      </c>
      <c r="C442" s="34" t="inlineStr">
        <is>
          <t>SBIN424271842614</t>
        </is>
      </c>
      <c r="D442" s="33" t="n">
        <v>45562</v>
      </c>
      <c r="E442" s="34" t="n">
        <v>0</v>
      </c>
      <c r="F442" s="34" t="n">
        <v>16728</v>
      </c>
      <c r="G442" s="34" t="n">
        <v>154599.16</v>
      </c>
      <c r="H442" s="34" t="inlineStr"/>
      <c r="I442" s="34" t="inlineStr">
        <is>
          <t>Rental Income</t>
        </is>
      </c>
      <c r="J442" s="34" t="inlineStr">
        <is>
          <t>Received - Sunita Gupta</t>
        </is>
      </c>
      <c r="K442" s="34" t="inlineStr">
        <is>
          <t>Sunita Gupta</t>
        </is>
      </c>
      <c r="L442" s="35" t="n">
        <v>0.88</v>
      </c>
      <c r="M442" s="34" t="inlineStr">
        <is>
          <t>[DIFF]</t>
        </is>
      </c>
    </row>
    <row r="443">
      <c r="A443" s="97" t="n">
        <v>45565</v>
      </c>
      <c r="B443" s="98" t="inlineStr">
        <is>
          <t>FT- 567225434-50200085415108 - HDFC SECURITIES LTD-CLIENT DSCNB A/C -</t>
        </is>
      </c>
      <c r="C443" s="98" t="inlineStr">
        <is>
          <t>0000000786722540</t>
        </is>
      </c>
      <c r="D443" s="97" t="n">
        <v>45565</v>
      </c>
      <c r="E443" s="98" t="n">
        <v>0</v>
      </c>
      <c r="F443" s="98" t="n">
        <v>5948.77</v>
      </c>
      <c r="G443" s="98" t="n">
        <v>160547.93</v>
      </c>
      <c r="H443" s="98" t="inlineStr"/>
      <c r="I443" s="98" t="inlineStr">
        <is>
          <t>HDFC Sec</t>
        </is>
      </c>
      <c r="J443" s="98" t="inlineStr">
        <is>
          <t>HDFC Securities - Settlement</t>
        </is>
      </c>
      <c r="K443" s="98" t="inlineStr">
        <is>
          <t>HDFC Securities</t>
        </is>
      </c>
      <c r="L443" s="35" t="n">
        <v>0.93</v>
      </c>
      <c r="M443" s="98" t="inlineStr">
        <is>
          <t>[DIFF]</t>
        </is>
      </c>
    </row>
    <row r="444">
      <c r="A444" s="83" t="n">
        <v>45565</v>
      </c>
      <c r="B444" s="84" t="inlineStr">
        <is>
          <t>NET PI TO HSL SEC A/C 523686-00602340029434</t>
        </is>
      </c>
      <c r="C444" s="84" t="inlineStr">
        <is>
          <t>0000000567395837</t>
        </is>
      </c>
      <c r="D444" s="83" t="n">
        <v>45565</v>
      </c>
      <c r="E444" s="84" t="n">
        <v>951.48</v>
      </c>
      <c r="F444" s="84" t="n">
        <v>0</v>
      </c>
      <c r="G444" s="84" t="n">
        <v>159596.45</v>
      </c>
      <c r="H444" s="84" t="inlineStr"/>
      <c r="I444" s="84" t="inlineStr">
        <is>
          <t>HSL</t>
        </is>
      </c>
      <c r="J444" s="84" t="inlineStr">
        <is>
          <t>HDFC Securities - Buy</t>
        </is>
      </c>
      <c r="K444" s="84" t="inlineStr">
        <is>
          <t>HDFC Securities</t>
        </is>
      </c>
      <c r="L444" s="32" t="n">
        <v>0.97</v>
      </c>
      <c r="M444" s="84" t="inlineStr">
        <is>
          <t>[MATCH]</t>
        </is>
      </c>
    </row>
    <row r="445">
      <c r="A445" s="42" t="n">
        <v>45565</v>
      </c>
      <c r="B445" s="43" t="inlineStr">
        <is>
          <t>NEFT CR-UTIB0000004-AXIS MUTUAL FUND DIVIDEND A/C-SUNITA GUPTA-AXISCN0759989851</t>
        </is>
      </c>
      <c r="C445" s="43" t="inlineStr">
        <is>
          <t>AXISCN0759989851</t>
        </is>
      </c>
      <c r="D445" s="42" t="n">
        <v>45565</v>
      </c>
      <c r="E445" s="43" t="n">
        <v>0</v>
      </c>
      <c r="F445" s="43" t="n">
        <v>84.56999999999999</v>
      </c>
      <c r="G445" s="43" t="n">
        <v>159681.02</v>
      </c>
      <c r="H445" s="43" t="inlineStr"/>
      <c r="I445" s="43" t="inlineStr">
        <is>
          <t>Dividend Income</t>
        </is>
      </c>
      <c r="J445" s="43" t="inlineStr">
        <is>
          <t>Dividend Income</t>
        </is>
      </c>
      <c r="K445" s="43" t="inlineStr">
        <is>
          <t>Dividend Income</t>
        </is>
      </c>
      <c r="L445" s="32" t="n">
        <v>0.85</v>
      </c>
      <c r="M445" s="43" t="inlineStr">
        <is>
          <t>[MATCH]</t>
        </is>
      </c>
    </row>
    <row r="446">
      <c r="A446" s="33" t="n">
        <v>45565</v>
      </c>
      <c r="B446" s="34" t="inlineStr">
        <is>
          <t>NEFT CR-UTIB0002656-SUNITA GUPTA-SUNITA GUPTA-AXOIR27490761713</t>
        </is>
      </c>
      <c r="C446" s="34" t="inlineStr">
        <is>
          <t>AXOIR27490761713</t>
        </is>
      </c>
      <c r="D446" s="33" t="n">
        <v>45565</v>
      </c>
      <c r="E446" s="34" t="n">
        <v>0</v>
      </c>
      <c r="F446" s="34" t="n">
        <v>100000</v>
      </c>
      <c r="G446" s="34" t="n">
        <v>259681.02</v>
      </c>
      <c r="H446" s="34" t="inlineStr"/>
      <c r="I446" s="34" t="inlineStr">
        <is>
          <t>Contra</t>
        </is>
      </c>
      <c r="J446" s="34" t="inlineStr">
        <is>
          <t>Received - Sunita Gupta</t>
        </is>
      </c>
      <c r="K446" s="34" t="inlineStr">
        <is>
          <t>Sunita Gupta</t>
        </is>
      </c>
      <c r="L446" s="35" t="n">
        <v>0.88</v>
      </c>
      <c r="M446" s="34" t="inlineStr">
        <is>
          <t>[DIFF]</t>
        </is>
      </c>
    </row>
    <row r="447">
      <c r="A447" s="83" t="n">
        <v>45565</v>
      </c>
      <c r="B447" s="84" t="inlineStr">
        <is>
          <t>NET PI TO HSL SEC A/C 523686-00602340029434</t>
        </is>
      </c>
      <c r="C447" s="84" t="inlineStr">
        <is>
          <t>0000000567605473</t>
        </is>
      </c>
      <c r="D447" s="83" t="n">
        <v>45565</v>
      </c>
      <c r="E447" s="84" t="n">
        <v>100829.95</v>
      </c>
      <c r="F447" s="84" t="n">
        <v>0</v>
      </c>
      <c r="G447" s="84" t="n">
        <v>158851.07</v>
      </c>
      <c r="H447" s="84" t="inlineStr"/>
      <c r="I447" s="84" t="inlineStr">
        <is>
          <t>HSL</t>
        </is>
      </c>
      <c r="J447" s="84" t="inlineStr">
        <is>
          <t>HDFC Securities - Buy</t>
        </is>
      </c>
      <c r="K447" s="84" t="inlineStr">
        <is>
          <t>HDFC Securities</t>
        </is>
      </c>
      <c r="L447" s="32" t="n">
        <v>0.97</v>
      </c>
      <c r="M447" s="84" t="inlineStr">
        <is>
          <t>[MATCH]</t>
        </is>
      </c>
    </row>
    <row r="448">
      <c r="A448" s="40" t="n">
        <v>45566</v>
      </c>
      <c r="B448" s="41" t="inlineStr">
        <is>
          <t>INTEREST PAID TILL 30-SEP-2024</t>
        </is>
      </c>
      <c r="C448" s="41" t="inlineStr">
        <is>
          <t>000000000000000</t>
        </is>
      </c>
      <c r="D448" s="40" t="n">
        <v>45565</v>
      </c>
      <c r="E448" s="41" t="n">
        <v>0</v>
      </c>
      <c r="F448" s="41" t="n">
        <v>742</v>
      </c>
      <c r="G448" s="41" t="n">
        <v>159593.07</v>
      </c>
      <c r="H448" s="41" t="inlineStr"/>
      <c r="I448" s="41" t="inlineStr">
        <is>
          <t>Bank Interest</t>
        </is>
      </c>
      <c r="J448" s="41" t="inlineStr">
        <is>
          <t>Bank Interest</t>
        </is>
      </c>
      <c r="K448" s="41" t="inlineStr">
        <is>
          <t>Bank Interest</t>
        </is>
      </c>
      <c r="L448" s="32" t="n">
        <v>0.95</v>
      </c>
      <c r="M448" s="41" t="inlineStr">
        <is>
          <t>[MATCH]</t>
        </is>
      </c>
    </row>
    <row r="449">
      <c r="A449" s="83" t="n">
        <v>45566</v>
      </c>
      <c r="B449" s="84" t="inlineStr">
        <is>
          <t>NET PI TO HSL SEC A/C 523686-00602340029434</t>
        </is>
      </c>
      <c r="C449" s="84" t="inlineStr">
        <is>
          <t>0000000567937491</t>
        </is>
      </c>
      <c r="D449" s="83" t="n">
        <v>45566</v>
      </c>
      <c r="E449" s="84" t="n">
        <v>281.95</v>
      </c>
      <c r="F449" s="84" t="n">
        <v>0</v>
      </c>
      <c r="G449" s="84" t="n">
        <v>159311.12</v>
      </c>
      <c r="H449" s="84" t="inlineStr"/>
      <c r="I449" s="84" t="inlineStr">
        <is>
          <t>HSL</t>
        </is>
      </c>
      <c r="J449" s="84" t="inlineStr">
        <is>
          <t>HDFC Securities - Buy</t>
        </is>
      </c>
      <c r="K449" s="84" t="inlineStr">
        <is>
          <t>HDFC Securities</t>
        </is>
      </c>
      <c r="L449" s="32" t="n">
        <v>0.97</v>
      </c>
      <c r="M449" s="84" t="inlineStr">
        <is>
          <t>[MATCH]</t>
        </is>
      </c>
    </row>
    <row r="450">
      <c r="A450" s="33" t="n">
        <v>45566</v>
      </c>
      <c r="B450" s="34" t="inlineStr">
        <is>
          <t>01671000085930-TPT-MONEY RETURNED FROM SUNITA TO AJAY-AJAY KUMAR GUPTA</t>
        </is>
      </c>
      <c r="C450" s="34" t="inlineStr">
        <is>
          <t>0000000229921584</t>
        </is>
      </c>
      <c r="D450" s="33" t="n">
        <v>45566</v>
      </c>
      <c r="E450" s="34" t="n">
        <v>150000</v>
      </c>
      <c r="F450" s="34" t="n">
        <v>0</v>
      </c>
      <c r="G450" s="34" t="n">
        <v>9311.120000000001</v>
      </c>
      <c r="H450" s="34" t="inlineStr"/>
      <c r="I450" s="34" t="inlineStr">
        <is>
          <t>Transfer to Ajay</t>
        </is>
      </c>
      <c r="J450" s="34" t="inlineStr">
        <is>
          <t>Transfer - Sunita Gupta</t>
        </is>
      </c>
      <c r="K450" s="34" t="inlineStr">
        <is>
          <t>Sunita Gupta</t>
        </is>
      </c>
      <c r="L450" s="35" t="n">
        <v>0.88</v>
      </c>
      <c r="M450" s="34" t="inlineStr">
        <is>
          <t>[DIFF]</t>
        </is>
      </c>
    </row>
    <row r="451">
      <c r="A451" s="68" t="n">
        <v>45567</v>
      </c>
      <c r="B451" s="69" t="inlineStr">
        <is>
          <t>50100542230922-TPT-LOAN MONEY RETURN-ARCHIT GUPTA</t>
        </is>
      </c>
      <c r="C451" s="69" t="inlineStr">
        <is>
          <t>0000000121755254</t>
        </is>
      </c>
      <c r="D451" s="68" t="n">
        <v>45567</v>
      </c>
      <c r="E451" s="69" t="n">
        <v>0</v>
      </c>
      <c r="F451" s="69" t="n">
        <v>50000</v>
      </c>
      <c r="G451" s="69" t="n">
        <v>59311.12</v>
      </c>
      <c r="H451" s="69" t="inlineStr"/>
      <c r="I451" s="69" t="inlineStr">
        <is>
          <t>Transfer by Archit</t>
        </is>
      </c>
      <c r="J451" s="69" t="inlineStr">
        <is>
          <t>Received - Archit Gupta</t>
        </is>
      </c>
      <c r="K451" s="69" t="inlineStr">
        <is>
          <t>Archit Gupta</t>
        </is>
      </c>
      <c r="L451" s="35" t="n">
        <v>0.85</v>
      </c>
      <c r="M451" s="69" t="inlineStr">
        <is>
          <t>[DIFF]</t>
        </is>
      </c>
    </row>
    <row r="452">
      <c r="A452" s="97" t="n">
        <v>45568</v>
      </c>
      <c r="B452" s="98" t="inlineStr">
        <is>
          <t>FT- 568257882-50200085415108 - HDFC SECURITIES LTD-CLIENT DSCNB A/C -</t>
        </is>
      </c>
      <c r="C452" s="98" t="inlineStr">
        <is>
          <t>0000000790801592</t>
        </is>
      </c>
      <c r="D452" s="97" t="n">
        <v>45568</v>
      </c>
      <c r="E452" s="98" t="n">
        <v>0</v>
      </c>
      <c r="F452" s="98" t="n">
        <v>3562.65</v>
      </c>
      <c r="G452" s="98" t="n">
        <v>62873.77</v>
      </c>
      <c r="H452" s="98" t="inlineStr"/>
      <c r="I452" s="98" t="inlineStr">
        <is>
          <t>HDFC Sec</t>
        </is>
      </c>
      <c r="J452" s="98" t="inlineStr">
        <is>
          <t>HDFC Securities - Settlement</t>
        </is>
      </c>
      <c r="K452" s="98" t="inlineStr">
        <is>
          <t>HDFC Securities</t>
        </is>
      </c>
      <c r="L452" s="35" t="n">
        <v>0.93</v>
      </c>
      <c r="M452" s="98" t="inlineStr">
        <is>
          <t>[DIFF]</t>
        </is>
      </c>
    </row>
    <row r="453">
      <c r="A453" s="97" t="n">
        <v>45568</v>
      </c>
      <c r="B453" s="98" t="inlineStr">
        <is>
          <t>FT- 568289447-50200085415108 - HDFC SECURITIES LTD-CLIENT DSCNB A/C -</t>
        </is>
      </c>
      <c r="C453" s="98" t="inlineStr">
        <is>
          <t>0000000790823382</t>
        </is>
      </c>
      <c r="D453" s="97" t="n">
        <v>45568</v>
      </c>
      <c r="E453" s="98" t="n">
        <v>0</v>
      </c>
      <c r="F453" s="98" t="n">
        <v>14704.96</v>
      </c>
      <c r="G453" s="98" t="n">
        <v>77578.73</v>
      </c>
      <c r="H453" s="98" t="inlineStr"/>
      <c r="I453" s="98" t="inlineStr">
        <is>
          <t>HDFC Sec</t>
        </is>
      </c>
      <c r="J453" s="98" t="inlineStr">
        <is>
          <t>HDFC Securities - Settlement</t>
        </is>
      </c>
      <c r="K453" s="98" t="inlineStr">
        <is>
          <t>HDFC Securities</t>
        </is>
      </c>
      <c r="L453" s="35" t="n">
        <v>0.93</v>
      </c>
      <c r="M453" s="98" t="inlineStr">
        <is>
          <t>[DIFF]</t>
        </is>
      </c>
    </row>
    <row r="454">
      <c r="A454" s="83" t="n">
        <v>45568</v>
      </c>
      <c r="B454" s="84" t="inlineStr">
        <is>
          <t>NET PI TO HSL SEC A/C 523686-00602340029434</t>
        </is>
      </c>
      <c r="C454" s="84" t="inlineStr">
        <is>
          <t>0000000568441513</t>
        </is>
      </c>
      <c r="D454" s="83" t="n">
        <v>45568</v>
      </c>
      <c r="E454" s="84" t="n">
        <v>732.04</v>
      </c>
      <c r="F454" s="84" t="n">
        <v>0</v>
      </c>
      <c r="G454" s="84" t="n">
        <v>76846.69</v>
      </c>
      <c r="H454" s="84" t="inlineStr"/>
      <c r="I454" s="84" t="inlineStr">
        <is>
          <t>HSL</t>
        </is>
      </c>
      <c r="J454" s="84" t="inlineStr">
        <is>
          <t>HDFC Securities - Buy</t>
        </is>
      </c>
      <c r="K454" s="84" t="inlineStr">
        <is>
          <t>HDFC Securities</t>
        </is>
      </c>
      <c r="L454" s="32" t="n">
        <v>0.97</v>
      </c>
      <c r="M454" s="84" t="inlineStr">
        <is>
          <t>[MATCH]</t>
        </is>
      </c>
    </row>
    <row r="455">
      <c r="A455" s="83" t="n">
        <v>45569</v>
      </c>
      <c r="B455" s="84" t="inlineStr">
        <is>
          <t>NET PI TO HSL SEC A/C 523686-00602340029434</t>
        </is>
      </c>
      <c r="C455" s="84" t="inlineStr">
        <is>
          <t>0000000568661478</t>
        </is>
      </c>
      <c r="D455" s="83" t="n">
        <v>45569</v>
      </c>
      <c r="E455" s="84" t="n">
        <v>40533.45</v>
      </c>
      <c r="F455" s="84" t="n">
        <v>0</v>
      </c>
      <c r="G455" s="84" t="n">
        <v>36313.24</v>
      </c>
      <c r="H455" s="84" t="inlineStr"/>
      <c r="I455" s="84" t="inlineStr">
        <is>
          <t>HSL</t>
        </is>
      </c>
      <c r="J455" s="84" t="inlineStr">
        <is>
          <t>HDFC Securities - Buy</t>
        </is>
      </c>
      <c r="K455" s="84" t="inlineStr">
        <is>
          <t>HDFC Securities</t>
        </is>
      </c>
      <c r="L455" s="32" t="n">
        <v>0.97</v>
      </c>
      <c r="M455" s="84" t="inlineStr">
        <is>
          <t>[MATCH]</t>
        </is>
      </c>
    </row>
    <row r="456">
      <c r="A456" s="83" t="n">
        <v>45569</v>
      </c>
      <c r="B456" s="84" t="inlineStr">
        <is>
          <t>NET PI TO HSL SEC A/C 523686-00602340029434</t>
        </is>
      </c>
      <c r="C456" s="84" t="inlineStr">
        <is>
          <t>0000000568963793</t>
        </is>
      </c>
      <c r="D456" s="83" t="n">
        <v>45569</v>
      </c>
      <c r="E456" s="84" t="n">
        <v>352.85</v>
      </c>
      <c r="F456" s="84" t="n">
        <v>0</v>
      </c>
      <c r="G456" s="84" t="n">
        <v>35960.39</v>
      </c>
      <c r="H456" s="84" t="inlineStr"/>
      <c r="I456" s="84" t="inlineStr">
        <is>
          <t>HSL</t>
        </is>
      </c>
      <c r="J456" s="84" t="inlineStr">
        <is>
          <t>HDFC Securities - Buy</t>
        </is>
      </c>
      <c r="K456" s="84" t="inlineStr">
        <is>
          <t>HDFC Securities</t>
        </is>
      </c>
      <c r="L456" s="32" t="n">
        <v>0.97</v>
      </c>
      <c r="M456" s="84" t="inlineStr">
        <is>
          <t>[MATCH]</t>
        </is>
      </c>
    </row>
    <row r="457">
      <c r="A457" s="83" t="n">
        <v>45569</v>
      </c>
      <c r="B457" s="84" t="inlineStr">
        <is>
          <t>NET PI TO HSL SEC A/C 523686-00602340029434</t>
        </is>
      </c>
      <c r="C457" s="84" t="inlineStr">
        <is>
          <t>0000000569184822</t>
        </is>
      </c>
      <c r="D457" s="83" t="n">
        <v>45569</v>
      </c>
      <c r="E457" s="84" t="n">
        <v>6291.03</v>
      </c>
      <c r="F457" s="84" t="n">
        <v>0</v>
      </c>
      <c r="G457" s="84" t="n">
        <v>29669.36</v>
      </c>
      <c r="H457" s="84" t="inlineStr"/>
      <c r="I457" s="84" t="inlineStr">
        <is>
          <t>HSL</t>
        </is>
      </c>
      <c r="J457" s="84" t="inlineStr">
        <is>
          <t>HDFC Securities - Buy</t>
        </is>
      </c>
      <c r="K457" s="84" t="inlineStr">
        <is>
          <t>HDFC Securities</t>
        </is>
      </c>
      <c r="L457" s="32" t="n">
        <v>0.97</v>
      </c>
      <c r="M457" s="84" t="inlineStr">
        <is>
          <t>[MATCH]</t>
        </is>
      </c>
    </row>
    <row r="458">
      <c r="A458" s="83" t="n">
        <v>45572</v>
      </c>
      <c r="B458" s="84" t="inlineStr">
        <is>
          <t>NET PI TO HSL SEC A/C 523686-00602340029434</t>
        </is>
      </c>
      <c r="C458" s="84" t="inlineStr">
        <is>
          <t>0000000569606660</t>
        </is>
      </c>
      <c r="D458" s="83" t="n">
        <v>45572</v>
      </c>
      <c r="E458" s="84" t="n">
        <v>678.4</v>
      </c>
      <c r="F458" s="84" t="n">
        <v>0</v>
      </c>
      <c r="G458" s="84" t="n">
        <v>28990.96</v>
      </c>
      <c r="H458" s="84" t="inlineStr"/>
      <c r="I458" s="84" t="inlineStr">
        <is>
          <t>HSL</t>
        </is>
      </c>
      <c r="J458" s="84" t="inlineStr">
        <is>
          <t>HDFC Securities - Buy</t>
        </is>
      </c>
      <c r="K458" s="84" t="inlineStr">
        <is>
          <t>HDFC Securities</t>
        </is>
      </c>
      <c r="L458" s="32" t="n">
        <v>0.97</v>
      </c>
      <c r="M458" s="84" t="inlineStr">
        <is>
          <t>[MATCH]</t>
        </is>
      </c>
    </row>
    <row r="459">
      <c r="A459" s="42" t="n">
        <v>45572</v>
      </c>
      <c r="B459" s="43" t="inlineStr">
        <is>
          <t>ACH C- ALU FINAL 2023 2024-11514</t>
        </is>
      </c>
      <c r="C459" s="43" t="inlineStr">
        <is>
          <t>0000009718130123</t>
        </is>
      </c>
      <c r="D459" s="42" t="n">
        <v>45572</v>
      </c>
      <c r="E459" s="43" t="n">
        <v>0</v>
      </c>
      <c r="F459" s="43" t="n">
        <v>25</v>
      </c>
      <c r="G459" s="43" t="n">
        <v>29015.96</v>
      </c>
      <c r="H459" s="43" t="inlineStr"/>
      <c r="I459" s="43" t="inlineStr">
        <is>
          <t>Dividend Income</t>
        </is>
      </c>
      <c r="J459" s="43" t="inlineStr">
        <is>
          <t>Dividend Income</t>
        </is>
      </c>
      <c r="K459" s="43" t="inlineStr">
        <is>
          <t>Dividend Income</t>
        </is>
      </c>
      <c r="L459" s="32" t="n">
        <v>0.88</v>
      </c>
      <c r="M459" s="43" t="inlineStr">
        <is>
          <t>[MATCH]</t>
        </is>
      </c>
    </row>
    <row r="460">
      <c r="A460" s="83" t="n">
        <v>45572</v>
      </c>
      <c r="B460" s="84" t="inlineStr">
        <is>
          <t>NET PI TO HSL SEC A/C 523686-00602340029434</t>
        </is>
      </c>
      <c r="C460" s="84" t="inlineStr">
        <is>
          <t>0000000569769624</t>
        </is>
      </c>
      <c r="D460" s="83" t="n">
        <v>45572</v>
      </c>
      <c r="E460" s="84" t="n">
        <v>431.33</v>
      </c>
      <c r="F460" s="84" t="n">
        <v>0</v>
      </c>
      <c r="G460" s="84" t="n">
        <v>28584.63</v>
      </c>
      <c r="H460" s="84" t="inlineStr"/>
      <c r="I460" s="84" t="inlineStr">
        <is>
          <t>HSL</t>
        </is>
      </c>
      <c r="J460" s="84" t="inlineStr">
        <is>
          <t>HDFC Securities - Buy</t>
        </is>
      </c>
      <c r="K460" s="84" t="inlineStr">
        <is>
          <t>HDFC Securities</t>
        </is>
      </c>
      <c r="L460" s="32" t="n">
        <v>0.97</v>
      </c>
      <c r="M460" s="84" t="inlineStr">
        <is>
          <t>[MATCH]</t>
        </is>
      </c>
    </row>
    <row r="461">
      <c r="A461" s="83" t="n">
        <v>45572</v>
      </c>
      <c r="B461" s="84" t="inlineStr">
        <is>
          <t>NET PI TO HSL SEC A/C 523686-00602340029434</t>
        </is>
      </c>
      <c r="C461" s="84" t="inlineStr">
        <is>
          <t>0000000569875031</t>
        </is>
      </c>
      <c r="D461" s="83" t="n">
        <v>45572</v>
      </c>
      <c r="E461" s="84" t="n">
        <v>15433.41</v>
      </c>
      <c r="F461" s="84" t="n">
        <v>0</v>
      </c>
      <c r="G461" s="84" t="n">
        <v>13151.22</v>
      </c>
      <c r="H461" s="84" t="inlineStr"/>
      <c r="I461" s="84" t="inlineStr">
        <is>
          <t>HSL</t>
        </is>
      </c>
      <c r="J461" s="84" t="inlineStr">
        <is>
          <t>HDFC Securities - Buy</t>
        </is>
      </c>
      <c r="K461" s="84" t="inlineStr">
        <is>
          <t>HDFC Securities</t>
        </is>
      </c>
      <c r="L461" s="32" t="n">
        <v>0.97</v>
      </c>
      <c r="M461" s="84" t="inlineStr">
        <is>
          <t>[MATCH]</t>
        </is>
      </c>
    </row>
    <row r="462">
      <c r="A462" s="97" t="n">
        <v>45573</v>
      </c>
      <c r="B462" s="98" t="inlineStr">
        <is>
          <t>FT- 570053472-50200085415108 - HDFC SECURITIES LTD-CLIENT DSCNB A/C -</t>
        </is>
      </c>
      <c r="C462" s="98" t="inlineStr">
        <is>
          <t>0000000798598517</t>
        </is>
      </c>
      <c r="D462" s="97" t="n">
        <v>45573</v>
      </c>
      <c r="E462" s="98" t="n">
        <v>0</v>
      </c>
      <c r="F462" s="98" t="n">
        <v>431.33</v>
      </c>
      <c r="G462" s="98" t="n">
        <v>13582.55</v>
      </c>
      <c r="H462" s="98" t="inlineStr"/>
      <c r="I462" s="98" t="inlineStr">
        <is>
          <t>HDFC Sec</t>
        </is>
      </c>
      <c r="J462" s="98" t="inlineStr">
        <is>
          <t>HDFC Securities - Settlement</t>
        </is>
      </c>
      <c r="K462" s="98" t="inlineStr">
        <is>
          <t>HDFC Securities</t>
        </is>
      </c>
      <c r="L462" s="35" t="n">
        <v>0.93</v>
      </c>
      <c r="M462" s="98" t="inlineStr">
        <is>
          <t>[DIFF]</t>
        </is>
      </c>
    </row>
    <row r="463">
      <c r="A463" s="83" t="n">
        <v>45573</v>
      </c>
      <c r="B463" s="84" t="inlineStr">
        <is>
          <t>NET PI TO HSL SEC A/C 523686-00602340029434</t>
        </is>
      </c>
      <c r="C463" s="84" t="inlineStr">
        <is>
          <t>0000000570156139</t>
        </is>
      </c>
      <c r="D463" s="83" t="n">
        <v>45573</v>
      </c>
      <c r="E463" s="84" t="n">
        <v>364.57</v>
      </c>
      <c r="F463" s="84" t="n">
        <v>0</v>
      </c>
      <c r="G463" s="84" t="n">
        <v>13217.98</v>
      </c>
      <c r="H463" s="84" t="inlineStr"/>
      <c r="I463" s="84" t="inlineStr">
        <is>
          <t>HSL</t>
        </is>
      </c>
      <c r="J463" s="84" t="inlineStr">
        <is>
          <t>HDFC Securities - Buy</t>
        </is>
      </c>
      <c r="K463" s="84" t="inlineStr">
        <is>
          <t>HDFC Securities</t>
        </is>
      </c>
      <c r="L463" s="32" t="n">
        <v>0.97</v>
      </c>
      <c r="M463" s="84" t="inlineStr">
        <is>
          <t>[MATCH]</t>
        </is>
      </c>
    </row>
    <row r="464">
      <c r="A464" s="42" t="n">
        <v>45573</v>
      </c>
      <c r="B464" s="43" t="inlineStr">
        <is>
          <t>ACH C- MCX OF INDIA LTD-3645726</t>
        </is>
      </c>
      <c r="C464" s="43" t="inlineStr">
        <is>
          <t>0000009866322545</t>
        </is>
      </c>
      <c r="D464" s="42" t="n">
        <v>45573</v>
      </c>
      <c r="E464" s="43" t="n">
        <v>0</v>
      </c>
      <c r="F464" s="43" t="n">
        <v>191</v>
      </c>
      <c r="G464" s="43" t="n">
        <v>13408.98</v>
      </c>
      <c r="H464" s="43" t="inlineStr"/>
      <c r="I464" s="43" t="inlineStr">
        <is>
          <t>Dividend Income</t>
        </is>
      </c>
      <c r="J464" s="43" t="inlineStr">
        <is>
          <t>Dividend Income</t>
        </is>
      </c>
      <c r="K464" s="43" t="inlineStr">
        <is>
          <t>Dividend Income</t>
        </is>
      </c>
      <c r="L464" s="32" t="n">
        <v>0.88</v>
      </c>
      <c r="M464" s="43" t="inlineStr">
        <is>
          <t>[MATCH]</t>
        </is>
      </c>
    </row>
    <row r="465">
      <c r="A465" s="97" t="n">
        <v>45574</v>
      </c>
      <c r="B465" s="98" t="inlineStr">
        <is>
          <t>FT- 570463394-50200085415108 - HDFC SECURITIES LTD-CLIENT DSCNB A/C -</t>
        </is>
      </c>
      <c r="C465" s="98" t="inlineStr">
        <is>
          <t>0000000800336512</t>
        </is>
      </c>
      <c r="D465" s="97" t="n">
        <v>45574</v>
      </c>
      <c r="E465" s="98" t="n">
        <v>0</v>
      </c>
      <c r="F465" s="98" t="n">
        <v>4964.28</v>
      </c>
      <c r="G465" s="98" t="n">
        <v>18373.26</v>
      </c>
      <c r="H465" s="98" t="inlineStr"/>
      <c r="I465" s="98" t="inlineStr">
        <is>
          <t>HDFC Sec</t>
        </is>
      </c>
      <c r="J465" s="98" t="inlineStr">
        <is>
          <t>HDFC Securities - Settlement</t>
        </is>
      </c>
      <c r="K465" s="98" t="inlineStr">
        <is>
          <t>HDFC Securities</t>
        </is>
      </c>
      <c r="L465" s="35" t="n">
        <v>0.93</v>
      </c>
      <c r="M465" s="98" t="inlineStr">
        <is>
          <t>[DIFF]</t>
        </is>
      </c>
    </row>
    <row r="466">
      <c r="A466" s="83" t="n">
        <v>45574</v>
      </c>
      <c r="B466" s="84" t="inlineStr">
        <is>
          <t>NET PI TO HSL SEC A/C 523686-00602340029434</t>
        </is>
      </c>
      <c r="C466" s="84" t="inlineStr">
        <is>
          <t>0000000570587516</t>
        </is>
      </c>
      <c r="D466" s="83" t="n">
        <v>45574</v>
      </c>
      <c r="E466" s="84" t="n">
        <v>364.57</v>
      </c>
      <c r="F466" s="84" t="n">
        <v>0</v>
      </c>
      <c r="G466" s="84" t="n">
        <v>18008.69</v>
      </c>
      <c r="H466" s="84" t="inlineStr"/>
      <c r="I466" s="84" t="inlineStr">
        <is>
          <t>HSL</t>
        </is>
      </c>
      <c r="J466" s="84" t="inlineStr">
        <is>
          <t>HDFC Securities - Buy</t>
        </is>
      </c>
      <c r="K466" s="84" t="inlineStr">
        <is>
          <t>HDFC Securities</t>
        </is>
      </c>
      <c r="L466" s="32" t="n">
        <v>0.97</v>
      </c>
      <c r="M466" s="84" t="inlineStr">
        <is>
          <t>[MATCH]</t>
        </is>
      </c>
    </row>
    <row r="467">
      <c r="A467" s="97" t="n">
        <v>45575</v>
      </c>
      <c r="B467" s="98" t="inlineStr">
        <is>
          <t>FT- 570885181-50200085415108 - HDFC SECURITIES LTD-CLIENT DSCNB A/C -</t>
        </is>
      </c>
      <c r="C467" s="98" t="inlineStr">
        <is>
          <t>0000000801922703</t>
        </is>
      </c>
      <c r="D467" s="97" t="n">
        <v>45575</v>
      </c>
      <c r="E467" s="98" t="n">
        <v>0</v>
      </c>
      <c r="F467" s="98" t="n">
        <v>1439.2</v>
      </c>
      <c r="G467" s="98" t="n">
        <v>19447.89</v>
      </c>
      <c r="H467" s="98" t="inlineStr"/>
      <c r="I467" s="98" t="inlineStr">
        <is>
          <t>HDFC Sec</t>
        </is>
      </c>
      <c r="J467" s="98" t="inlineStr">
        <is>
          <t>HDFC Securities - Settlement</t>
        </is>
      </c>
      <c r="K467" s="98" t="inlineStr">
        <is>
          <t>HDFC Securities</t>
        </is>
      </c>
      <c r="L467" s="35" t="n">
        <v>0.93</v>
      </c>
      <c r="M467" s="98" t="inlineStr">
        <is>
          <t>[DIFF]</t>
        </is>
      </c>
    </row>
    <row r="468">
      <c r="A468" s="97" t="n">
        <v>45575</v>
      </c>
      <c r="B468" s="98" t="inlineStr">
        <is>
          <t>FT- 570915703-50200085415108 - HDFC SECURITIES LTD-CLIENT DSCNB A/C -</t>
        </is>
      </c>
      <c r="C468" s="98" t="inlineStr">
        <is>
          <t>0000000801939713</t>
        </is>
      </c>
      <c r="D468" s="97" t="n">
        <v>45575</v>
      </c>
      <c r="E468" s="98" t="n">
        <v>0</v>
      </c>
      <c r="F468" s="98" t="n">
        <v>29661.24</v>
      </c>
      <c r="G468" s="98" t="n">
        <v>49109.13</v>
      </c>
      <c r="H468" s="98" t="inlineStr"/>
      <c r="I468" s="98" t="inlineStr">
        <is>
          <t>HDFC Sec</t>
        </is>
      </c>
      <c r="J468" s="98" t="inlineStr">
        <is>
          <t>HDFC Securities - Settlement</t>
        </is>
      </c>
      <c r="K468" s="98" t="inlineStr">
        <is>
          <t>HDFC Securities</t>
        </is>
      </c>
      <c r="L468" s="35" t="n">
        <v>0.93</v>
      </c>
      <c r="M468" s="98" t="inlineStr">
        <is>
          <t>[DIFF]</t>
        </is>
      </c>
    </row>
    <row r="469">
      <c r="A469" s="83" t="n">
        <v>45575</v>
      </c>
      <c r="B469" s="84" t="inlineStr">
        <is>
          <t>NET PI TO HSL SEC A/C 523686-00602340029434</t>
        </is>
      </c>
      <c r="C469" s="84" t="inlineStr">
        <is>
          <t>0000000571065497</t>
        </is>
      </c>
      <c r="D469" s="83" t="n">
        <v>45575</v>
      </c>
      <c r="E469" s="84" t="n">
        <v>366.34</v>
      </c>
      <c r="F469" s="84" t="n">
        <v>0</v>
      </c>
      <c r="G469" s="84" t="n">
        <v>48742.79</v>
      </c>
      <c r="H469" s="84" t="inlineStr"/>
      <c r="I469" s="84" t="inlineStr">
        <is>
          <t>HSL</t>
        </is>
      </c>
      <c r="J469" s="84" t="inlineStr">
        <is>
          <t>HDFC Securities - Buy</t>
        </is>
      </c>
      <c r="K469" s="84" t="inlineStr">
        <is>
          <t>HDFC Securities</t>
        </is>
      </c>
      <c r="L469" s="32" t="n">
        <v>0.97</v>
      </c>
      <c r="M469" s="84" t="inlineStr">
        <is>
          <t>[MATCH]</t>
        </is>
      </c>
    </row>
    <row r="470">
      <c r="A470" s="33" t="n">
        <v>45575</v>
      </c>
      <c r="B470" s="34" t="inlineStr">
        <is>
          <t>NEFT CR-SBIN0004266-SBI GENERAL INSURANCE CO LTDSBI GEN-SUNITA GUPTA 0000000002717756-SBIN424284032197</t>
        </is>
      </c>
      <c r="C470" s="34" t="inlineStr">
        <is>
          <t>SBIN424284032197</t>
        </is>
      </c>
      <c r="D470" s="33" t="n">
        <v>45575</v>
      </c>
      <c r="E470" s="34" t="n">
        <v>0</v>
      </c>
      <c r="F470" s="34" t="n">
        <v>34220</v>
      </c>
      <c r="G470" s="34" t="n">
        <v>82962.78999999999</v>
      </c>
      <c r="H470" s="34" t="inlineStr"/>
      <c r="I470" s="34" t="inlineStr">
        <is>
          <t>Rental Income</t>
        </is>
      </c>
      <c r="J470" s="34" t="inlineStr">
        <is>
          <t>Received - Sunita Gupta</t>
        </is>
      </c>
      <c r="K470" s="34" t="inlineStr">
        <is>
          <t>Sunita Gupta</t>
        </is>
      </c>
      <c r="L470" s="35" t="n">
        <v>0.88</v>
      </c>
      <c r="M470" s="34" t="inlineStr">
        <is>
          <t>[DIFF]</t>
        </is>
      </c>
    </row>
    <row r="471">
      <c r="A471" s="97" t="n">
        <v>45576</v>
      </c>
      <c r="B471" s="98" t="inlineStr">
        <is>
          <t>FT- 571335388-50200085415108 - HDFC SECURITIES LTD-CLIENT DSCNB A/C -</t>
        </is>
      </c>
      <c r="C471" s="98" t="inlineStr">
        <is>
          <t>0000000803539140</t>
        </is>
      </c>
      <c r="D471" s="97" t="n">
        <v>45576</v>
      </c>
      <c r="E471" s="98" t="n">
        <v>0</v>
      </c>
      <c r="F471" s="98" t="n">
        <v>5366.11</v>
      </c>
      <c r="G471" s="98" t="n">
        <v>88328.89999999999</v>
      </c>
      <c r="H471" s="98" t="inlineStr"/>
      <c r="I471" s="98" t="inlineStr">
        <is>
          <t>HDFC Sec</t>
        </is>
      </c>
      <c r="J471" s="98" t="inlineStr">
        <is>
          <t>HDFC Securities - Settlement</t>
        </is>
      </c>
      <c r="K471" s="98" t="inlineStr">
        <is>
          <t>HDFC Securities</t>
        </is>
      </c>
      <c r="L471" s="35" t="n">
        <v>0.93</v>
      </c>
      <c r="M471" s="98" t="inlineStr">
        <is>
          <t>[DIFF]</t>
        </is>
      </c>
    </row>
    <row r="472">
      <c r="A472" s="83" t="n">
        <v>45576</v>
      </c>
      <c r="B472" s="84" t="inlineStr">
        <is>
          <t>NET PI TO HSL SEC A/C 523686-00602340029434</t>
        </is>
      </c>
      <c r="C472" s="84" t="inlineStr">
        <is>
          <t>0000000571479635</t>
        </is>
      </c>
      <c r="D472" s="83" t="n">
        <v>45576</v>
      </c>
      <c r="E472" s="84" t="n">
        <v>366.85</v>
      </c>
      <c r="F472" s="84" t="n">
        <v>0</v>
      </c>
      <c r="G472" s="84" t="n">
        <v>87962.05</v>
      </c>
      <c r="H472" s="84" t="inlineStr"/>
      <c r="I472" s="84" t="inlineStr">
        <is>
          <t>HSL</t>
        </is>
      </c>
      <c r="J472" s="84" t="inlineStr">
        <is>
          <t>HDFC Securities - Buy</t>
        </is>
      </c>
      <c r="K472" s="84" t="inlineStr">
        <is>
          <t>HDFC Securities</t>
        </is>
      </c>
      <c r="L472" s="32" t="n">
        <v>0.97</v>
      </c>
      <c r="M472" s="84" t="inlineStr">
        <is>
          <t>[MATCH]</t>
        </is>
      </c>
    </row>
    <row r="473">
      <c r="A473" s="83" t="n">
        <v>45576</v>
      </c>
      <c r="B473" s="84" t="inlineStr">
        <is>
          <t>NET PI TO HSL SEC A/C 523686-00602340029434</t>
        </is>
      </c>
      <c r="C473" s="84" t="inlineStr">
        <is>
          <t>0000000571610341</t>
        </is>
      </c>
      <c r="D473" s="83" t="n">
        <v>45576</v>
      </c>
      <c r="E473" s="84" t="n">
        <v>119.69</v>
      </c>
      <c r="F473" s="84" t="n">
        <v>0</v>
      </c>
      <c r="G473" s="84" t="n">
        <v>87842.36</v>
      </c>
      <c r="H473" s="84" t="inlineStr"/>
      <c r="I473" s="84" t="inlineStr">
        <is>
          <t>HSL</t>
        </is>
      </c>
      <c r="J473" s="84" t="inlineStr">
        <is>
          <t>HDFC Securities - Buy</t>
        </is>
      </c>
      <c r="K473" s="84" t="inlineStr">
        <is>
          <t>HDFC Securities</t>
        </is>
      </c>
      <c r="L473" s="32" t="n">
        <v>0.97</v>
      </c>
      <c r="M473" s="84" t="inlineStr">
        <is>
          <t>[MATCH]</t>
        </is>
      </c>
    </row>
    <row r="474">
      <c r="A474" s="83" t="n">
        <v>45579</v>
      </c>
      <c r="B474" s="84" t="inlineStr">
        <is>
          <t>NET PI TO HSL SEC A/C 523686-00602340029434</t>
        </is>
      </c>
      <c r="C474" s="84" t="inlineStr">
        <is>
          <t>0000000572007299</t>
        </is>
      </c>
      <c r="D474" s="83" t="n">
        <v>45579</v>
      </c>
      <c r="E474" s="84" t="n">
        <v>2966.98</v>
      </c>
      <c r="F474" s="84" t="n">
        <v>0</v>
      </c>
      <c r="G474" s="84" t="n">
        <v>84875.38</v>
      </c>
      <c r="H474" s="84" t="inlineStr"/>
      <c r="I474" s="84" t="inlineStr">
        <is>
          <t>HSL</t>
        </is>
      </c>
      <c r="J474" s="84" t="inlineStr">
        <is>
          <t>HDFC Securities - Buy</t>
        </is>
      </c>
      <c r="K474" s="84" t="inlineStr">
        <is>
          <t>HDFC Securities</t>
        </is>
      </c>
      <c r="L474" s="32" t="n">
        <v>0.97</v>
      </c>
      <c r="M474" s="84" t="inlineStr">
        <is>
          <t>[MATCH]</t>
        </is>
      </c>
    </row>
    <row r="475">
      <c r="A475" s="97" t="n">
        <v>45580</v>
      </c>
      <c r="B475" s="98" t="inlineStr">
        <is>
          <t>FT- 572160230-50200085415108 - HDFC SECURITIES LTD-CLIENT DSCNB A/C -</t>
        </is>
      </c>
      <c r="C475" s="98" t="inlineStr">
        <is>
          <t>0000000806383753</t>
        </is>
      </c>
      <c r="D475" s="97" t="n">
        <v>45580</v>
      </c>
      <c r="E475" s="98" t="n">
        <v>0</v>
      </c>
      <c r="F475" s="98" t="n">
        <v>141198.07</v>
      </c>
      <c r="G475" s="98" t="n">
        <v>226073.45</v>
      </c>
      <c r="H475" s="98" t="inlineStr"/>
      <c r="I475" s="98" t="inlineStr">
        <is>
          <t>HDFC Sec</t>
        </is>
      </c>
      <c r="J475" s="98" t="inlineStr">
        <is>
          <t>HDFC Securities - Settlement</t>
        </is>
      </c>
      <c r="K475" s="98" t="inlineStr">
        <is>
          <t>HDFC Securities</t>
        </is>
      </c>
      <c r="L475" s="35" t="n">
        <v>0.93</v>
      </c>
      <c r="M475" s="98" t="inlineStr">
        <is>
          <t>[DIFF]</t>
        </is>
      </c>
    </row>
    <row r="476">
      <c r="A476" s="28" t="n">
        <v>45580</v>
      </c>
      <c r="B476" s="29" t="inlineStr">
        <is>
          <t>ACH D- INDIAN CLEARING CORP-P25847643X05</t>
        </is>
      </c>
      <c r="C476" s="29" t="inlineStr">
        <is>
          <t>0000000087866418</t>
        </is>
      </c>
      <c r="D476" s="28" t="n">
        <v>45580</v>
      </c>
      <c r="E476" s="29" t="n">
        <v>5000</v>
      </c>
      <c r="F476" s="29" t="n">
        <v>0</v>
      </c>
      <c r="G476" s="29" t="n">
        <v>221073.45</v>
      </c>
      <c r="H476" s="29" t="inlineStr"/>
      <c r="I476" s="29" t="inlineStr">
        <is>
          <t>SIP  - 5000</t>
        </is>
      </c>
      <c r="J476" s="29" t="inlineStr">
        <is>
          <t>MF Investment</t>
        </is>
      </c>
      <c r="K476" s="29" t="inlineStr">
        <is>
          <t>Mutual_Fund_Investments</t>
        </is>
      </c>
      <c r="L476" s="35" t="n">
        <v>0.92</v>
      </c>
      <c r="M476" s="29" t="inlineStr">
        <is>
          <t>[DIFF]</t>
        </is>
      </c>
    </row>
    <row r="477">
      <c r="A477" s="89" t="n">
        <v>45580</v>
      </c>
      <c r="B477" s="90" t="inlineStr">
        <is>
          <t>DEPOSITORY CHARGES SEP24 - 41060499</t>
        </is>
      </c>
      <c r="C477" s="90" t="inlineStr">
        <is>
          <t>000000000000000</t>
        </is>
      </c>
      <c r="D477" s="89" t="n">
        <v>45580</v>
      </c>
      <c r="E477" s="90" t="n">
        <v>746.79</v>
      </c>
      <c r="F477" s="90" t="n">
        <v>0</v>
      </c>
      <c r="G477" s="90" t="n">
        <v>220326.66</v>
      </c>
      <c r="H477" s="90" t="inlineStr"/>
      <c r="I477" s="90" t="inlineStr">
        <is>
          <t>Depository Charges</t>
        </is>
      </c>
      <c r="J477" s="90" t="inlineStr">
        <is>
          <t>Depository Charges</t>
        </is>
      </c>
      <c r="K477" s="90" t="inlineStr">
        <is>
          <t>Depository Charges</t>
        </is>
      </c>
      <c r="L477" s="32" t="n">
        <v>0.93</v>
      </c>
      <c r="M477" s="90" t="inlineStr">
        <is>
          <t>[MATCH]</t>
        </is>
      </c>
    </row>
    <row r="478">
      <c r="A478" s="30" t="n">
        <v>45580</v>
      </c>
      <c r="B478" s="31" t="inlineStr">
        <is>
          <t>ATW-498792XXXXXX0500-S1ANRS37-KOTA</t>
        </is>
      </c>
      <c r="C478" s="31" t="inlineStr">
        <is>
          <t>0000000000009746</t>
        </is>
      </c>
      <c r="D478" s="30" t="n">
        <v>45580</v>
      </c>
      <c r="E478" s="31" t="n">
        <v>10000</v>
      </c>
      <c r="F478" s="31" t="n">
        <v>0</v>
      </c>
      <c r="G478" s="31" t="n">
        <v>210326.66</v>
      </c>
      <c r="H478" s="31" t="inlineStr"/>
      <c r="I478" s="31" t="inlineStr">
        <is>
          <t>ATM Withdrawal</t>
        </is>
      </c>
      <c r="J478" s="31" t="inlineStr">
        <is>
          <t>Cash Withdrawal</t>
        </is>
      </c>
      <c r="K478" s="31" t="inlineStr">
        <is>
          <t>Cash</t>
        </is>
      </c>
      <c r="L478" s="32" t="n">
        <v>0.92</v>
      </c>
      <c r="M478" s="31" t="inlineStr">
        <is>
          <t>[MATCH]</t>
        </is>
      </c>
    </row>
    <row r="479">
      <c r="A479" s="83" t="n">
        <v>45580</v>
      </c>
      <c r="B479" s="84" t="inlineStr">
        <is>
          <t>NET PI TO HSL SEC A/C 523686-00602340029434</t>
        </is>
      </c>
      <c r="C479" s="84" t="inlineStr">
        <is>
          <t>0000000572284253</t>
        </is>
      </c>
      <c r="D479" s="83" t="n">
        <v>45580</v>
      </c>
      <c r="E479" s="84" t="n">
        <v>368.05</v>
      </c>
      <c r="F479" s="84" t="n">
        <v>0</v>
      </c>
      <c r="G479" s="84" t="n">
        <v>209958.61</v>
      </c>
      <c r="H479" s="84" t="inlineStr"/>
      <c r="I479" s="84" t="inlineStr">
        <is>
          <t>HSL</t>
        </is>
      </c>
      <c r="J479" s="84" t="inlineStr">
        <is>
          <t>HDFC Securities - Buy</t>
        </is>
      </c>
      <c r="K479" s="84" t="inlineStr">
        <is>
          <t>HDFC Securities</t>
        </is>
      </c>
      <c r="L479" s="32" t="n">
        <v>0.97</v>
      </c>
      <c r="M479" s="84" t="inlineStr">
        <is>
          <t>[MATCH]</t>
        </is>
      </c>
    </row>
    <row r="480">
      <c r="A480" s="83" t="n">
        <v>45580</v>
      </c>
      <c r="B480" s="84" t="inlineStr">
        <is>
          <t>NET PI TO HSL SEC A/C 523686-00602340029434</t>
        </is>
      </c>
      <c r="C480" s="84" t="inlineStr">
        <is>
          <t>0000000572448395</t>
        </is>
      </c>
      <c r="D480" s="83" t="n">
        <v>45580</v>
      </c>
      <c r="E480" s="84" t="n">
        <v>6720.79</v>
      </c>
      <c r="F480" s="84" t="n">
        <v>0</v>
      </c>
      <c r="G480" s="84" t="n">
        <v>203237.82</v>
      </c>
      <c r="H480" s="84" t="inlineStr"/>
      <c r="I480" s="84" t="inlineStr">
        <is>
          <t>HSL</t>
        </is>
      </c>
      <c r="J480" s="84" t="inlineStr">
        <is>
          <t>HDFC Securities - Buy</t>
        </is>
      </c>
      <c r="K480" s="84" t="inlineStr">
        <is>
          <t>HDFC Securities</t>
        </is>
      </c>
      <c r="L480" s="32" t="n">
        <v>0.97</v>
      </c>
      <c r="M480" s="84" t="inlineStr">
        <is>
          <t>[MATCH]</t>
        </is>
      </c>
    </row>
    <row r="481">
      <c r="A481" s="83" t="n">
        <v>45581</v>
      </c>
      <c r="B481" s="84" t="inlineStr">
        <is>
          <t>NET PI TO HSL SEC A/C 523686-00602340029434</t>
        </is>
      </c>
      <c r="C481" s="84" t="inlineStr">
        <is>
          <t>0000000572697913</t>
        </is>
      </c>
      <c r="D481" s="83" t="n">
        <v>45581</v>
      </c>
      <c r="E481" s="84" t="n">
        <v>365.66</v>
      </c>
      <c r="F481" s="84" t="n">
        <v>0</v>
      </c>
      <c r="G481" s="84" t="n">
        <v>202872.16</v>
      </c>
      <c r="H481" s="84" t="inlineStr"/>
      <c r="I481" s="84" t="inlineStr">
        <is>
          <t>HSL</t>
        </is>
      </c>
      <c r="J481" s="84" t="inlineStr">
        <is>
          <t>HDFC Securities - Buy</t>
        </is>
      </c>
      <c r="K481" s="84" t="inlineStr">
        <is>
          <t>HDFC Securities</t>
        </is>
      </c>
      <c r="L481" s="32" t="n">
        <v>0.97</v>
      </c>
      <c r="M481" s="84" t="inlineStr">
        <is>
          <t>[MATCH]</t>
        </is>
      </c>
    </row>
    <row r="482">
      <c r="A482" s="42" t="n">
        <v>45581</v>
      </c>
      <c r="B482" s="43" t="inlineStr">
        <is>
          <t>ACH C- CONCOR FINDIV 23-24-CN18092400347</t>
        </is>
      </c>
      <c r="C482" s="43" t="inlineStr">
        <is>
          <t>0000000195772238</t>
        </is>
      </c>
      <c r="D482" s="42" t="n">
        <v>45581</v>
      </c>
      <c r="E482" s="43" t="n">
        <v>0</v>
      </c>
      <c r="F482" s="43" t="n">
        <v>337.5</v>
      </c>
      <c r="G482" s="43" t="n">
        <v>203209.66</v>
      </c>
      <c r="H482" s="43" t="inlineStr"/>
      <c r="I482" s="43" t="inlineStr">
        <is>
          <t>Dividend Income</t>
        </is>
      </c>
      <c r="J482" s="43" t="inlineStr">
        <is>
          <t>Dividend Income</t>
        </is>
      </c>
      <c r="K482" s="43" t="inlineStr">
        <is>
          <t>Dividend Income</t>
        </is>
      </c>
      <c r="L482" s="32" t="n">
        <v>0.88</v>
      </c>
      <c r="M482" s="43" t="inlineStr">
        <is>
          <t>[MATCH]</t>
        </is>
      </c>
    </row>
    <row r="483">
      <c r="A483" s="97" t="n">
        <v>45582</v>
      </c>
      <c r="B483" s="98" t="inlineStr">
        <is>
          <t>FT- 572987110-50200085415108 - HDFC SECURITIES LTD-CLIENT DSCNB A/C -</t>
        </is>
      </c>
      <c r="C483" s="98" t="inlineStr">
        <is>
          <t>0000000808728361</t>
        </is>
      </c>
      <c r="D483" s="97" t="n">
        <v>45582</v>
      </c>
      <c r="E483" s="98" t="n">
        <v>0</v>
      </c>
      <c r="F483" s="98" t="n">
        <v>32327.51</v>
      </c>
      <c r="G483" s="98" t="n">
        <v>235537.17</v>
      </c>
      <c r="H483" s="98" t="inlineStr"/>
      <c r="I483" s="98" t="inlineStr">
        <is>
          <t>HDFC Sec</t>
        </is>
      </c>
      <c r="J483" s="98" t="inlineStr">
        <is>
          <t>HDFC Securities - Settlement</t>
        </is>
      </c>
      <c r="K483" s="98" t="inlineStr">
        <is>
          <t>HDFC Securities</t>
        </is>
      </c>
      <c r="L483" s="35" t="n">
        <v>0.93</v>
      </c>
      <c r="M483" s="98" t="inlineStr">
        <is>
          <t>[DIFF]</t>
        </is>
      </c>
    </row>
    <row r="484">
      <c r="A484" s="83" t="n">
        <v>45582</v>
      </c>
      <c r="B484" s="84" t="inlineStr">
        <is>
          <t>NET PI TO HSL SEC A/C 523686-00602340029434</t>
        </is>
      </c>
      <c r="C484" s="84" t="inlineStr">
        <is>
          <t>0000000573129120</t>
        </is>
      </c>
      <c r="D484" s="83" t="n">
        <v>45582</v>
      </c>
      <c r="E484" s="84" t="n">
        <v>365.66</v>
      </c>
      <c r="F484" s="84" t="n">
        <v>0</v>
      </c>
      <c r="G484" s="84" t="n">
        <v>235171.51</v>
      </c>
      <c r="H484" s="84" t="inlineStr"/>
      <c r="I484" s="84" t="inlineStr">
        <is>
          <t>HSL</t>
        </is>
      </c>
      <c r="J484" s="84" t="inlineStr">
        <is>
          <t>HDFC Securities - Buy</t>
        </is>
      </c>
      <c r="K484" s="84" t="inlineStr">
        <is>
          <t>HDFC Securities</t>
        </is>
      </c>
      <c r="L484" s="32" t="n">
        <v>0.97</v>
      </c>
      <c r="M484" s="84" t="inlineStr">
        <is>
          <t>[MATCH]</t>
        </is>
      </c>
    </row>
    <row r="485">
      <c r="A485" s="83" t="n">
        <v>45582</v>
      </c>
      <c r="B485" s="84" t="inlineStr">
        <is>
          <t>NET PI TO HSL SEC A/C 523686-00602340029434</t>
        </is>
      </c>
      <c r="C485" s="84" t="inlineStr">
        <is>
          <t>0000000573313947</t>
        </is>
      </c>
      <c r="D485" s="83" t="n">
        <v>45582</v>
      </c>
      <c r="E485" s="84" t="n">
        <v>11850.76</v>
      </c>
      <c r="F485" s="84" t="n">
        <v>0</v>
      </c>
      <c r="G485" s="84" t="n">
        <v>223320.75</v>
      </c>
      <c r="H485" s="84" t="inlineStr"/>
      <c r="I485" s="84" t="inlineStr">
        <is>
          <t>HSL</t>
        </is>
      </c>
      <c r="J485" s="84" t="inlineStr">
        <is>
          <t>HDFC Securities - Buy</t>
        </is>
      </c>
      <c r="K485" s="84" t="inlineStr">
        <is>
          <t>HDFC Securities</t>
        </is>
      </c>
      <c r="L485" s="32" t="n">
        <v>0.97</v>
      </c>
      <c r="M485" s="84" t="inlineStr">
        <is>
          <t>[MATCH]</t>
        </is>
      </c>
    </row>
    <row r="486">
      <c r="A486" s="30" t="n">
        <v>45583</v>
      </c>
      <c r="B486" s="31" t="inlineStr">
        <is>
          <t>ATW-498792XXXXXX0500-S1ANRS37-KOTA</t>
        </is>
      </c>
      <c r="C486" s="31" t="inlineStr">
        <is>
          <t>0000000000000319</t>
        </is>
      </c>
      <c r="D486" s="30" t="n">
        <v>45583</v>
      </c>
      <c r="E486" s="31" t="n">
        <v>10000</v>
      </c>
      <c r="F486" s="31" t="n">
        <v>0</v>
      </c>
      <c r="G486" s="31" t="n">
        <v>213320.75</v>
      </c>
      <c r="H486" s="31" t="inlineStr"/>
      <c r="I486" s="31" t="inlineStr">
        <is>
          <t>ATM Withdrawal</t>
        </is>
      </c>
      <c r="J486" s="31" t="inlineStr">
        <is>
          <t>Cash Withdrawal</t>
        </is>
      </c>
      <c r="K486" s="31" t="inlineStr">
        <is>
          <t>Cash</t>
        </is>
      </c>
      <c r="L486" s="32" t="n">
        <v>0.92</v>
      </c>
      <c r="M486" s="31" t="inlineStr">
        <is>
          <t>[MATCH]</t>
        </is>
      </c>
    </row>
    <row r="487">
      <c r="A487" s="83" t="n">
        <v>45583</v>
      </c>
      <c r="B487" s="84" t="inlineStr">
        <is>
          <t>NET PI TO HSL SEC A/C 523686-00602340029434</t>
        </is>
      </c>
      <c r="C487" s="84" t="inlineStr">
        <is>
          <t>0000000573562723</t>
        </is>
      </c>
      <c r="D487" s="83" t="n">
        <v>45583</v>
      </c>
      <c r="E487" s="84" t="n">
        <v>347.39</v>
      </c>
      <c r="F487" s="84" t="n">
        <v>0</v>
      </c>
      <c r="G487" s="84" t="n">
        <v>212973.36</v>
      </c>
      <c r="H487" s="84" t="inlineStr"/>
      <c r="I487" s="84" t="inlineStr">
        <is>
          <t>HSL</t>
        </is>
      </c>
      <c r="J487" s="84" t="inlineStr">
        <is>
          <t>HDFC Securities - Buy</t>
        </is>
      </c>
      <c r="K487" s="84" t="inlineStr">
        <is>
          <t>HDFC Securities</t>
        </is>
      </c>
      <c r="L487" s="32" t="n">
        <v>0.97</v>
      </c>
      <c r="M487" s="84" t="inlineStr">
        <is>
          <t>[MATCH]</t>
        </is>
      </c>
    </row>
    <row r="488">
      <c r="A488" s="33" t="n">
        <v>45583</v>
      </c>
      <c r="B488" s="34" t="inlineStr">
        <is>
          <t>NEFT CR-SBIN0004266-SBI GENERAL INSURANCE CO LTDSBI GEN-SUNITA GUPTA 0000000002717756-SBIN124292890137</t>
        </is>
      </c>
      <c r="C488" s="34" t="inlineStr">
        <is>
          <t>SBIN124292890137</t>
        </is>
      </c>
      <c r="D488" s="33" t="n">
        <v>45583</v>
      </c>
      <c r="E488" s="34" t="n">
        <v>0</v>
      </c>
      <c r="F488" s="34" t="n">
        <v>2738</v>
      </c>
      <c r="G488" s="34" t="n">
        <v>215711.36</v>
      </c>
      <c r="H488" s="34" t="inlineStr"/>
      <c r="I488" s="34" t="inlineStr">
        <is>
          <t>Rental Income</t>
        </is>
      </c>
      <c r="J488" s="34" t="inlineStr">
        <is>
          <t>Received - Sunita Gupta</t>
        </is>
      </c>
      <c r="K488" s="34" t="inlineStr">
        <is>
          <t>Sunita Gupta</t>
        </is>
      </c>
      <c r="L488" s="35" t="n">
        <v>0.88</v>
      </c>
      <c r="M488" s="34" t="inlineStr">
        <is>
          <t>[DIFF]</t>
        </is>
      </c>
    </row>
    <row r="489">
      <c r="A489" s="83" t="n">
        <v>45583</v>
      </c>
      <c r="B489" s="84" t="inlineStr">
        <is>
          <t>NET PI TO HSL SEC A/C 523686-00602340029434</t>
        </is>
      </c>
      <c r="C489" s="84" t="inlineStr">
        <is>
          <t>0000000573737824</t>
        </is>
      </c>
      <c r="D489" s="83" t="n">
        <v>45583</v>
      </c>
      <c r="E489" s="84" t="n">
        <v>2268.59</v>
      </c>
      <c r="F489" s="84" t="n">
        <v>0</v>
      </c>
      <c r="G489" s="84" t="n">
        <v>213442.77</v>
      </c>
      <c r="H489" s="84" t="inlineStr"/>
      <c r="I489" s="84" t="inlineStr">
        <is>
          <t>HSL</t>
        </is>
      </c>
      <c r="J489" s="84" t="inlineStr">
        <is>
          <t>HDFC Securities - Buy</t>
        </is>
      </c>
      <c r="K489" s="84" t="inlineStr">
        <is>
          <t>HDFC Securities</t>
        </is>
      </c>
      <c r="L489" s="32" t="n">
        <v>0.97</v>
      </c>
      <c r="M489" s="84" t="inlineStr">
        <is>
          <t>[MATCH]</t>
        </is>
      </c>
    </row>
    <row r="490">
      <c r="A490" s="28" t="n">
        <v>45584</v>
      </c>
      <c r="B490" s="29" t="inlineStr">
        <is>
          <t>YHDF2461369507/BILLDKTHECALCUTTAELE</t>
        </is>
      </c>
      <c r="C490" s="29" t="inlineStr">
        <is>
          <t>0002429365018211</t>
        </is>
      </c>
      <c r="D490" s="28" t="n">
        <v>45584</v>
      </c>
      <c r="E490" s="29" t="n">
        <v>19498</v>
      </c>
      <c r="F490" s="29" t="n">
        <v>0</v>
      </c>
      <c r="G490" s="29" t="n">
        <v>193944.77</v>
      </c>
      <c r="H490" s="29" t="inlineStr"/>
      <c r="I490" s="29" t="inlineStr">
        <is>
          <t>Electricity Bill</t>
        </is>
      </c>
      <c r="J490" s="29" t="inlineStr">
        <is>
          <t>SIP</t>
        </is>
      </c>
      <c r="K490" s="29" t="inlineStr">
        <is>
          <t>SIP</t>
        </is>
      </c>
      <c r="L490" s="35" t="n">
        <v>0.9</v>
      </c>
      <c r="M490" s="29" t="inlineStr">
        <is>
          <t>[DIFF]</t>
        </is>
      </c>
    </row>
    <row r="491">
      <c r="A491" s="42" t="n">
        <v>45586</v>
      </c>
      <c r="B491" s="43" t="inlineStr">
        <is>
          <t>ACH C- NMDC LTD-0000020308359</t>
        </is>
      </c>
      <c r="C491" s="43" t="inlineStr">
        <is>
          <t>0000000286327922</t>
        </is>
      </c>
      <c r="D491" s="42" t="n">
        <v>45586</v>
      </c>
      <c r="E491" s="43" t="n">
        <v>0</v>
      </c>
      <c r="F491" s="43" t="n">
        <v>750</v>
      </c>
      <c r="G491" s="43" t="n">
        <v>194694.77</v>
      </c>
      <c r="H491" s="43" t="inlineStr"/>
      <c r="I491" s="43" t="inlineStr">
        <is>
          <t>Dividend Income</t>
        </is>
      </c>
      <c r="J491" s="43" t="inlineStr">
        <is>
          <t>Dividend Income</t>
        </is>
      </c>
      <c r="K491" s="43" t="inlineStr">
        <is>
          <t>Dividend Income</t>
        </is>
      </c>
      <c r="L491" s="32" t="n">
        <v>0.88</v>
      </c>
      <c r="M491" s="43" t="inlineStr">
        <is>
          <t>[MATCH]</t>
        </is>
      </c>
    </row>
    <row r="492">
      <c r="A492" s="83" t="n">
        <v>45586</v>
      </c>
      <c r="B492" s="84" t="inlineStr">
        <is>
          <t>NET PI TO HSL SEC A/C 523686-00602340029434</t>
        </is>
      </c>
      <c r="C492" s="84" t="inlineStr">
        <is>
          <t>0000000574056397</t>
        </is>
      </c>
      <c r="D492" s="83" t="n">
        <v>45586</v>
      </c>
      <c r="E492" s="84" t="n">
        <v>1057.68</v>
      </c>
      <c r="F492" s="84" t="n">
        <v>0</v>
      </c>
      <c r="G492" s="84" t="n">
        <v>193637.09</v>
      </c>
      <c r="H492" s="84" t="inlineStr"/>
      <c r="I492" s="84" t="inlineStr">
        <is>
          <t>HSL</t>
        </is>
      </c>
      <c r="J492" s="84" t="inlineStr">
        <is>
          <t>HDFC Securities - Buy</t>
        </is>
      </c>
      <c r="K492" s="84" t="inlineStr">
        <is>
          <t>HDFC Securities</t>
        </is>
      </c>
      <c r="L492" s="32" t="n">
        <v>0.97</v>
      </c>
      <c r="M492" s="84" t="inlineStr">
        <is>
          <t>[MATCH]</t>
        </is>
      </c>
    </row>
    <row r="493">
      <c r="A493" s="83" t="n">
        <v>45586</v>
      </c>
      <c r="B493" s="84" t="inlineStr">
        <is>
          <t>NET PI TO HSL SEC A/C 523686-00602340029434</t>
        </is>
      </c>
      <c r="C493" s="84" t="inlineStr">
        <is>
          <t>0000000574236069</t>
        </is>
      </c>
      <c r="D493" s="83" t="n">
        <v>45586</v>
      </c>
      <c r="E493" s="84" t="n">
        <v>10739.78</v>
      </c>
      <c r="F493" s="84" t="n">
        <v>0</v>
      </c>
      <c r="G493" s="84" t="n">
        <v>182897.31</v>
      </c>
      <c r="H493" s="84" t="inlineStr"/>
      <c r="I493" s="84" t="inlineStr">
        <is>
          <t>HSL</t>
        </is>
      </c>
      <c r="J493" s="84" t="inlineStr">
        <is>
          <t>HDFC Securities - Buy</t>
        </is>
      </c>
      <c r="K493" s="84" t="inlineStr">
        <is>
          <t>HDFC Securities</t>
        </is>
      </c>
      <c r="L493" s="32" t="n">
        <v>0.97</v>
      </c>
      <c r="M493" s="84" t="inlineStr">
        <is>
          <t>[MATCH]</t>
        </is>
      </c>
    </row>
    <row r="494">
      <c r="A494" s="83" t="n">
        <v>45587</v>
      </c>
      <c r="B494" s="84" t="inlineStr">
        <is>
          <t>NET PI TO HSL SEC A/C 523686-00602340029434</t>
        </is>
      </c>
      <c r="C494" s="84" t="inlineStr">
        <is>
          <t>0000000574519625</t>
        </is>
      </c>
      <c r="D494" s="83" t="n">
        <v>45587</v>
      </c>
      <c r="E494" s="84" t="n">
        <v>355.42</v>
      </c>
      <c r="F494" s="84" t="n">
        <v>0</v>
      </c>
      <c r="G494" s="84" t="n">
        <v>182541.89</v>
      </c>
      <c r="H494" s="84" t="inlineStr"/>
      <c r="I494" s="84" t="inlineStr">
        <is>
          <t>HSL</t>
        </is>
      </c>
      <c r="J494" s="84" t="inlineStr">
        <is>
          <t>HDFC Securities - Buy</t>
        </is>
      </c>
      <c r="K494" s="84" t="inlineStr">
        <is>
          <t>HDFC Securities</t>
        </is>
      </c>
      <c r="L494" s="32" t="n">
        <v>0.97</v>
      </c>
      <c r="M494" s="84" t="inlineStr">
        <is>
          <t>[MATCH]</t>
        </is>
      </c>
    </row>
    <row r="495">
      <c r="A495" s="91" t="n">
        <v>45587</v>
      </c>
      <c r="B495" s="92" t="inlineStr">
        <is>
          <t>TRF JAYPEE INFRATECH LTD</t>
        </is>
      </c>
      <c r="C495" s="92" t="inlineStr">
        <is>
          <t>0000000000508099</t>
        </is>
      </c>
      <c r="D495" s="91" t="n">
        <v>45587</v>
      </c>
      <c r="E495" s="92" t="n">
        <v>0</v>
      </c>
      <c r="F495" s="92" t="n">
        <v>7.24</v>
      </c>
      <c r="G495" s="92" t="n">
        <v>182549.13</v>
      </c>
      <c r="H495" s="92" t="inlineStr"/>
      <c r="I495" s="92" t="inlineStr">
        <is>
          <t>JP Infratech?</t>
        </is>
      </c>
      <c r="J495" s="92" t="inlineStr">
        <is>
          <t>Dividend Income</t>
        </is>
      </c>
      <c r="K495" s="92" t="inlineStr">
        <is>
          <t>Dividend Income</t>
        </is>
      </c>
      <c r="L495" s="35" t="n">
        <v>0.85</v>
      </c>
      <c r="M495" s="92" t="inlineStr">
        <is>
          <t>[DIFF]</t>
        </is>
      </c>
    </row>
    <row r="496">
      <c r="A496" s="83" t="n">
        <v>45587</v>
      </c>
      <c r="B496" s="84" t="inlineStr">
        <is>
          <t>NET PI TO HSL SEC A/C 523686-00602340029434</t>
        </is>
      </c>
      <c r="C496" s="84" t="inlineStr">
        <is>
          <t>0000000574741799</t>
        </is>
      </c>
      <c r="D496" s="83" t="n">
        <v>45587</v>
      </c>
      <c r="E496" s="84" t="n">
        <v>38201.14</v>
      </c>
      <c r="F496" s="84" t="n">
        <v>0</v>
      </c>
      <c r="G496" s="84" t="n">
        <v>144347.99</v>
      </c>
      <c r="H496" s="84" t="inlineStr"/>
      <c r="I496" s="84" t="inlineStr">
        <is>
          <t>HSL</t>
        </is>
      </c>
      <c r="J496" s="84" t="inlineStr">
        <is>
          <t>HDFC Securities - Buy</t>
        </is>
      </c>
      <c r="K496" s="84" t="inlineStr">
        <is>
          <t>HDFC Securities</t>
        </is>
      </c>
      <c r="L496" s="32" t="n">
        <v>0.97</v>
      </c>
      <c r="M496" s="84" t="inlineStr">
        <is>
          <t>[MATCH]</t>
        </is>
      </c>
    </row>
    <row r="497">
      <c r="A497" s="83" t="n">
        <v>45588</v>
      </c>
      <c r="B497" s="84" t="inlineStr">
        <is>
          <t>NET PI TO HSL SEC A/C 523686-00602340029434</t>
        </is>
      </c>
      <c r="C497" s="84" t="inlineStr">
        <is>
          <t>0000000575011153</t>
        </is>
      </c>
      <c r="D497" s="83" t="n">
        <v>45588</v>
      </c>
      <c r="E497" s="84" t="n">
        <v>341.81</v>
      </c>
      <c r="F497" s="84" t="n">
        <v>0</v>
      </c>
      <c r="G497" s="84" t="n">
        <v>144006.18</v>
      </c>
      <c r="H497" s="84" t="inlineStr"/>
      <c r="I497" s="84" t="inlineStr">
        <is>
          <t>HSL</t>
        </is>
      </c>
      <c r="J497" s="84" t="inlineStr">
        <is>
          <t>HDFC Securities - Buy</t>
        </is>
      </c>
      <c r="K497" s="84" t="inlineStr">
        <is>
          <t>HDFC Securities</t>
        </is>
      </c>
      <c r="L497" s="32" t="n">
        <v>0.97</v>
      </c>
      <c r="M497" s="84" t="inlineStr">
        <is>
          <t>[MATCH]</t>
        </is>
      </c>
    </row>
    <row r="498">
      <c r="A498" s="97" t="n">
        <v>45589</v>
      </c>
      <c r="B498" s="98" t="inlineStr">
        <is>
          <t>FT- 575331981-50200085415108 - HDFC SECURITIES LTD-CLIENT DSCNB A/C -</t>
        </is>
      </c>
      <c r="C498" s="98" t="inlineStr">
        <is>
          <t>0000000815410366</t>
        </is>
      </c>
      <c r="D498" s="97" t="n">
        <v>45589</v>
      </c>
      <c r="E498" s="98" t="n">
        <v>0</v>
      </c>
      <c r="F498" s="98" t="n">
        <v>5487.3</v>
      </c>
      <c r="G498" s="98" t="n">
        <v>149493.48</v>
      </c>
      <c r="H498" s="98" t="inlineStr"/>
      <c r="I498" s="98" t="inlineStr">
        <is>
          <t>HDFC Sec</t>
        </is>
      </c>
      <c r="J498" s="98" t="inlineStr">
        <is>
          <t>HDFC Securities - Settlement</t>
        </is>
      </c>
      <c r="K498" s="98" t="inlineStr">
        <is>
          <t>HDFC Securities</t>
        </is>
      </c>
      <c r="L498" s="35" t="n">
        <v>0.93</v>
      </c>
      <c r="M498" s="98" t="inlineStr">
        <is>
          <t>[DIFF]</t>
        </is>
      </c>
    </row>
    <row r="499">
      <c r="A499" s="83" t="n">
        <v>45589</v>
      </c>
      <c r="B499" s="84" t="inlineStr">
        <is>
          <t>NET PI TO HSL SEC A/C 523686-00602340029434</t>
        </is>
      </c>
      <c r="C499" s="84" t="inlineStr">
        <is>
          <t>0000000575448938</t>
        </is>
      </c>
      <c r="D499" s="83" t="n">
        <v>45589</v>
      </c>
      <c r="E499" s="84" t="n">
        <v>350.21</v>
      </c>
      <c r="F499" s="84" t="n">
        <v>0</v>
      </c>
      <c r="G499" s="84" t="n">
        <v>149143.27</v>
      </c>
      <c r="H499" s="84" t="inlineStr"/>
      <c r="I499" s="84" t="inlineStr">
        <is>
          <t>HSL</t>
        </is>
      </c>
      <c r="J499" s="84" t="inlineStr">
        <is>
          <t>HDFC Securities - Buy</t>
        </is>
      </c>
      <c r="K499" s="84" t="inlineStr">
        <is>
          <t>HDFC Securities</t>
        </is>
      </c>
      <c r="L499" s="32" t="n">
        <v>0.97</v>
      </c>
      <c r="M499" s="84" t="inlineStr">
        <is>
          <t>[MATCH]</t>
        </is>
      </c>
    </row>
    <row r="500">
      <c r="A500" s="42" t="n">
        <v>45589</v>
      </c>
      <c r="B500" s="43" t="inlineStr">
        <is>
          <t>ACH C- COFORGE LTD-93826</t>
        </is>
      </c>
      <c r="C500" s="43" t="inlineStr">
        <is>
          <t>0000000401527723</t>
        </is>
      </c>
      <c r="D500" s="42" t="n">
        <v>45589</v>
      </c>
      <c r="E500" s="43" t="n">
        <v>0</v>
      </c>
      <c r="F500" s="43" t="n">
        <v>627</v>
      </c>
      <c r="G500" s="43" t="n">
        <v>149770.27</v>
      </c>
      <c r="H500" s="43" t="inlineStr"/>
      <c r="I500" s="43" t="inlineStr">
        <is>
          <t>Dividend Income</t>
        </is>
      </c>
      <c r="J500" s="43" t="inlineStr">
        <is>
          <t>Dividend Income</t>
        </is>
      </c>
      <c r="K500" s="43" t="inlineStr">
        <is>
          <t>Dividend Income</t>
        </is>
      </c>
      <c r="L500" s="32" t="n">
        <v>0.88</v>
      </c>
      <c r="M500" s="43" t="inlineStr">
        <is>
          <t>[MATCH]</t>
        </is>
      </c>
    </row>
    <row r="501">
      <c r="A501" s="83" t="n">
        <v>45589</v>
      </c>
      <c r="B501" s="84" t="inlineStr">
        <is>
          <t>NET PI TO HSL SEC A/C 523686-00602340029434</t>
        </is>
      </c>
      <c r="C501" s="84" t="inlineStr">
        <is>
          <t>0000000575580835</t>
        </is>
      </c>
      <c r="D501" s="83" t="n">
        <v>45589</v>
      </c>
      <c r="E501" s="84" t="n">
        <v>17360.75</v>
      </c>
      <c r="F501" s="84" t="n">
        <v>0</v>
      </c>
      <c r="G501" s="84" t="n">
        <v>132409.52</v>
      </c>
      <c r="H501" s="84" t="inlineStr"/>
      <c r="I501" s="84" t="inlineStr">
        <is>
          <t>HSL</t>
        </is>
      </c>
      <c r="J501" s="84" t="inlineStr">
        <is>
          <t>HDFC Securities - Buy</t>
        </is>
      </c>
      <c r="K501" s="84" t="inlineStr">
        <is>
          <t>HDFC Securities</t>
        </is>
      </c>
      <c r="L501" s="32" t="n">
        <v>0.97</v>
      </c>
      <c r="M501" s="84" t="inlineStr">
        <is>
          <t>[MATCH]</t>
        </is>
      </c>
    </row>
    <row r="502">
      <c r="A502" s="83" t="n">
        <v>45589</v>
      </c>
      <c r="B502" s="84" t="inlineStr">
        <is>
          <t>NET PI TO HSL SEC A/C 523686-00602340029434</t>
        </is>
      </c>
      <c r="C502" s="84" t="inlineStr">
        <is>
          <t>0000000575631090</t>
        </is>
      </c>
      <c r="D502" s="83" t="n">
        <v>45589</v>
      </c>
      <c r="E502" s="84" t="n">
        <v>15969.06</v>
      </c>
      <c r="F502" s="84" t="n">
        <v>0</v>
      </c>
      <c r="G502" s="84" t="n">
        <v>116440.46</v>
      </c>
      <c r="H502" s="84" t="inlineStr"/>
      <c r="I502" s="84" t="inlineStr">
        <is>
          <t>HSL</t>
        </is>
      </c>
      <c r="J502" s="84" t="inlineStr">
        <is>
          <t>HDFC Securities - Buy</t>
        </is>
      </c>
      <c r="K502" s="84" t="inlineStr">
        <is>
          <t>HDFC Securities</t>
        </is>
      </c>
      <c r="L502" s="32" t="n">
        <v>0.97</v>
      </c>
      <c r="M502" s="84" t="inlineStr">
        <is>
          <t>[MATCH]</t>
        </is>
      </c>
    </row>
    <row r="503">
      <c r="A503" s="28" t="n">
        <v>45590</v>
      </c>
      <c r="B503" s="29" t="inlineStr">
        <is>
          <t>ACH D- INDIAN CLEARING CORP-P25847643X05</t>
        </is>
      </c>
      <c r="C503" s="29" t="inlineStr">
        <is>
          <t>0000000408761218</t>
        </is>
      </c>
      <c r="D503" s="28" t="n">
        <v>45590</v>
      </c>
      <c r="E503" s="29" t="n">
        <v>10000</v>
      </c>
      <c r="F503" s="29" t="n">
        <v>0</v>
      </c>
      <c r="G503" s="29" t="n">
        <v>106440.46</v>
      </c>
      <c r="H503" s="29" t="inlineStr"/>
      <c r="I503" s="29" t="inlineStr">
        <is>
          <t>SIP  - 10000</t>
        </is>
      </c>
      <c r="J503" s="29" t="inlineStr">
        <is>
          <t>MF Investment</t>
        </is>
      </c>
      <c r="K503" s="29" t="inlineStr">
        <is>
          <t>Mutual_Fund_Investments</t>
        </is>
      </c>
      <c r="L503" s="35" t="n">
        <v>0.92</v>
      </c>
      <c r="M503" s="29" t="inlineStr">
        <is>
          <t>[DIFF]</t>
        </is>
      </c>
    </row>
    <row r="504">
      <c r="A504" s="83" t="n">
        <v>45590</v>
      </c>
      <c r="B504" s="84" t="inlineStr">
        <is>
          <t>NET PI TO HSL SEC A/C 523686-00602340029434</t>
        </is>
      </c>
      <c r="C504" s="84" t="inlineStr">
        <is>
          <t>0000000575892635</t>
        </is>
      </c>
      <c r="D504" s="83" t="n">
        <v>45590</v>
      </c>
      <c r="E504" s="84" t="n">
        <v>346.47</v>
      </c>
      <c r="F504" s="84" t="n">
        <v>0</v>
      </c>
      <c r="G504" s="84" t="n">
        <v>106093.99</v>
      </c>
      <c r="H504" s="84" t="inlineStr"/>
      <c r="I504" s="84" t="inlineStr">
        <is>
          <t>HSL</t>
        </is>
      </c>
      <c r="J504" s="84" t="inlineStr">
        <is>
          <t>HDFC Securities - Buy</t>
        </is>
      </c>
      <c r="K504" s="84" t="inlineStr">
        <is>
          <t>HDFC Securities</t>
        </is>
      </c>
      <c r="L504" s="32" t="n">
        <v>0.97</v>
      </c>
      <c r="M504" s="84" t="inlineStr">
        <is>
          <t>[MATCH]</t>
        </is>
      </c>
    </row>
    <row r="505">
      <c r="A505" s="42" t="n">
        <v>45590</v>
      </c>
      <c r="B505" s="43" t="inlineStr">
        <is>
          <t>ACH C- HINDUSTAN COPPER LTD-509416</t>
        </is>
      </c>
      <c r="C505" s="43" t="inlineStr">
        <is>
          <t>0000000340032182</t>
        </is>
      </c>
      <c r="D505" s="42" t="n">
        <v>45590</v>
      </c>
      <c r="E505" s="43" t="n">
        <v>0</v>
      </c>
      <c r="F505" s="43" t="n">
        <v>276</v>
      </c>
      <c r="G505" s="43" t="n">
        <v>106369.99</v>
      </c>
      <c r="H505" s="43" t="inlineStr"/>
      <c r="I505" s="43" t="inlineStr">
        <is>
          <t>Dividend Income</t>
        </is>
      </c>
      <c r="J505" s="43" t="inlineStr">
        <is>
          <t>Dividend Income</t>
        </is>
      </c>
      <c r="K505" s="43" t="inlineStr">
        <is>
          <t>Dividend Income</t>
        </is>
      </c>
      <c r="L505" s="32" t="n">
        <v>0.88</v>
      </c>
      <c r="M505" s="43" t="inlineStr">
        <is>
          <t>[MATCH]</t>
        </is>
      </c>
    </row>
    <row r="506">
      <c r="A506" s="83" t="n">
        <v>45590</v>
      </c>
      <c r="B506" s="84" t="inlineStr">
        <is>
          <t>NET PI TO HSL SEC A/C 523686-00602340029434</t>
        </is>
      </c>
      <c r="C506" s="84" t="inlineStr">
        <is>
          <t>0000000576054373</t>
        </is>
      </c>
      <c r="D506" s="83" t="n">
        <v>45590</v>
      </c>
      <c r="E506" s="84" t="n">
        <v>22819.61</v>
      </c>
      <c r="F506" s="84" t="n">
        <v>0</v>
      </c>
      <c r="G506" s="84" t="n">
        <v>83550.38</v>
      </c>
      <c r="H506" s="84" t="inlineStr"/>
      <c r="I506" s="84" t="inlineStr">
        <is>
          <t>HSL</t>
        </is>
      </c>
      <c r="J506" s="84" t="inlineStr">
        <is>
          <t>HDFC Securities - Buy</t>
        </is>
      </c>
      <c r="K506" s="84" t="inlineStr">
        <is>
          <t>HDFC Securities</t>
        </is>
      </c>
      <c r="L506" s="32" t="n">
        <v>0.97</v>
      </c>
      <c r="M506" s="84" t="inlineStr">
        <is>
          <t>[MATCH]</t>
        </is>
      </c>
    </row>
    <row r="507">
      <c r="A507" s="83" t="n">
        <v>45591</v>
      </c>
      <c r="B507" s="84" t="inlineStr">
        <is>
          <t>NET PI TO HSL SEC A/C 523686-00602340029434</t>
        </is>
      </c>
      <c r="C507" s="84" t="inlineStr">
        <is>
          <t>0000000576144331</t>
        </is>
      </c>
      <c r="D507" s="83" t="n">
        <v>45591</v>
      </c>
      <c r="E507" s="84" t="n">
        <v>29876.83</v>
      </c>
      <c r="F507" s="84" t="n">
        <v>0</v>
      </c>
      <c r="G507" s="84" t="n">
        <v>53673.55</v>
      </c>
      <c r="H507" s="84" t="inlineStr"/>
      <c r="I507" s="84" t="inlineStr">
        <is>
          <t>HSL</t>
        </is>
      </c>
      <c r="J507" s="84" t="inlineStr">
        <is>
          <t>HDFC Securities - Buy</t>
        </is>
      </c>
      <c r="K507" s="84" t="inlineStr">
        <is>
          <t>HDFC Securities</t>
        </is>
      </c>
      <c r="L507" s="32" t="n">
        <v>0.97</v>
      </c>
      <c r="M507" s="84" t="inlineStr">
        <is>
          <t>[MATCH]</t>
        </is>
      </c>
    </row>
    <row r="508">
      <c r="A508" s="87" t="n">
        <v>45592</v>
      </c>
      <c r="B508" s="88" t="inlineStr">
        <is>
          <t>50100128155413-TPT-BOROW FROM AAYUSH-AAYUSH KUMAR GUPTA</t>
        </is>
      </c>
      <c r="C508" s="88" t="inlineStr">
        <is>
          <t>0000000566404752</t>
        </is>
      </c>
      <c r="D508" s="87" t="n">
        <v>45592</v>
      </c>
      <c r="E508" s="88" t="n">
        <v>20000</v>
      </c>
      <c r="F508" s="88" t="n">
        <v>0</v>
      </c>
      <c r="G508" s="88" t="n">
        <v>33673.55</v>
      </c>
      <c r="H508" s="88" t="inlineStr"/>
      <c r="I508" s="88" t="inlineStr">
        <is>
          <t>Transfer to Aayush</t>
        </is>
      </c>
      <c r="J508" s="88" t="inlineStr">
        <is>
          <t>Internal Transfer</t>
        </is>
      </c>
      <c r="K508" s="88" t="inlineStr">
        <is>
          <t>Transfer</t>
        </is>
      </c>
      <c r="L508" s="24" t="n">
        <v>0.8</v>
      </c>
      <c r="M508" s="88" t="inlineStr">
        <is>
          <t>[DIFF]</t>
        </is>
      </c>
    </row>
    <row r="509">
      <c r="A509" s="83" t="n">
        <v>45593</v>
      </c>
      <c r="B509" s="84" t="inlineStr">
        <is>
          <t>NET PI TO HSL SEC A/C 523686-00602340029434</t>
        </is>
      </c>
      <c r="C509" s="84" t="inlineStr">
        <is>
          <t>0000000576467917</t>
        </is>
      </c>
      <c r="D509" s="83" t="n">
        <v>45593</v>
      </c>
      <c r="E509" s="84" t="n">
        <v>1007.49</v>
      </c>
      <c r="F509" s="84" t="n">
        <v>0</v>
      </c>
      <c r="G509" s="84" t="n">
        <v>32666.06</v>
      </c>
      <c r="H509" s="84" t="inlineStr"/>
      <c r="I509" s="84" t="inlineStr">
        <is>
          <t>HSL</t>
        </is>
      </c>
      <c r="J509" s="84" t="inlineStr">
        <is>
          <t>HDFC Securities - Buy</t>
        </is>
      </c>
      <c r="K509" s="84" t="inlineStr">
        <is>
          <t>HDFC Securities</t>
        </is>
      </c>
      <c r="L509" s="32" t="n">
        <v>0.97</v>
      </c>
      <c r="M509" s="84" t="inlineStr">
        <is>
          <t>[MATCH]</t>
        </is>
      </c>
    </row>
    <row r="510">
      <c r="A510" s="33" t="n">
        <v>45593</v>
      </c>
      <c r="B510" s="34" t="inlineStr">
        <is>
          <t>NEFT CR-SBIN0004266-SBI GENERAL INSURANCE CO LTDSBI GEN-SUNITA GUPTA 0000000002717756-SBIN424302247596</t>
        </is>
      </c>
      <c r="C510" s="34" t="inlineStr">
        <is>
          <t>SBIN424302247596</t>
        </is>
      </c>
      <c r="D510" s="33" t="n">
        <v>45593</v>
      </c>
      <c r="E510" s="34" t="n">
        <v>0</v>
      </c>
      <c r="F510" s="34" t="n">
        <v>19498</v>
      </c>
      <c r="G510" s="34" t="n">
        <v>52164.06</v>
      </c>
      <c r="H510" s="34" t="inlineStr"/>
      <c r="I510" s="34" t="inlineStr">
        <is>
          <t>Rental Income</t>
        </is>
      </c>
      <c r="J510" s="34" t="inlineStr">
        <is>
          <t>Received - Sunita Gupta</t>
        </is>
      </c>
      <c r="K510" s="34" t="inlineStr">
        <is>
          <t>Sunita Gupta</t>
        </is>
      </c>
      <c r="L510" s="35" t="n">
        <v>0.88</v>
      </c>
      <c r="M510" s="34" t="inlineStr">
        <is>
          <t>[DIFF]</t>
        </is>
      </c>
    </row>
    <row r="511">
      <c r="A511" s="97" t="n">
        <v>45594</v>
      </c>
      <c r="B511" s="98" t="inlineStr">
        <is>
          <t>FT- 576770898-50200085415108 - HDFC SECURITIES LTD-CLIENT DSCNB A/C -</t>
        </is>
      </c>
      <c r="C511" s="98" t="inlineStr">
        <is>
          <t>0000000821172241</t>
        </is>
      </c>
      <c r="D511" s="97" t="n">
        <v>45594</v>
      </c>
      <c r="E511" s="98" t="n">
        <v>0</v>
      </c>
      <c r="F511" s="98" t="n">
        <v>13135.57</v>
      </c>
      <c r="G511" s="98" t="n">
        <v>65299.63</v>
      </c>
      <c r="H511" s="98" t="inlineStr"/>
      <c r="I511" s="98" t="inlineStr">
        <is>
          <t>HDFC Sec</t>
        </is>
      </c>
      <c r="J511" s="98" t="inlineStr">
        <is>
          <t>HDFC Securities - Settlement</t>
        </is>
      </c>
      <c r="K511" s="98" t="inlineStr">
        <is>
          <t>HDFC Securities</t>
        </is>
      </c>
      <c r="L511" s="35" t="n">
        <v>0.93</v>
      </c>
      <c r="M511" s="98" t="inlineStr">
        <is>
          <t>[DIFF]</t>
        </is>
      </c>
    </row>
    <row r="512">
      <c r="A512" s="83" t="n">
        <v>45594</v>
      </c>
      <c r="B512" s="84" t="inlineStr">
        <is>
          <t>NET PI TO HSL SEC A/C 523686-00602340029434</t>
        </is>
      </c>
      <c r="C512" s="84" t="inlineStr">
        <is>
          <t>0000000576911551</t>
        </is>
      </c>
      <c r="D512" s="83" t="n">
        <v>45594</v>
      </c>
      <c r="E512" s="84" t="n">
        <v>345.71</v>
      </c>
      <c r="F512" s="84" t="n">
        <v>0</v>
      </c>
      <c r="G512" s="84" t="n">
        <v>64953.92</v>
      </c>
      <c r="H512" s="84" t="inlineStr"/>
      <c r="I512" s="84" t="inlineStr">
        <is>
          <t>HSL</t>
        </is>
      </c>
      <c r="J512" s="84" t="inlineStr">
        <is>
          <t>HDFC Securities - Buy</t>
        </is>
      </c>
      <c r="K512" s="84" t="inlineStr">
        <is>
          <t>HDFC Securities</t>
        </is>
      </c>
      <c r="L512" s="32" t="n">
        <v>0.97</v>
      </c>
      <c r="M512" s="84" t="inlineStr">
        <is>
          <t>[MATCH]</t>
        </is>
      </c>
    </row>
    <row r="513">
      <c r="A513" s="42" t="n">
        <v>45594</v>
      </c>
      <c r="B513" s="43" t="inlineStr">
        <is>
          <t>NEFT CR-UTIB0000004-AXIS MUTUAL FUND DIVIDEND A/C-SUNITA GUPTA-AXISCN0795685543</t>
        </is>
      </c>
      <c r="C513" s="43" t="inlineStr">
        <is>
          <t>AXISCN0795685543</t>
        </is>
      </c>
      <c r="D513" s="42" t="n">
        <v>45594</v>
      </c>
      <c r="E513" s="43" t="n">
        <v>0</v>
      </c>
      <c r="F513" s="43" t="n">
        <v>84.56999999999999</v>
      </c>
      <c r="G513" s="43" t="n">
        <v>65038.49</v>
      </c>
      <c r="H513" s="43" t="inlineStr"/>
      <c r="I513" s="43" t="inlineStr">
        <is>
          <t>Dividend Income</t>
        </is>
      </c>
      <c r="J513" s="43" t="inlineStr">
        <is>
          <t>Dividend Income</t>
        </is>
      </c>
      <c r="K513" s="43" t="inlineStr">
        <is>
          <t>Dividend Income</t>
        </is>
      </c>
      <c r="L513" s="32" t="n">
        <v>0.85</v>
      </c>
      <c r="M513" s="43" t="inlineStr">
        <is>
          <t>[MATCH]</t>
        </is>
      </c>
    </row>
    <row r="514">
      <c r="A514" s="83" t="n">
        <v>45594</v>
      </c>
      <c r="B514" s="84" t="inlineStr">
        <is>
          <t>NET PI TO HSL SEC A/C 523686-00602340029434</t>
        </is>
      </c>
      <c r="C514" s="84" t="inlineStr">
        <is>
          <t>0000000577072362</t>
        </is>
      </c>
      <c r="D514" s="83" t="n">
        <v>45594</v>
      </c>
      <c r="E514" s="84" t="n">
        <v>1449.86</v>
      </c>
      <c r="F514" s="84" t="n">
        <v>0</v>
      </c>
      <c r="G514" s="84" t="n">
        <v>63588.63</v>
      </c>
      <c r="H514" s="84" t="inlineStr"/>
      <c r="I514" s="84" t="inlineStr">
        <is>
          <t>HSL</t>
        </is>
      </c>
      <c r="J514" s="84" t="inlineStr">
        <is>
          <t>HDFC Securities - Buy</t>
        </is>
      </c>
      <c r="K514" s="84" t="inlineStr">
        <is>
          <t>HDFC Securities</t>
        </is>
      </c>
      <c r="L514" s="32" t="n">
        <v>0.97</v>
      </c>
      <c r="M514" s="84" t="inlineStr">
        <is>
          <t>[MATCH]</t>
        </is>
      </c>
    </row>
    <row r="515">
      <c r="A515" s="83" t="n">
        <v>45595</v>
      </c>
      <c r="B515" s="84" t="inlineStr">
        <is>
          <t>NET PI TO HSL SEC A/C 523686-00602340029434</t>
        </is>
      </c>
      <c r="C515" s="84" t="inlineStr">
        <is>
          <t>0000000577342244</t>
        </is>
      </c>
      <c r="D515" s="83" t="n">
        <v>45595</v>
      </c>
      <c r="E515" s="84" t="n">
        <v>349.87</v>
      </c>
      <c r="F515" s="84" t="n">
        <v>0</v>
      </c>
      <c r="G515" s="84" t="n">
        <v>63238.76</v>
      </c>
      <c r="H515" s="84" t="inlineStr"/>
      <c r="I515" s="84" t="inlineStr">
        <is>
          <t>HSL</t>
        </is>
      </c>
      <c r="J515" s="84" t="inlineStr">
        <is>
          <t>HDFC Securities - Buy</t>
        </is>
      </c>
      <c r="K515" s="84" t="inlineStr">
        <is>
          <t>HDFC Securities</t>
        </is>
      </c>
      <c r="L515" s="32" t="n">
        <v>0.97</v>
      </c>
      <c r="M515" s="84" t="inlineStr">
        <is>
          <t>[MATCH]</t>
        </is>
      </c>
    </row>
    <row r="516">
      <c r="A516" s="97" t="n">
        <v>45596</v>
      </c>
      <c r="B516" s="98" t="inlineStr">
        <is>
          <t>FT- 577607783-50200085415108 - HDFC SECURITIES LTD-CLIENT DSCNB A/C -</t>
        </is>
      </c>
      <c r="C516" s="98" t="inlineStr">
        <is>
          <t>0000000826132772</t>
        </is>
      </c>
      <c r="D516" s="97" t="n">
        <v>45596</v>
      </c>
      <c r="E516" s="98" t="n">
        <v>0</v>
      </c>
      <c r="F516" s="98" t="n">
        <v>7424.18</v>
      </c>
      <c r="G516" s="98" t="n">
        <v>70662.94</v>
      </c>
      <c r="H516" s="98" t="inlineStr"/>
      <c r="I516" s="98" t="inlineStr">
        <is>
          <t>HDFC Sec</t>
        </is>
      </c>
      <c r="J516" s="98" t="inlineStr">
        <is>
          <t>HDFC Securities - Settlement</t>
        </is>
      </c>
      <c r="K516" s="98" t="inlineStr">
        <is>
          <t>HDFC Securities</t>
        </is>
      </c>
      <c r="L516" s="35" t="n">
        <v>0.93</v>
      </c>
      <c r="M516" s="98" t="inlineStr">
        <is>
          <t>[DIFF]</t>
        </is>
      </c>
    </row>
    <row r="517">
      <c r="A517" s="99" t="n">
        <v>45596</v>
      </c>
      <c r="B517" s="100" t="inlineStr">
        <is>
          <t>FT- INVESCO MF A/C - BS77 11104515 31020891566 45871233</t>
        </is>
      </c>
      <c r="C517" s="100" t="inlineStr">
        <is>
          <t>0000001826217238</t>
        </is>
      </c>
      <c r="D517" s="99" t="n">
        <v>45596</v>
      </c>
      <c r="E517" s="100" t="n">
        <v>0</v>
      </c>
      <c r="F517" s="100" t="n">
        <v>51273.2</v>
      </c>
      <c r="G517" s="100" t="n">
        <v>121936.14</v>
      </c>
      <c r="H517" s="100" t="inlineStr"/>
      <c r="I517" s="100" t="inlineStr">
        <is>
          <t>MF Redemption</t>
        </is>
      </c>
      <c r="J517" s="100" t="inlineStr">
        <is>
          <t>MF Redemption</t>
        </is>
      </c>
      <c r="K517" s="100" t="inlineStr">
        <is>
          <t>Mutual Funds</t>
        </is>
      </c>
      <c r="L517" s="32" t="n">
        <v>0.87</v>
      </c>
      <c r="M517" s="100" t="inlineStr">
        <is>
          <t>[MATCH]</t>
        </is>
      </c>
    </row>
    <row r="518">
      <c r="A518" s="83" t="n">
        <v>45596</v>
      </c>
      <c r="B518" s="84" t="inlineStr">
        <is>
          <t>NET PI TO HSL SEC A/C 523686-00602340029434</t>
        </is>
      </c>
      <c r="C518" s="84" t="inlineStr">
        <is>
          <t>0000000577728982</t>
        </is>
      </c>
      <c r="D518" s="83" t="n">
        <v>45596</v>
      </c>
      <c r="E518" s="84" t="n">
        <v>349.87</v>
      </c>
      <c r="F518" s="84" t="n">
        <v>0</v>
      </c>
      <c r="G518" s="84" t="n">
        <v>121586.27</v>
      </c>
      <c r="H518" s="84" t="inlineStr"/>
      <c r="I518" s="84" t="inlineStr">
        <is>
          <t>HSL</t>
        </is>
      </c>
      <c r="J518" s="84" t="inlineStr">
        <is>
          <t>HDFC Securities - Buy</t>
        </is>
      </c>
      <c r="K518" s="84" t="inlineStr">
        <is>
          <t>HDFC Securities</t>
        </is>
      </c>
      <c r="L518" s="32" t="n">
        <v>0.97</v>
      </c>
      <c r="M518" s="84" t="inlineStr">
        <is>
          <t>[MATCH]</t>
        </is>
      </c>
    </row>
    <row r="519">
      <c r="A519" s="83" t="n">
        <v>45596</v>
      </c>
      <c r="B519" s="84" t="inlineStr">
        <is>
          <t>NET PI TO HSL SEC A/C 523686-00602340029434</t>
        </is>
      </c>
      <c r="C519" s="84" t="inlineStr">
        <is>
          <t>0000000577842363</t>
        </is>
      </c>
      <c r="D519" s="83" t="n">
        <v>45596</v>
      </c>
      <c r="E519" s="84" t="n">
        <v>6912.76</v>
      </c>
      <c r="F519" s="84" t="n">
        <v>0</v>
      </c>
      <c r="G519" s="84" t="n">
        <v>114673.51</v>
      </c>
      <c r="H519" s="84" t="inlineStr"/>
      <c r="I519" s="84" t="inlineStr">
        <is>
          <t>HSL</t>
        </is>
      </c>
      <c r="J519" s="84" t="inlineStr">
        <is>
          <t>HDFC Securities - Buy</t>
        </is>
      </c>
      <c r="K519" s="84" t="inlineStr">
        <is>
          <t>HDFC Securities</t>
        </is>
      </c>
      <c r="L519" s="32" t="n">
        <v>0.97</v>
      </c>
      <c r="M519" s="84" t="inlineStr">
        <is>
          <t>[MATCH]</t>
        </is>
      </c>
    </row>
    <row r="520">
      <c r="A520" s="83" t="n">
        <v>45596</v>
      </c>
      <c r="B520" s="84" t="inlineStr">
        <is>
          <t>NET PI TO HSL SEC A/C 523686-00602340029434</t>
        </is>
      </c>
      <c r="C520" s="84" t="inlineStr">
        <is>
          <t>0000000577876068</t>
        </is>
      </c>
      <c r="D520" s="83" t="n">
        <v>45596</v>
      </c>
      <c r="E520" s="84" t="n">
        <v>85773.87</v>
      </c>
      <c r="F520" s="84" t="n">
        <v>0</v>
      </c>
      <c r="G520" s="84" t="n">
        <v>28899.64</v>
      </c>
      <c r="H520" s="84" t="inlineStr"/>
      <c r="I520" s="84" t="inlineStr">
        <is>
          <t>HSL</t>
        </is>
      </c>
      <c r="J520" s="84" t="inlineStr">
        <is>
          <t>HDFC Securities - Buy</t>
        </is>
      </c>
      <c r="K520" s="84" t="inlineStr">
        <is>
          <t>HDFC Securities</t>
        </is>
      </c>
      <c r="L520" s="32" t="n">
        <v>0.97</v>
      </c>
      <c r="M520" s="84" t="inlineStr">
        <is>
          <t>[MATCH]</t>
        </is>
      </c>
    </row>
    <row r="521">
      <c r="A521" s="83" t="n">
        <v>45598</v>
      </c>
      <c r="B521" s="84" t="inlineStr">
        <is>
          <t>NET PI TO HSL SEC A/C 523686-00602340029434</t>
        </is>
      </c>
      <c r="C521" s="84" t="inlineStr">
        <is>
          <t>0000000578098192</t>
        </is>
      </c>
      <c r="D521" s="83" t="n">
        <v>45598</v>
      </c>
      <c r="E521" s="84" t="n">
        <v>6890.76</v>
      </c>
      <c r="F521" s="84" t="n">
        <v>0</v>
      </c>
      <c r="G521" s="84" t="n">
        <v>22008.88</v>
      </c>
      <c r="H521" s="84" t="inlineStr"/>
      <c r="I521" s="84" t="inlineStr">
        <is>
          <t>HSL</t>
        </is>
      </c>
      <c r="J521" s="84" t="inlineStr">
        <is>
          <t>HDFC Securities - Buy</t>
        </is>
      </c>
      <c r="K521" s="84" t="inlineStr">
        <is>
          <t>HDFC Securities</t>
        </is>
      </c>
      <c r="L521" s="32" t="n">
        <v>0.97</v>
      </c>
      <c r="M521" s="84" t="inlineStr">
        <is>
          <t>[MATCH]</t>
        </is>
      </c>
    </row>
    <row r="522">
      <c r="A522" s="97" t="n">
        <v>45600</v>
      </c>
      <c r="B522" s="98" t="inlineStr">
        <is>
          <t>FT- 578249626-50200085415108 - HDFC SECURITIES LTD-CLIENT DSCNB A/C -</t>
        </is>
      </c>
      <c r="C522" s="98" t="inlineStr">
        <is>
          <t>0000000827846288</t>
        </is>
      </c>
      <c r="D522" s="97" t="n">
        <v>45600</v>
      </c>
      <c r="E522" s="98" t="n">
        <v>0</v>
      </c>
      <c r="F522" s="98" t="n">
        <v>10084.36</v>
      </c>
      <c r="G522" s="98" t="n">
        <v>32093.24</v>
      </c>
      <c r="H522" s="98" t="inlineStr"/>
      <c r="I522" s="98" t="inlineStr">
        <is>
          <t>HDFC Sec</t>
        </is>
      </c>
      <c r="J522" s="98" t="inlineStr">
        <is>
          <t>HDFC Securities - Settlement</t>
        </is>
      </c>
      <c r="K522" s="98" t="inlineStr">
        <is>
          <t>HDFC Securities</t>
        </is>
      </c>
      <c r="L522" s="35" t="n">
        <v>0.93</v>
      </c>
      <c r="M522" s="98" t="inlineStr">
        <is>
          <t>[DIFF]</t>
        </is>
      </c>
    </row>
    <row r="523">
      <c r="A523" s="83" t="n">
        <v>45600</v>
      </c>
      <c r="B523" s="84" t="inlineStr">
        <is>
          <t>NET PI TO HSL SEC A/C 523686-00602340029434</t>
        </is>
      </c>
      <c r="C523" s="84" t="inlineStr">
        <is>
          <t>0000000578523399</t>
        </is>
      </c>
      <c r="D523" s="83" t="n">
        <v>45600</v>
      </c>
      <c r="E523" s="84" t="n">
        <v>1287.88</v>
      </c>
      <c r="F523" s="84" t="n">
        <v>0</v>
      </c>
      <c r="G523" s="84" t="n">
        <v>30805.36</v>
      </c>
      <c r="H523" s="84" t="inlineStr"/>
      <c r="I523" s="84" t="inlineStr">
        <is>
          <t>HSL</t>
        </is>
      </c>
      <c r="J523" s="84" t="inlineStr">
        <is>
          <t>HDFC Securities - Buy</t>
        </is>
      </c>
      <c r="K523" s="84" t="inlineStr">
        <is>
          <t>HDFC Securities</t>
        </is>
      </c>
      <c r="L523" s="32" t="n">
        <v>0.97</v>
      </c>
      <c r="M523" s="84" t="inlineStr">
        <is>
          <t>[MATCH]</t>
        </is>
      </c>
    </row>
    <row r="524">
      <c r="A524" s="83" t="n">
        <v>45600</v>
      </c>
      <c r="B524" s="84" t="inlineStr">
        <is>
          <t>NET PI TO HSL SEC A/C 523686-00602340029434</t>
        </is>
      </c>
      <c r="C524" s="84" t="inlineStr">
        <is>
          <t>0000000578766618</t>
        </is>
      </c>
      <c r="D524" s="83" t="n">
        <v>45600</v>
      </c>
      <c r="E524" s="84" t="n">
        <v>12909.03</v>
      </c>
      <c r="F524" s="84" t="n">
        <v>0</v>
      </c>
      <c r="G524" s="84" t="n">
        <v>17896.33</v>
      </c>
      <c r="H524" s="84" t="inlineStr"/>
      <c r="I524" s="84" t="inlineStr">
        <is>
          <t>HSL</t>
        </is>
      </c>
      <c r="J524" s="84" t="inlineStr">
        <is>
          <t>HDFC Securities - Buy</t>
        </is>
      </c>
      <c r="K524" s="84" t="inlineStr">
        <is>
          <t>HDFC Securities</t>
        </is>
      </c>
      <c r="L524" s="32" t="n">
        <v>0.97</v>
      </c>
      <c r="M524" s="84" t="inlineStr">
        <is>
          <t>[MATCH]</t>
        </is>
      </c>
    </row>
    <row r="525">
      <c r="A525" s="83" t="n">
        <v>45601</v>
      </c>
      <c r="B525" s="84" t="inlineStr">
        <is>
          <t>NET PI TO HSL SEC A/C 523686-00602340029434</t>
        </is>
      </c>
      <c r="C525" s="84" t="inlineStr">
        <is>
          <t>0000000579068219</t>
        </is>
      </c>
      <c r="D525" s="83" t="n">
        <v>45601</v>
      </c>
      <c r="E525" s="84" t="n">
        <v>384.2</v>
      </c>
      <c r="F525" s="84" t="n">
        <v>0</v>
      </c>
      <c r="G525" s="84" t="n">
        <v>17512.13</v>
      </c>
      <c r="H525" s="84" t="inlineStr"/>
      <c r="I525" s="84" t="inlineStr">
        <is>
          <t>HSL</t>
        </is>
      </c>
      <c r="J525" s="84" t="inlineStr">
        <is>
          <t>HDFC Securities - Buy</t>
        </is>
      </c>
      <c r="K525" s="84" t="inlineStr">
        <is>
          <t>HDFC Securities</t>
        </is>
      </c>
      <c r="L525" s="32" t="n">
        <v>0.97</v>
      </c>
      <c r="M525" s="84" t="inlineStr">
        <is>
          <t>[MATCH]</t>
        </is>
      </c>
    </row>
    <row r="526">
      <c r="A526" s="42" t="n">
        <v>45601</v>
      </c>
      <c r="B526" s="43" t="inlineStr">
        <is>
          <t>ACH C- TCS2NDINTDIV051124-852371</t>
        </is>
      </c>
      <c r="C526" s="43" t="inlineStr">
        <is>
          <t>0000000599566692</t>
        </is>
      </c>
      <c r="D526" s="42" t="n">
        <v>45601</v>
      </c>
      <c r="E526" s="43" t="n">
        <v>0</v>
      </c>
      <c r="F526" s="43" t="n">
        <v>460</v>
      </c>
      <c r="G526" s="43" t="n">
        <v>17972.13</v>
      </c>
      <c r="H526" s="43" t="inlineStr"/>
      <c r="I526" s="43" t="inlineStr">
        <is>
          <t>Dividend Income</t>
        </is>
      </c>
      <c r="J526" s="43" t="inlineStr">
        <is>
          <t>Dividend Income</t>
        </is>
      </c>
      <c r="K526" s="43" t="inlineStr">
        <is>
          <t>Dividend Income</t>
        </is>
      </c>
      <c r="L526" s="32" t="n">
        <v>0.88</v>
      </c>
      <c r="M526" s="43" t="inlineStr">
        <is>
          <t>[MATCH]</t>
        </is>
      </c>
    </row>
    <row r="527">
      <c r="A527" s="97" t="n">
        <v>45602</v>
      </c>
      <c r="B527" s="98" t="inlineStr">
        <is>
          <t>FT- 579367524-50200085415108 - HDFC SECURITIES LTD-CLIENT DSCNB A/C -</t>
        </is>
      </c>
      <c r="C527" s="98" t="inlineStr">
        <is>
          <t>0000000830495722</t>
        </is>
      </c>
      <c r="D527" s="97" t="n">
        <v>45602</v>
      </c>
      <c r="E527" s="98" t="n">
        <v>0</v>
      </c>
      <c r="F527" s="98" t="n">
        <v>11008.21</v>
      </c>
      <c r="G527" s="98" t="n">
        <v>28980.34</v>
      </c>
      <c r="H527" s="98" t="inlineStr"/>
      <c r="I527" s="98" t="inlineStr">
        <is>
          <t>HDFC Sec</t>
        </is>
      </c>
      <c r="J527" s="98" t="inlineStr">
        <is>
          <t>HDFC Securities - Settlement</t>
        </is>
      </c>
      <c r="K527" s="98" t="inlineStr">
        <is>
          <t>HDFC Securities</t>
        </is>
      </c>
      <c r="L527" s="35" t="n">
        <v>0.93</v>
      </c>
      <c r="M527" s="98" t="inlineStr">
        <is>
          <t>[DIFF]</t>
        </is>
      </c>
    </row>
    <row r="528">
      <c r="A528" s="83" t="n">
        <v>45602</v>
      </c>
      <c r="B528" s="84" t="inlineStr">
        <is>
          <t>NET PI TO HSL SEC A/C 523686-00602340029434</t>
        </is>
      </c>
      <c r="C528" s="84" t="inlineStr">
        <is>
          <t>0000000579511644</t>
        </is>
      </c>
      <c r="D528" s="83" t="n">
        <v>45602</v>
      </c>
      <c r="E528" s="84" t="n">
        <v>384.2</v>
      </c>
      <c r="F528" s="84" t="n">
        <v>0</v>
      </c>
      <c r="G528" s="84" t="n">
        <v>28596.14</v>
      </c>
      <c r="H528" s="84" t="inlineStr"/>
      <c r="I528" s="84" t="inlineStr">
        <is>
          <t>HSL</t>
        </is>
      </c>
      <c r="J528" s="84" t="inlineStr">
        <is>
          <t>HDFC Securities - Buy</t>
        </is>
      </c>
      <c r="K528" s="84" t="inlineStr">
        <is>
          <t>HDFC Securities</t>
        </is>
      </c>
      <c r="L528" s="32" t="n">
        <v>0.97</v>
      </c>
      <c r="M528" s="84" t="inlineStr">
        <is>
          <t>[MATCH]</t>
        </is>
      </c>
    </row>
    <row r="529">
      <c r="A529" s="97" t="n">
        <v>45603</v>
      </c>
      <c r="B529" s="98" t="inlineStr">
        <is>
          <t>FT- 579792596-50200085415108 - HDFC SECURITIES LTD-CLIENT DSCNB A/C -</t>
        </is>
      </c>
      <c r="C529" s="98" t="inlineStr">
        <is>
          <t>0000000831980312</t>
        </is>
      </c>
      <c r="D529" s="97" t="n">
        <v>45603</v>
      </c>
      <c r="E529" s="98" t="n">
        <v>0</v>
      </c>
      <c r="F529" s="98" t="n">
        <v>19933.39</v>
      </c>
      <c r="G529" s="98" t="n">
        <v>48529.53</v>
      </c>
      <c r="H529" s="98" t="inlineStr"/>
      <c r="I529" s="98" t="inlineStr">
        <is>
          <t>HDFC Sec</t>
        </is>
      </c>
      <c r="J529" s="98" t="inlineStr">
        <is>
          <t>HDFC Securities - Settlement</t>
        </is>
      </c>
      <c r="K529" s="98" t="inlineStr">
        <is>
          <t>HDFC Securities</t>
        </is>
      </c>
      <c r="L529" s="35" t="n">
        <v>0.93</v>
      </c>
      <c r="M529" s="98" t="inlineStr">
        <is>
          <t>[DIFF]</t>
        </is>
      </c>
    </row>
    <row r="530">
      <c r="A530" s="83" t="n">
        <v>45603</v>
      </c>
      <c r="B530" s="84" t="inlineStr">
        <is>
          <t>NET PI TO HSL SEC A/C 523686-00602340029434</t>
        </is>
      </c>
      <c r="C530" s="84" t="inlineStr">
        <is>
          <t>0000000579946012</t>
        </is>
      </c>
      <c r="D530" s="83" t="n">
        <v>45603</v>
      </c>
      <c r="E530" s="84" t="n">
        <v>388.12</v>
      </c>
      <c r="F530" s="84" t="n">
        <v>0</v>
      </c>
      <c r="G530" s="84" t="n">
        <v>48141.41</v>
      </c>
      <c r="H530" s="84" t="inlineStr"/>
      <c r="I530" s="84" t="inlineStr">
        <is>
          <t>HSL</t>
        </is>
      </c>
      <c r="J530" s="84" t="inlineStr">
        <is>
          <t>HDFC Securities - Buy</t>
        </is>
      </c>
      <c r="K530" s="84" t="inlineStr">
        <is>
          <t>HDFC Securities</t>
        </is>
      </c>
      <c r="L530" s="32" t="n">
        <v>0.97</v>
      </c>
      <c r="M530" s="84" t="inlineStr">
        <is>
          <t>[MATCH]</t>
        </is>
      </c>
    </row>
    <row r="531">
      <c r="A531" s="42" t="n">
        <v>45603</v>
      </c>
      <c r="B531" s="43" t="inlineStr">
        <is>
          <t>ACH C- LTIMIN INT 2024 25-184405</t>
        </is>
      </c>
      <c r="C531" s="43" t="inlineStr">
        <is>
          <t>0000000844690671</t>
        </is>
      </c>
      <c r="D531" s="42" t="n">
        <v>45603</v>
      </c>
      <c r="E531" s="43" t="n">
        <v>0</v>
      </c>
      <c r="F531" s="43" t="n">
        <v>700</v>
      </c>
      <c r="G531" s="43" t="n">
        <v>48841.41</v>
      </c>
      <c r="H531" s="43" t="inlineStr"/>
      <c r="I531" s="43" t="inlineStr">
        <is>
          <t>Dividend Income</t>
        </is>
      </c>
      <c r="J531" s="43" t="inlineStr">
        <is>
          <t>Dividend Income</t>
        </is>
      </c>
      <c r="K531" s="43" t="inlineStr">
        <is>
          <t>Dividend Income</t>
        </is>
      </c>
      <c r="L531" s="32" t="n">
        <v>0.88</v>
      </c>
      <c r="M531" s="43" t="inlineStr">
        <is>
          <t>[MATCH]</t>
        </is>
      </c>
    </row>
    <row r="532">
      <c r="A532" s="33" t="n">
        <v>45603</v>
      </c>
      <c r="B532" s="34" t="inlineStr">
        <is>
          <t>NEFT CR-SBIN0004266-SBI GENERAL INSURANCE CO LTDSBI GEN-SUNITA GUPTA 0000000002717756-SBIN224312774608</t>
        </is>
      </c>
      <c r="C532" s="34" t="inlineStr">
        <is>
          <t>SBIN224312774608</t>
        </is>
      </c>
      <c r="D532" s="33" t="n">
        <v>45603</v>
      </c>
      <c r="E532" s="34" t="n">
        <v>0</v>
      </c>
      <c r="F532" s="34" t="n">
        <v>36958</v>
      </c>
      <c r="G532" s="34" t="n">
        <v>85799.41</v>
      </c>
      <c r="H532" s="34" t="inlineStr"/>
      <c r="I532" s="34" t="inlineStr">
        <is>
          <t>Rental Income</t>
        </is>
      </c>
      <c r="J532" s="34" t="inlineStr">
        <is>
          <t>Received - Sunita Gupta</t>
        </is>
      </c>
      <c r="K532" s="34" t="inlineStr">
        <is>
          <t>Sunita Gupta</t>
        </is>
      </c>
      <c r="L532" s="35" t="n">
        <v>0.88</v>
      </c>
      <c r="M532" s="34" t="inlineStr">
        <is>
          <t>[DIFF]</t>
        </is>
      </c>
    </row>
    <row r="533">
      <c r="A533" s="83" t="n">
        <v>45603</v>
      </c>
      <c r="B533" s="84" t="inlineStr">
        <is>
          <t>NET PI TO HSL SEC A/C 523686-00602340029434</t>
        </is>
      </c>
      <c r="C533" s="84" t="inlineStr">
        <is>
          <t>0000000580130123</t>
        </is>
      </c>
      <c r="D533" s="83" t="n">
        <v>45603</v>
      </c>
      <c r="E533" s="84" t="n">
        <v>12083.67</v>
      </c>
      <c r="F533" s="84" t="n">
        <v>0</v>
      </c>
      <c r="G533" s="84" t="n">
        <v>73715.74000000001</v>
      </c>
      <c r="H533" s="84" t="inlineStr"/>
      <c r="I533" s="84" t="inlineStr">
        <is>
          <t>HSL</t>
        </is>
      </c>
      <c r="J533" s="84" t="inlineStr">
        <is>
          <t>HDFC Securities - Buy</t>
        </is>
      </c>
      <c r="K533" s="84" t="inlineStr">
        <is>
          <t>HDFC Securities</t>
        </is>
      </c>
      <c r="L533" s="32" t="n">
        <v>0.97</v>
      </c>
      <c r="M533" s="84" t="inlineStr">
        <is>
          <t>[MATCH]</t>
        </is>
      </c>
    </row>
    <row r="534">
      <c r="A534" s="42" t="n">
        <v>45604</v>
      </c>
      <c r="B534" s="43" t="inlineStr">
        <is>
          <t>0611208954 INFY INTDIV2024-25 45328804</t>
        </is>
      </c>
      <c r="C534" s="43" t="inlineStr">
        <is>
          <t>0000061124134567</t>
        </is>
      </c>
      <c r="D534" s="42" t="n">
        <v>45604</v>
      </c>
      <c r="E534" s="43" t="n">
        <v>0</v>
      </c>
      <c r="F534" s="43" t="n">
        <v>840</v>
      </c>
      <c r="G534" s="43" t="n">
        <v>74555.74000000001</v>
      </c>
      <c r="H534" s="43" t="inlineStr"/>
      <c r="I534" s="43" t="inlineStr">
        <is>
          <t>Dividend Income</t>
        </is>
      </c>
      <c r="J534" s="43" t="inlineStr">
        <is>
          <t>Dividend Income</t>
        </is>
      </c>
      <c r="K534" s="43" t="inlineStr">
        <is>
          <t>Dividend Income</t>
        </is>
      </c>
      <c r="L534" s="32" t="n">
        <v>0.85</v>
      </c>
      <c r="M534" s="43" t="inlineStr">
        <is>
          <t>[MATCH]</t>
        </is>
      </c>
    </row>
    <row r="535">
      <c r="A535" s="83" t="n">
        <v>45604</v>
      </c>
      <c r="B535" s="84" t="inlineStr">
        <is>
          <t>NET PI TO HSL SEC A/C 523686-00602340029434</t>
        </is>
      </c>
      <c r="C535" s="84" t="inlineStr">
        <is>
          <t>0000000580395647</t>
        </is>
      </c>
      <c r="D535" s="83" t="n">
        <v>45604</v>
      </c>
      <c r="E535" s="84" t="n">
        <v>390.91</v>
      </c>
      <c r="F535" s="84" t="n">
        <v>0</v>
      </c>
      <c r="G535" s="84" t="n">
        <v>74164.83</v>
      </c>
      <c r="H535" s="84" t="inlineStr"/>
      <c r="I535" s="84" t="inlineStr">
        <is>
          <t>HSL</t>
        </is>
      </c>
      <c r="J535" s="84" t="inlineStr">
        <is>
          <t>HDFC Securities - Buy</t>
        </is>
      </c>
      <c r="K535" s="84" t="inlineStr">
        <is>
          <t>HDFC Securities</t>
        </is>
      </c>
      <c r="L535" s="32" t="n">
        <v>0.97</v>
      </c>
      <c r="M535" s="84" t="inlineStr">
        <is>
          <t>[MATCH]</t>
        </is>
      </c>
    </row>
    <row r="536">
      <c r="A536" s="83" t="n">
        <v>45604</v>
      </c>
      <c r="B536" s="84" t="inlineStr">
        <is>
          <t>NET PI TO HSL SEC A/C 523686-00602340029434</t>
        </is>
      </c>
      <c r="C536" s="84" t="inlineStr">
        <is>
          <t>0000000580606205</t>
        </is>
      </c>
      <c r="D536" s="83" t="n">
        <v>45604</v>
      </c>
      <c r="E536" s="84" t="n">
        <v>21327.23</v>
      </c>
      <c r="F536" s="84" t="n">
        <v>0</v>
      </c>
      <c r="G536" s="84" t="n">
        <v>52837.6</v>
      </c>
      <c r="H536" s="84" t="inlineStr"/>
      <c r="I536" s="84" t="inlineStr">
        <is>
          <t>HSL</t>
        </is>
      </c>
      <c r="J536" s="84" t="inlineStr">
        <is>
          <t>HDFC Securities - Buy</t>
        </is>
      </c>
      <c r="K536" s="84" t="inlineStr">
        <is>
          <t>HDFC Securities</t>
        </is>
      </c>
      <c r="L536" s="32" t="n">
        <v>0.97</v>
      </c>
      <c r="M536" s="84" t="inlineStr">
        <is>
          <t>[MATCH]</t>
        </is>
      </c>
    </row>
    <row r="537">
      <c r="A537" s="83" t="n">
        <v>45607</v>
      </c>
      <c r="B537" s="84" t="inlineStr">
        <is>
          <t>NET PI TO HSL SEC A/C 523686-00602340029434</t>
        </is>
      </c>
      <c r="C537" s="84" t="inlineStr">
        <is>
          <t>0000000580935996</t>
        </is>
      </c>
      <c r="D537" s="83" t="n">
        <v>45607</v>
      </c>
      <c r="E537" s="84" t="n">
        <v>1149.96</v>
      </c>
      <c r="F537" s="84" t="n">
        <v>0</v>
      </c>
      <c r="G537" s="84" t="n">
        <v>51687.64</v>
      </c>
      <c r="H537" s="84" t="inlineStr"/>
      <c r="I537" s="84" t="inlineStr">
        <is>
          <t>HSL</t>
        </is>
      </c>
      <c r="J537" s="84" t="inlineStr">
        <is>
          <t>HDFC Securities - Buy</t>
        </is>
      </c>
      <c r="K537" s="84" t="inlineStr">
        <is>
          <t>HDFC Securities</t>
        </is>
      </c>
      <c r="L537" s="32" t="n">
        <v>0.97</v>
      </c>
      <c r="M537" s="84" t="inlineStr">
        <is>
          <t>[MATCH]</t>
        </is>
      </c>
    </row>
    <row r="538">
      <c r="A538" s="83" t="n">
        <v>45608</v>
      </c>
      <c r="B538" s="84" t="inlineStr">
        <is>
          <t>NET PI TO HSL SEC A/C 523686-00602340029434</t>
        </is>
      </c>
      <c r="C538" s="84" t="inlineStr">
        <is>
          <t>0000000581143374</t>
        </is>
      </c>
      <c r="D538" s="83" t="n">
        <v>45608</v>
      </c>
      <c r="E538" s="84" t="n">
        <v>18988.82</v>
      </c>
      <c r="F538" s="84" t="n">
        <v>0</v>
      </c>
      <c r="G538" s="84" t="n">
        <v>32698.82</v>
      </c>
      <c r="H538" s="84" t="inlineStr"/>
      <c r="I538" s="84" t="inlineStr">
        <is>
          <t>HSL</t>
        </is>
      </c>
      <c r="J538" s="84" t="inlineStr">
        <is>
          <t>HDFC Securities - Buy</t>
        </is>
      </c>
      <c r="K538" s="84" t="inlineStr">
        <is>
          <t>HDFC Securities</t>
        </is>
      </c>
      <c r="L538" s="32" t="n">
        <v>0.97</v>
      </c>
      <c r="M538" s="84" t="inlineStr">
        <is>
          <t>[MATCH]</t>
        </is>
      </c>
    </row>
    <row r="539">
      <c r="A539" s="97" t="n">
        <v>45608</v>
      </c>
      <c r="B539" s="98" t="inlineStr">
        <is>
          <t>FT- 581299632-50200085415108 - HDFC SECURITIES LTD-CLIENT DSCNB A/C -</t>
        </is>
      </c>
      <c r="C539" s="98" t="inlineStr">
        <is>
          <t>0000000838553458</t>
        </is>
      </c>
      <c r="D539" s="97" t="n">
        <v>45608</v>
      </c>
      <c r="E539" s="98" t="n">
        <v>0</v>
      </c>
      <c r="F539" s="98" t="n">
        <v>12632.07</v>
      </c>
      <c r="G539" s="98" t="n">
        <v>45330.89</v>
      </c>
      <c r="H539" s="98" t="inlineStr"/>
      <c r="I539" s="98" t="inlineStr">
        <is>
          <t>HDFC Sec</t>
        </is>
      </c>
      <c r="J539" s="98" t="inlineStr">
        <is>
          <t>HDFC Securities - Settlement</t>
        </is>
      </c>
      <c r="K539" s="98" t="inlineStr">
        <is>
          <t>HDFC Securities</t>
        </is>
      </c>
      <c r="L539" s="35" t="n">
        <v>0.93</v>
      </c>
      <c r="M539" s="98" t="inlineStr">
        <is>
          <t>[DIFF]</t>
        </is>
      </c>
    </row>
    <row r="540">
      <c r="A540" s="83" t="n">
        <v>45608</v>
      </c>
      <c r="B540" s="84" t="inlineStr">
        <is>
          <t>NET PI TO HSL SEC A/C 523686-00602340029434</t>
        </is>
      </c>
      <c r="C540" s="84" t="inlineStr">
        <is>
          <t>0000000581420546</t>
        </is>
      </c>
      <c r="D540" s="83" t="n">
        <v>45608</v>
      </c>
      <c r="E540" s="84" t="n">
        <v>376.55</v>
      </c>
      <c r="F540" s="84" t="n">
        <v>0</v>
      </c>
      <c r="G540" s="84" t="n">
        <v>44954.34</v>
      </c>
      <c r="H540" s="84" t="inlineStr"/>
      <c r="I540" s="84" t="inlineStr">
        <is>
          <t>HSL</t>
        </is>
      </c>
      <c r="J540" s="84" t="inlineStr">
        <is>
          <t>HDFC Securities - Buy</t>
        </is>
      </c>
      <c r="K540" s="84" t="inlineStr">
        <is>
          <t>HDFC Securities</t>
        </is>
      </c>
      <c r="L540" s="32" t="n">
        <v>0.97</v>
      </c>
      <c r="M540" s="84" t="inlineStr">
        <is>
          <t>[MATCH]</t>
        </is>
      </c>
    </row>
    <row r="541">
      <c r="A541" s="83" t="n">
        <v>45608</v>
      </c>
      <c r="B541" s="84" t="inlineStr">
        <is>
          <t>NET PI TO HSL SEC A/C 523686-00602340029434</t>
        </is>
      </c>
      <c r="C541" s="84" t="inlineStr">
        <is>
          <t>0000000581598063</t>
        </is>
      </c>
      <c r="D541" s="83" t="n">
        <v>45608</v>
      </c>
      <c r="E541" s="84" t="n">
        <v>10252.52</v>
      </c>
      <c r="F541" s="84" t="n">
        <v>0</v>
      </c>
      <c r="G541" s="84" t="n">
        <v>34701.82</v>
      </c>
      <c r="H541" s="84" t="inlineStr"/>
      <c r="I541" s="84" t="inlineStr">
        <is>
          <t>HSL</t>
        </is>
      </c>
      <c r="J541" s="84" t="inlineStr">
        <is>
          <t>HDFC Securities - Buy</t>
        </is>
      </c>
      <c r="K541" s="84" t="inlineStr">
        <is>
          <t>HDFC Securities</t>
        </is>
      </c>
      <c r="L541" s="32" t="n">
        <v>0.97</v>
      </c>
      <c r="M541" s="84" t="inlineStr">
        <is>
          <t>[MATCH]</t>
        </is>
      </c>
    </row>
    <row r="542">
      <c r="A542" s="89" t="n">
        <v>45609</v>
      </c>
      <c r="B542" s="90" t="inlineStr">
        <is>
          <t>DEPOSITORY CHARGES OCT24 - 41060499</t>
        </is>
      </c>
      <c r="C542" s="90" t="inlineStr">
        <is>
          <t>000000000000000</t>
        </is>
      </c>
      <c r="D542" s="89" t="n">
        <v>45609</v>
      </c>
      <c r="E542" s="90" t="n">
        <v>507.4</v>
      </c>
      <c r="F542" s="90" t="n">
        <v>0</v>
      </c>
      <c r="G542" s="90" t="n">
        <v>34194.42</v>
      </c>
      <c r="H542" s="90" t="inlineStr"/>
      <c r="I542" s="90" t="inlineStr">
        <is>
          <t>Depository Charges</t>
        </is>
      </c>
      <c r="J542" s="90" t="inlineStr">
        <is>
          <t>Depository Charges</t>
        </is>
      </c>
      <c r="K542" s="90" t="inlineStr">
        <is>
          <t>Depository Charges</t>
        </is>
      </c>
      <c r="L542" s="32" t="n">
        <v>0.93</v>
      </c>
      <c r="M542" s="90" t="inlineStr">
        <is>
          <t>[MATCH]</t>
        </is>
      </c>
    </row>
    <row r="543">
      <c r="A543" s="83" t="n">
        <v>45609</v>
      </c>
      <c r="B543" s="84" t="inlineStr">
        <is>
          <t>NET PI TO HSL SEC A/C 523686-00602340029434</t>
        </is>
      </c>
      <c r="C543" s="84" t="inlineStr">
        <is>
          <t>0000000581859372</t>
        </is>
      </c>
      <c r="D543" s="83" t="n">
        <v>45609</v>
      </c>
      <c r="E543" s="84" t="n">
        <v>372.9</v>
      </c>
      <c r="F543" s="84" t="n">
        <v>0</v>
      </c>
      <c r="G543" s="84" t="n">
        <v>33821.52</v>
      </c>
      <c r="H543" s="84" t="inlineStr"/>
      <c r="I543" s="84" t="inlineStr">
        <is>
          <t>HSL</t>
        </is>
      </c>
      <c r="J543" s="84" t="inlineStr">
        <is>
          <t>HDFC Securities - Buy</t>
        </is>
      </c>
      <c r="K543" s="84" t="inlineStr">
        <is>
          <t>HDFC Securities</t>
        </is>
      </c>
      <c r="L543" s="32" t="n">
        <v>0.97</v>
      </c>
      <c r="M543" s="84" t="inlineStr">
        <is>
          <t>[MATCH]</t>
        </is>
      </c>
    </row>
    <row r="544">
      <c r="A544" s="83" t="n">
        <v>45609</v>
      </c>
      <c r="B544" s="84" t="inlineStr">
        <is>
          <t>NET PI TO HSL SEC A/C 523686-00602340029434</t>
        </is>
      </c>
      <c r="C544" s="84" t="inlineStr">
        <is>
          <t>0000000582092439</t>
        </is>
      </c>
      <c r="D544" s="83" t="n">
        <v>45609</v>
      </c>
      <c r="E544" s="84" t="n">
        <v>25275.8</v>
      </c>
      <c r="F544" s="84" t="n">
        <v>0</v>
      </c>
      <c r="G544" s="84" t="n">
        <v>8545.719999999999</v>
      </c>
      <c r="H544" s="84" t="inlineStr"/>
      <c r="I544" s="84" t="inlineStr">
        <is>
          <t>HSL</t>
        </is>
      </c>
      <c r="J544" s="84" t="inlineStr">
        <is>
          <t>HDFC Securities - Buy</t>
        </is>
      </c>
      <c r="K544" s="84" t="inlineStr">
        <is>
          <t>HDFC Securities</t>
        </is>
      </c>
      <c r="L544" s="32" t="n">
        <v>0.97</v>
      </c>
      <c r="M544" s="84" t="inlineStr">
        <is>
          <t>[MATCH]</t>
        </is>
      </c>
    </row>
    <row r="545">
      <c r="A545" s="83" t="n">
        <v>45610</v>
      </c>
      <c r="B545" s="84" t="inlineStr">
        <is>
          <t>NET PI TO HSL SEC A/C 523686-00602340029434</t>
        </is>
      </c>
      <c r="C545" s="84" t="inlineStr">
        <is>
          <t>0000000582351694</t>
        </is>
      </c>
      <c r="D545" s="83" t="n">
        <v>45610</v>
      </c>
      <c r="E545" s="84" t="n">
        <v>363.9</v>
      </c>
      <c r="F545" s="84" t="n">
        <v>0</v>
      </c>
      <c r="G545" s="84" t="n">
        <v>8181.82</v>
      </c>
      <c r="H545" s="84" t="inlineStr"/>
      <c r="I545" s="84" t="inlineStr">
        <is>
          <t>HSL</t>
        </is>
      </c>
      <c r="J545" s="84" t="inlineStr">
        <is>
          <t>HDFC Securities - Buy</t>
        </is>
      </c>
      <c r="K545" s="84" t="inlineStr">
        <is>
          <t>HDFC Securities</t>
        </is>
      </c>
      <c r="L545" s="32" t="n">
        <v>0.97</v>
      </c>
      <c r="M545" s="84" t="inlineStr">
        <is>
          <t>[MATCH]</t>
        </is>
      </c>
    </row>
    <row r="546">
      <c r="A546" s="83" t="n">
        <v>45610</v>
      </c>
      <c r="B546" s="84" t="inlineStr">
        <is>
          <t>NET PI TO HSL SEC A/C 523686-00602340029434</t>
        </is>
      </c>
      <c r="C546" s="84" t="inlineStr">
        <is>
          <t>0000000582532586</t>
        </is>
      </c>
      <c r="D546" s="83" t="n">
        <v>45610</v>
      </c>
      <c r="E546" s="84" t="n">
        <v>4836.18</v>
      </c>
      <c r="F546" s="84" t="n">
        <v>0</v>
      </c>
      <c r="G546" s="84" t="n">
        <v>3345.64</v>
      </c>
      <c r="H546" s="84" t="inlineStr"/>
      <c r="I546" s="84" t="inlineStr">
        <is>
          <t>HSL</t>
        </is>
      </c>
      <c r="J546" s="84" t="inlineStr">
        <is>
          <t>HDFC Securities - Buy</t>
        </is>
      </c>
      <c r="K546" s="84" t="inlineStr">
        <is>
          <t>HDFC Securities</t>
        </is>
      </c>
      <c r="L546" s="32" t="n">
        <v>0.97</v>
      </c>
      <c r="M546" s="84" t="inlineStr">
        <is>
          <t>[MATCH]</t>
        </is>
      </c>
    </row>
    <row r="547">
      <c r="A547" s="62" t="n">
        <v>45611</v>
      </c>
      <c r="B547" s="63" t="inlineStr">
        <is>
          <t>01671000085930-TPT-BORROW FROM AJAY HDFC-AJAY KUMAR GUPTA</t>
        </is>
      </c>
      <c r="C547" s="63" t="inlineStr">
        <is>
          <t>0000000178961580</t>
        </is>
      </c>
      <c r="D547" s="62" t="n">
        <v>45611</v>
      </c>
      <c r="E547" s="63" t="n">
        <v>0</v>
      </c>
      <c r="F547" s="63" t="n">
        <v>25000</v>
      </c>
      <c r="G547" s="63" t="n">
        <v>28345.64</v>
      </c>
      <c r="H547" s="63" t="inlineStr"/>
      <c r="I547" s="63" t="inlineStr">
        <is>
          <t>Transfer by Ajay</t>
        </is>
      </c>
      <c r="J547" s="63" t="inlineStr">
        <is>
          <t>Received - Ajay Gupta</t>
        </is>
      </c>
      <c r="K547" s="63" t="inlineStr">
        <is>
          <t>Ajay Gupta</t>
        </is>
      </c>
      <c r="L547" s="35" t="n">
        <v>0.88</v>
      </c>
      <c r="M547" s="63" t="inlineStr">
        <is>
          <t>[DIFF]</t>
        </is>
      </c>
    </row>
    <row r="548">
      <c r="A548" s="42" t="n">
        <v>45612</v>
      </c>
      <c r="B548" s="43" t="inlineStr">
        <is>
          <t>DR LAL PATH DIV24 2500000000000000008238</t>
        </is>
      </c>
      <c r="C548" s="43" t="inlineStr">
        <is>
          <t>0000243218238387</t>
        </is>
      </c>
      <c r="D548" s="42" t="n">
        <v>45612</v>
      </c>
      <c r="E548" s="43" t="n">
        <v>0</v>
      </c>
      <c r="F548" s="43" t="n">
        <v>210</v>
      </c>
      <c r="G548" s="43" t="n">
        <v>28555.64</v>
      </c>
      <c r="H548" s="43" t="inlineStr"/>
      <c r="I548" s="43" t="inlineStr">
        <is>
          <t>Dividend Income</t>
        </is>
      </c>
      <c r="J548" s="43" t="inlineStr">
        <is>
          <t>Dividend Income</t>
        </is>
      </c>
      <c r="K548" s="43" t="inlineStr">
        <is>
          <t>Dividend Income</t>
        </is>
      </c>
      <c r="L548" s="32" t="n">
        <v>0.85</v>
      </c>
      <c r="M548" s="43" t="inlineStr">
        <is>
          <t>[MATCH]</t>
        </is>
      </c>
    </row>
    <row r="549">
      <c r="A549" s="28" t="n">
        <v>45614</v>
      </c>
      <c r="B549" s="29" t="inlineStr">
        <is>
          <t>ACH D- INDIAN CLEARING CORP-P25847643X05</t>
        </is>
      </c>
      <c r="C549" s="29" t="inlineStr">
        <is>
          <t>0000001210939104</t>
        </is>
      </c>
      <c r="D549" s="28" t="n">
        <v>45614</v>
      </c>
      <c r="E549" s="29" t="n">
        <v>5000</v>
      </c>
      <c r="F549" s="29" t="n">
        <v>0</v>
      </c>
      <c r="G549" s="29" t="n">
        <v>23555.64</v>
      </c>
      <c r="H549" s="29" t="inlineStr"/>
      <c r="I549" s="29" t="inlineStr">
        <is>
          <t>SIP  - 5000</t>
        </is>
      </c>
      <c r="J549" s="29" t="inlineStr">
        <is>
          <t>MF Investment</t>
        </is>
      </c>
      <c r="K549" s="29" t="inlineStr">
        <is>
          <t>Mutual_Fund_Investments</t>
        </is>
      </c>
      <c r="L549" s="35" t="n">
        <v>0.92</v>
      </c>
      <c r="M549" s="29" t="inlineStr">
        <is>
          <t>[DIFF]</t>
        </is>
      </c>
    </row>
    <row r="550">
      <c r="A550" s="83" t="n">
        <v>45614</v>
      </c>
      <c r="B550" s="84" t="inlineStr">
        <is>
          <t>NET PI TO HSL SEC A/C 523686-00602340029434</t>
        </is>
      </c>
      <c r="C550" s="84" t="inlineStr">
        <is>
          <t>0000000582858649</t>
        </is>
      </c>
      <c r="D550" s="83" t="n">
        <v>45614</v>
      </c>
      <c r="E550" s="84" t="n">
        <v>1448.72</v>
      </c>
      <c r="F550" s="84" t="n">
        <v>0</v>
      </c>
      <c r="G550" s="84" t="n">
        <v>22106.92</v>
      </c>
      <c r="H550" s="84" t="inlineStr"/>
      <c r="I550" s="84" t="inlineStr">
        <is>
          <t>HSL</t>
        </is>
      </c>
      <c r="J550" s="84" t="inlineStr">
        <is>
          <t>HDFC Securities - Buy</t>
        </is>
      </c>
      <c r="K550" s="84" t="inlineStr">
        <is>
          <t>HDFC Securities</t>
        </is>
      </c>
      <c r="L550" s="32" t="n">
        <v>0.97</v>
      </c>
      <c r="M550" s="84" t="inlineStr">
        <is>
          <t>[MATCH]</t>
        </is>
      </c>
    </row>
    <row r="551">
      <c r="A551" s="97" t="n">
        <v>45615</v>
      </c>
      <c r="B551" s="98" t="inlineStr">
        <is>
          <t>FT- 583186864-50200085415108 - HDFC SECURITIES LTD-CLIENT DSCNB A/C -</t>
        </is>
      </c>
      <c r="C551" s="98" t="inlineStr">
        <is>
          <t>0000000844903657</t>
        </is>
      </c>
      <c r="D551" s="97" t="n">
        <v>45615</v>
      </c>
      <c r="E551" s="98" t="n">
        <v>0</v>
      </c>
      <c r="F551" s="98" t="n">
        <v>1130.97</v>
      </c>
      <c r="G551" s="98" t="n">
        <v>23237.89</v>
      </c>
      <c r="H551" s="98" t="inlineStr"/>
      <c r="I551" s="98" t="inlineStr">
        <is>
          <t>HDFC Sec</t>
        </is>
      </c>
      <c r="J551" s="98" t="inlineStr">
        <is>
          <t>HDFC Securities - Settlement</t>
        </is>
      </c>
      <c r="K551" s="98" t="inlineStr">
        <is>
          <t>HDFC Securities</t>
        </is>
      </c>
      <c r="L551" s="35" t="n">
        <v>0.93</v>
      </c>
      <c r="M551" s="98" t="inlineStr">
        <is>
          <t>[DIFF]</t>
        </is>
      </c>
    </row>
    <row r="552">
      <c r="A552" s="83" t="n">
        <v>45615</v>
      </c>
      <c r="B552" s="84" t="inlineStr">
        <is>
          <t>NET PI TO HSL SEC A/C 523686-00602340029434</t>
        </is>
      </c>
      <c r="C552" s="84" t="inlineStr">
        <is>
          <t>0000000583320782</t>
        </is>
      </c>
      <c r="D552" s="83" t="n">
        <v>45615</v>
      </c>
      <c r="E552" s="84" t="n">
        <v>362.18</v>
      </c>
      <c r="F552" s="84" t="n">
        <v>0</v>
      </c>
      <c r="G552" s="84" t="n">
        <v>22875.71</v>
      </c>
      <c r="H552" s="84" t="inlineStr"/>
      <c r="I552" s="84" t="inlineStr">
        <is>
          <t>HSL</t>
        </is>
      </c>
      <c r="J552" s="84" t="inlineStr">
        <is>
          <t>HDFC Securities - Buy</t>
        </is>
      </c>
      <c r="K552" s="84" t="inlineStr">
        <is>
          <t>HDFC Securities</t>
        </is>
      </c>
      <c r="L552" s="32" t="n">
        <v>0.97</v>
      </c>
      <c r="M552" s="84" t="inlineStr">
        <is>
          <t>[MATCH]</t>
        </is>
      </c>
    </row>
    <row r="553">
      <c r="A553" s="42" t="n">
        <v>45615</v>
      </c>
      <c r="B553" s="43" t="inlineStr">
        <is>
          <t>ACH C- CAMS 2ND INT 2024 25-162211</t>
        </is>
      </c>
      <c r="C553" s="43" t="inlineStr">
        <is>
          <t>0000001317850832</t>
        </is>
      </c>
      <c r="D553" s="42" t="n">
        <v>45615</v>
      </c>
      <c r="E553" s="43" t="n">
        <v>0</v>
      </c>
      <c r="F553" s="43" t="n">
        <v>375</v>
      </c>
      <c r="G553" s="43" t="n">
        <v>23250.71</v>
      </c>
      <c r="H553" s="43" t="inlineStr"/>
      <c r="I553" s="43" t="inlineStr">
        <is>
          <t>Dividend Income</t>
        </is>
      </c>
      <c r="J553" s="43" t="inlineStr">
        <is>
          <t>Dividend Income</t>
        </is>
      </c>
      <c r="K553" s="43" t="inlineStr">
        <is>
          <t>Dividend Income</t>
        </is>
      </c>
      <c r="L553" s="32" t="n">
        <v>0.88</v>
      </c>
      <c r="M553" s="43" t="inlineStr">
        <is>
          <t>[MATCH]</t>
        </is>
      </c>
    </row>
    <row r="554">
      <c r="A554" s="42" t="n">
        <v>45615</v>
      </c>
      <c r="B554" s="43" t="inlineStr">
        <is>
          <t>ACH C- SHRIRAM.FINLTD IDV25-STFCIN300476</t>
        </is>
      </c>
      <c r="C554" s="43" t="inlineStr">
        <is>
          <t>0000001382701632</t>
        </is>
      </c>
      <c r="D554" s="42" t="n">
        <v>45615</v>
      </c>
      <c r="E554" s="43" t="n">
        <v>0</v>
      </c>
      <c r="F554" s="43" t="n">
        <v>704</v>
      </c>
      <c r="G554" s="43" t="n">
        <v>23954.71</v>
      </c>
      <c r="H554" s="43" t="inlineStr"/>
      <c r="I554" s="43" t="inlineStr">
        <is>
          <t>Dividend Income</t>
        </is>
      </c>
      <c r="J554" s="43" t="inlineStr">
        <is>
          <t>Dividend Income</t>
        </is>
      </c>
      <c r="K554" s="43" t="inlineStr">
        <is>
          <t>Dividend Income</t>
        </is>
      </c>
      <c r="L554" s="32" t="n">
        <v>0.88</v>
      </c>
      <c r="M554" s="43" t="inlineStr">
        <is>
          <t>[MATCH]</t>
        </is>
      </c>
    </row>
    <row r="555">
      <c r="A555" s="97" t="n">
        <v>45617</v>
      </c>
      <c r="B555" s="98" t="inlineStr">
        <is>
          <t>FT- 583585295-50200085415108 - HDFC SECURITIES LTD-CLIENT DSCNB A/C -</t>
        </is>
      </c>
      <c r="C555" s="98" t="inlineStr">
        <is>
          <t>0000000846872023</t>
        </is>
      </c>
      <c r="D555" s="97" t="n">
        <v>45617</v>
      </c>
      <c r="E555" s="98" t="n">
        <v>0</v>
      </c>
      <c r="F555" s="98" t="n">
        <v>4778.92</v>
      </c>
      <c r="G555" s="98" t="n">
        <v>28733.63</v>
      </c>
      <c r="H555" s="98" t="inlineStr"/>
      <c r="I555" s="98" t="inlineStr">
        <is>
          <t>HDFC Sec</t>
        </is>
      </c>
      <c r="J555" s="98" t="inlineStr">
        <is>
          <t>HDFC Securities - Settlement</t>
        </is>
      </c>
      <c r="K555" s="98" t="inlineStr">
        <is>
          <t>HDFC Securities</t>
        </is>
      </c>
      <c r="L555" s="35" t="n">
        <v>0.93</v>
      </c>
      <c r="M555" s="98" t="inlineStr">
        <is>
          <t>[DIFF]</t>
        </is>
      </c>
    </row>
    <row r="556">
      <c r="A556" s="83" t="n">
        <v>45617</v>
      </c>
      <c r="B556" s="84" t="inlineStr">
        <is>
          <t>NET PI TO HSL SEC A/C 523686-00602340029434</t>
        </is>
      </c>
      <c r="C556" s="84" t="inlineStr">
        <is>
          <t>0000000583741513</t>
        </is>
      </c>
      <c r="D556" s="83" t="n">
        <v>45617</v>
      </c>
      <c r="E556" s="84" t="n">
        <v>725.16</v>
      </c>
      <c r="F556" s="84" t="n">
        <v>0</v>
      </c>
      <c r="G556" s="84" t="n">
        <v>28008.47</v>
      </c>
      <c r="H556" s="84" t="inlineStr"/>
      <c r="I556" s="84" t="inlineStr">
        <is>
          <t>HSL</t>
        </is>
      </c>
      <c r="J556" s="84" t="inlineStr">
        <is>
          <t>HDFC Securities - Buy</t>
        </is>
      </c>
      <c r="K556" s="84" t="inlineStr">
        <is>
          <t>HDFC Securities</t>
        </is>
      </c>
      <c r="L556" s="32" t="n">
        <v>0.97</v>
      </c>
      <c r="M556" s="84" t="inlineStr">
        <is>
          <t>[MATCH]</t>
        </is>
      </c>
    </row>
    <row r="557">
      <c r="A557" s="42" t="n">
        <v>45617</v>
      </c>
      <c r="B557" s="43" t="inlineStr">
        <is>
          <t>ACH C- COAL INDIA LTD-1619328</t>
        </is>
      </c>
      <c r="C557" s="43" t="inlineStr">
        <is>
          <t>0000001437922408</t>
        </is>
      </c>
      <c r="D557" s="42" t="n">
        <v>45617</v>
      </c>
      <c r="E557" s="43" t="n">
        <v>0</v>
      </c>
      <c r="F557" s="43" t="n">
        <v>47</v>
      </c>
      <c r="G557" s="43" t="n">
        <v>28055.47</v>
      </c>
      <c r="H557" s="43" t="inlineStr"/>
      <c r="I557" s="43" t="inlineStr">
        <is>
          <t>Dividend Income</t>
        </is>
      </c>
      <c r="J557" s="43" t="inlineStr">
        <is>
          <t>Dividend Income</t>
        </is>
      </c>
      <c r="K557" s="43" t="inlineStr">
        <is>
          <t>Dividend Income</t>
        </is>
      </c>
      <c r="L557" s="32" t="n">
        <v>0.88</v>
      </c>
      <c r="M557" s="43" t="inlineStr">
        <is>
          <t>[MATCH]</t>
        </is>
      </c>
    </row>
    <row r="558">
      <c r="A558" s="42" t="n">
        <v>45617</v>
      </c>
      <c r="B558" s="43" t="inlineStr">
        <is>
          <t>ACH C- HUL INT AND SPLDIV24-000000000000</t>
        </is>
      </c>
      <c r="C558" s="43" t="inlineStr">
        <is>
          <t>0000007329202326</t>
        </is>
      </c>
      <c r="D558" s="42" t="n">
        <v>45617</v>
      </c>
      <c r="E558" s="43" t="n">
        <v>0</v>
      </c>
      <c r="F558" s="43" t="n">
        <v>870</v>
      </c>
      <c r="G558" s="43" t="n">
        <v>28925.47</v>
      </c>
      <c r="H558" s="43" t="inlineStr"/>
      <c r="I558" s="43" t="inlineStr">
        <is>
          <t>Dividend Income</t>
        </is>
      </c>
      <c r="J558" s="43" t="inlineStr">
        <is>
          <t>Dividend Income</t>
        </is>
      </c>
      <c r="K558" s="43" t="inlineStr">
        <is>
          <t>Dividend Income</t>
        </is>
      </c>
      <c r="L558" s="32" t="n">
        <v>0.88</v>
      </c>
      <c r="M558" s="43" t="inlineStr">
        <is>
          <t>[MATCH]</t>
        </is>
      </c>
    </row>
    <row r="559">
      <c r="A559" s="42" t="n">
        <v>45617</v>
      </c>
      <c r="B559" s="43" t="inlineStr">
        <is>
          <t>ACH C- NAVIN FLUORINE-000000000000037301</t>
        </is>
      </c>
      <c r="C559" s="43" t="inlineStr">
        <is>
          <t>0000007549226326</t>
        </is>
      </c>
      <c r="D559" s="42" t="n">
        <v>45617</v>
      </c>
      <c r="E559" s="43" t="n">
        <v>0</v>
      </c>
      <c r="F559" s="43" t="n">
        <v>250</v>
      </c>
      <c r="G559" s="43" t="n">
        <v>29175.47</v>
      </c>
      <c r="H559" s="43" t="inlineStr"/>
      <c r="I559" s="43" t="inlineStr">
        <is>
          <t>Dividend Income</t>
        </is>
      </c>
      <c r="J559" s="43" t="inlineStr">
        <is>
          <t>Dividend Income</t>
        </is>
      </c>
      <c r="K559" s="43" t="inlineStr">
        <is>
          <t>Dividend Income</t>
        </is>
      </c>
      <c r="L559" s="32" t="n">
        <v>0.88</v>
      </c>
      <c r="M559" s="43" t="inlineStr">
        <is>
          <t>[MATCH]</t>
        </is>
      </c>
    </row>
    <row r="560">
      <c r="A560" s="83" t="n">
        <v>45617</v>
      </c>
      <c r="B560" s="84" t="inlineStr">
        <is>
          <t>NET PI TO HSL SEC A/C 523686-00602340029434</t>
        </is>
      </c>
      <c r="C560" s="84" t="inlineStr">
        <is>
          <t>0000000583965639</t>
        </is>
      </c>
      <c r="D560" s="83" t="n">
        <v>45617</v>
      </c>
      <c r="E560" s="84" t="n">
        <v>8025.47</v>
      </c>
      <c r="F560" s="84" t="n">
        <v>0</v>
      </c>
      <c r="G560" s="84" t="n">
        <v>21150</v>
      </c>
      <c r="H560" s="84" t="inlineStr"/>
      <c r="I560" s="84" t="inlineStr">
        <is>
          <t>HSL</t>
        </is>
      </c>
      <c r="J560" s="84" t="inlineStr">
        <is>
          <t>HDFC Securities - Buy</t>
        </is>
      </c>
      <c r="K560" s="84" t="inlineStr">
        <is>
          <t>HDFC Securities</t>
        </is>
      </c>
      <c r="L560" s="32" t="n">
        <v>0.97</v>
      </c>
      <c r="M560" s="84" t="inlineStr">
        <is>
          <t>[MATCH]</t>
        </is>
      </c>
    </row>
    <row r="561">
      <c r="A561" s="83" t="n">
        <v>45618</v>
      </c>
      <c r="B561" s="84" t="inlineStr">
        <is>
          <t>NET PI TO HSL SEC A/C 523686-00602340029434</t>
        </is>
      </c>
      <c r="C561" s="84" t="inlineStr">
        <is>
          <t>0000000584231215</t>
        </is>
      </c>
      <c r="D561" s="83" t="n">
        <v>45618</v>
      </c>
      <c r="E561" s="84" t="n">
        <v>361.42</v>
      </c>
      <c r="F561" s="84" t="n">
        <v>0</v>
      </c>
      <c r="G561" s="84" t="n">
        <v>20788.58</v>
      </c>
      <c r="H561" s="84" t="inlineStr"/>
      <c r="I561" s="84" t="inlineStr">
        <is>
          <t>HSL</t>
        </is>
      </c>
      <c r="J561" s="84" t="inlineStr">
        <is>
          <t>HDFC Securities - Buy</t>
        </is>
      </c>
      <c r="K561" s="84" t="inlineStr">
        <is>
          <t>HDFC Securities</t>
        </is>
      </c>
      <c r="L561" s="32" t="n">
        <v>0.97</v>
      </c>
      <c r="M561" s="84" t="inlineStr">
        <is>
          <t>[MATCH]</t>
        </is>
      </c>
    </row>
    <row r="562">
      <c r="A562" s="42" t="n">
        <v>45618</v>
      </c>
      <c r="B562" s="43" t="inlineStr">
        <is>
          <t>ACH C- DABUR INDIA LIMITED-9118516</t>
        </is>
      </c>
      <c r="C562" s="43" t="inlineStr">
        <is>
          <t>0000001426867930</t>
        </is>
      </c>
      <c r="D562" s="42" t="n">
        <v>45618</v>
      </c>
      <c r="E562" s="43" t="n">
        <v>0</v>
      </c>
      <c r="F562" s="43" t="n">
        <v>206.25</v>
      </c>
      <c r="G562" s="43" t="n">
        <v>20994.83</v>
      </c>
      <c r="H562" s="43" t="inlineStr"/>
      <c r="I562" s="43" t="inlineStr">
        <is>
          <t>Dividend Income</t>
        </is>
      </c>
      <c r="J562" s="43" t="inlineStr">
        <is>
          <t>Dividend Income</t>
        </is>
      </c>
      <c r="K562" s="43" t="inlineStr">
        <is>
          <t>Dividend Income</t>
        </is>
      </c>
      <c r="L562" s="32" t="n">
        <v>0.88</v>
      </c>
      <c r="M562" s="43" t="inlineStr">
        <is>
          <t>[MATCH]</t>
        </is>
      </c>
    </row>
    <row r="563">
      <c r="A563" s="28" t="n">
        <v>45618</v>
      </c>
      <c r="B563" s="29" t="inlineStr">
        <is>
          <t>YHDF2482557867/BILLDKTHECALCUTTAELE</t>
        </is>
      </c>
      <c r="C563" s="29" t="inlineStr">
        <is>
          <t>0002432768309002</t>
        </is>
      </c>
      <c r="D563" s="28" t="n">
        <v>45618</v>
      </c>
      <c r="E563" s="29" t="n">
        <v>15773</v>
      </c>
      <c r="F563" s="29" t="n">
        <v>0</v>
      </c>
      <c r="G563" s="29" t="n">
        <v>5221.83</v>
      </c>
      <c r="H563" s="29" t="inlineStr"/>
      <c r="I563" s="29" t="inlineStr">
        <is>
          <t>Electricity Bill</t>
        </is>
      </c>
      <c r="J563" s="29" t="inlineStr">
        <is>
          <t>SIP</t>
        </is>
      </c>
      <c r="K563" s="29" t="inlineStr">
        <is>
          <t>SIP</t>
        </is>
      </c>
      <c r="L563" s="35" t="n">
        <v>0.9</v>
      </c>
      <c r="M563" s="29" t="inlineStr">
        <is>
          <t>[DIFF]</t>
        </is>
      </c>
    </row>
    <row r="564">
      <c r="A564" s="97" t="n">
        <v>45621</v>
      </c>
      <c r="B564" s="98" t="inlineStr">
        <is>
          <t>FT- 584504407-50200085415108 - HDFC SECURITIES LTD-CLIENT DSCNB A/C -</t>
        </is>
      </c>
      <c r="C564" s="98" t="inlineStr">
        <is>
          <t>0000000849717570</t>
        </is>
      </c>
      <c r="D564" s="97" t="n">
        <v>45621</v>
      </c>
      <c r="E564" s="98" t="n">
        <v>0</v>
      </c>
      <c r="F564" s="98" t="n">
        <v>16228.32</v>
      </c>
      <c r="G564" s="98" t="n">
        <v>21450.15</v>
      </c>
      <c r="H564" s="98" t="inlineStr"/>
      <c r="I564" s="98" t="inlineStr">
        <is>
          <t>HDFC Sec</t>
        </is>
      </c>
      <c r="J564" s="98" t="inlineStr">
        <is>
          <t>HDFC Securities - Settlement</t>
        </is>
      </c>
      <c r="K564" s="98" t="inlineStr">
        <is>
          <t>HDFC Securities</t>
        </is>
      </c>
      <c r="L564" s="35" t="n">
        <v>0.93</v>
      </c>
      <c r="M564" s="98" t="inlineStr">
        <is>
          <t>[DIFF]</t>
        </is>
      </c>
    </row>
    <row r="565">
      <c r="A565" s="97" t="n">
        <v>45621</v>
      </c>
      <c r="B565" s="98" t="inlineStr">
        <is>
          <t>FT- 584540072-50200085415108 - HDFC SECURITIES LTD-CLIENT DSCNB A/C -</t>
        </is>
      </c>
      <c r="C565" s="98" t="inlineStr">
        <is>
          <t>0000000849737762</t>
        </is>
      </c>
      <c r="D565" s="97" t="n">
        <v>45621</v>
      </c>
      <c r="E565" s="98" t="n">
        <v>0</v>
      </c>
      <c r="F565" s="98" t="n">
        <v>54843.1</v>
      </c>
      <c r="G565" s="98" t="n">
        <v>76293.25</v>
      </c>
      <c r="H565" s="98" t="inlineStr"/>
      <c r="I565" s="98" t="inlineStr">
        <is>
          <t>HDFC Sec</t>
        </is>
      </c>
      <c r="J565" s="98" t="inlineStr">
        <is>
          <t>HDFC Securities - Settlement</t>
        </is>
      </c>
      <c r="K565" s="98" t="inlineStr">
        <is>
          <t>HDFC Securities</t>
        </is>
      </c>
      <c r="L565" s="35" t="n">
        <v>0.93</v>
      </c>
      <c r="M565" s="98" t="inlineStr">
        <is>
          <t>[DIFF]</t>
        </is>
      </c>
    </row>
    <row r="566">
      <c r="A566" s="28" t="n">
        <v>45621</v>
      </c>
      <c r="B566" s="29" t="inlineStr">
        <is>
          <t>ACH D- INDIAN CLEARING CORP-P25847643X05</t>
        </is>
      </c>
      <c r="C566" s="29" t="inlineStr">
        <is>
          <t>0000001466313921</t>
        </is>
      </c>
      <c r="D566" s="28" t="n">
        <v>45621</v>
      </c>
      <c r="E566" s="29" t="n">
        <v>10000</v>
      </c>
      <c r="F566" s="29" t="n">
        <v>0</v>
      </c>
      <c r="G566" s="29" t="n">
        <v>66293.25</v>
      </c>
      <c r="H566" s="29" t="inlineStr"/>
      <c r="I566" s="29" t="inlineStr">
        <is>
          <t>SIP  - 10000</t>
        </is>
      </c>
      <c r="J566" s="29" t="inlineStr">
        <is>
          <t>MF Investment</t>
        </is>
      </c>
      <c r="K566" s="29" t="inlineStr">
        <is>
          <t>Mutual_Fund_Investments</t>
        </is>
      </c>
      <c r="L566" s="35" t="n">
        <v>0.92</v>
      </c>
      <c r="M566" s="29" t="inlineStr">
        <is>
          <t>[DIFF]</t>
        </is>
      </c>
    </row>
    <row r="567">
      <c r="A567" s="42" t="n">
        <v>45621</v>
      </c>
      <c r="B567" s="43" t="inlineStr">
        <is>
          <t>ACH C- CONCOR 2ND INT DIV 2-CN1511240039</t>
        </is>
      </c>
      <c r="C567" s="43" t="inlineStr">
        <is>
          <t>0000001482967108</t>
        </is>
      </c>
      <c r="D567" s="42" t="n">
        <v>45621</v>
      </c>
      <c r="E567" s="43" t="n">
        <v>0</v>
      </c>
      <c r="F567" s="43" t="n">
        <v>438.75</v>
      </c>
      <c r="G567" s="43" t="n">
        <v>66732</v>
      </c>
      <c r="H567" s="43" t="inlineStr"/>
      <c r="I567" s="43" t="inlineStr">
        <is>
          <t>Dividend Income</t>
        </is>
      </c>
      <c r="J567" s="43" t="inlineStr">
        <is>
          <t>Dividend Income</t>
        </is>
      </c>
      <c r="K567" s="43" t="inlineStr">
        <is>
          <t>Dividend Income</t>
        </is>
      </c>
      <c r="L567" s="32" t="n">
        <v>0.88</v>
      </c>
      <c r="M567" s="43" t="inlineStr">
        <is>
          <t>[MATCH]</t>
        </is>
      </c>
    </row>
    <row r="568">
      <c r="A568" s="83" t="n">
        <v>45621</v>
      </c>
      <c r="B568" s="84" t="inlineStr">
        <is>
          <t>NET PI TO HSL SEC A/C 523686-00602340029434</t>
        </is>
      </c>
      <c r="C568" s="84" t="inlineStr">
        <is>
          <t>0000000584691939</t>
        </is>
      </c>
      <c r="D568" s="83" t="n">
        <v>45621</v>
      </c>
      <c r="E568" s="84" t="n">
        <v>1084.26</v>
      </c>
      <c r="F568" s="84" t="n">
        <v>0</v>
      </c>
      <c r="G568" s="84" t="n">
        <v>65647.74000000001</v>
      </c>
      <c r="H568" s="84" t="inlineStr"/>
      <c r="I568" s="84" t="inlineStr">
        <is>
          <t>HSL</t>
        </is>
      </c>
      <c r="J568" s="84" t="inlineStr">
        <is>
          <t>HDFC Securities - Buy</t>
        </is>
      </c>
      <c r="K568" s="84" t="inlineStr">
        <is>
          <t>HDFC Securities</t>
        </is>
      </c>
      <c r="L568" s="32" t="n">
        <v>0.97</v>
      </c>
      <c r="M568" s="84" t="inlineStr">
        <is>
          <t>[MATCH]</t>
        </is>
      </c>
    </row>
    <row r="569">
      <c r="A569" s="97" t="n">
        <v>45622</v>
      </c>
      <c r="B569" s="98" t="inlineStr">
        <is>
          <t>FT- 584941938-50200085415108 - HDFC SECURITIES LTD-CLIENT DSCNB A/C -</t>
        </is>
      </c>
      <c r="C569" s="98" t="inlineStr">
        <is>
          <t>0000000850819360</t>
        </is>
      </c>
      <c r="D569" s="97" t="n">
        <v>45622</v>
      </c>
      <c r="E569" s="98" t="n">
        <v>0</v>
      </c>
      <c r="F569" s="98" t="n">
        <v>21888.96</v>
      </c>
      <c r="G569" s="98" t="n">
        <v>87536.7</v>
      </c>
      <c r="H569" s="98" t="inlineStr"/>
      <c r="I569" s="98" t="inlineStr">
        <is>
          <t>HDFC Sec</t>
        </is>
      </c>
      <c r="J569" s="98" t="inlineStr">
        <is>
          <t>HDFC Securities - Settlement</t>
        </is>
      </c>
      <c r="K569" s="98" t="inlineStr">
        <is>
          <t>HDFC Securities</t>
        </is>
      </c>
      <c r="L569" s="35" t="n">
        <v>0.93</v>
      </c>
      <c r="M569" s="98" t="inlineStr">
        <is>
          <t>[DIFF]</t>
        </is>
      </c>
    </row>
    <row r="570">
      <c r="A570" s="83" t="n">
        <v>45622</v>
      </c>
      <c r="B570" s="84" t="inlineStr">
        <is>
          <t>NET PI TO HSL SEC A/C 523686-00602340029434</t>
        </is>
      </c>
      <c r="C570" s="84" t="inlineStr">
        <is>
          <t>0000000585074480</t>
        </is>
      </c>
      <c r="D570" s="83" t="n">
        <v>45622</v>
      </c>
      <c r="E570" s="84" t="n">
        <v>367.2</v>
      </c>
      <c r="F570" s="84" t="n">
        <v>0</v>
      </c>
      <c r="G570" s="84" t="n">
        <v>87169.5</v>
      </c>
      <c r="H570" s="84" t="inlineStr"/>
      <c r="I570" s="84" t="inlineStr">
        <is>
          <t>HSL</t>
        </is>
      </c>
      <c r="J570" s="84" t="inlineStr">
        <is>
          <t>HDFC Securities - Buy</t>
        </is>
      </c>
      <c r="K570" s="84" t="inlineStr">
        <is>
          <t>HDFC Securities</t>
        </is>
      </c>
      <c r="L570" s="32" t="n">
        <v>0.97</v>
      </c>
      <c r="M570" s="84" t="inlineStr">
        <is>
          <t>[MATCH]</t>
        </is>
      </c>
    </row>
    <row r="571">
      <c r="A571" s="42" t="n">
        <v>45622</v>
      </c>
      <c r="B571" s="43" t="inlineStr">
        <is>
          <t>ACH C- IRFC LTD-IR1511240142832</t>
        </is>
      </c>
      <c r="C571" s="43" t="inlineStr">
        <is>
          <t>0000001542888603</t>
        </is>
      </c>
      <c r="D571" s="42" t="n">
        <v>45622</v>
      </c>
      <c r="E571" s="43" t="n">
        <v>0</v>
      </c>
      <c r="F571" s="43" t="n">
        <v>240</v>
      </c>
      <c r="G571" s="43" t="n">
        <v>87409.5</v>
      </c>
      <c r="H571" s="43" t="inlineStr"/>
      <c r="I571" s="43" t="inlineStr">
        <is>
          <t>Dividend Income</t>
        </is>
      </c>
      <c r="J571" s="43" t="inlineStr">
        <is>
          <t>Dividend Income</t>
        </is>
      </c>
      <c r="K571" s="43" t="inlineStr">
        <is>
          <t>Dividend Income</t>
        </is>
      </c>
      <c r="L571" s="32" t="n">
        <v>0.88</v>
      </c>
      <c r="M571" s="43" t="inlineStr">
        <is>
          <t>[MATCH]</t>
        </is>
      </c>
    </row>
    <row r="572">
      <c r="A572" s="97" t="n">
        <v>45623</v>
      </c>
      <c r="B572" s="98" t="inlineStr">
        <is>
          <t>FT- 585351267-50200085415108 - HDFC SECURITIES LTD-CLIENT DSCNB A/C -</t>
        </is>
      </c>
      <c r="C572" s="98" t="inlineStr">
        <is>
          <t>0000000852413361</t>
        </is>
      </c>
      <c r="D572" s="97" t="n">
        <v>45623</v>
      </c>
      <c r="E572" s="98" t="n">
        <v>0</v>
      </c>
      <c r="F572" s="98" t="n">
        <v>31742.95</v>
      </c>
      <c r="G572" s="98" t="n">
        <v>119152.45</v>
      </c>
      <c r="H572" s="98" t="inlineStr"/>
      <c r="I572" s="98" t="inlineStr">
        <is>
          <t>HDFC Sec</t>
        </is>
      </c>
      <c r="J572" s="98" t="inlineStr">
        <is>
          <t>HDFC Securities - Settlement</t>
        </is>
      </c>
      <c r="K572" s="98" t="inlineStr">
        <is>
          <t>HDFC Securities</t>
        </is>
      </c>
      <c r="L572" s="35" t="n">
        <v>0.93</v>
      </c>
      <c r="M572" s="98" t="inlineStr">
        <is>
          <t>[DIFF]</t>
        </is>
      </c>
    </row>
    <row r="573">
      <c r="A573" s="83" t="n">
        <v>45623</v>
      </c>
      <c r="B573" s="84" t="inlineStr">
        <is>
          <t>NET PI TO HSL SEC A/C 523686-00602340029434</t>
        </is>
      </c>
      <c r="C573" s="84" t="inlineStr">
        <is>
          <t>0000000585481903</t>
        </is>
      </c>
      <c r="D573" s="83" t="n">
        <v>45623</v>
      </c>
      <c r="E573" s="84" t="n">
        <v>375</v>
      </c>
      <c r="F573" s="84" t="n">
        <v>0</v>
      </c>
      <c r="G573" s="84" t="n">
        <v>118777.45</v>
      </c>
      <c r="H573" s="84" t="inlineStr"/>
      <c r="I573" s="84" t="inlineStr">
        <is>
          <t>HSL</t>
        </is>
      </c>
      <c r="J573" s="84" t="inlineStr">
        <is>
          <t>HDFC Securities - Buy</t>
        </is>
      </c>
      <c r="K573" s="84" t="inlineStr">
        <is>
          <t>HDFC Securities</t>
        </is>
      </c>
      <c r="L573" s="32" t="n">
        <v>0.97</v>
      </c>
      <c r="M573" s="84" t="inlineStr">
        <is>
          <t>[MATCH]</t>
        </is>
      </c>
    </row>
    <row r="574">
      <c r="A574" s="97" t="n">
        <v>45624</v>
      </c>
      <c r="B574" s="98" t="inlineStr">
        <is>
          <t>FT- 585750863-50200085415108 - HDFC SECURITIES LTD-CLIENT DSCNB A/C -</t>
        </is>
      </c>
      <c r="C574" s="98" t="inlineStr">
        <is>
          <t>0000000853418067</t>
        </is>
      </c>
      <c r="D574" s="97" t="n">
        <v>45624</v>
      </c>
      <c r="E574" s="98" t="n">
        <v>0</v>
      </c>
      <c r="F574" s="98" t="n">
        <v>7204.86</v>
      </c>
      <c r="G574" s="98" t="n">
        <v>125982.31</v>
      </c>
      <c r="H574" s="98" t="inlineStr"/>
      <c r="I574" s="98" t="inlineStr">
        <is>
          <t>HDFC Sec</t>
        </is>
      </c>
      <c r="J574" s="98" t="inlineStr">
        <is>
          <t>HDFC Securities - Settlement</t>
        </is>
      </c>
      <c r="K574" s="98" t="inlineStr">
        <is>
          <t>HDFC Securities</t>
        </is>
      </c>
      <c r="L574" s="35" t="n">
        <v>0.93</v>
      </c>
      <c r="M574" s="98" t="inlineStr">
        <is>
          <t>[DIFF]</t>
        </is>
      </c>
    </row>
    <row r="575">
      <c r="A575" s="83" t="n">
        <v>45624</v>
      </c>
      <c r="B575" s="84" t="inlineStr">
        <is>
          <t>NET PI TO HSL SEC A/C 523686-00602340029434</t>
        </is>
      </c>
      <c r="C575" s="84" t="inlineStr">
        <is>
          <t>0000000585901913</t>
        </is>
      </c>
      <c r="D575" s="83" t="n">
        <v>45624</v>
      </c>
      <c r="E575" s="84" t="n">
        <v>355.63</v>
      </c>
      <c r="F575" s="84" t="n">
        <v>0</v>
      </c>
      <c r="G575" s="84" t="n">
        <v>125626.68</v>
      </c>
      <c r="H575" s="84" t="inlineStr"/>
      <c r="I575" s="84" t="inlineStr">
        <is>
          <t>HSL</t>
        </is>
      </c>
      <c r="J575" s="84" t="inlineStr">
        <is>
          <t>HDFC Securities - Buy</t>
        </is>
      </c>
      <c r="K575" s="84" t="inlineStr">
        <is>
          <t>HDFC Securities</t>
        </is>
      </c>
      <c r="L575" s="32" t="n">
        <v>0.97</v>
      </c>
      <c r="M575" s="84" t="inlineStr">
        <is>
          <t>[MATCH]</t>
        </is>
      </c>
    </row>
    <row r="576">
      <c r="A576" s="33" t="n">
        <v>45624</v>
      </c>
      <c r="B576" s="34" t="inlineStr">
        <is>
          <t>NEFT CR-UTIB0000004-AXIS ASSET MANAGEMENT COMPANY LTD-SUNITA GUPTA-AXISP00576026071</t>
        </is>
      </c>
      <c r="C576" s="34" t="inlineStr">
        <is>
          <t>AXISP00576026071</t>
        </is>
      </c>
      <c r="D576" s="33" t="n">
        <v>45624</v>
      </c>
      <c r="E576" s="34" t="n">
        <v>0</v>
      </c>
      <c r="F576" s="34" t="n">
        <v>84.56999999999999</v>
      </c>
      <c r="G576" s="34" t="n">
        <v>125711.25</v>
      </c>
      <c r="H576" s="34" t="inlineStr"/>
      <c r="I576" s="34" t="inlineStr">
        <is>
          <t>AXIS ASSET MANAGEMENT COMPANY ?</t>
        </is>
      </c>
      <c r="J576" s="34" t="inlineStr">
        <is>
          <t>Received - Sunita Gupta</t>
        </is>
      </c>
      <c r="K576" s="34" t="inlineStr">
        <is>
          <t>Sunita Gupta</t>
        </is>
      </c>
      <c r="L576" s="35" t="n">
        <v>0.88</v>
      </c>
      <c r="M576" s="34" t="inlineStr">
        <is>
          <t>[DIFF]</t>
        </is>
      </c>
    </row>
    <row r="577">
      <c r="A577" s="83" t="n">
        <v>45625</v>
      </c>
      <c r="B577" s="84" t="inlineStr">
        <is>
          <t>NET PI TO HSL SEC A/C 523686-00602340029434</t>
        </is>
      </c>
      <c r="C577" s="84" t="inlineStr">
        <is>
          <t>0000000586098641</t>
        </is>
      </c>
      <c r="D577" s="83" t="n">
        <v>45625</v>
      </c>
      <c r="E577" s="84" t="n">
        <v>3154.24</v>
      </c>
      <c r="F577" s="84" t="n">
        <v>0</v>
      </c>
      <c r="G577" s="84" t="n">
        <v>122557.01</v>
      </c>
      <c r="H577" s="84" t="inlineStr"/>
      <c r="I577" s="84" t="inlineStr">
        <is>
          <t>HSL</t>
        </is>
      </c>
      <c r="J577" s="84" t="inlineStr">
        <is>
          <t>HDFC Securities - Buy</t>
        </is>
      </c>
      <c r="K577" s="84" t="inlineStr">
        <is>
          <t>HDFC Securities</t>
        </is>
      </c>
      <c r="L577" s="32" t="n">
        <v>0.97</v>
      </c>
      <c r="M577" s="84" t="inlineStr">
        <is>
          <t>[MATCH]</t>
        </is>
      </c>
    </row>
    <row r="578">
      <c r="A578" s="83" t="n">
        <v>45625</v>
      </c>
      <c r="B578" s="84" t="inlineStr">
        <is>
          <t>NET PI TO HSL SEC A/C 523686-00602340029434</t>
        </is>
      </c>
      <c r="C578" s="84" t="inlineStr">
        <is>
          <t>0000000586347592</t>
        </is>
      </c>
      <c r="D578" s="83" t="n">
        <v>45625</v>
      </c>
      <c r="E578" s="84" t="n">
        <v>357.07</v>
      </c>
      <c r="F578" s="84" t="n">
        <v>0</v>
      </c>
      <c r="G578" s="84" t="n">
        <v>122199.94</v>
      </c>
      <c r="H578" s="84" t="inlineStr"/>
      <c r="I578" s="84" t="inlineStr">
        <is>
          <t>HSL</t>
        </is>
      </c>
      <c r="J578" s="84" t="inlineStr">
        <is>
          <t>HDFC Securities - Buy</t>
        </is>
      </c>
      <c r="K578" s="84" t="inlineStr">
        <is>
          <t>HDFC Securities</t>
        </is>
      </c>
      <c r="L578" s="32" t="n">
        <v>0.97</v>
      </c>
      <c r="M578" s="84" t="inlineStr">
        <is>
          <t>[MATCH]</t>
        </is>
      </c>
    </row>
    <row r="579">
      <c r="A579" s="83" t="n">
        <v>45626</v>
      </c>
      <c r="B579" s="84" t="inlineStr">
        <is>
          <t>NET PI TO HSL SEC A/C 523686-00602340029434</t>
        </is>
      </c>
      <c r="C579" s="84" t="inlineStr">
        <is>
          <t>0000000586506339</t>
        </is>
      </c>
      <c r="D579" s="83" t="n">
        <v>45626</v>
      </c>
      <c r="E579" s="84" t="n">
        <v>876.99</v>
      </c>
      <c r="F579" s="84" t="n">
        <v>0</v>
      </c>
      <c r="G579" s="84" t="n">
        <v>121322.95</v>
      </c>
      <c r="H579" s="84" t="inlineStr"/>
      <c r="I579" s="84" t="inlineStr">
        <is>
          <t>HSL</t>
        </is>
      </c>
      <c r="J579" s="84" t="inlineStr">
        <is>
          <t>HDFC Securities - Buy</t>
        </is>
      </c>
      <c r="K579" s="84" t="inlineStr">
        <is>
          <t>HDFC Securities</t>
        </is>
      </c>
      <c r="L579" s="32" t="n">
        <v>0.97</v>
      </c>
      <c r="M579" s="84" t="inlineStr">
        <is>
          <t>[MATCH]</t>
        </is>
      </c>
    </row>
    <row r="580">
      <c r="A580" s="30" t="n">
        <v>45627</v>
      </c>
      <c r="B580" s="31" t="inlineStr">
        <is>
          <t>ATW-498792XXXXXX0500-S1ANRS37-KOTA</t>
        </is>
      </c>
      <c r="C580" s="31" t="inlineStr">
        <is>
          <t>0000000000006796</t>
        </is>
      </c>
      <c r="D580" s="30" t="n">
        <v>45627</v>
      </c>
      <c r="E580" s="31" t="n">
        <v>20000</v>
      </c>
      <c r="F580" s="31" t="n">
        <v>0</v>
      </c>
      <c r="G580" s="31" t="n">
        <v>101322.95</v>
      </c>
      <c r="H580" s="31" t="inlineStr"/>
      <c r="I580" s="31" t="inlineStr">
        <is>
          <t>ATM Withdrawal</t>
        </is>
      </c>
      <c r="J580" s="31" t="inlineStr">
        <is>
          <t>Cash Withdrawal</t>
        </is>
      </c>
      <c r="K580" s="31" t="inlineStr">
        <is>
          <t>Cash</t>
        </is>
      </c>
      <c r="L580" s="32" t="n">
        <v>0.92</v>
      </c>
      <c r="M580" s="31" t="inlineStr">
        <is>
          <t>[MATCH]</t>
        </is>
      </c>
    </row>
    <row r="581">
      <c r="A581" s="83" t="n">
        <v>45628</v>
      </c>
      <c r="B581" s="84" t="inlineStr">
        <is>
          <t>NET PI TO HSL SEC A/C 523686-00602340029434</t>
        </is>
      </c>
      <c r="C581" s="84" t="inlineStr">
        <is>
          <t>0000000586839432</t>
        </is>
      </c>
      <c r="D581" s="83" t="n">
        <v>45628</v>
      </c>
      <c r="E581" s="84" t="n">
        <v>1070.28</v>
      </c>
      <c r="F581" s="84" t="n">
        <v>0</v>
      </c>
      <c r="G581" s="84" t="n">
        <v>100252.67</v>
      </c>
      <c r="H581" s="84" t="inlineStr"/>
      <c r="I581" s="84" t="inlineStr">
        <is>
          <t>HSL</t>
        </is>
      </c>
      <c r="J581" s="84" t="inlineStr">
        <is>
          <t>HDFC Securities - Buy</t>
        </is>
      </c>
      <c r="K581" s="84" t="inlineStr">
        <is>
          <t>HDFC Securities</t>
        </is>
      </c>
      <c r="L581" s="32" t="n">
        <v>0.97</v>
      </c>
      <c r="M581" s="84" t="inlineStr">
        <is>
          <t>[MATCH]</t>
        </is>
      </c>
    </row>
    <row r="582">
      <c r="A582" s="97" t="n">
        <v>45629</v>
      </c>
      <c r="B582" s="98" t="inlineStr">
        <is>
          <t>FT- 587120347-50200085415108 - HDFC SECURITIES LTD-CLIENT DSCNB A/C -</t>
        </is>
      </c>
      <c r="C582" s="98" t="inlineStr">
        <is>
          <t>0000000859117432</t>
        </is>
      </c>
      <c r="D582" s="97" t="n">
        <v>45629</v>
      </c>
      <c r="E582" s="98" t="n">
        <v>0</v>
      </c>
      <c r="F582" s="98" t="n">
        <v>6899.68</v>
      </c>
      <c r="G582" s="98" t="n">
        <v>107152.35</v>
      </c>
      <c r="H582" s="98" t="inlineStr"/>
      <c r="I582" s="98" t="inlineStr">
        <is>
          <t>HDFC Sec</t>
        </is>
      </c>
      <c r="J582" s="98" t="inlineStr">
        <is>
          <t>HDFC Securities - Settlement</t>
        </is>
      </c>
      <c r="K582" s="98" t="inlineStr">
        <is>
          <t>HDFC Securities</t>
        </is>
      </c>
      <c r="L582" s="35" t="n">
        <v>0.93</v>
      </c>
      <c r="M582" s="98" t="inlineStr">
        <is>
          <t>[DIFF]</t>
        </is>
      </c>
    </row>
    <row r="583">
      <c r="A583" s="83" t="n">
        <v>45629</v>
      </c>
      <c r="B583" s="84" t="inlineStr">
        <is>
          <t>NET PI TO HSL SEC A/C 523686-00602340029434</t>
        </is>
      </c>
      <c r="C583" s="84" t="inlineStr">
        <is>
          <t>0000000587249871</t>
        </is>
      </c>
      <c r="D583" s="83" t="n">
        <v>45629</v>
      </c>
      <c r="E583" s="84" t="n">
        <v>356.76</v>
      </c>
      <c r="F583" s="84" t="n">
        <v>0</v>
      </c>
      <c r="G583" s="84" t="n">
        <v>106795.59</v>
      </c>
      <c r="H583" s="84" t="inlineStr"/>
      <c r="I583" s="84" t="inlineStr">
        <is>
          <t>HSL</t>
        </is>
      </c>
      <c r="J583" s="84" t="inlineStr">
        <is>
          <t>HDFC Securities - Buy</t>
        </is>
      </c>
      <c r="K583" s="84" t="inlineStr">
        <is>
          <t>HDFC Securities</t>
        </is>
      </c>
      <c r="L583" s="32" t="n">
        <v>0.97</v>
      </c>
      <c r="M583" s="84" t="inlineStr">
        <is>
          <t>[MATCH]</t>
        </is>
      </c>
    </row>
    <row r="584">
      <c r="A584" s="83" t="n">
        <v>45629</v>
      </c>
      <c r="B584" s="84" t="inlineStr">
        <is>
          <t>NET PI TO HSL SEC A/C 523686-00602340029434</t>
        </is>
      </c>
      <c r="C584" s="84" t="inlineStr">
        <is>
          <t>0000000587405560</t>
        </is>
      </c>
      <c r="D584" s="83" t="n">
        <v>45629</v>
      </c>
      <c r="E584" s="84" t="n">
        <v>3144.23</v>
      </c>
      <c r="F584" s="84" t="n">
        <v>0</v>
      </c>
      <c r="G584" s="84" t="n">
        <v>103651.36</v>
      </c>
      <c r="H584" s="84" t="inlineStr"/>
      <c r="I584" s="84" t="inlineStr">
        <is>
          <t>HSL</t>
        </is>
      </c>
      <c r="J584" s="84" t="inlineStr">
        <is>
          <t>HDFC Securities - Buy</t>
        </is>
      </c>
      <c r="K584" s="84" t="inlineStr">
        <is>
          <t>HDFC Securities</t>
        </is>
      </c>
      <c r="L584" s="32" t="n">
        <v>0.97</v>
      </c>
      <c r="M584" s="84" t="inlineStr">
        <is>
          <t>[MATCH]</t>
        </is>
      </c>
    </row>
    <row r="585">
      <c r="A585" s="97" t="n">
        <v>45630</v>
      </c>
      <c r="B585" s="98" t="inlineStr">
        <is>
          <t>FT- 587569592-50200085415108 - HDFC SECURITIES LTD-CLIENT DSCNB A/C -</t>
        </is>
      </c>
      <c r="C585" s="98" t="inlineStr">
        <is>
          <t>0000000860906420</t>
        </is>
      </c>
      <c r="D585" s="97" t="n">
        <v>45630</v>
      </c>
      <c r="E585" s="98" t="n">
        <v>0</v>
      </c>
      <c r="F585" s="98" t="n">
        <v>62818.16</v>
      </c>
      <c r="G585" s="98" t="n">
        <v>166469.52</v>
      </c>
      <c r="H585" s="98" t="inlineStr"/>
      <c r="I585" s="98" t="inlineStr">
        <is>
          <t>HDFC Sec</t>
        </is>
      </c>
      <c r="J585" s="98" t="inlineStr">
        <is>
          <t>HDFC Securities - Settlement</t>
        </is>
      </c>
      <c r="K585" s="98" t="inlineStr">
        <is>
          <t>HDFC Securities</t>
        </is>
      </c>
      <c r="L585" s="35" t="n">
        <v>0.93</v>
      </c>
      <c r="M585" s="98" t="inlineStr">
        <is>
          <t>[DIFF]</t>
        </is>
      </c>
    </row>
    <row r="586">
      <c r="A586" s="83" t="n">
        <v>45630</v>
      </c>
      <c r="B586" s="84" t="inlineStr">
        <is>
          <t>NET PI TO HSL SEC A/C 523686-00602340029434</t>
        </is>
      </c>
      <c r="C586" s="84" t="inlineStr">
        <is>
          <t>0000000587670098</t>
        </is>
      </c>
      <c r="D586" s="83" t="n">
        <v>45630</v>
      </c>
      <c r="E586" s="84" t="n">
        <v>358.1</v>
      </c>
      <c r="F586" s="84" t="n">
        <v>0</v>
      </c>
      <c r="G586" s="84" t="n">
        <v>166111.42</v>
      </c>
      <c r="H586" s="84" t="inlineStr"/>
      <c r="I586" s="84" t="inlineStr">
        <is>
          <t>HSL</t>
        </is>
      </c>
      <c r="J586" s="84" t="inlineStr">
        <is>
          <t>HDFC Securities - Buy</t>
        </is>
      </c>
      <c r="K586" s="84" t="inlineStr">
        <is>
          <t>HDFC Securities</t>
        </is>
      </c>
      <c r="L586" s="32" t="n">
        <v>0.97</v>
      </c>
      <c r="M586" s="84" t="inlineStr">
        <is>
          <t>[MATCH]</t>
        </is>
      </c>
    </row>
    <row r="587">
      <c r="A587" s="42" t="n">
        <v>45630</v>
      </c>
      <c r="B587" s="43" t="inlineStr">
        <is>
          <t>ACH C- POWER GRID CORPORATI-96351445</t>
        </is>
      </c>
      <c r="C587" s="43" t="inlineStr">
        <is>
          <t>0000001850605510</t>
        </is>
      </c>
      <c r="D587" s="42" t="n">
        <v>45630</v>
      </c>
      <c r="E587" s="43" t="n">
        <v>0</v>
      </c>
      <c r="F587" s="43" t="n">
        <v>450</v>
      </c>
      <c r="G587" s="43" t="n">
        <v>166561.42</v>
      </c>
      <c r="H587" s="43" t="inlineStr"/>
      <c r="I587" s="43" t="inlineStr">
        <is>
          <t>Dividend Income</t>
        </is>
      </c>
      <c r="J587" s="43" t="inlineStr">
        <is>
          <t>Dividend Income</t>
        </is>
      </c>
      <c r="K587" s="43" t="inlineStr">
        <is>
          <t>Dividend Income</t>
        </is>
      </c>
      <c r="L587" s="32" t="n">
        <v>0.88</v>
      </c>
      <c r="M587" s="43" t="inlineStr">
        <is>
          <t>[MATCH]</t>
        </is>
      </c>
    </row>
    <row r="588">
      <c r="A588" s="83" t="n">
        <v>45630</v>
      </c>
      <c r="B588" s="84" t="inlineStr">
        <is>
          <t>NET PI TO HSL SEC A/C 523686-00602340029434</t>
        </is>
      </c>
      <c r="C588" s="84" t="inlineStr">
        <is>
          <t>0000000587822376</t>
        </is>
      </c>
      <c r="D588" s="83" t="n">
        <v>45630</v>
      </c>
      <c r="E588" s="84" t="n">
        <v>53239.43</v>
      </c>
      <c r="F588" s="84" t="n">
        <v>0</v>
      </c>
      <c r="G588" s="84" t="n">
        <v>113321.99</v>
      </c>
      <c r="H588" s="84" t="inlineStr"/>
      <c r="I588" s="84" t="inlineStr">
        <is>
          <t>HSL</t>
        </is>
      </c>
      <c r="J588" s="84" t="inlineStr">
        <is>
          <t>HDFC Securities - Buy</t>
        </is>
      </c>
      <c r="K588" s="84" t="inlineStr">
        <is>
          <t>HDFC Securities</t>
        </is>
      </c>
      <c r="L588" s="32" t="n">
        <v>0.97</v>
      </c>
      <c r="M588" s="84" t="inlineStr">
        <is>
          <t>[MATCH]</t>
        </is>
      </c>
    </row>
    <row r="589">
      <c r="A589" s="83" t="n">
        <v>45631</v>
      </c>
      <c r="B589" s="84" t="inlineStr">
        <is>
          <t>NET PI TO HSL SEC A/C 523686-00602340029434</t>
        </is>
      </c>
      <c r="C589" s="84" t="inlineStr">
        <is>
          <t>0000000588109710</t>
        </is>
      </c>
      <c r="D589" s="83" t="n">
        <v>45631</v>
      </c>
      <c r="E589" s="84" t="n">
        <v>339.13</v>
      </c>
      <c r="F589" s="84" t="n">
        <v>0</v>
      </c>
      <c r="G589" s="84" t="n">
        <v>112982.86</v>
      </c>
      <c r="H589" s="84" t="inlineStr"/>
      <c r="I589" s="84" t="inlineStr">
        <is>
          <t>HSL</t>
        </is>
      </c>
      <c r="J589" s="84" t="inlineStr">
        <is>
          <t>HDFC Securities - Buy</t>
        </is>
      </c>
      <c r="K589" s="84" t="inlineStr">
        <is>
          <t>HDFC Securities</t>
        </is>
      </c>
      <c r="L589" s="32" t="n">
        <v>0.97</v>
      </c>
      <c r="M589" s="84" t="inlineStr">
        <is>
          <t>[MATCH]</t>
        </is>
      </c>
    </row>
    <row r="590">
      <c r="A590" s="97" t="n">
        <v>45632</v>
      </c>
      <c r="B590" s="98" t="inlineStr">
        <is>
          <t>FT- 588392744-50200085415108 - HDFC SECURITIES LTD-CLIENT DSCNB A/C -</t>
        </is>
      </c>
      <c r="C590" s="98" t="inlineStr">
        <is>
          <t>0000000863934371</t>
        </is>
      </c>
      <c r="D590" s="97" t="n">
        <v>45632</v>
      </c>
      <c r="E590" s="98" t="n">
        <v>0</v>
      </c>
      <c r="F590" s="98" t="n">
        <v>9868.469999999999</v>
      </c>
      <c r="G590" s="98" t="n">
        <v>122851.33</v>
      </c>
      <c r="H590" s="98" t="inlineStr"/>
      <c r="I590" s="98" t="inlineStr">
        <is>
          <t>HDFC Sec</t>
        </is>
      </c>
      <c r="J590" s="98" t="inlineStr">
        <is>
          <t>HDFC Securities - Settlement</t>
        </is>
      </c>
      <c r="K590" s="98" t="inlineStr">
        <is>
          <t>HDFC Securities</t>
        </is>
      </c>
      <c r="L590" s="35" t="n">
        <v>0.93</v>
      </c>
      <c r="M590" s="98" t="inlineStr">
        <is>
          <t>[DIFF]</t>
        </is>
      </c>
    </row>
    <row r="591">
      <c r="A591" s="83" t="n">
        <v>45632</v>
      </c>
      <c r="B591" s="84" t="inlineStr">
        <is>
          <t>NET PI TO HSL SEC A/C 523686-00602340029434</t>
        </is>
      </c>
      <c r="C591" s="84" t="inlineStr">
        <is>
          <t>0000000588534715</t>
        </is>
      </c>
      <c r="D591" s="83" t="n">
        <v>45632</v>
      </c>
      <c r="E591" s="84" t="n">
        <v>392.31</v>
      </c>
      <c r="F591" s="84" t="n">
        <v>0</v>
      </c>
      <c r="G591" s="84" t="n">
        <v>122459.02</v>
      </c>
      <c r="H591" s="84" t="inlineStr"/>
      <c r="I591" s="84" t="inlineStr">
        <is>
          <t>HSL</t>
        </is>
      </c>
      <c r="J591" s="84" t="inlineStr">
        <is>
          <t>HDFC Securities - Buy</t>
        </is>
      </c>
      <c r="K591" s="84" t="inlineStr">
        <is>
          <t>HDFC Securities</t>
        </is>
      </c>
      <c r="L591" s="32" t="n">
        <v>0.97</v>
      </c>
      <c r="M591" s="84" t="inlineStr">
        <is>
          <t>[MATCH]</t>
        </is>
      </c>
    </row>
    <row r="592">
      <c r="A592" s="85" t="n">
        <v>45632</v>
      </c>
      <c r="B592" s="86" t="inlineStr">
        <is>
          <t>NET PO FROM HSL A/C 523686-50200085415108</t>
        </is>
      </c>
      <c r="C592" s="86" t="inlineStr">
        <is>
          <t>0000000588705484</t>
        </is>
      </c>
      <c r="D592" s="85" t="n">
        <v>45632</v>
      </c>
      <c r="E592" s="86" t="n">
        <v>0</v>
      </c>
      <c r="F592" s="86" t="n">
        <v>3335.15</v>
      </c>
      <c r="G592" s="86" t="n">
        <v>125794.17</v>
      </c>
      <c r="H592" s="86" t="inlineStr"/>
      <c r="I592" s="86" t="inlineStr">
        <is>
          <t>HSL</t>
        </is>
      </c>
      <c r="J592" s="86" t="inlineStr">
        <is>
          <t>HDFC Securities - Sell</t>
        </is>
      </c>
      <c r="K592" s="86" t="inlineStr">
        <is>
          <t>HDFC Securities</t>
        </is>
      </c>
      <c r="L592" s="32" t="n">
        <v>0.97</v>
      </c>
      <c r="M592" s="86" t="inlineStr">
        <is>
          <t>[MATCH]</t>
        </is>
      </c>
    </row>
    <row r="593">
      <c r="A593" s="33" t="n">
        <v>45633</v>
      </c>
      <c r="B593" s="34" t="inlineStr">
        <is>
          <t>NEFT CR-SBIN0004266-SBI GENERAL INSURANCE CO LTDSBI GEN-SUNITA GUPTA 0000000002717756-SBIN324342428946</t>
        </is>
      </c>
      <c r="C593" s="34" t="inlineStr">
        <is>
          <t>SBIN324342428946</t>
        </is>
      </c>
      <c r="D593" s="33" t="n">
        <v>45633</v>
      </c>
      <c r="E593" s="34" t="n">
        <v>0</v>
      </c>
      <c r="F593" s="34" t="n">
        <v>34220</v>
      </c>
      <c r="G593" s="34" t="n">
        <v>160014.17</v>
      </c>
      <c r="H593" s="34" t="inlineStr"/>
      <c r="I593" s="34" t="inlineStr">
        <is>
          <t>Rental Income</t>
        </is>
      </c>
      <c r="J593" s="34" t="inlineStr">
        <is>
          <t>Received - Sunita Gupta</t>
        </is>
      </c>
      <c r="K593" s="34" t="inlineStr">
        <is>
          <t>Sunita Gupta</t>
        </is>
      </c>
      <c r="L593" s="35" t="n">
        <v>0.88</v>
      </c>
      <c r="M593" s="34" t="inlineStr">
        <is>
          <t>[DIFF]</t>
        </is>
      </c>
    </row>
    <row r="594">
      <c r="A594" s="83" t="n">
        <v>45635</v>
      </c>
      <c r="B594" s="84" t="inlineStr">
        <is>
          <t>NET PI TO HSL SEC A/C 523686-00602340029434</t>
        </is>
      </c>
      <c r="C594" s="84" t="inlineStr">
        <is>
          <t>0000000589050215</t>
        </is>
      </c>
      <c r="D594" s="83" t="n">
        <v>45635</v>
      </c>
      <c r="E594" s="84" t="n">
        <v>1191.03</v>
      </c>
      <c r="F594" s="84" t="n">
        <v>0</v>
      </c>
      <c r="G594" s="84" t="n">
        <v>158823.14</v>
      </c>
      <c r="H594" s="84" t="inlineStr"/>
      <c r="I594" s="84" t="inlineStr">
        <is>
          <t>HSL</t>
        </is>
      </c>
      <c r="J594" s="84" t="inlineStr">
        <is>
          <t>HDFC Securities - Buy</t>
        </is>
      </c>
      <c r="K594" s="84" t="inlineStr">
        <is>
          <t>HDFC Securities</t>
        </is>
      </c>
      <c r="L594" s="32" t="n">
        <v>0.97</v>
      </c>
      <c r="M594" s="84" t="inlineStr">
        <is>
          <t>[MATCH]</t>
        </is>
      </c>
    </row>
    <row r="595">
      <c r="A595" s="97" t="n">
        <v>45636</v>
      </c>
      <c r="B595" s="98" t="inlineStr">
        <is>
          <t>FT- 589344583-50200085415108 - HDFC SECURITIES LTD-CLIENT DSCNB A/C -</t>
        </is>
      </c>
      <c r="C595" s="98" t="inlineStr">
        <is>
          <t>0000000869671393</t>
        </is>
      </c>
      <c r="D595" s="97" t="n">
        <v>45636</v>
      </c>
      <c r="E595" s="98" t="n">
        <v>0</v>
      </c>
      <c r="F595" s="98" t="n">
        <v>41450.87</v>
      </c>
      <c r="G595" s="98" t="n">
        <v>200274.01</v>
      </c>
      <c r="H595" s="98" t="inlineStr"/>
      <c r="I595" s="98" t="inlineStr">
        <is>
          <t>HDFC Sec</t>
        </is>
      </c>
      <c r="J595" s="98" t="inlineStr">
        <is>
          <t>HDFC Securities - Settlement</t>
        </is>
      </c>
      <c r="K595" s="98" t="inlineStr">
        <is>
          <t>HDFC Securities</t>
        </is>
      </c>
      <c r="L595" s="35" t="n">
        <v>0.93</v>
      </c>
      <c r="M595" s="98" t="inlineStr">
        <is>
          <t>[DIFF]</t>
        </is>
      </c>
    </row>
    <row r="596">
      <c r="A596" s="83" t="n">
        <v>45636</v>
      </c>
      <c r="B596" s="84" t="inlineStr">
        <is>
          <t>NET PI TO HSL SEC A/C 523686-00602340029434</t>
        </is>
      </c>
      <c r="C596" s="84" t="inlineStr">
        <is>
          <t>0000000589525318</t>
        </is>
      </c>
      <c r="D596" s="83" t="n">
        <v>45636</v>
      </c>
      <c r="E596" s="84" t="n">
        <v>397.01</v>
      </c>
      <c r="F596" s="84" t="n">
        <v>0</v>
      </c>
      <c r="G596" s="84" t="n">
        <v>199877</v>
      </c>
      <c r="H596" s="84" t="inlineStr"/>
      <c r="I596" s="84" t="inlineStr">
        <is>
          <t>HSL</t>
        </is>
      </c>
      <c r="J596" s="84" t="inlineStr">
        <is>
          <t>HDFC Securities - Buy</t>
        </is>
      </c>
      <c r="K596" s="84" t="inlineStr">
        <is>
          <t>HDFC Securities</t>
        </is>
      </c>
      <c r="L596" s="32" t="n">
        <v>0.97</v>
      </c>
      <c r="M596" s="84" t="inlineStr">
        <is>
          <t>[MATCH]</t>
        </is>
      </c>
    </row>
    <row r="597">
      <c r="A597" s="83" t="n">
        <v>45636</v>
      </c>
      <c r="B597" s="84" t="inlineStr">
        <is>
          <t>NET PI TO HSL SEC A/C 523686-00602340029434</t>
        </is>
      </c>
      <c r="C597" s="84" t="inlineStr">
        <is>
          <t>0000000589607900</t>
        </is>
      </c>
      <c r="D597" s="83" t="n">
        <v>45636</v>
      </c>
      <c r="E597" s="84" t="n">
        <v>11845.93</v>
      </c>
      <c r="F597" s="84" t="n">
        <v>0</v>
      </c>
      <c r="G597" s="84" t="n">
        <v>188031.07</v>
      </c>
      <c r="H597" s="84" t="inlineStr"/>
      <c r="I597" s="84" t="inlineStr">
        <is>
          <t>HSL</t>
        </is>
      </c>
      <c r="J597" s="84" t="inlineStr">
        <is>
          <t>HDFC Securities - Buy</t>
        </is>
      </c>
      <c r="K597" s="84" t="inlineStr">
        <is>
          <t>HDFC Securities</t>
        </is>
      </c>
      <c r="L597" s="32" t="n">
        <v>0.97</v>
      </c>
      <c r="M597" s="84" t="inlineStr">
        <is>
          <t>[MATCH]</t>
        </is>
      </c>
    </row>
    <row r="598">
      <c r="A598" s="33" t="n">
        <v>45636</v>
      </c>
      <c r="B598" s="34" t="inlineStr">
        <is>
          <t>NEFT CR-SBIN0004266-SBI GENERAL INSURANCE CO LTDSBI GEN-SUNITA GUPTA 0000000002717756-SBIN124345927368</t>
        </is>
      </c>
      <c r="C598" s="34" t="inlineStr">
        <is>
          <t>SBIN124345927368</t>
        </is>
      </c>
      <c r="D598" s="33" t="n">
        <v>45636</v>
      </c>
      <c r="E598" s="34" t="n">
        <v>0</v>
      </c>
      <c r="F598" s="34" t="n">
        <v>15773</v>
      </c>
      <c r="G598" s="34" t="n">
        <v>203804.07</v>
      </c>
      <c r="H598" s="34" t="inlineStr"/>
      <c r="I598" s="34" t="inlineStr">
        <is>
          <t>Rental Income</t>
        </is>
      </c>
      <c r="J598" s="34" t="inlineStr">
        <is>
          <t>Received - Sunita Gupta</t>
        </is>
      </c>
      <c r="K598" s="34" t="inlineStr">
        <is>
          <t>Sunita Gupta</t>
        </is>
      </c>
      <c r="L598" s="35" t="n">
        <v>0.88</v>
      </c>
      <c r="M598" s="34" t="inlineStr">
        <is>
          <t>[DIFF]</t>
        </is>
      </c>
    </row>
    <row r="599">
      <c r="A599" s="97" t="n">
        <v>45637</v>
      </c>
      <c r="B599" s="98" t="inlineStr">
        <is>
          <t>FT- 589801141-50200085415108 - HDFC SECURITIES LTD-CLIENT DSCNB A/C -</t>
        </is>
      </c>
      <c r="C599" s="98" t="inlineStr">
        <is>
          <t>0000000871291904</t>
        </is>
      </c>
      <c r="D599" s="97" t="n">
        <v>45637</v>
      </c>
      <c r="E599" s="98" t="n">
        <v>0</v>
      </c>
      <c r="F599" s="98" t="n">
        <v>2195.46</v>
      </c>
      <c r="G599" s="98" t="n">
        <v>205999.53</v>
      </c>
      <c r="H599" s="98" t="inlineStr"/>
      <c r="I599" s="98" t="inlineStr">
        <is>
          <t>HDFC Sec</t>
        </is>
      </c>
      <c r="J599" s="98" t="inlineStr">
        <is>
          <t>HDFC Securities - Settlement</t>
        </is>
      </c>
      <c r="K599" s="98" t="inlineStr">
        <is>
          <t>HDFC Securities</t>
        </is>
      </c>
      <c r="L599" s="35" t="n">
        <v>0.93</v>
      </c>
      <c r="M599" s="98" t="inlineStr">
        <is>
          <t>[DIFF]</t>
        </is>
      </c>
    </row>
    <row r="600">
      <c r="A600" s="83" t="n">
        <v>45637</v>
      </c>
      <c r="B600" s="84" t="inlineStr">
        <is>
          <t>NET PI TO HSL SEC A/C 523686-00602340029434</t>
        </is>
      </c>
      <c r="C600" s="84" t="inlineStr">
        <is>
          <t>0000000589947458</t>
        </is>
      </c>
      <c r="D600" s="83" t="n">
        <v>45637</v>
      </c>
      <c r="E600" s="84" t="n">
        <v>380.71</v>
      </c>
      <c r="F600" s="84" t="n">
        <v>0</v>
      </c>
      <c r="G600" s="84" t="n">
        <v>205618.82</v>
      </c>
      <c r="H600" s="84" t="inlineStr"/>
      <c r="I600" s="84" t="inlineStr">
        <is>
          <t>HSL</t>
        </is>
      </c>
      <c r="J600" s="84" t="inlineStr">
        <is>
          <t>HDFC Securities - Buy</t>
        </is>
      </c>
      <c r="K600" s="84" t="inlineStr">
        <is>
          <t>HDFC Securities</t>
        </is>
      </c>
      <c r="L600" s="32" t="n">
        <v>0.97</v>
      </c>
      <c r="M600" s="84" t="inlineStr">
        <is>
          <t>[MATCH]</t>
        </is>
      </c>
    </row>
    <row r="601">
      <c r="A601" s="97" t="n">
        <v>45638</v>
      </c>
      <c r="B601" s="98" t="inlineStr">
        <is>
          <t>FT- 590196612-50200085415108 - HDFC SECURITIES LTD-CLIENT DSCNB A/C -</t>
        </is>
      </c>
      <c r="C601" s="98" t="inlineStr">
        <is>
          <t>0000000872656874</t>
        </is>
      </c>
      <c r="D601" s="97" t="n">
        <v>45638</v>
      </c>
      <c r="E601" s="98" t="n">
        <v>0</v>
      </c>
      <c r="F601" s="98" t="n">
        <v>35515.74</v>
      </c>
      <c r="G601" s="98" t="n">
        <v>241134.56</v>
      </c>
      <c r="H601" s="98" t="inlineStr"/>
      <c r="I601" s="98" t="inlineStr">
        <is>
          <t>HDFC Sec</t>
        </is>
      </c>
      <c r="J601" s="98" t="inlineStr">
        <is>
          <t>HDFC Securities - Settlement</t>
        </is>
      </c>
      <c r="K601" s="98" t="inlineStr">
        <is>
          <t>HDFC Securities</t>
        </is>
      </c>
      <c r="L601" s="35" t="n">
        <v>0.93</v>
      </c>
      <c r="M601" s="98" t="inlineStr">
        <is>
          <t>[DIFF]</t>
        </is>
      </c>
    </row>
    <row r="602">
      <c r="A602" s="83" t="n">
        <v>45638</v>
      </c>
      <c r="B602" s="84" t="inlineStr">
        <is>
          <t>NET PI TO HSL SEC A/C 523686-00602340029434</t>
        </is>
      </c>
      <c r="C602" s="84" t="inlineStr">
        <is>
          <t>0000000590333265</t>
        </is>
      </c>
      <c r="D602" s="83" t="n">
        <v>45638</v>
      </c>
      <c r="E602" s="84" t="n">
        <v>381.49</v>
      </c>
      <c r="F602" s="84" t="n">
        <v>0</v>
      </c>
      <c r="G602" s="84" t="n">
        <v>240753.07</v>
      </c>
      <c r="H602" s="84" t="inlineStr"/>
      <c r="I602" s="84" t="inlineStr">
        <is>
          <t>HSL</t>
        </is>
      </c>
      <c r="J602" s="84" t="inlineStr">
        <is>
          <t>HDFC Securities - Buy</t>
        </is>
      </c>
      <c r="K602" s="84" t="inlineStr">
        <is>
          <t>HDFC Securities</t>
        </is>
      </c>
      <c r="L602" s="32" t="n">
        <v>0.97</v>
      </c>
      <c r="M602" s="84" t="inlineStr">
        <is>
          <t>[MATCH]</t>
        </is>
      </c>
    </row>
    <row r="603">
      <c r="A603" s="83" t="n">
        <v>45638</v>
      </c>
      <c r="B603" s="84" t="inlineStr">
        <is>
          <t>NET PI TO HSL SEC A/C 523686-00602340029434</t>
        </is>
      </c>
      <c r="C603" s="84" t="inlineStr">
        <is>
          <t>0000000590451903</t>
        </is>
      </c>
      <c r="D603" s="83" t="n">
        <v>45638</v>
      </c>
      <c r="E603" s="84" t="n">
        <v>28834.96</v>
      </c>
      <c r="F603" s="84" t="n">
        <v>0</v>
      </c>
      <c r="G603" s="84" t="n">
        <v>211918.11</v>
      </c>
      <c r="H603" s="84" t="inlineStr"/>
      <c r="I603" s="84" t="inlineStr">
        <is>
          <t>HSL</t>
        </is>
      </c>
      <c r="J603" s="84" t="inlineStr">
        <is>
          <t>HDFC Securities - Buy</t>
        </is>
      </c>
      <c r="K603" s="84" t="inlineStr">
        <is>
          <t>HDFC Securities</t>
        </is>
      </c>
      <c r="L603" s="32" t="n">
        <v>0.97</v>
      </c>
      <c r="M603" s="84" t="inlineStr">
        <is>
          <t>[MATCH]</t>
        </is>
      </c>
    </row>
    <row r="604">
      <c r="A604" s="83" t="n">
        <v>45638</v>
      </c>
      <c r="B604" s="84" t="inlineStr">
        <is>
          <t>NET PI TO HSL SEC A/C 523686-00602340029434</t>
        </is>
      </c>
      <c r="C604" s="84" t="inlineStr">
        <is>
          <t>0000000590517535</t>
        </is>
      </c>
      <c r="D604" s="83" t="n">
        <v>45638</v>
      </c>
      <c r="E604" s="84" t="n">
        <v>102886.18</v>
      </c>
      <c r="F604" s="84" t="n">
        <v>0</v>
      </c>
      <c r="G604" s="84" t="n">
        <v>109031.93</v>
      </c>
      <c r="H604" s="84" t="inlineStr"/>
      <c r="I604" s="84" t="inlineStr">
        <is>
          <t>HSL</t>
        </is>
      </c>
      <c r="J604" s="84" t="inlineStr">
        <is>
          <t>HDFC Securities - Buy</t>
        </is>
      </c>
      <c r="K604" s="84" t="inlineStr">
        <is>
          <t>HDFC Securities</t>
        </is>
      </c>
      <c r="L604" s="32" t="n">
        <v>0.97</v>
      </c>
      <c r="M604" s="84" t="inlineStr">
        <is>
          <t>[MATCH]</t>
        </is>
      </c>
    </row>
    <row r="605">
      <c r="A605" s="83" t="n">
        <v>45639</v>
      </c>
      <c r="B605" s="84" t="inlineStr">
        <is>
          <t>NET PI TO HSL SEC A/C 523686-00602340029434</t>
        </is>
      </c>
      <c r="C605" s="84" t="inlineStr">
        <is>
          <t>0000000590756029</t>
        </is>
      </c>
      <c r="D605" s="83" t="n">
        <v>45639</v>
      </c>
      <c r="E605" s="84" t="n">
        <v>332.45</v>
      </c>
      <c r="F605" s="84" t="n">
        <v>0</v>
      </c>
      <c r="G605" s="84" t="n">
        <v>108699.48</v>
      </c>
      <c r="H605" s="84" t="inlineStr"/>
      <c r="I605" s="84" t="inlineStr">
        <is>
          <t>HSL</t>
        </is>
      </c>
      <c r="J605" s="84" t="inlineStr">
        <is>
          <t>HDFC Securities - Buy</t>
        </is>
      </c>
      <c r="K605" s="84" t="inlineStr">
        <is>
          <t>HDFC Securities</t>
        </is>
      </c>
      <c r="L605" s="32" t="n">
        <v>0.97</v>
      </c>
      <c r="M605" s="84" t="inlineStr">
        <is>
          <t>[MATCH]</t>
        </is>
      </c>
    </row>
    <row r="606">
      <c r="A606" s="101" t="n">
        <v>45639</v>
      </c>
      <c r="B606" s="102" t="inlineStr">
        <is>
          <t>CASH DEPOSIT BY - SELF - VISHWAKARMA CIRCLE</t>
        </is>
      </c>
      <c r="C606" s="102" t="inlineStr">
        <is>
          <t>000000000000000</t>
        </is>
      </c>
      <c r="D606" s="101" t="n">
        <v>45639</v>
      </c>
      <c r="E606" s="102" t="n">
        <v>0</v>
      </c>
      <c r="F606" s="102" t="n">
        <v>20000</v>
      </c>
      <c r="G606" s="102" t="n">
        <v>128699.48</v>
      </c>
      <c r="H606" s="102" t="inlineStr"/>
      <c r="I606" s="102" t="inlineStr">
        <is>
          <t>Cash Deposit</t>
        </is>
      </c>
      <c r="J606" s="102" t="inlineStr">
        <is>
          <t>Cash Deposit</t>
        </is>
      </c>
      <c r="K606" s="102" t="inlineStr">
        <is>
          <t>Cash</t>
        </is>
      </c>
      <c r="L606" s="32" t="n">
        <v>0.92</v>
      </c>
      <c r="M606" s="102" t="inlineStr">
        <is>
          <t>[MATCH]</t>
        </is>
      </c>
    </row>
    <row r="607">
      <c r="A607" s="83" t="n">
        <v>45639</v>
      </c>
      <c r="B607" s="84" t="inlineStr">
        <is>
          <t>NET PI TO HSL SEC A/C 523686-00602340029434</t>
        </is>
      </c>
      <c r="C607" s="84" t="inlineStr">
        <is>
          <t>0000000590888219</t>
        </is>
      </c>
      <c r="D607" s="83" t="n">
        <v>45639</v>
      </c>
      <c r="E607" s="84" t="n">
        <v>25530.01</v>
      </c>
      <c r="F607" s="84" t="n">
        <v>0</v>
      </c>
      <c r="G607" s="84" t="n">
        <v>103169.47</v>
      </c>
      <c r="H607" s="84" t="inlineStr"/>
      <c r="I607" s="84" t="inlineStr">
        <is>
          <t>HSL</t>
        </is>
      </c>
      <c r="J607" s="84" t="inlineStr">
        <is>
          <t>HDFC Securities - Buy</t>
        </is>
      </c>
      <c r="K607" s="84" t="inlineStr">
        <is>
          <t>HDFC Securities</t>
        </is>
      </c>
      <c r="L607" s="32" t="n">
        <v>0.97</v>
      </c>
      <c r="M607" s="84" t="inlineStr">
        <is>
          <t>[MATCH]</t>
        </is>
      </c>
    </row>
    <row r="608">
      <c r="A608" s="83" t="n">
        <v>45639</v>
      </c>
      <c r="B608" s="84" t="inlineStr">
        <is>
          <t>NET PI TO HSL SEC A/C 523686-00602340029434</t>
        </is>
      </c>
      <c r="C608" s="84" t="inlineStr">
        <is>
          <t>0000000590938039</t>
        </is>
      </c>
      <c r="D608" s="83" t="n">
        <v>45639</v>
      </c>
      <c r="E608" s="84" t="n">
        <v>3981.96</v>
      </c>
      <c r="F608" s="84" t="n">
        <v>0</v>
      </c>
      <c r="G608" s="84" t="n">
        <v>99187.50999999999</v>
      </c>
      <c r="H608" s="84" t="inlineStr"/>
      <c r="I608" s="84" t="inlineStr">
        <is>
          <t>HSL</t>
        </is>
      </c>
      <c r="J608" s="84" t="inlineStr">
        <is>
          <t>HDFC Securities - Buy</t>
        </is>
      </c>
      <c r="K608" s="84" t="inlineStr">
        <is>
          <t>HDFC Securities</t>
        </is>
      </c>
      <c r="L608" s="32" t="n">
        <v>0.97</v>
      </c>
      <c r="M608" s="84" t="inlineStr">
        <is>
          <t>[MATCH]</t>
        </is>
      </c>
    </row>
    <row r="609">
      <c r="A609" s="28" t="n">
        <v>45642</v>
      </c>
      <c r="B609" s="29" t="inlineStr">
        <is>
          <t>ACH D- INDIAN CLEARING CORP-P25847643X05</t>
        </is>
      </c>
      <c r="C609" s="29" t="inlineStr">
        <is>
          <t>0000002312871648</t>
        </is>
      </c>
      <c r="D609" s="28" t="n">
        <v>45642</v>
      </c>
      <c r="E609" s="29" t="n">
        <v>5000</v>
      </c>
      <c r="F609" s="29" t="n">
        <v>0</v>
      </c>
      <c r="G609" s="29" t="n">
        <v>94187.50999999999</v>
      </c>
      <c r="H609" s="29" t="inlineStr"/>
      <c r="I609" s="29" t="inlineStr">
        <is>
          <t>SIP  - 5000</t>
        </is>
      </c>
      <c r="J609" s="29" t="inlineStr">
        <is>
          <t>MF Investment</t>
        </is>
      </c>
      <c r="K609" s="29" t="inlineStr">
        <is>
          <t>Mutual_Fund_Investments</t>
        </is>
      </c>
      <c r="L609" s="35" t="n">
        <v>0.92</v>
      </c>
      <c r="M609" s="29" t="inlineStr">
        <is>
          <t>[DIFF]</t>
        </is>
      </c>
    </row>
    <row r="610">
      <c r="A610" s="83" t="n">
        <v>45642</v>
      </c>
      <c r="B610" s="84" t="inlineStr">
        <is>
          <t>NET PI TO HSL SEC A/C 523686-00602340029434</t>
        </is>
      </c>
      <c r="C610" s="84" t="inlineStr">
        <is>
          <t>0000000591246255</t>
        </is>
      </c>
      <c r="D610" s="83" t="n">
        <v>45642</v>
      </c>
      <c r="E610" s="84" t="n">
        <v>1265.34</v>
      </c>
      <c r="F610" s="84" t="n">
        <v>0</v>
      </c>
      <c r="G610" s="84" t="n">
        <v>92922.17</v>
      </c>
      <c r="H610" s="84" t="inlineStr"/>
      <c r="I610" s="84" t="inlineStr">
        <is>
          <t>HSL</t>
        </is>
      </c>
      <c r="J610" s="84" t="inlineStr">
        <is>
          <t>HDFC Securities - Buy</t>
        </is>
      </c>
      <c r="K610" s="84" t="inlineStr">
        <is>
          <t>HDFC Securities</t>
        </is>
      </c>
      <c r="L610" s="32" t="n">
        <v>0.97</v>
      </c>
      <c r="M610" s="84" t="inlineStr">
        <is>
          <t>[MATCH]</t>
        </is>
      </c>
    </row>
    <row r="611">
      <c r="A611" s="83" t="n">
        <v>45642</v>
      </c>
      <c r="B611" s="84" t="inlineStr">
        <is>
          <t>NET PI TO HSL SEC A/C 523686-00602340029434</t>
        </is>
      </c>
      <c r="C611" s="84" t="inlineStr">
        <is>
          <t>0000000591399847</t>
        </is>
      </c>
      <c r="D611" s="83" t="n">
        <v>45642</v>
      </c>
      <c r="E611" s="84" t="n">
        <v>4528.87</v>
      </c>
      <c r="F611" s="84" t="n">
        <v>0</v>
      </c>
      <c r="G611" s="84" t="n">
        <v>88393.3</v>
      </c>
      <c r="H611" s="84" t="inlineStr"/>
      <c r="I611" s="84" t="inlineStr">
        <is>
          <t>HSL</t>
        </is>
      </c>
      <c r="J611" s="84" t="inlineStr">
        <is>
          <t>HDFC Securities - Buy</t>
        </is>
      </c>
      <c r="K611" s="84" t="inlineStr">
        <is>
          <t>HDFC Securities</t>
        </is>
      </c>
      <c r="L611" s="32" t="n">
        <v>0.97</v>
      </c>
      <c r="M611" s="84" t="inlineStr">
        <is>
          <t>[MATCH]</t>
        </is>
      </c>
    </row>
    <row r="612">
      <c r="A612" s="83" t="n">
        <v>45643</v>
      </c>
      <c r="B612" s="84" t="inlineStr">
        <is>
          <t>NET PI TO HSL SEC A/C 523686-00602340029434</t>
        </is>
      </c>
      <c r="C612" s="84" t="inlineStr">
        <is>
          <t>0000000591651541</t>
        </is>
      </c>
      <c r="D612" s="83" t="n">
        <v>45643</v>
      </c>
      <c r="E612" s="84" t="n">
        <v>420.17</v>
      </c>
      <c r="F612" s="84" t="n">
        <v>0</v>
      </c>
      <c r="G612" s="84" t="n">
        <v>87973.13</v>
      </c>
      <c r="H612" s="84" t="inlineStr"/>
      <c r="I612" s="84" t="inlineStr">
        <is>
          <t>HSL</t>
        </is>
      </c>
      <c r="J612" s="84" t="inlineStr">
        <is>
          <t>HDFC Securities - Buy</t>
        </is>
      </c>
      <c r="K612" s="84" t="inlineStr">
        <is>
          <t>HDFC Securities</t>
        </is>
      </c>
      <c r="L612" s="32" t="n">
        <v>0.97</v>
      </c>
      <c r="M612" s="84" t="inlineStr">
        <is>
          <t>[MATCH]</t>
        </is>
      </c>
    </row>
    <row r="613">
      <c r="A613" s="89" t="n">
        <v>45643</v>
      </c>
      <c r="B613" s="90" t="inlineStr">
        <is>
          <t>DEPOSITORY CHARGES NOV24 - 41060499</t>
        </is>
      </c>
      <c r="C613" s="90" t="inlineStr">
        <is>
          <t>000000000000000</t>
        </is>
      </c>
      <c r="D613" s="89" t="n">
        <v>45643</v>
      </c>
      <c r="E613" s="90" t="n">
        <v>318.6</v>
      </c>
      <c r="F613" s="90" t="n">
        <v>0</v>
      </c>
      <c r="G613" s="90" t="n">
        <v>87654.53</v>
      </c>
      <c r="H613" s="90" t="inlineStr"/>
      <c r="I613" s="90" t="inlineStr">
        <is>
          <t>Depository Charges</t>
        </is>
      </c>
      <c r="J613" s="90" t="inlineStr">
        <is>
          <t>Depository Charges</t>
        </is>
      </c>
      <c r="K613" s="90" t="inlineStr">
        <is>
          <t>Depository Charges</t>
        </is>
      </c>
      <c r="L613" s="32" t="n">
        <v>0.93</v>
      </c>
      <c r="M613" s="90" t="inlineStr">
        <is>
          <t>[MATCH]</t>
        </is>
      </c>
    </row>
    <row r="614">
      <c r="A614" s="83" t="n">
        <v>45643</v>
      </c>
      <c r="B614" s="84" t="inlineStr">
        <is>
          <t>NET PI TO HSL SEC A/C 523686-00602340029434</t>
        </is>
      </c>
      <c r="C614" s="84" t="inlineStr">
        <is>
          <t>0000000591848095</t>
        </is>
      </c>
      <c r="D614" s="83" t="n">
        <v>45643</v>
      </c>
      <c r="E614" s="84" t="n">
        <v>26795.86</v>
      </c>
      <c r="F614" s="84" t="n">
        <v>0</v>
      </c>
      <c r="G614" s="84" t="n">
        <v>60858.67</v>
      </c>
      <c r="H614" s="84" t="inlineStr"/>
      <c r="I614" s="84" t="inlineStr">
        <is>
          <t>HSL</t>
        </is>
      </c>
      <c r="J614" s="84" t="inlineStr">
        <is>
          <t>HDFC Securities - Buy</t>
        </is>
      </c>
      <c r="K614" s="84" t="inlineStr">
        <is>
          <t>HDFC Securities</t>
        </is>
      </c>
      <c r="L614" s="32" t="n">
        <v>0.97</v>
      </c>
      <c r="M614" s="84" t="inlineStr">
        <is>
          <t>[MATCH]</t>
        </is>
      </c>
    </row>
    <row r="615">
      <c r="A615" s="97" t="n">
        <v>45644</v>
      </c>
      <c r="B615" s="98" t="inlineStr">
        <is>
          <t>FT- 591999594-50200085415108 - HDFC SECURITIES LTD-CLIENT DSCNB A/C -</t>
        </is>
      </c>
      <c r="C615" s="98" t="inlineStr">
        <is>
          <t>0000000878544326</t>
        </is>
      </c>
      <c r="D615" s="97" t="n">
        <v>45644</v>
      </c>
      <c r="E615" s="98" t="n">
        <v>0</v>
      </c>
      <c r="F615" s="98" t="n">
        <v>30411.38</v>
      </c>
      <c r="G615" s="98" t="n">
        <v>91270.05</v>
      </c>
      <c r="H615" s="98" t="inlineStr"/>
      <c r="I615" s="98" t="inlineStr">
        <is>
          <t>HDFC Sec</t>
        </is>
      </c>
      <c r="J615" s="98" t="inlineStr">
        <is>
          <t>HDFC Securities - Settlement</t>
        </is>
      </c>
      <c r="K615" s="98" t="inlineStr">
        <is>
          <t>HDFC Securities</t>
        </is>
      </c>
      <c r="L615" s="35" t="n">
        <v>0.93</v>
      </c>
      <c r="M615" s="98" t="inlineStr">
        <is>
          <t>[DIFF]</t>
        </is>
      </c>
    </row>
    <row r="616">
      <c r="A616" s="83" t="n">
        <v>45644</v>
      </c>
      <c r="B616" s="84" t="inlineStr">
        <is>
          <t>NET PI TO HSL SEC A/C 523686-00602340029434</t>
        </is>
      </c>
      <c r="C616" s="84" t="inlineStr">
        <is>
          <t>0000000592103571</t>
        </is>
      </c>
      <c r="D616" s="83" t="n">
        <v>45644</v>
      </c>
      <c r="E616" s="84" t="n">
        <v>410.63</v>
      </c>
      <c r="F616" s="84" t="n">
        <v>0</v>
      </c>
      <c r="G616" s="84" t="n">
        <v>90859.42</v>
      </c>
      <c r="H616" s="84" t="inlineStr"/>
      <c r="I616" s="84" t="inlineStr">
        <is>
          <t>HSL</t>
        </is>
      </c>
      <c r="J616" s="84" t="inlineStr">
        <is>
          <t>HDFC Securities - Buy</t>
        </is>
      </c>
      <c r="K616" s="84" t="inlineStr">
        <is>
          <t>HDFC Securities</t>
        </is>
      </c>
      <c r="L616" s="32" t="n">
        <v>0.97</v>
      </c>
      <c r="M616" s="84" t="inlineStr">
        <is>
          <t>[MATCH]</t>
        </is>
      </c>
    </row>
    <row r="617">
      <c r="A617" s="83" t="n">
        <v>45644</v>
      </c>
      <c r="B617" s="84" t="inlineStr">
        <is>
          <t>NET PI TO HSL SEC A/C 523686-00602340029434</t>
        </is>
      </c>
      <c r="C617" s="84" t="inlineStr">
        <is>
          <t>0000000592289455</t>
        </is>
      </c>
      <c r="D617" s="83" t="n">
        <v>45644</v>
      </c>
      <c r="E617" s="84" t="n">
        <v>19885.93</v>
      </c>
      <c r="F617" s="84" t="n">
        <v>0</v>
      </c>
      <c r="G617" s="84" t="n">
        <v>70973.49000000001</v>
      </c>
      <c r="H617" s="84" t="inlineStr"/>
      <c r="I617" s="84" t="inlineStr">
        <is>
          <t>HSL</t>
        </is>
      </c>
      <c r="J617" s="84" t="inlineStr">
        <is>
          <t>HDFC Securities - Buy</t>
        </is>
      </c>
      <c r="K617" s="84" t="inlineStr">
        <is>
          <t>HDFC Securities</t>
        </is>
      </c>
      <c r="L617" s="32" t="n">
        <v>0.97</v>
      </c>
      <c r="M617" s="84" t="inlineStr">
        <is>
          <t>[MATCH]</t>
        </is>
      </c>
    </row>
    <row r="618">
      <c r="A618" s="83" t="n">
        <v>45645</v>
      </c>
      <c r="B618" s="84" t="inlineStr">
        <is>
          <t>NET PI TO HSL SEC A/C 523686-00602340029434</t>
        </is>
      </c>
      <c r="C618" s="84" t="inlineStr">
        <is>
          <t>0000000592597224</t>
        </is>
      </c>
      <c r="D618" s="83" t="n">
        <v>45645</v>
      </c>
      <c r="E618" s="84" t="n">
        <v>414.42</v>
      </c>
      <c r="F618" s="84" t="n">
        <v>0</v>
      </c>
      <c r="G618" s="84" t="n">
        <v>70559.07000000001</v>
      </c>
      <c r="H618" s="84" t="inlineStr"/>
      <c r="I618" s="84" t="inlineStr">
        <is>
          <t>HSL</t>
        </is>
      </c>
      <c r="J618" s="84" t="inlineStr">
        <is>
          <t>HDFC Securities - Buy</t>
        </is>
      </c>
      <c r="K618" s="84" t="inlineStr">
        <is>
          <t>HDFC Securities</t>
        </is>
      </c>
      <c r="L618" s="32" t="n">
        <v>0.97</v>
      </c>
      <c r="M618" s="84" t="inlineStr">
        <is>
          <t>[MATCH]</t>
        </is>
      </c>
    </row>
    <row r="619">
      <c r="A619" s="33" t="n">
        <v>45645</v>
      </c>
      <c r="B619" s="34" t="inlineStr">
        <is>
          <t>NEFT CR-SBIN0004266-SBI GENERAL INSURANCE CO LTDSBI GEN-SUNITA GUPTA 0000000002717756-SBIN224354335526</t>
        </is>
      </c>
      <c r="C619" s="34" t="inlineStr">
        <is>
          <t>SBIN224354335526</t>
        </is>
      </c>
      <c r="D619" s="33" t="n">
        <v>45645</v>
      </c>
      <c r="E619" s="34" t="n">
        <v>0</v>
      </c>
      <c r="F619" s="34" t="n">
        <v>2738</v>
      </c>
      <c r="G619" s="34" t="n">
        <v>73297.07000000001</v>
      </c>
      <c r="H619" s="34" t="inlineStr"/>
      <c r="I619" s="34" t="inlineStr">
        <is>
          <t>Rental Income</t>
        </is>
      </c>
      <c r="J619" s="34" t="inlineStr">
        <is>
          <t>Received - Sunita Gupta</t>
        </is>
      </c>
      <c r="K619" s="34" t="inlineStr">
        <is>
          <t>Sunita Gupta</t>
        </is>
      </c>
      <c r="L619" s="35" t="n">
        <v>0.88</v>
      </c>
      <c r="M619" s="34" t="inlineStr">
        <is>
          <t>[DIFF]</t>
        </is>
      </c>
    </row>
    <row r="620">
      <c r="A620" s="83" t="n">
        <v>45645</v>
      </c>
      <c r="B620" s="84" t="inlineStr">
        <is>
          <t>NET PI TO HSL SEC A/C 523686-00602340029434</t>
        </is>
      </c>
      <c r="C620" s="84" t="inlineStr">
        <is>
          <t>0000000592781335</t>
        </is>
      </c>
      <c r="D620" s="83" t="n">
        <v>45645</v>
      </c>
      <c r="E620" s="84" t="n">
        <v>18958.63</v>
      </c>
      <c r="F620" s="84" t="n">
        <v>0</v>
      </c>
      <c r="G620" s="84" t="n">
        <v>54338.44</v>
      </c>
      <c r="H620" s="84" t="inlineStr"/>
      <c r="I620" s="84" t="inlineStr">
        <is>
          <t>HSL</t>
        </is>
      </c>
      <c r="J620" s="84" t="inlineStr">
        <is>
          <t>HDFC Securities - Buy</t>
        </is>
      </c>
      <c r="K620" s="84" t="inlineStr">
        <is>
          <t>HDFC Securities</t>
        </is>
      </c>
      <c r="L620" s="32" t="n">
        <v>0.97</v>
      </c>
      <c r="M620" s="84" t="inlineStr">
        <is>
          <t>[MATCH]</t>
        </is>
      </c>
    </row>
    <row r="621">
      <c r="A621" s="83" t="n">
        <v>45646</v>
      </c>
      <c r="B621" s="84" t="inlineStr">
        <is>
          <t>NET PI TO HSL SEC A/C 523686-00602340029434</t>
        </is>
      </c>
      <c r="C621" s="84" t="inlineStr">
        <is>
          <t>0000000593079110</t>
        </is>
      </c>
      <c r="D621" s="83" t="n">
        <v>45646</v>
      </c>
      <c r="E621" s="84" t="n">
        <v>417.69</v>
      </c>
      <c r="F621" s="84" t="n">
        <v>0</v>
      </c>
      <c r="G621" s="84" t="n">
        <v>53920.75</v>
      </c>
      <c r="H621" s="84" t="inlineStr"/>
      <c r="I621" s="84" t="inlineStr">
        <is>
          <t>HSL</t>
        </is>
      </c>
      <c r="J621" s="84" t="inlineStr">
        <is>
          <t>HDFC Securities - Buy</t>
        </is>
      </c>
      <c r="K621" s="84" t="inlineStr">
        <is>
          <t>HDFC Securities</t>
        </is>
      </c>
      <c r="L621" s="32" t="n">
        <v>0.97</v>
      </c>
      <c r="M621" s="84" t="inlineStr">
        <is>
          <t>[MATCH]</t>
        </is>
      </c>
    </row>
    <row r="622">
      <c r="A622" s="83" t="n">
        <v>45646</v>
      </c>
      <c r="B622" s="84" t="inlineStr">
        <is>
          <t>NET PI TO HSL SEC A/C 523686-00602340029434</t>
        </is>
      </c>
      <c r="C622" s="84" t="inlineStr">
        <is>
          <t>0000000593286867</t>
        </is>
      </c>
      <c r="D622" s="83" t="n">
        <v>45646</v>
      </c>
      <c r="E622" s="84" t="n">
        <v>38644.96</v>
      </c>
      <c r="F622" s="84" t="n">
        <v>0</v>
      </c>
      <c r="G622" s="84" t="n">
        <v>15275.79</v>
      </c>
      <c r="H622" s="84" t="inlineStr"/>
      <c r="I622" s="84" t="inlineStr">
        <is>
          <t>HSL</t>
        </is>
      </c>
      <c r="J622" s="84" t="inlineStr">
        <is>
          <t>HDFC Securities - Buy</t>
        </is>
      </c>
      <c r="K622" s="84" t="inlineStr">
        <is>
          <t>HDFC Securities</t>
        </is>
      </c>
      <c r="L622" s="32" t="n">
        <v>0.97</v>
      </c>
      <c r="M622" s="84" t="inlineStr">
        <is>
          <t>[MATCH]</t>
        </is>
      </c>
    </row>
    <row r="623">
      <c r="A623" s="83" t="n">
        <v>45649</v>
      </c>
      <c r="B623" s="84" t="inlineStr">
        <is>
          <t>NET PI TO HSL SEC A/C 523686-00602340029434</t>
        </is>
      </c>
      <c r="C623" s="84" t="inlineStr">
        <is>
          <t>0000000593602456</t>
        </is>
      </c>
      <c r="D623" s="83" t="n">
        <v>45649</v>
      </c>
      <c r="E623" s="84" t="n">
        <v>1263.93</v>
      </c>
      <c r="F623" s="84" t="n">
        <v>0</v>
      </c>
      <c r="G623" s="84" t="n">
        <v>14011.86</v>
      </c>
      <c r="H623" s="84" t="inlineStr"/>
      <c r="I623" s="84" t="inlineStr">
        <is>
          <t>HSL</t>
        </is>
      </c>
      <c r="J623" s="84" t="inlineStr">
        <is>
          <t>HDFC Securities - Buy</t>
        </is>
      </c>
      <c r="K623" s="84" t="inlineStr">
        <is>
          <t>HDFC Securities</t>
        </is>
      </c>
      <c r="L623" s="32" t="n">
        <v>0.97</v>
      </c>
      <c r="M623" s="84" t="inlineStr">
        <is>
          <t>[MATCH]</t>
        </is>
      </c>
    </row>
    <row r="624">
      <c r="A624" s="83" t="n">
        <v>45649</v>
      </c>
      <c r="B624" s="84" t="inlineStr">
        <is>
          <t>NET PI TO HSL SEC A/C 523686-00602340029434</t>
        </is>
      </c>
      <c r="C624" s="84" t="inlineStr">
        <is>
          <t>0000000593760155</t>
        </is>
      </c>
      <c r="D624" s="83" t="n">
        <v>45649</v>
      </c>
      <c r="E624" s="84" t="n">
        <v>11981.51</v>
      </c>
      <c r="F624" s="84" t="n">
        <v>0</v>
      </c>
      <c r="G624" s="84" t="n">
        <v>2030.35</v>
      </c>
      <c r="H624" s="84" t="inlineStr"/>
      <c r="I624" s="84" t="inlineStr">
        <is>
          <t>HSL</t>
        </is>
      </c>
      <c r="J624" s="84" t="inlineStr">
        <is>
          <t>HDFC Securities - Buy</t>
        </is>
      </c>
      <c r="K624" s="84" t="inlineStr">
        <is>
          <t>HDFC Securities</t>
        </is>
      </c>
      <c r="L624" s="32" t="n">
        <v>0.97</v>
      </c>
      <c r="M624" s="84" t="inlineStr">
        <is>
          <t>[MATCH]</t>
        </is>
      </c>
    </row>
    <row r="625">
      <c r="A625" s="83" t="n">
        <v>45650</v>
      </c>
      <c r="B625" s="84" t="inlineStr">
        <is>
          <t>NET PI TO HSL SEC A/C 523686-00602340029434</t>
        </is>
      </c>
      <c r="C625" s="84" t="inlineStr">
        <is>
          <t>0000000594022488</t>
        </is>
      </c>
      <c r="D625" s="83" t="n">
        <v>45650</v>
      </c>
      <c r="E625" s="84" t="n">
        <v>425.67</v>
      </c>
      <c r="F625" s="84" t="n">
        <v>0</v>
      </c>
      <c r="G625" s="84" t="n">
        <v>1604.68</v>
      </c>
      <c r="H625" s="84" t="inlineStr"/>
      <c r="I625" s="84" t="inlineStr">
        <is>
          <t>HSL</t>
        </is>
      </c>
      <c r="J625" s="84" t="inlineStr">
        <is>
          <t>HDFC Securities - Buy</t>
        </is>
      </c>
      <c r="K625" s="84" t="inlineStr">
        <is>
          <t>HDFC Securities</t>
        </is>
      </c>
      <c r="L625" s="32" t="n">
        <v>0.97</v>
      </c>
      <c r="M625" s="84" t="inlineStr">
        <is>
          <t>[MATCH]</t>
        </is>
      </c>
    </row>
    <row r="626">
      <c r="A626" s="62" t="n">
        <v>45651</v>
      </c>
      <c r="B626" s="63" t="inlineStr">
        <is>
          <t>01671000085930-TPT-BORROW FROM AKG-AJAY KUMAR GUPTA</t>
        </is>
      </c>
      <c r="C626" s="63" t="inlineStr">
        <is>
          <t>0000000503524290</t>
        </is>
      </c>
      <c r="D626" s="62" t="n">
        <v>45651</v>
      </c>
      <c r="E626" s="63" t="n">
        <v>0</v>
      </c>
      <c r="F626" s="63" t="n">
        <v>20000</v>
      </c>
      <c r="G626" s="63" t="n">
        <v>21604.68</v>
      </c>
      <c r="H626" s="63" t="inlineStr"/>
      <c r="I626" s="63" t="inlineStr">
        <is>
          <t>Transfer by Ajay</t>
        </is>
      </c>
      <c r="J626" s="63" t="inlineStr">
        <is>
          <t>Received - Ajay Gupta</t>
        </is>
      </c>
      <c r="K626" s="63" t="inlineStr">
        <is>
          <t>Ajay Gupta</t>
        </is>
      </c>
      <c r="L626" s="35" t="n">
        <v>0.88</v>
      </c>
      <c r="M626" s="63" t="inlineStr">
        <is>
          <t>[DIFF]</t>
        </is>
      </c>
    </row>
    <row r="627">
      <c r="A627" s="28" t="n">
        <v>45651</v>
      </c>
      <c r="B627" s="29" t="inlineStr">
        <is>
          <t>YHDF2500679849/BILLDKTHECALCUTTAELE</t>
        </is>
      </c>
      <c r="C627" s="29" t="inlineStr">
        <is>
          <t>0002436071393645</t>
        </is>
      </c>
      <c r="D627" s="28" t="n">
        <v>45651</v>
      </c>
      <c r="E627" s="29" t="n">
        <v>11832</v>
      </c>
      <c r="F627" s="29" t="n">
        <v>0</v>
      </c>
      <c r="G627" s="29" t="n">
        <v>9772.68</v>
      </c>
      <c r="H627" s="29" t="inlineStr"/>
      <c r="I627" s="29" t="inlineStr">
        <is>
          <t>Electricity Bill</t>
        </is>
      </c>
      <c r="J627" s="29" t="inlineStr">
        <is>
          <t>SIP</t>
        </is>
      </c>
      <c r="K627" s="29" t="inlineStr">
        <is>
          <t>SIP</t>
        </is>
      </c>
      <c r="L627" s="35" t="n">
        <v>0.9</v>
      </c>
      <c r="M627" s="29" t="inlineStr">
        <is>
          <t>[DIFF]</t>
        </is>
      </c>
    </row>
    <row r="628">
      <c r="A628" s="97" t="n">
        <v>45652</v>
      </c>
      <c r="B628" s="98" t="inlineStr">
        <is>
          <t>FT- 594273619-50200085415108 - HDFC SECURITIES LTD-CLIENT DSCNB A/C -</t>
        </is>
      </c>
      <c r="C628" s="98" t="inlineStr">
        <is>
          <t>0000000886172799</t>
        </is>
      </c>
      <c r="D628" s="97" t="n">
        <v>45652</v>
      </c>
      <c r="E628" s="98" t="n">
        <v>0</v>
      </c>
      <c r="F628" s="98" t="n">
        <v>1057.24</v>
      </c>
      <c r="G628" s="98" t="n">
        <v>10829.92</v>
      </c>
      <c r="H628" s="98" t="inlineStr"/>
      <c r="I628" s="98" t="inlineStr">
        <is>
          <t>HDFC Sec</t>
        </is>
      </c>
      <c r="J628" s="98" t="inlineStr">
        <is>
          <t>HDFC Securities - Settlement</t>
        </is>
      </c>
      <c r="K628" s="98" t="inlineStr">
        <is>
          <t>HDFC Securities</t>
        </is>
      </c>
      <c r="L628" s="35" t="n">
        <v>0.93</v>
      </c>
      <c r="M628" s="98" t="inlineStr">
        <is>
          <t>[DIFF]</t>
        </is>
      </c>
    </row>
    <row r="629">
      <c r="A629" s="28" t="n">
        <v>45652</v>
      </c>
      <c r="B629" s="29" t="inlineStr">
        <is>
          <t>ACH D- TP ACH INDIANESIGN-1660009188</t>
        </is>
      </c>
      <c r="C629" s="29" t="inlineStr">
        <is>
          <t>0000002662972044</t>
        </is>
      </c>
      <c r="D629" s="28" t="n">
        <v>45652</v>
      </c>
      <c r="E629" s="29" t="n">
        <v>10000</v>
      </c>
      <c r="F629" s="29" t="n">
        <v>0</v>
      </c>
      <c r="G629" s="29" t="n">
        <v>829.92</v>
      </c>
      <c r="H629" s="29" t="inlineStr"/>
      <c r="I629" s="29" t="inlineStr">
        <is>
          <t>SIP  - 10000</t>
        </is>
      </c>
      <c r="J629" s="29" t="inlineStr">
        <is>
          <t>SIP</t>
        </is>
      </c>
      <c r="K629" s="29" t="inlineStr">
        <is>
          <t>SIP</t>
        </is>
      </c>
      <c r="L629" s="35" t="n">
        <v>0.95</v>
      </c>
      <c r="M629" s="29" t="inlineStr">
        <is>
          <t>[DIFF]</t>
        </is>
      </c>
    </row>
    <row r="630">
      <c r="A630" s="83" t="n">
        <v>45652</v>
      </c>
      <c r="B630" s="84" t="inlineStr">
        <is>
          <t>NET PI TO HSL SEC A/C 523686-00602340029434</t>
        </is>
      </c>
      <c r="C630" s="84" t="inlineStr">
        <is>
          <t>0000000594440742</t>
        </is>
      </c>
      <c r="D630" s="83" t="n">
        <v>45652</v>
      </c>
      <c r="E630" s="84" t="n">
        <v>829.92</v>
      </c>
      <c r="F630" s="84" t="n">
        <v>0</v>
      </c>
      <c r="G630" s="84" t="n">
        <v>0</v>
      </c>
      <c r="H630" s="84" t="inlineStr"/>
      <c r="I630" s="84" t="inlineStr">
        <is>
          <t>HSL</t>
        </is>
      </c>
      <c r="J630" s="84" t="inlineStr">
        <is>
          <t>HDFC Securities - Buy</t>
        </is>
      </c>
      <c r="K630" s="84" t="inlineStr">
        <is>
          <t>HDFC Securities</t>
        </is>
      </c>
      <c r="L630" s="32" t="n">
        <v>0.97</v>
      </c>
      <c r="M630" s="84" t="inlineStr">
        <is>
          <t>[MATCH]</t>
        </is>
      </c>
    </row>
    <row r="631">
      <c r="A631" s="42" t="n">
        <v>45656</v>
      </c>
      <c r="B631" s="43" t="inlineStr">
        <is>
          <t>NEFT CR-UTIB0000004-AXIS MUTUAL FUND DIVIDEND A/C-SUNITA GUPTA-AXISCN0872204867</t>
        </is>
      </c>
      <c r="C631" s="43" t="inlineStr">
        <is>
          <t>AXISCN0872204867</t>
        </is>
      </c>
      <c r="D631" s="42" t="n">
        <v>45656</v>
      </c>
      <c r="E631" s="43" t="n">
        <v>0</v>
      </c>
      <c r="F631" s="43" t="n">
        <v>84.56999999999999</v>
      </c>
      <c r="G631" s="43" t="n">
        <v>84.56999999999999</v>
      </c>
      <c r="H631" s="43" t="inlineStr"/>
      <c r="I631" s="43" t="inlineStr">
        <is>
          <t>Dividend Income</t>
        </is>
      </c>
      <c r="J631" s="43" t="inlineStr">
        <is>
          <t>Dividend Income</t>
        </is>
      </c>
      <c r="K631" s="43" t="inlineStr">
        <is>
          <t>Dividend Income</t>
        </is>
      </c>
      <c r="L631" s="32" t="n">
        <v>0.85</v>
      </c>
      <c r="M631" s="43" t="inlineStr">
        <is>
          <t>[MATCH]</t>
        </is>
      </c>
    </row>
    <row r="632">
      <c r="A632" s="83" t="n">
        <v>45656</v>
      </c>
      <c r="B632" s="84" t="inlineStr">
        <is>
          <t>NET PI TO HSL SEC A/C 523686-00602340029434</t>
        </is>
      </c>
      <c r="C632" s="84" t="inlineStr">
        <is>
          <t>0000000595531923</t>
        </is>
      </c>
      <c r="D632" s="83" t="n">
        <v>45656</v>
      </c>
      <c r="E632" s="84" t="n">
        <v>84.56999999999999</v>
      </c>
      <c r="F632" s="84" t="n">
        <v>0</v>
      </c>
      <c r="G632" s="84" t="n">
        <v>0</v>
      </c>
      <c r="H632" s="84" t="inlineStr"/>
      <c r="I632" s="84" t="inlineStr">
        <is>
          <t>HSL</t>
        </is>
      </c>
      <c r="J632" s="84" t="inlineStr">
        <is>
          <t>HDFC Securities - Buy</t>
        </is>
      </c>
      <c r="K632" s="84" t="inlineStr">
        <is>
          <t>HDFC Securities</t>
        </is>
      </c>
      <c r="L632" s="32" t="n">
        <v>0.97</v>
      </c>
      <c r="M632" s="84" t="inlineStr">
        <is>
          <t>[MATCH]</t>
        </is>
      </c>
    </row>
    <row r="633">
      <c r="A633" s="97" t="n">
        <v>45657</v>
      </c>
      <c r="B633" s="98" t="inlineStr">
        <is>
          <t>FT- 595680118-50200085415108 - HDFC SECURITIES LTD-CLIENT DSCNB A/C -</t>
        </is>
      </c>
      <c r="C633" s="98" t="inlineStr">
        <is>
          <t>0000000891478194</t>
        </is>
      </c>
      <c r="D633" s="97" t="n">
        <v>45657</v>
      </c>
      <c r="E633" s="98" t="n">
        <v>0</v>
      </c>
      <c r="F633" s="98" t="n">
        <v>24950.15</v>
      </c>
      <c r="G633" s="98" t="n">
        <v>24950.15</v>
      </c>
      <c r="H633" s="98" t="inlineStr"/>
      <c r="I633" s="98" t="inlineStr">
        <is>
          <t>HDFC Sec</t>
        </is>
      </c>
      <c r="J633" s="98" t="inlineStr">
        <is>
          <t>HDFC Securities - Settlement</t>
        </is>
      </c>
      <c r="K633" s="98" t="inlineStr">
        <is>
          <t>HDFC Securities</t>
        </is>
      </c>
      <c r="L633" s="35" t="n">
        <v>0.93</v>
      </c>
      <c r="M633" s="98" t="inlineStr">
        <is>
          <t>[DIFF]</t>
        </is>
      </c>
    </row>
    <row r="634">
      <c r="A634" s="83" t="n">
        <v>45657</v>
      </c>
      <c r="B634" s="84" t="inlineStr">
        <is>
          <t>NET PI TO HSL SEC A/C 523686-00602340029434</t>
        </is>
      </c>
      <c r="C634" s="84" t="inlineStr">
        <is>
          <t>0000000595770114</t>
        </is>
      </c>
      <c r="D634" s="83" t="n">
        <v>45657</v>
      </c>
      <c r="E634" s="84" t="n">
        <v>426.63</v>
      </c>
      <c r="F634" s="84" t="n">
        <v>0</v>
      </c>
      <c r="G634" s="84" t="n">
        <v>24523.52</v>
      </c>
      <c r="H634" s="84" t="inlineStr"/>
      <c r="I634" s="84" t="inlineStr">
        <is>
          <t>HSL</t>
        </is>
      </c>
      <c r="J634" s="84" t="inlineStr">
        <is>
          <t>HDFC Securities - Buy</t>
        </is>
      </c>
      <c r="K634" s="84" t="inlineStr">
        <is>
          <t>HDFC Securities</t>
        </is>
      </c>
      <c r="L634" s="32" t="n">
        <v>0.97</v>
      </c>
      <c r="M634" s="84" t="inlineStr">
        <is>
          <t>[MATCH]</t>
        </is>
      </c>
    </row>
    <row r="635">
      <c r="A635" s="83" t="n">
        <v>45657</v>
      </c>
      <c r="B635" s="84" t="inlineStr">
        <is>
          <t>NET PI TO HSL SEC A/C 523686-00602340029434</t>
        </is>
      </c>
      <c r="C635" s="84" t="inlineStr">
        <is>
          <t>0000000595927394</t>
        </is>
      </c>
      <c r="D635" s="83" t="n">
        <v>45657</v>
      </c>
      <c r="E635" s="84" t="n">
        <v>6300.62</v>
      </c>
      <c r="F635" s="84" t="n">
        <v>0</v>
      </c>
      <c r="G635" s="84" t="n">
        <v>18222.9</v>
      </c>
      <c r="H635" s="84" t="inlineStr"/>
      <c r="I635" s="84" t="inlineStr">
        <is>
          <t>HSL</t>
        </is>
      </c>
      <c r="J635" s="84" t="inlineStr">
        <is>
          <t>HDFC Securities - Buy</t>
        </is>
      </c>
      <c r="K635" s="84" t="inlineStr">
        <is>
          <t>HDFC Securities</t>
        </is>
      </c>
      <c r="L635" s="32" t="n">
        <v>0.97</v>
      </c>
      <c r="M635" s="84" t="inlineStr">
        <is>
          <t>[MATCH]</t>
        </is>
      </c>
    </row>
    <row r="636">
      <c r="A636" s="40" t="n">
        <v>45658</v>
      </c>
      <c r="B636" s="41" t="inlineStr">
        <is>
          <t>INTEREST PAID TILL 31-DEC-2024</t>
        </is>
      </c>
      <c r="C636" s="41" t="inlineStr">
        <is>
          <t>000000000000000</t>
        </is>
      </c>
      <c r="D636" s="40" t="n">
        <v>45657</v>
      </c>
      <c r="E636" s="41" t="n">
        <v>0</v>
      </c>
      <c r="F636" s="41" t="n">
        <v>534</v>
      </c>
      <c r="G636" s="41" t="n">
        <v>18756.9</v>
      </c>
      <c r="H636" s="41" t="inlineStr"/>
      <c r="I636" s="41" t="inlineStr">
        <is>
          <t>Bank Interest</t>
        </is>
      </c>
      <c r="J636" s="41" t="inlineStr">
        <is>
          <t>Bank Interest</t>
        </is>
      </c>
      <c r="K636" s="41" t="inlineStr">
        <is>
          <t>Bank Interest</t>
        </is>
      </c>
      <c r="L636" s="32" t="n">
        <v>0.95</v>
      </c>
      <c r="M636" s="41" t="inlineStr">
        <is>
          <t>[MATCH]</t>
        </is>
      </c>
    </row>
    <row r="637">
      <c r="A637" s="83" t="n">
        <v>45658</v>
      </c>
      <c r="B637" s="84" t="inlineStr">
        <is>
          <t>NET PI TO HSL SEC A/C 523686-00602340029434</t>
        </is>
      </c>
      <c r="C637" s="84" t="inlineStr">
        <is>
          <t>0000000596236855</t>
        </is>
      </c>
      <c r="D637" s="83" t="n">
        <v>45658</v>
      </c>
      <c r="E637" s="84" t="n">
        <v>419.42</v>
      </c>
      <c r="F637" s="84" t="n">
        <v>0</v>
      </c>
      <c r="G637" s="84" t="n">
        <v>18337.48</v>
      </c>
      <c r="H637" s="84" t="inlineStr"/>
      <c r="I637" s="84" t="inlineStr">
        <is>
          <t>HSL</t>
        </is>
      </c>
      <c r="J637" s="84" t="inlineStr">
        <is>
          <t>HDFC Securities - Buy</t>
        </is>
      </c>
      <c r="K637" s="84" t="inlineStr">
        <is>
          <t>HDFC Securities</t>
        </is>
      </c>
      <c r="L637" s="32" t="n">
        <v>0.97</v>
      </c>
      <c r="M637" s="84" t="inlineStr">
        <is>
          <t>[MATCH]</t>
        </is>
      </c>
    </row>
    <row r="638">
      <c r="A638" s="97" t="n">
        <v>45659</v>
      </c>
      <c r="B638" s="98" t="inlineStr">
        <is>
          <t>FT- 596476875-50200085415108 - HDFC SECURITIES LTD-CLIENT DSCNB A/C -</t>
        </is>
      </c>
      <c r="C638" s="98" t="inlineStr">
        <is>
          <t>0000000894520930</t>
        </is>
      </c>
      <c r="D638" s="97" t="n">
        <v>45659</v>
      </c>
      <c r="E638" s="98" t="n">
        <v>0</v>
      </c>
      <c r="F638" s="98" t="n">
        <v>1992.67</v>
      </c>
      <c r="G638" s="98" t="n">
        <v>20330.15</v>
      </c>
      <c r="H638" s="98" t="inlineStr"/>
      <c r="I638" s="98" t="inlineStr">
        <is>
          <t>HDFC Sec</t>
        </is>
      </c>
      <c r="J638" s="98" t="inlineStr">
        <is>
          <t>HDFC Securities - Settlement</t>
        </is>
      </c>
      <c r="K638" s="98" t="inlineStr">
        <is>
          <t>HDFC Securities</t>
        </is>
      </c>
      <c r="L638" s="35" t="n">
        <v>0.93</v>
      </c>
      <c r="M638" s="98" t="inlineStr">
        <is>
          <t>[DIFF]</t>
        </is>
      </c>
    </row>
    <row r="639">
      <c r="A639" s="83" t="n">
        <v>45659</v>
      </c>
      <c r="B639" s="84" t="inlineStr">
        <is>
          <t>NET PI TO HSL SEC A/C 523686-00602340029434</t>
        </is>
      </c>
      <c r="C639" s="84" t="inlineStr">
        <is>
          <t>0000000596618890</t>
        </is>
      </c>
      <c r="D639" s="83" t="n">
        <v>45659</v>
      </c>
      <c r="E639" s="84" t="n">
        <v>419.42</v>
      </c>
      <c r="F639" s="84" t="n">
        <v>0</v>
      </c>
      <c r="G639" s="84" t="n">
        <v>19910.73</v>
      </c>
      <c r="H639" s="84" t="inlineStr"/>
      <c r="I639" s="84" t="inlineStr">
        <is>
          <t>HSL</t>
        </is>
      </c>
      <c r="J639" s="84" t="inlineStr">
        <is>
          <t>HDFC Securities - Buy</t>
        </is>
      </c>
      <c r="K639" s="84" t="inlineStr">
        <is>
          <t>HDFC Securities</t>
        </is>
      </c>
      <c r="L639" s="32" t="n">
        <v>0.97</v>
      </c>
      <c r="M639" s="84" t="inlineStr">
        <is>
          <t>[MATCH]</t>
        </is>
      </c>
    </row>
    <row r="640">
      <c r="A640" s="62" t="n">
        <v>45659</v>
      </c>
      <c r="B640" s="63" t="inlineStr">
        <is>
          <t>01671000085930-TPT-TRANSFER FROM AJAY-AJAY KUMAR GUPTA</t>
        </is>
      </c>
      <c r="C640" s="63" t="inlineStr">
        <is>
          <t>0000000255304792</t>
        </is>
      </c>
      <c r="D640" s="62" t="n">
        <v>45659</v>
      </c>
      <c r="E640" s="63" t="n">
        <v>0</v>
      </c>
      <c r="F640" s="63" t="n">
        <v>100000</v>
      </c>
      <c r="G640" s="63" t="n">
        <v>119910.73</v>
      </c>
      <c r="H640" s="63" t="inlineStr"/>
      <c r="I640" s="63" t="inlineStr">
        <is>
          <t>Transfer by Ajay</t>
        </is>
      </c>
      <c r="J640" s="63" t="inlineStr">
        <is>
          <t>Received - Ajay Gupta</t>
        </is>
      </c>
      <c r="K640" s="63" t="inlineStr">
        <is>
          <t>Ajay Gupta</t>
        </is>
      </c>
      <c r="L640" s="35" t="n">
        <v>0.88</v>
      </c>
      <c r="M640" s="63" t="inlineStr">
        <is>
          <t>[DIFF]</t>
        </is>
      </c>
    </row>
    <row r="641">
      <c r="A641" s="97" t="n">
        <v>45660</v>
      </c>
      <c r="B641" s="98" t="inlineStr">
        <is>
          <t>FT- 596877830-50200085415108 - HDFC SECURITIES LTD-CLIENT DSCNB A/C -</t>
        </is>
      </c>
      <c r="C641" s="98" t="inlineStr">
        <is>
          <t>0000000895887386</t>
        </is>
      </c>
      <c r="D641" s="97" t="n">
        <v>45660</v>
      </c>
      <c r="E641" s="98" t="n">
        <v>0</v>
      </c>
      <c r="F641" s="98" t="n">
        <v>20756.78</v>
      </c>
      <c r="G641" s="98" t="n">
        <v>140667.51</v>
      </c>
      <c r="H641" s="98" t="inlineStr"/>
      <c r="I641" s="98" t="inlineStr">
        <is>
          <t>HDFC Sec</t>
        </is>
      </c>
      <c r="J641" s="98" t="inlineStr">
        <is>
          <t>HDFC Securities - Settlement</t>
        </is>
      </c>
      <c r="K641" s="98" t="inlineStr">
        <is>
          <t>HDFC Securities</t>
        </is>
      </c>
      <c r="L641" s="35" t="n">
        <v>0.93</v>
      </c>
      <c r="M641" s="98" t="inlineStr">
        <is>
          <t>[DIFF]</t>
        </is>
      </c>
    </row>
    <row r="642">
      <c r="A642" s="83" t="n">
        <v>45660</v>
      </c>
      <c r="B642" s="84" t="inlineStr">
        <is>
          <t>NET PI TO HSL SEC A/C 523686-00602340029434</t>
        </is>
      </c>
      <c r="C642" s="84" t="inlineStr">
        <is>
          <t>0000000597045165</t>
        </is>
      </c>
      <c r="D642" s="83" t="n">
        <v>45660</v>
      </c>
      <c r="E642" s="84" t="n">
        <v>420.13</v>
      </c>
      <c r="F642" s="84" t="n">
        <v>0</v>
      </c>
      <c r="G642" s="84" t="n">
        <v>140247.38</v>
      </c>
      <c r="H642" s="84" t="inlineStr"/>
      <c r="I642" s="84" t="inlineStr">
        <is>
          <t>HSL</t>
        </is>
      </c>
      <c r="J642" s="84" t="inlineStr">
        <is>
          <t>HDFC Securities - Buy</t>
        </is>
      </c>
      <c r="K642" s="84" t="inlineStr">
        <is>
          <t>HDFC Securities</t>
        </is>
      </c>
      <c r="L642" s="32" t="n">
        <v>0.97</v>
      </c>
      <c r="M642" s="84" t="inlineStr">
        <is>
          <t>[MATCH]</t>
        </is>
      </c>
    </row>
    <row r="643">
      <c r="A643" s="83" t="n">
        <v>45660</v>
      </c>
      <c r="B643" s="84" t="inlineStr">
        <is>
          <t>NET PI TO HSL SEC A/C 523686-00602340029434</t>
        </is>
      </c>
      <c r="C643" s="84" t="inlineStr">
        <is>
          <t>0000000597251501</t>
        </is>
      </c>
      <c r="D643" s="83" t="n">
        <v>45660</v>
      </c>
      <c r="E643" s="84" t="n">
        <v>4805.21</v>
      </c>
      <c r="F643" s="84" t="n">
        <v>0</v>
      </c>
      <c r="G643" s="84" t="n">
        <v>135442.17</v>
      </c>
      <c r="H643" s="84" t="inlineStr"/>
      <c r="I643" s="84" t="inlineStr">
        <is>
          <t>HSL</t>
        </is>
      </c>
      <c r="J643" s="84" t="inlineStr">
        <is>
          <t>HDFC Securities - Buy</t>
        </is>
      </c>
      <c r="K643" s="84" t="inlineStr">
        <is>
          <t>HDFC Securities</t>
        </is>
      </c>
      <c r="L643" s="32" t="n">
        <v>0.97</v>
      </c>
      <c r="M643" s="84" t="inlineStr">
        <is>
          <t>[MATCH]</t>
        </is>
      </c>
    </row>
    <row r="644">
      <c r="A644" s="33" t="n">
        <v>45661</v>
      </c>
      <c r="B644" s="34" t="inlineStr">
        <is>
          <t>NEFT CR-SBIN0004266-SBI GENERAL INSURANCE CO LTDSBI GEN-SUNITA GUPTA 0000000002717756-SBIN225004018693</t>
        </is>
      </c>
      <c r="C644" s="34" t="inlineStr">
        <is>
          <t>SBIN225004018693</t>
        </is>
      </c>
      <c r="D644" s="33" t="n">
        <v>45661</v>
      </c>
      <c r="E644" s="34" t="n">
        <v>0</v>
      </c>
      <c r="F644" s="34" t="n">
        <v>11832</v>
      </c>
      <c r="G644" s="34" t="n">
        <v>147274.17</v>
      </c>
      <c r="H644" s="34" t="inlineStr"/>
      <c r="I644" s="34" t="inlineStr">
        <is>
          <t>Rental Income</t>
        </is>
      </c>
      <c r="J644" s="34" t="inlineStr">
        <is>
          <t>Received - Sunita Gupta</t>
        </is>
      </c>
      <c r="K644" s="34" t="inlineStr">
        <is>
          <t>Sunita Gupta</t>
        </is>
      </c>
      <c r="L644" s="35" t="n">
        <v>0.88</v>
      </c>
      <c r="M644" s="34" t="inlineStr">
        <is>
          <t>[DIFF]</t>
        </is>
      </c>
    </row>
    <row r="645">
      <c r="A645" s="83" t="n">
        <v>45663</v>
      </c>
      <c r="B645" s="84" t="inlineStr">
        <is>
          <t>NET PI TO HSL SEC A/C 523686-00602340029434</t>
        </is>
      </c>
      <c r="C645" s="84" t="inlineStr">
        <is>
          <t>0000000597648313</t>
        </is>
      </c>
      <c r="D645" s="83" t="n">
        <v>45663</v>
      </c>
      <c r="E645" s="84" t="n">
        <v>1238.55</v>
      </c>
      <c r="F645" s="84" t="n">
        <v>0</v>
      </c>
      <c r="G645" s="84" t="n">
        <v>146035.62</v>
      </c>
      <c r="H645" s="84" t="inlineStr"/>
      <c r="I645" s="84" t="inlineStr">
        <is>
          <t>HSL</t>
        </is>
      </c>
      <c r="J645" s="84" t="inlineStr">
        <is>
          <t>HDFC Securities - Buy</t>
        </is>
      </c>
      <c r="K645" s="84" t="inlineStr">
        <is>
          <t>HDFC Securities</t>
        </is>
      </c>
      <c r="L645" s="32" t="n">
        <v>0.97</v>
      </c>
      <c r="M645" s="84" t="inlineStr">
        <is>
          <t>[MATCH]</t>
        </is>
      </c>
    </row>
    <row r="646">
      <c r="A646" s="103" t="n">
        <v>45663</v>
      </c>
      <c r="B646" s="104" t="inlineStr">
        <is>
          <t>NEFT DR-CBIN0281641-MEGHA GUPTA-NETBANK, MUM-N006253497197898-EXPENSES FOR EVENT</t>
        </is>
      </c>
      <c r="C646" s="104" t="inlineStr">
        <is>
          <t>N006253497197898</t>
        </is>
      </c>
      <c r="D646" s="103" t="n">
        <v>45663</v>
      </c>
      <c r="E646" s="104" t="n">
        <v>50000</v>
      </c>
      <c r="F646" s="104" t="n">
        <v>0</v>
      </c>
      <c r="G646" s="104" t="n">
        <v>96035.62</v>
      </c>
      <c r="H646" s="104" t="inlineStr"/>
      <c r="I646" s="104" t="inlineStr">
        <is>
          <t>Shaadi Kharcha</t>
        </is>
      </c>
      <c r="J646" s="104" t="inlineStr">
        <is>
          <t>Transfer - Megha Gupta</t>
        </is>
      </c>
      <c r="K646" s="104" t="inlineStr">
        <is>
          <t>Megha Gupta</t>
        </is>
      </c>
      <c r="L646" s="35" t="n">
        <v>0.85</v>
      </c>
      <c r="M646" s="104" t="inlineStr">
        <is>
          <t>[DIFF]</t>
        </is>
      </c>
    </row>
    <row r="647">
      <c r="A647" s="83" t="n">
        <v>45663</v>
      </c>
      <c r="B647" s="84" t="inlineStr">
        <is>
          <t>NET PI TO HSL SEC A/C 523686-00602340029434</t>
        </is>
      </c>
      <c r="C647" s="84" t="inlineStr">
        <is>
          <t>0000000597892509</t>
        </is>
      </c>
      <c r="D647" s="83" t="n">
        <v>45663</v>
      </c>
      <c r="E647" s="84" t="n">
        <v>28608.17</v>
      </c>
      <c r="F647" s="84" t="n">
        <v>0</v>
      </c>
      <c r="G647" s="84" t="n">
        <v>67427.45</v>
      </c>
      <c r="H647" s="84" t="inlineStr"/>
      <c r="I647" s="84" t="inlineStr">
        <is>
          <t>HSL</t>
        </is>
      </c>
      <c r="J647" s="84" t="inlineStr">
        <is>
          <t>HDFC Securities - Buy</t>
        </is>
      </c>
      <c r="K647" s="84" t="inlineStr">
        <is>
          <t>HDFC Securities</t>
        </is>
      </c>
      <c r="L647" s="32" t="n">
        <v>0.97</v>
      </c>
      <c r="M647" s="84" t="inlineStr">
        <is>
          <t>[MATCH]</t>
        </is>
      </c>
    </row>
    <row r="648">
      <c r="A648" s="83" t="n">
        <v>45664</v>
      </c>
      <c r="B648" s="84" t="inlineStr">
        <is>
          <t>NET PI TO HSL SEC A/C 523686-00602340029434</t>
        </is>
      </c>
      <c r="C648" s="84" t="inlineStr">
        <is>
          <t>0000000598202343</t>
        </is>
      </c>
      <c r="D648" s="83" t="n">
        <v>45664</v>
      </c>
      <c r="E648" s="84" t="n">
        <v>402.67</v>
      </c>
      <c r="F648" s="84" t="n">
        <v>0</v>
      </c>
      <c r="G648" s="84" t="n">
        <v>67024.78</v>
      </c>
      <c r="H648" s="84" t="inlineStr"/>
      <c r="I648" s="84" t="inlineStr">
        <is>
          <t>HSL</t>
        </is>
      </c>
      <c r="J648" s="84" t="inlineStr">
        <is>
          <t>HDFC Securities - Buy</t>
        </is>
      </c>
      <c r="K648" s="84" t="inlineStr">
        <is>
          <t>HDFC Securities</t>
        </is>
      </c>
      <c r="L648" s="32" t="n">
        <v>0.97</v>
      </c>
      <c r="M648" s="84" t="inlineStr">
        <is>
          <t>[MATCH]</t>
        </is>
      </c>
    </row>
    <row r="649">
      <c r="A649" s="33" t="n">
        <v>45664</v>
      </c>
      <c r="B649" s="34" t="inlineStr">
        <is>
          <t>NEFT CR-SBIN0004266-SBI GENERAL INSURANCE CO LTDSBI GEN-SUNITA GUPTA 0000000002717756-SBIN125007600924</t>
        </is>
      </c>
      <c r="C649" s="34" t="inlineStr">
        <is>
          <t>SBIN125007600924</t>
        </is>
      </c>
      <c r="D649" s="33" t="n">
        <v>45664</v>
      </c>
      <c r="E649" s="34" t="n">
        <v>0</v>
      </c>
      <c r="F649" s="34" t="n">
        <v>34220</v>
      </c>
      <c r="G649" s="34" t="n">
        <v>101244.78</v>
      </c>
      <c r="H649" s="34" t="inlineStr"/>
      <c r="I649" s="34" t="inlineStr">
        <is>
          <t>Rental Income</t>
        </is>
      </c>
      <c r="J649" s="34" t="inlineStr">
        <is>
          <t>Received - Sunita Gupta</t>
        </is>
      </c>
      <c r="K649" s="34" t="inlineStr">
        <is>
          <t>Sunita Gupta</t>
        </is>
      </c>
      <c r="L649" s="35" t="n">
        <v>0.88</v>
      </c>
      <c r="M649" s="34" t="inlineStr">
        <is>
          <t>[DIFF]</t>
        </is>
      </c>
    </row>
    <row r="650">
      <c r="A650" s="97" t="n">
        <v>45665</v>
      </c>
      <c r="B650" s="98" t="inlineStr">
        <is>
          <t>FT- 598464901-50200085415108 - HDFC SECURITIES LTD-CLIENT DSCNB A/C -</t>
        </is>
      </c>
      <c r="C650" s="98" t="inlineStr">
        <is>
          <t>0000000903580821</t>
        </is>
      </c>
      <c r="D650" s="97" t="n">
        <v>45665</v>
      </c>
      <c r="E650" s="98" t="n">
        <v>0</v>
      </c>
      <c r="F650" s="98" t="n">
        <v>9537.74</v>
      </c>
      <c r="G650" s="98" t="n">
        <v>110782.52</v>
      </c>
      <c r="H650" s="98" t="inlineStr"/>
      <c r="I650" s="98" t="inlineStr">
        <is>
          <t>HDFC Sec</t>
        </is>
      </c>
      <c r="J650" s="98" t="inlineStr">
        <is>
          <t>HDFC Securities - Settlement</t>
        </is>
      </c>
      <c r="K650" s="98" t="inlineStr">
        <is>
          <t>HDFC Securities</t>
        </is>
      </c>
      <c r="L650" s="35" t="n">
        <v>0.93</v>
      </c>
      <c r="M650" s="98" t="inlineStr">
        <is>
          <t>[DIFF]</t>
        </is>
      </c>
    </row>
    <row r="651">
      <c r="A651" s="83" t="n">
        <v>45665</v>
      </c>
      <c r="B651" s="84" t="inlineStr">
        <is>
          <t>NET PI TO HSL SEC A/C 523686-00602340029434</t>
        </is>
      </c>
      <c r="C651" s="84" t="inlineStr">
        <is>
          <t>0000000598609135</t>
        </is>
      </c>
      <c r="D651" s="83" t="n">
        <v>45665</v>
      </c>
      <c r="E651" s="84" t="n">
        <v>402.67</v>
      </c>
      <c r="F651" s="84" t="n">
        <v>0</v>
      </c>
      <c r="G651" s="84" t="n">
        <v>110379.85</v>
      </c>
      <c r="H651" s="84" t="inlineStr"/>
      <c r="I651" s="84" t="inlineStr">
        <is>
          <t>HSL</t>
        </is>
      </c>
      <c r="J651" s="84" t="inlineStr">
        <is>
          <t>HDFC Securities - Buy</t>
        </is>
      </c>
      <c r="K651" s="84" t="inlineStr">
        <is>
          <t>HDFC Securities</t>
        </is>
      </c>
      <c r="L651" s="32" t="n">
        <v>0.97</v>
      </c>
      <c r="M651" s="84" t="inlineStr">
        <is>
          <t>[MATCH]</t>
        </is>
      </c>
    </row>
    <row r="652">
      <c r="A652" s="83" t="n">
        <v>45665</v>
      </c>
      <c r="B652" s="84" t="inlineStr">
        <is>
          <t>NET PI TO HSL SEC A/C 523686-00602340029434</t>
        </is>
      </c>
      <c r="C652" s="84" t="inlineStr">
        <is>
          <t>0000000598774703</t>
        </is>
      </c>
      <c r="D652" s="83" t="n">
        <v>45665</v>
      </c>
      <c r="E652" s="84" t="n">
        <v>5884.13</v>
      </c>
      <c r="F652" s="84" t="n">
        <v>0</v>
      </c>
      <c r="G652" s="84" t="n">
        <v>104495.72</v>
      </c>
      <c r="H652" s="84" t="inlineStr"/>
      <c r="I652" s="84" t="inlineStr">
        <is>
          <t>HSL</t>
        </is>
      </c>
      <c r="J652" s="84" t="inlineStr">
        <is>
          <t>HDFC Securities - Buy</t>
        </is>
      </c>
      <c r="K652" s="84" t="inlineStr">
        <is>
          <t>HDFC Securities</t>
        </is>
      </c>
      <c r="L652" s="32" t="n">
        <v>0.97</v>
      </c>
      <c r="M652" s="84" t="inlineStr">
        <is>
          <t>[MATCH]</t>
        </is>
      </c>
    </row>
    <row r="653">
      <c r="A653" s="83" t="n">
        <v>45666</v>
      </c>
      <c r="B653" s="84" t="inlineStr">
        <is>
          <t>NET PI TO HSL SEC A/C 523686-00602340029434</t>
        </is>
      </c>
      <c r="C653" s="84" t="inlineStr">
        <is>
          <t>0000000599038372</t>
        </is>
      </c>
      <c r="D653" s="83" t="n">
        <v>45666</v>
      </c>
      <c r="E653" s="84" t="n">
        <v>403.97</v>
      </c>
      <c r="F653" s="84" t="n">
        <v>0</v>
      </c>
      <c r="G653" s="84" t="n">
        <v>104091.75</v>
      </c>
      <c r="H653" s="84" t="inlineStr"/>
      <c r="I653" s="84" t="inlineStr">
        <is>
          <t>HSL</t>
        </is>
      </c>
      <c r="J653" s="84" t="inlineStr">
        <is>
          <t>HDFC Securities - Buy</t>
        </is>
      </c>
      <c r="K653" s="84" t="inlineStr">
        <is>
          <t>HDFC Securities</t>
        </is>
      </c>
      <c r="L653" s="32" t="n">
        <v>0.97</v>
      </c>
      <c r="M653" s="84" t="inlineStr">
        <is>
          <t>[MATCH]</t>
        </is>
      </c>
    </row>
    <row r="654">
      <c r="A654" s="83" t="n">
        <v>45666</v>
      </c>
      <c r="B654" s="84" t="inlineStr">
        <is>
          <t>NET PI TO HSL SEC A/C 523686-00602340029434</t>
        </is>
      </c>
      <c r="C654" s="84" t="inlineStr">
        <is>
          <t>0000000599232533</t>
        </is>
      </c>
      <c r="D654" s="83" t="n">
        <v>45666</v>
      </c>
      <c r="E654" s="84" t="n">
        <v>8119.52</v>
      </c>
      <c r="F654" s="84" t="n">
        <v>0</v>
      </c>
      <c r="G654" s="84" t="n">
        <v>95972.23</v>
      </c>
      <c r="H654" s="84" t="inlineStr"/>
      <c r="I654" s="84" t="inlineStr">
        <is>
          <t>HSL</t>
        </is>
      </c>
      <c r="J654" s="84" t="inlineStr">
        <is>
          <t>HDFC Securities - Buy</t>
        </is>
      </c>
      <c r="K654" s="84" t="inlineStr">
        <is>
          <t>HDFC Securities</t>
        </is>
      </c>
      <c r="L654" s="32" t="n">
        <v>0.97</v>
      </c>
      <c r="M654" s="84" t="inlineStr">
        <is>
          <t>[MATCH]</t>
        </is>
      </c>
    </row>
    <row r="655">
      <c r="A655" s="30" t="n">
        <v>45667</v>
      </c>
      <c r="B655" s="31" t="inlineStr">
        <is>
          <t>ATW-498792XXXXXX0500-S1ANRS37-KOTA</t>
        </is>
      </c>
      <c r="C655" s="31" t="inlineStr">
        <is>
          <t>0000000000003380</t>
        </is>
      </c>
      <c r="D655" s="30" t="n">
        <v>45667</v>
      </c>
      <c r="E655" s="31" t="n">
        <v>20000</v>
      </c>
      <c r="F655" s="31" t="n">
        <v>0</v>
      </c>
      <c r="G655" s="31" t="n">
        <v>75972.23</v>
      </c>
      <c r="H655" s="31" t="inlineStr"/>
      <c r="I655" s="31" t="inlineStr">
        <is>
          <t>ATM Withdrawal</t>
        </is>
      </c>
      <c r="J655" s="31" t="inlineStr">
        <is>
          <t>Cash Withdrawal</t>
        </is>
      </c>
      <c r="K655" s="31" t="inlineStr">
        <is>
          <t>Cash</t>
        </is>
      </c>
      <c r="L655" s="32" t="n">
        <v>0.92</v>
      </c>
      <c r="M655" s="31" t="inlineStr">
        <is>
          <t>[MATCH]</t>
        </is>
      </c>
    </row>
    <row r="656">
      <c r="A656" s="83" t="n">
        <v>45667</v>
      </c>
      <c r="B656" s="84" t="inlineStr">
        <is>
          <t>NET PI TO HSL SEC A/C 523686-00602340029434</t>
        </is>
      </c>
      <c r="C656" s="84" t="inlineStr">
        <is>
          <t>0000000599513072</t>
        </is>
      </c>
      <c r="D656" s="83" t="n">
        <v>45667</v>
      </c>
      <c r="E656" s="84" t="n">
        <v>401.07</v>
      </c>
      <c r="F656" s="84" t="n">
        <v>0</v>
      </c>
      <c r="G656" s="84" t="n">
        <v>75571.16</v>
      </c>
      <c r="H656" s="84" t="inlineStr"/>
      <c r="I656" s="84" t="inlineStr">
        <is>
          <t>HSL</t>
        </is>
      </c>
      <c r="J656" s="84" t="inlineStr">
        <is>
          <t>HDFC Securities - Buy</t>
        </is>
      </c>
      <c r="K656" s="84" t="inlineStr">
        <is>
          <t>HDFC Securities</t>
        </is>
      </c>
      <c r="L656" s="32" t="n">
        <v>0.97</v>
      </c>
      <c r="M656" s="84" t="inlineStr">
        <is>
          <t>[MATCH]</t>
        </is>
      </c>
    </row>
    <row r="657">
      <c r="A657" s="83" t="n">
        <v>45667</v>
      </c>
      <c r="B657" s="84" t="inlineStr">
        <is>
          <t>NET PI TO HSL SEC A/C 523686-00602340029434</t>
        </is>
      </c>
      <c r="C657" s="84" t="inlineStr">
        <is>
          <t>0000000599717217</t>
        </is>
      </c>
      <c r="D657" s="83" t="n">
        <v>45667</v>
      </c>
      <c r="E657" s="84" t="n">
        <v>19082.76</v>
      </c>
      <c r="F657" s="84" t="n">
        <v>0</v>
      </c>
      <c r="G657" s="84" t="n">
        <v>56488.4</v>
      </c>
      <c r="H657" s="84" t="inlineStr"/>
      <c r="I657" s="84" t="inlineStr">
        <is>
          <t>HSL</t>
        </is>
      </c>
      <c r="J657" s="84" t="inlineStr">
        <is>
          <t>HDFC Securities - Buy</t>
        </is>
      </c>
      <c r="K657" s="84" t="inlineStr">
        <is>
          <t>HDFC Securities</t>
        </is>
      </c>
      <c r="L657" s="32" t="n">
        <v>0.97</v>
      </c>
      <c r="M657" s="84" t="inlineStr">
        <is>
          <t>[MATCH]</t>
        </is>
      </c>
    </row>
    <row r="658">
      <c r="A658" s="83" t="n">
        <v>45670</v>
      </c>
      <c r="B658" s="84" t="inlineStr">
        <is>
          <t>NET PI TO HSL SEC A/C 523686-00602340029434</t>
        </is>
      </c>
      <c r="C658" s="84" t="inlineStr">
        <is>
          <t>0000000600020713</t>
        </is>
      </c>
      <c r="D658" s="83" t="n">
        <v>45670</v>
      </c>
      <c r="E658" s="84" t="n">
        <v>1182.84</v>
      </c>
      <c r="F658" s="84" t="n">
        <v>0</v>
      </c>
      <c r="G658" s="84" t="n">
        <v>55305.56</v>
      </c>
      <c r="H658" s="84" t="inlineStr"/>
      <c r="I658" s="84" t="inlineStr">
        <is>
          <t>HSL</t>
        </is>
      </c>
      <c r="J658" s="84" t="inlineStr">
        <is>
          <t>HDFC Securities - Buy</t>
        </is>
      </c>
      <c r="K658" s="84" t="inlineStr">
        <is>
          <t>HDFC Securities</t>
        </is>
      </c>
      <c r="L658" s="32" t="n">
        <v>0.97</v>
      </c>
      <c r="M658" s="84" t="inlineStr">
        <is>
          <t>[MATCH]</t>
        </is>
      </c>
    </row>
    <row r="659">
      <c r="A659" s="89" t="n">
        <v>45670</v>
      </c>
      <c r="B659" s="90" t="inlineStr">
        <is>
          <t>DEPOSITORY CHARGES DEC24 - 41060499</t>
        </is>
      </c>
      <c r="C659" s="90" t="inlineStr">
        <is>
          <t>000000000000000</t>
        </is>
      </c>
      <c r="D659" s="89" t="n">
        <v>45670</v>
      </c>
      <c r="E659" s="90" t="n">
        <v>672.6</v>
      </c>
      <c r="F659" s="90" t="n">
        <v>0</v>
      </c>
      <c r="G659" s="90" t="n">
        <v>54632.96</v>
      </c>
      <c r="H659" s="90" t="inlineStr"/>
      <c r="I659" s="90" t="inlineStr">
        <is>
          <t>Depository Charges</t>
        </is>
      </c>
      <c r="J659" s="90" t="inlineStr">
        <is>
          <t>Depository Charges</t>
        </is>
      </c>
      <c r="K659" s="90" t="inlineStr">
        <is>
          <t>Depository Charges</t>
        </is>
      </c>
      <c r="L659" s="32" t="n">
        <v>0.93</v>
      </c>
      <c r="M659" s="90" t="inlineStr">
        <is>
          <t>[MATCH]</t>
        </is>
      </c>
    </row>
    <row r="660">
      <c r="A660" s="83" t="n">
        <v>45670</v>
      </c>
      <c r="B660" s="84" t="inlineStr">
        <is>
          <t>NET PI TO HSL SEC A/C 523686-00602340029434</t>
        </is>
      </c>
      <c r="C660" s="84" t="inlineStr">
        <is>
          <t>0000000600267015</t>
        </is>
      </c>
      <c r="D660" s="83" t="n">
        <v>45670</v>
      </c>
      <c r="E660" s="84" t="n">
        <v>34962.56</v>
      </c>
      <c r="F660" s="84" t="n">
        <v>0</v>
      </c>
      <c r="G660" s="84" t="n">
        <v>19670.4</v>
      </c>
      <c r="H660" s="84" t="inlineStr"/>
      <c r="I660" s="84" t="inlineStr">
        <is>
          <t>HSL</t>
        </is>
      </c>
      <c r="J660" s="84" t="inlineStr">
        <is>
          <t>HDFC Securities - Buy</t>
        </is>
      </c>
      <c r="K660" s="84" t="inlineStr">
        <is>
          <t>HDFC Securities</t>
        </is>
      </c>
      <c r="L660" s="32" t="n">
        <v>0.97</v>
      </c>
      <c r="M660" s="84" t="inlineStr">
        <is>
          <t>[MATCH]</t>
        </is>
      </c>
    </row>
    <row r="661">
      <c r="A661" s="83" t="n">
        <v>45671</v>
      </c>
      <c r="B661" s="84" t="inlineStr">
        <is>
          <t>NET PI TO HSL SEC A/C 523686-00602340029434</t>
        </is>
      </c>
      <c r="C661" s="84" t="inlineStr">
        <is>
          <t>0000000600553490</t>
        </is>
      </c>
      <c r="D661" s="83" t="n">
        <v>45671</v>
      </c>
      <c r="E661" s="84" t="n">
        <v>381.83</v>
      </c>
      <c r="F661" s="84" t="n">
        <v>0</v>
      </c>
      <c r="G661" s="84" t="n">
        <v>19288.57</v>
      </c>
      <c r="H661" s="84" t="inlineStr"/>
      <c r="I661" s="84" t="inlineStr">
        <is>
          <t>HSL</t>
        </is>
      </c>
      <c r="J661" s="84" t="inlineStr">
        <is>
          <t>HDFC Securities - Buy</t>
        </is>
      </c>
      <c r="K661" s="84" t="inlineStr">
        <is>
          <t>HDFC Securities</t>
        </is>
      </c>
      <c r="L661" s="32" t="n">
        <v>0.97</v>
      </c>
      <c r="M661" s="84" t="inlineStr">
        <is>
          <t>[MATCH]</t>
        </is>
      </c>
    </row>
    <row r="662">
      <c r="A662" s="97" t="n">
        <v>45672</v>
      </c>
      <c r="B662" s="98" t="inlineStr">
        <is>
          <t>FT- 600825987-50200085415108 - HDFC SECURITIES LTD-CLIENT DSCNB A/C -</t>
        </is>
      </c>
      <c r="C662" s="98" t="inlineStr">
        <is>
          <t>0000000912382805</t>
        </is>
      </c>
      <c r="D662" s="97" t="n">
        <v>45672</v>
      </c>
      <c r="E662" s="98" t="n">
        <v>0</v>
      </c>
      <c r="F662" s="98" t="n">
        <v>24711.87</v>
      </c>
      <c r="G662" s="98" t="n">
        <v>44000.44</v>
      </c>
      <c r="H662" s="98" t="inlineStr"/>
      <c r="I662" s="98" t="inlineStr">
        <is>
          <t>HDFC Sec</t>
        </is>
      </c>
      <c r="J662" s="98" t="inlineStr">
        <is>
          <t>HDFC Securities - Settlement</t>
        </is>
      </c>
      <c r="K662" s="98" t="inlineStr">
        <is>
          <t>HDFC Securities</t>
        </is>
      </c>
      <c r="L662" s="35" t="n">
        <v>0.93</v>
      </c>
      <c r="M662" s="98" t="inlineStr">
        <is>
          <t>[DIFF]</t>
        </is>
      </c>
    </row>
    <row r="663">
      <c r="A663" s="28" t="n">
        <v>45672</v>
      </c>
      <c r="B663" s="29" t="inlineStr">
        <is>
          <t>ACH D- TP ACH INDIANESIGN-1689209396</t>
        </is>
      </c>
      <c r="C663" s="29" t="inlineStr">
        <is>
          <t>0000003459664940</t>
        </is>
      </c>
      <c r="D663" s="28" t="n">
        <v>45672</v>
      </c>
      <c r="E663" s="29" t="n">
        <v>5000</v>
      </c>
      <c r="F663" s="29" t="n">
        <v>0</v>
      </c>
      <c r="G663" s="29" t="n">
        <v>39000.44</v>
      </c>
      <c r="H663" s="29" t="inlineStr"/>
      <c r="I663" s="29" t="inlineStr">
        <is>
          <t>SIP  - 5000</t>
        </is>
      </c>
      <c r="J663" s="29" t="inlineStr">
        <is>
          <t>SIP</t>
        </is>
      </c>
      <c r="K663" s="29" t="inlineStr">
        <is>
          <t>SIP</t>
        </is>
      </c>
      <c r="L663" s="35" t="n">
        <v>0.95</v>
      </c>
      <c r="M663" s="29" t="inlineStr">
        <is>
          <t>[DIFF]</t>
        </is>
      </c>
    </row>
    <row r="664">
      <c r="A664" s="83" t="n">
        <v>45672</v>
      </c>
      <c r="B664" s="84" t="inlineStr">
        <is>
          <t>NET PI TO HSL SEC A/C 523686-00602340029434</t>
        </is>
      </c>
      <c r="C664" s="84" t="inlineStr">
        <is>
          <t>0000000600977148</t>
        </is>
      </c>
      <c r="D664" s="83" t="n">
        <v>45672</v>
      </c>
      <c r="E664" s="84" t="n">
        <v>381.83</v>
      </c>
      <c r="F664" s="84" t="n">
        <v>0</v>
      </c>
      <c r="G664" s="84" t="n">
        <v>38618.61</v>
      </c>
      <c r="H664" s="84" t="inlineStr"/>
      <c r="I664" s="84" t="inlineStr">
        <is>
          <t>HSL</t>
        </is>
      </c>
      <c r="J664" s="84" t="inlineStr">
        <is>
          <t>HDFC Securities - Buy</t>
        </is>
      </c>
      <c r="K664" s="84" t="inlineStr">
        <is>
          <t>HDFC Securities</t>
        </is>
      </c>
      <c r="L664" s="32" t="n">
        <v>0.97</v>
      </c>
      <c r="M664" s="84" t="inlineStr">
        <is>
          <t>[MATCH]</t>
        </is>
      </c>
    </row>
    <row r="665">
      <c r="A665" s="97" t="n">
        <v>45673</v>
      </c>
      <c r="B665" s="98" t="inlineStr">
        <is>
          <t>FT- 601273702-50200085415108 - HDFC SECURITIES LTD-CLIENT DSCNB A/C -</t>
        </is>
      </c>
      <c r="C665" s="98" t="inlineStr">
        <is>
          <t>0000000913436128</t>
        </is>
      </c>
      <c r="D665" s="97" t="n">
        <v>45673</v>
      </c>
      <c r="E665" s="98" t="n">
        <v>0</v>
      </c>
      <c r="F665" s="98" t="n">
        <v>1280.39</v>
      </c>
      <c r="G665" s="98" t="n">
        <v>39899</v>
      </c>
      <c r="H665" s="98" t="inlineStr"/>
      <c r="I665" s="98" t="inlineStr">
        <is>
          <t>HDFC Sec</t>
        </is>
      </c>
      <c r="J665" s="98" t="inlineStr">
        <is>
          <t>HDFC Securities - Settlement</t>
        </is>
      </c>
      <c r="K665" s="98" t="inlineStr">
        <is>
          <t>HDFC Securities</t>
        </is>
      </c>
      <c r="L665" s="35" t="n">
        <v>0.93</v>
      </c>
      <c r="M665" s="98" t="inlineStr">
        <is>
          <t>[DIFF]</t>
        </is>
      </c>
    </row>
    <row r="666">
      <c r="A666" s="83" t="n">
        <v>45673</v>
      </c>
      <c r="B666" s="84" t="inlineStr">
        <is>
          <t>NET PI TO HSL SEC A/C 523686-00602340029434</t>
        </is>
      </c>
      <c r="C666" s="84" t="inlineStr">
        <is>
          <t>0000000601416546</t>
        </is>
      </c>
      <c r="D666" s="83" t="n">
        <v>45673</v>
      </c>
      <c r="E666" s="84" t="n">
        <v>390.63</v>
      </c>
      <c r="F666" s="84" t="n">
        <v>0</v>
      </c>
      <c r="G666" s="84" t="n">
        <v>39508.37</v>
      </c>
      <c r="H666" s="84" t="inlineStr"/>
      <c r="I666" s="84" t="inlineStr">
        <is>
          <t>HSL</t>
        </is>
      </c>
      <c r="J666" s="84" t="inlineStr">
        <is>
          <t>HDFC Securities - Buy</t>
        </is>
      </c>
      <c r="K666" s="84" t="inlineStr">
        <is>
          <t>HDFC Securities</t>
        </is>
      </c>
      <c r="L666" s="32" t="n">
        <v>0.97</v>
      </c>
      <c r="M666" s="84" t="inlineStr">
        <is>
          <t>[MATCH]</t>
        </is>
      </c>
    </row>
    <row r="667">
      <c r="A667" s="97" t="n">
        <v>45674</v>
      </c>
      <c r="B667" s="98" t="inlineStr">
        <is>
          <t>FT- 601652980-50200085415108 - HDFC SECURITIES LTD-CLIENT DSCNB A/C -</t>
        </is>
      </c>
      <c r="C667" s="98" t="inlineStr">
        <is>
          <t>0000000914519428</t>
        </is>
      </c>
      <c r="D667" s="97" t="n">
        <v>45674</v>
      </c>
      <c r="E667" s="98" t="n">
        <v>0</v>
      </c>
      <c r="F667" s="98" t="n">
        <v>16238.56</v>
      </c>
      <c r="G667" s="98" t="n">
        <v>55746.93</v>
      </c>
      <c r="H667" s="98" t="inlineStr"/>
      <c r="I667" s="98" t="inlineStr">
        <is>
          <t>HDFC Sec</t>
        </is>
      </c>
      <c r="J667" s="98" t="inlineStr">
        <is>
          <t>HDFC Securities - Settlement</t>
        </is>
      </c>
      <c r="K667" s="98" t="inlineStr">
        <is>
          <t>HDFC Securities</t>
        </is>
      </c>
      <c r="L667" s="35" t="n">
        <v>0.93</v>
      </c>
      <c r="M667" s="98" t="inlineStr">
        <is>
          <t>[DIFF]</t>
        </is>
      </c>
    </row>
    <row r="668">
      <c r="A668" s="83" t="n">
        <v>45674</v>
      </c>
      <c r="B668" s="84" t="inlineStr">
        <is>
          <t>NET PI TO HSL SEC A/C 523686-00602340029434</t>
        </is>
      </c>
      <c r="C668" s="84" t="inlineStr">
        <is>
          <t>0000000601807532</t>
        </is>
      </c>
      <c r="D668" s="83" t="n">
        <v>45674</v>
      </c>
      <c r="E668" s="84" t="n">
        <v>391.08</v>
      </c>
      <c r="F668" s="84" t="n">
        <v>0</v>
      </c>
      <c r="G668" s="84" t="n">
        <v>55355.85</v>
      </c>
      <c r="H668" s="84" t="inlineStr"/>
      <c r="I668" s="84" t="inlineStr">
        <is>
          <t>HSL</t>
        </is>
      </c>
      <c r="J668" s="84" t="inlineStr">
        <is>
          <t>HDFC Securities - Buy</t>
        </is>
      </c>
      <c r="K668" s="84" t="inlineStr">
        <is>
          <t>HDFC Securities</t>
        </is>
      </c>
      <c r="L668" s="32" t="n">
        <v>0.97</v>
      </c>
      <c r="M668" s="84" t="inlineStr">
        <is>
          <t>[MATCH]</t>
        </is>
      </c>
    </row>
    <row r="669">
      <c r="A669" s="97" t="n">
        <v>45677</v>
      </c>
      <c r="B669" s="98" t="inlineStr">
        <is>
          <t>FT- 602049692-50200085415108 - HDFC SECURITIES LTD-CLIENT DSCNB A/C -</t>
        </is>
      </c>
      <c r="C669" s="98" t="inlineStr">
        <is>
          <t>0000000916737444</t>
        </is>
      </c>
      <c r="D669" s="97" t="n">
        <v>45677</v>
      </c>
      <c r="E669" s="98" t="n">
        <v>0</v>
      </c>
      <c r="F669" s="98" t="n">
        <v>1432.58</v>
      </c>
      <c r="G669" s="98" t="n">
        <v>56788.43</v>
      </c>
      <c r="H669" s="98" t="inlineStr"/>
      <c r="I669" s="98" t="inlineStr">
        <is>
          <t>HDFC Sec</t>
        </is>
      </c>
      <c r="J669" s="98" t="inlineStr">
        <is>
          <t>HDFC Securities - Settlement</t>
        </is>
      </c>
      <c r="K669" s="98" t="inlineStr">
        <is>
          <t>HDFC Securities</t>
        </is>
      </c>
      <c r="L669" s="35" t="n">
        <v>0.93</v>
      </c>
      <c r="M669" s="98" t="inlineStr">
        <is>
          <t>[DIFF]</t>
        </is>
      </c>
    </row>
    <row r="670">
      <c r="A670" s="83" t="n">
        <v>45677</v>
      </c>
      <c r="B670" s="84" t="inlineStr">
        <is>
          <t>NET PI TO HSL SEC A/C 523686-00602340029434</t>
        </is>
      </c>
      <c r="C670" s="84" t="inlineStr">
        <is>
          <t>0000000602224560</t>
        </is>
      </c>
      <c r="D670" s="83" t="n">
        <v>45677</v>
      </c>
      <c r="E670" s="84" t="n">
        <v>1190.61</v>
      </c>
      <c r="F670" s="84" t="n">
        <v>0</v>
      </c>
      <c r="G670" s="84" t="n">
        <v>55597.82</v>
      </c>
      <c r="H670" s="84" t="inlineStr"/>
      <c r="I670" s="84" t="inlineStr">
        <is>
          <t>HSL</t>
        </is>
      </c>
      <c r="J670" s="84" t="inlineStr">
        <is>
          <t>HDFC Securities - Buy</t>
        </is>
      </c>
      <c r="K670" s="84" t="inlineStr">
        <is>
          <t>HDFC Securities</t>
        </is>
      </c>
      <c r="L670" s="32" t="n">
        <v>0.97</v>
      </c>
      <c r="M670" s="84" t="inlineStr">
        <is>
          <t>[MATCH]</t>
        </is>
      </c>
    </row>
    <row r="671">
      <c r="A671" s="97" t="n">
        <v>45678</v>
      </c>
      <c r="B671" s="98" t="inlineStr">
        <is>
          <t>FT- 602479922-50200085415108 - HDFC SECURITIES LTD-CLIENT DSCNB A/C -</t>
        </is>
      </c>
      <c r="C671" s="98" t="inlineStr">
        <is>
          <t>0000000917759889</t>
        </is>
      </c>
      <c r="D671" s="97" t="n">
        <v>45678</v>
      </c>
      <c r="E671" s="98" t="n">
        <v>0</v>
      </c>
      <c r="F671" s="98" t="n">
        <v>1579.59</v>
      </c>
      <c r="G671" s="98" t="n">
        <v>57177.41</v>
      </c>
      <c r="H671" s="98" t="inlineStr"/>
      <c r="I671" s="98" t="inlineStr">
        <is>
          <t>HDFC Sec</t>
        </is>
      </c>
      <c r="J671" s="98" t="inlineStr">
        <is>
          <t>HDFC Securities - Settlement</t>
        </is>
      </c>
      <c r="K671" s="98" t="inlineStr">
        <is>
          <t>HDFC Securities</t>
        </is>
      </c>
      <c r="L671" s="35" t="n">
        <v>0.93</v>
      </c>
      <c r="M671" s="98" t="inlineStr">
        <is>
          <t>[DIFF]</t>
        </is>
      </c>
    </row>
    <row r="672">
      <c r="A672" s="83" t="n">
        <v>45678</v>
      </c>
      <c r="B672" s="84" t="inlineStr">
        <is>
          <t>NET PI TO HSL SEC A/C 523686-00602340029434</t>
        </is>
      </c>
      <c r="C672" s="84" t="inlineStr">
        <is>
          <t>0000000602604597</t>
        </is>
      </c>
      <c r="D672" s="83" t="n">
        <v>45678</v>
      </c>
      <c r="E672" s="84" t="n">
        <v>397.38</v>
      </c>
      <c r="F672" s="84" t="n">
        <v>0</v>
      </c>
      <c r="G672" s="84" t="n">
        <v>56780.03</v>
      </c>
      <c r="H672" s="84" t="inlineStr"/>
      <c r="I672" s="84" t="inlineStr">
        <is>
          <t>HSL</t>
        </is>
      </c>
      <c r="J672" s="84" t="inlineStr">
        <is>
          <t>HDFC Securities - Buy</t>
        </is>
      </c>
      <c r="K672" s="84" t="inlineStr">
        <is>
          <t>HDFC Securities</t>
        </is>
      </c>
      <c r="L672" s="32" t="n">
        <v>0.97</v>
      </c>
      <c r="M672" s="84" t="inlineStr">
        <is>
          <t>[MATCH]</t>
        </is>
      </c>
    </row>
    <row r="673">
      <c r="A673" s="42" t="n">
        <v>45678</v>
      </c>
      <c r="B673" s="43" t="inlineStr">
        <is>
          <t>NEFT CR-UTIB0000004-AXIS MUTUAL FUND DIVIDEND A/C-SUNITA GUPTA-UTIBN62025012165110745</t>
        </is>
      </c>
      <c r="C673" s="43" t="inlineStr">
        <is>
          <t>UTIBN62025012165110745</t>
        </is>
      </c>
      <c r="D673" s="42" t="n">
        <v>45678</v>
      </c>
      <c r="E673" s="43" t="n">
        <v>0</v>
      </c>
      <c r="F673" s="43" t="n">
        <v>905.21</v>
      </c>
      <c r="G673" s="43" t="n">
        <v>57685.24</v>
      </c>
      <c r="H673" s="43" t="inlineStr"/>
      <c r="I673" s="43" t="inlineStr">
        <is>
          <t>Dividend Income</t>
        </is>
      </c>
      <c r="J673" s="43" t="inlineStr">
        <is>
          <t>Dividend Income</t>
        </is>
      </c>
      <c r="K673" s="43" t="inlineStr">
        <is>
          <t>Dividend Income</t>
        </is>
      </c>
      <c r="L673" s="32" t="n">
        <v>0.85</v>
      </c>
      <c r="M673" s="43" t="inlineStr">
        <is>
          <t>[MATCH]</t>
        </is>
      </c>
    </row>
    <row r="674">
      <c r="A674" s="83" t="n">
        <v>45678</v>
      </c>
      <c r="B674" s="84" t="inlineStr">
        <is>
          <t>NET PI TO HSL SEC A/C 523686-00602340029434</t>
        </is>
      </c>
      <c r="C674" s="84" t="inlineStr">
        <is>
          <t>0000000602791877</t>
        </is>
      </c>
      <c r="D674" s="83" t="n">
        <v>45678</v>
      </c>
      <c r="E674" s="84" t="n">
        <v>14686.8</v>
      </c>
      <c r="F674" s="84" t="n">
        <v>0</v>
      </c>
      <c r="G674" s="84" t="n">
        <v>42998.44</v>
      </c>
      <c r="H674" s="84" t="inlineStr"/>
      <c r="I674" s="84" t="inlineStr">
        <is>
          <t>HSL</t>
        </is>
      </c>
      <c r="J674" s="84" t="inlineStr">
        <is>
          <t>HDFC Securities - Buy</t>
        </is>
      </c>
      <c r="K674" s="84" t="inlineStr">
        <is>
          <t>HDFC Securities</t>
        </is>
      </c>
      <c r="L674" s="32" t="n">
        <v>0.97</v>
      </c>
      <c r="M674" s="84" t="inlineStr">
        <is>
          <t>[MATCH]</t>
        </is>
      </c>
    </row>
    <row r="675">
      <c r="A675" s="83" t="n">
        <v>45679</v>
      </c>
      <c r="B675" s="84" t="inlineStr">
        <is>
          <t>NET PI TO HSL SEC A/C 523686-00602340029434</t>
        </is>
      </c>
      <c r="C675" s="84" t="inlineStr">
        <is>
          <t>0000000603041251</t>
        </is>
      </c>
      <c r="D675" s="83" t="n">
        <v>45679</v>
      </c>
      <c r="E675" s="84" t="n">
        <v>392.71</v>
      </c>
      <c r="F675" s="84" t="n">
        <v>0</v>
      </c>
      <c r="G675" s="84" t="n">
        <v>42605.73</v>
      </c>
      <c r="H675" s="84" t="inlineStr"/>
      <c r="I675" s="84" t="inlineStr">
        <is>
          <t>HSL</t>
        </is>
      </c>
      <c r="J675" s="84" t="inlineStr">
        <is>
          <t>HDFC Securities - Buy</t>
        </is>
      </c>
      <c r="K675" s="84" t="inlineStr">
        <is>
          <t>HDFC Securities</t>
        </is>
      </c>
      <c r="L675" s="32" t="n">
        <v>0.97</v>
      </c>
      <c r="M675" s="84" t="inlineStr">
        <is>
          <t>[MATCH]</t>
        </is>
      </c>
    </row>
    <row r="676">
      <c r="A676" s="83" t="n">
        <v>45679</v>
      </c>
      <c r="B676" s="84" t="inlineStr">
        <is>
          <t>NET PI TO HSL SEC A/C 523686-00602340029434</t>
        </is>
      </c>
      <c r="C676" s="84" t="inlineStr">
        <is>
          <t>0000000603227741</t>
        </is>
      </c>
      <c r="D676" s="83" t="n">
        <v>45679</v>
      </c>
      <c r="E676" s="84" t="n">
        <v>4737.94</v>
      </c>
      <c r="F676" s="84" t="n">
        <v>0</v>
      </c>
      <c r="G676" s="84" t="n">
        <v>37867.79</v>
      </c>
      <c r="H676" s="84" t="inlineStr"/>
      <c r="I676" s="84" t="inlineStr">
        <is>
          <t>HSL</t>
        </is>
      </c>
      <c r="J676" s="84" t="inlineStr">
        <is>
          <t>HDFC Securities - Buy</t>
        </is>
      </c>
      <c r="K676" s="84" t="inlineStr">
        <is>
          <t>HDFC Securities</t>
        </is>
      </c>
      <c r="L676" s="32" t="n">
        <v>0.97</v>
      </c>
      <c r="M676" s="84" t="inlineStr">
        <is>
          <t>[MATCH]</t>
        </is>
      </c>
    </row>
    <row r="677">
      <c r="A677" s="83" t="n">
        <v>45680</v>
      </c>
      <c r="B677" s="84" t="inlineStr">
        <is>
          <t>NET PI TO HSL SEC A/C 523686-00602340029434</t>
        </is>
      </c>
      <c r="C677" s="84" t="inlineStr">
        <is>
          <t>0000000603456338</t>
        </is>
      </c>
      <c r="D677" s="83" t="n">
        <v>45680</v>
      </c>
      <c r="E677" s="84" t="n">
        <v>391.02</v>
      </c>
      <c r="F677" s="84" t="n">
        <v>0</v>
      </c>
      <c r="G677" s="84" t="n">
        <v>37476.77</v>
      </c>
      <c r="H677" s="84" t="inlineStr"/>
      <c r="I677" s="84" t="inlineStr">
        <is>
          <t>HSL</t>
        </is>
      </c>
      <c r="J677" s="84" t="inlineStr">
        <is>
          <t>HDFC Securities - Buy</t>
        </is>
      </c>
      <c r="K677" s="84" t="inlineStr">
        <is>
          <t>HDFC Securities</t>
        </is>
      </c>
      <c r="L677" s="32" t="n">
        <v>0.97</v>
      </c>
      <c r="M677" s="84" t="inlineStr">
        <is>
          <t>[MATCH]</t>
        </is>
      </c>
    </row>
    <row r="678">
      <c r="A678" s="97" t="n">
        <v>45681</v>
      </c>
      <c r="B678" s="98" t="inlineStr">
        <is>
          <t>FT- 603769079-50200085415108 - HDFC SECURITIES LTD-CLIENT DSCNB A/C -</t>
        </is>
      </c>
      <c r="C678" s="98" t="inlineStr">
        <is>
          <t>0000000921309434</t>
        </is>
      </c>
      <c r="D678" s="97" t="n">
        <v>45681</v>
      </c>
      <c r="E678" s="98" t="n">
        <v>0</v>
      </c>
      <c r="F678" s="98" t="n">
        <v>17068.84</v>
      </c>
      <c r="G678" s="98" t="n">
        <v>54545.61</v>
      </c>
      <c r="H678" s="98" t="inlineStr"/>
      <c r="I678" s="98" t="inlineStr">
        <is>
          <t>HDFC Sec</t>
        </is>
      </c>
      <c r="J678" s="98" t="inlineStr">
        <is>
          <t>HDFC Securities - Settlement</t>
        </is>
      </c>
      <c r="K678" s="98" t="inlineStr">
        <is>
          <t>HDFC Securities</t>
        </is>
      </c>
      <c r="L678" s="35" t="n">
        <v>0.93</v>
      </c>
      <c r="M678" s="98" t="inlineStr">
        <is>
          <t>[DIFF]</t>
        </is>
      </c>
    </row>
    <row r="679">
      <c r="A679" s="83" t="n">
        <v>45681</v>
      </c>
      <c r="B679" s="84" t="inlineStr">
        <is>
          <t>NET PI TO HSL SEC A/C 523686-00602340029434</t>
        </is>
      </c>
      <c r="C679" s="84" t="inlineStr">
        <is>
          <t>0000000603897648</t>
        </is>
      </c>
      <c r="D679" s="83" t="n">
        <v>45681</v>
      </c>
      <c r="E679" s="84" t="n">
        <v>391.02</v>
      </c>
      <c r="F679" s="84" t="n">
        <v>0</v>
      </c>
      <c r="G679" s="84" t="n">
        <v>54154.59</v>
      </c>
      <c r="H679" s="84" t="inlineStr"/>
      <c r="I679" s="84" t="inlineStr">
        <is>
          <t>HSL</t>
        </is>
      </c>
      <c r="J679" s="84" t="inlineStr">
        <is>
          <t>HDFC Securities - Buy</t>
        </is>
      </c>
      <c r="K679" s="84" t="inlineStr">
        <is>
          <t>HDFC Securities</t>
        </is>
      </c>
      <c r="L679" s="32" t="n">
        <v>0.97</v>
      </c>
      <c r="M679" s="84" t="inlineStr">
        <is>
          <t>[MATCH]</t>
        </is>
      </c>
    </row>
    <row r="680">
      <c r="A680" s="25" t="n">
        <v>45681</v>
      </c>
      <c r="B680" s="26" t="inlineStr">
        <is>
          <t>UPI-BIDYUT  HALDAR-7014298146@AXL-SBIN0031251-220367711683-LEMON TEA</t>
        </is>
      </c>
      <c r="C680" s="26" t="inlineStr">
        <is>
          <t>0000220367711683</t>
        </is>
      </c>
      <c r="D680" s="25" t="n">
        <v>45681</v>
      </c>
      <c r="E680" s="26" t="n">
        <v>20000</v>
      </c>
      <c r="F680" s="26" t="n">
        <v>0</v>
      </c>
      <c r="G680" s="26" t="n">
        <v>34154.59</v>
      </c>
      <c r="H680" s="26" t="inlineStr">
        <is>
          <t>Bidyut  Haldar</t>
        </is>
      </c>
      <c r="I680" s="26" t="inlineStr">
        <is>
          <t>Shaadi Kharcha</t>
        </is>
      </c>
      <c r="J680" s="26" t="inlineStr">
        <is>
          <t>UPI Payment</t>
        </is>
      </c>
      <c r="K680" s="26" t="inlineStr">
        <is>
          <t>Personal</t>
        </is>
      </c>
      <c r="L680" s="27" t="n">
        <v>0.55</v>
      </c>
      <c r="M680" s="26" t="inlineStr">
        <is>
          <t>[DIFF]</t>
        </is>
      </c>
    </row>
    <row r="681">
      <c r="A681" s="83" t="n">
        <v>45681</v>
      </c>
      <c r="B681" s="84" t="inlineStr">
        <is>
          <t>NET PI TO HSL SEC A/C 523686-00602340029434</t>
        </is>
      </c>
      <c r="C681" s="84" t="inlineStr">
        <is>
          <t>0000000604083144</t>
        </is>
      </c>
      <c r="D681" s="83" t="n">
        <v>45681</v>
      </c>
      <c r="E681" s="84" t="n">
        <v>7692.58</v>
      </c>
      <c r="F681" s="84" t="n">
        <v>0</v>
      </c>
      <c r="G681" s="84" t="n">
        <v>26462.01</v>
      </c>
      <c r="H681" s="84" t="inlineStr"/>
      <c r="I681" s="84" t="inlineStr">
        <is>
          <t>HSL</t>
        </is>
      </c>
      <c r="J681" s="84" t="inlineStr">
        <is>
          <t>HDFC Securities - Buy</t>
        </is>
      </c>
      <c r="K681" s="84" t="inlineStr">
        <is>
          <t>HDFC Securities</t>
        </is>
      </c>
      <c r="L681" s="32" t="n">
        <v>0.97</v>
      </c>
      <c r="M681" s="84" t="inlineStr">
        <is>
          <t>[MATCH]</t>
        </is>
      </c>
    </row>
    <row r="682">
      <c r="A682" s="28" t="n">
        <v>45681</v>
      </c>
      <c r="B682" s="29" t="inlineStr">
        <is>
          <t>YHDF2518408318/BILLDKTHECALCUTTAELE</t>
        </is>
      </c>
      <c r="C682" s="29" t="inlineStr">
        <is>
          <t>0000252474286240</t>
        </is>
      </c>
      <c r="D682" s="28" t="n">
        <v>45681</v>
      </c>
      <c r="E682" s="29" t="n">
        <v>10164</v>
      </c>
      <c r="F682" s="29" t="n">
        <v>0</v>
      </c>
      <c r="G682" s="29" t="n">
        <v>16298.01</v>
      </c>
      <c r="H682" s="29" t="inlineStr"/>
      <c r="I682" s="29" t="inlineStr">
        <is>
          <t>Electricity Bill</t>
        </is>
      </c>
      <c r="J682" s="29" t="inlineStr">
        <is>
          <t>SIP</t>
        </is>
      </c>
      <c r="K682" s="29" t="inlineStr">
        <is>
          <t>SIP</t>
        </is>
      </c>
      <c r="L682" s="35" t="n">
        <v>0.9</v>
      </c>
      <c r="M682" s="29" t="inlineStr">
        <is>
          <t>[DIFF]</t>
        </is>
      </c>
    </row>
    <row r="683">
      <c r="A683" s="28" t="n">
        <v>45684</v>
      </c>
      <c r="B683" s="29" t="inlineStr">
        <is>
          <t>ACH D- TP ACH INDIANESIGN-1692517311</t>
        </is>
      </c>
      <c r="C683" s="29" t="inlineStr">
        <is>
          <t>0000003797480267</t>
        </is>
      </c>
      <c r="D683" s="28" t="n">
        <v>45684</v>
      </c>
      <c r="E683" s="29" t="n">
        <v>10000</v>
      </c>
      <c r="F683" s="29" t="n">
        <v>0</v>
      </c>
      <c r="G683" s="29" t="n">
        <v>6298.01</v>
      </c>
      <c r="H683" s="29" t="inlineStr"/>
      <c r="I683" s="29" t="inlineStr">
        <is>
          <t>SIP  - 10000</t>
        </is>
      </c>
      <c r="J683" s="29" t="inlineStr">
        <is>
          <t>SIP</t>
        </is>
      </c>
      <c r="K683" s="29" t="inlineStr">
        <is>
          <t>SIP</t>
        </is>
      </c>
      <c r="L683" s="35" t="n">
        <v>0.95</v>
      </c>
      <c r="M683" s="29" t="inlineStr">
        <is>
          <t>[DIFF]</t>
        </is>
      </c>
    </row>
    <row r="684">
      <c r="A684" s="83" t="n">
        <v>45684</v>
      </c>
      <c r="B684" s="84" t="inlineStr">
        <is>
          <t>NET PI TO HSL SEC A/C 523686-00602340029434</t>
        </is>
      </c>
      <c r="C684" s="84" t="inlineStr">
        <is>
          <t>0000000604402522</t>
        </is>
      </c>
      <c r="D684" s="83" t="n">
        <v>45684</v>
      </c>
      <c r="E684" s="84" t="n">
        <v>1183.08</v>
      </c>
      <c r="F684" s="84" t="n">
        <v>0</v>
      </c>
      <c r="G684" s="84" t="n">
        <v>5114.93</v>
      </c>
      <c r="H684" s="84" t="inlineStr"/>
      <c r="I684" s="84" t="inlineStr">
        <is>
          <t>HSL</t>
        </is>
      </c>
      <c r="J684" s="84" t="inlineStr">
        <is>
          <t>HDFC Securities - Buy</t>
        </is>
      </c>
      <c r="K684" s="84" t="inlineStr">
        <is>
          <t>HDFC Securities</t>
        </is>
      </c>
      <c r="L684" s="32" t="n">
        <v>0.97</v>
      </c>
      <c r="M684" s="84" t="inlineStr">
        <is>
          <t>[MATCH]</t>
        </is>
      </c>
    </row>
    <row r="685">
      <c r="A685" s="83" t="n">
        <v>45684</v>
      </c>
      <c r="B685" s="84" t="inlineStr">
        <is>
          <t>NET PI TO HSL SEC A/C 523686-00602340029434</t>
        </is>
      </c>
      <c r="C685" s="84" t="inlineStr">
        <is>
          <t>0000000604613595</t>
        </is>
      </c>
      <c r="D685" s="83" t="n">
        <v>45684</v>
      </c>
      <c r="E685" s="84" t="n">
        <v>5114.93</v>
      </c>
      <c r="F685" s="84" t="n">
        <v>0</v>
      </c>
      <c r="G685" s="84" t="n">
        <v>0</v>
      </c>
      <c r="H685" s="84" t="inlineStr"/>
      <c r="I685" s="84" t="inlineStr">
        <is>
          <t>HSL</t>
        </is>
      </c>
      <c r="J685" s="84" t="inlineStr">
        <is>
          <t>HDFC Securities - Buy</t>
        </is>
      </c>
      <c r="K685" s="84" t="inlineStr">
        <is>
          <t>HDFC Securities</t>
        </is>
      </c>
      <c r="L685" s="32" t="n">
        <v>0.97</v>
      </c>
      <c r="M685" s="84" t="inlineStr">
        <is>
          <t>[MATCH]</t>
        </is>
      </c>
    </row>
    <row r="686">
      <c r="A686" s="42" t="n">
        <v>45686</v>
      </c>
      <c r="B686" s="43" t="inlineStr">
        <is>
          <t>NEFT CR-UTIB0000004-AXIS MUTUAL FUND DIVIDEND A/C-SUNITA GUPTA-UTIBN62025012940337499</t>
        </is>
      </c>
      <c r="C686" s="43" t="inlineStr">
        <is>
          <t>UTIBN62025012940337499</t>
        </is>
      </c>
      <c r="D686" s="42" t="n">
        <v>45686</v>
      </c>
      <c r="E686" s="43" t="n">
        <v>0</v>
      </c>
      <c r="F686" s="43" t="n">
        <v>84.56999999999999</v>
      </c>
      <c r="G686" s="43" t="n">
        <v>84.56999999999999</v>
      </c>
      <c r="H686" s="43" t="inlineStr"/>
      <c r="I686" s="43" t="inlineStr">
        <is>
          <t>Dividend Income</t>
        </is>
      </c>
      <c r="J686" s="43" t="inlineStr">
        <is>
          <t>Dividend Income</t>
        </is>
      </c>
      <c r="K686" s="43" t="inlineStr">
        <is>
          <t>Dividend Income</t>
        </is>
      </c>
      <c r="L686" s="32" t="n">
        <v>0.85</v>
      </c>
      <c r="M686" s="43" t="inlineStr">
        <is>
          <t>[MATCH]</t>
        </is>
      </c>
    </row>
    <row r="687">
      <c r="A687" s="83" t="n">
        <v>45686</v>
      </c>
      <c r="B687" s="84" t="inlineStr">
        <is>
          <t>NET PI TO HSL SEC A/C 523686-00602340029434</t>
        </is>
      </c>
      <c r="C687" s="84" t="inlineStr">
        <is>
          <t>0000000605469737</t>
        </is>
      </c>
      <c r="D687" s="83" t="n">
        <v>45686</v>
      </c>
      <c r="E687" s="84" t="n">
        <v>84.56999999999999</v>
      </c>
      <c r="F687" s="84" t="n">
        <v>0</v>
      </c>
      <c r="G687" s="84" t="n">
        <v>0</v>
      </c>
      <c r="H687" s="84" t="inlineStr"/>
      <c r="I687" s="84" t="inlineStr">
        <is>
          <t>HSL</t>
        </is>
      </c>
      <c r="J687" s="84" t="inlineStr">
        <is>
          <t>HDFC Securities - Buy</t>
        </is>
      </c>
      <c r="K687" s="84" t="inlineStr">
        <is>
          <t>HDFC Securities</t>
        </is>
      </c>
      <c r="L687" s="32" t="n">
        <v>0.97</v>
      </c>
      <c r="M687" s="84" t="inlineStr">
        <is>
          <t>[MATCH]</t>
        </is>
      </c>
    </row>
    <row r="688">
      <c r="A688" s="97" t="n">
        <v>45687</v>
      </c>
      <c r="B688" s="98" t="inlineStr">
        <is>
          <t>FT- 605558165-50200085415108 - HDFC SECURITIES LTD-CLIENT DSCNB A/C -</t>
        </is>
      </c>
      <c r="C688" s="98" t="inlineStr">
        <is>
          <t>0000000927235357</t>
        </is>
      </c>
      <c r="D688" s="97" t="n">
        <v>45687</v>
      </c>
      <c r="E688" s="98" t="n">
        <v>0</v>
      </c>
      <c r="F688" s="98" t="n">
        <v>28044.51</v>
      </c>
      <c r="G688" s="98" t="n">
        <v>28044.51</v>
      </c>
      <c r="H688" s="98" t="inlineStr"/>
      <c r="I688" s="98" t="inlineStr">
        <is>
          <t>HDFC Sec</t>
        </is>
      </c>
      <c r="J688" s="98" t="inlineStr">
        <is>
          <t>HDFC Securities - Settlement</t>
        </is>
      </c>
      <c r="K688" s="98" t="inlineStr">
        <is>
          <t>HDFC Securities</t>
        </is>
      </c>
      <c r="L688" s="35" t="n">
        <v>0.93</v>
      </c>
      <c r="M688" s="98" t="inlineStr">
        <is>
          <t>[DIFF]</t>
        </is>
      </c>
    </row>
    <row r="689">
      <c r="A689" s="62" t="n">
        <v>45687</v>
      </c>
      <c r="B689" s="63" t="inlineStr">
        <is>
          <t>UPI-AJAY KUMAR GUPTA-AJAYGUPTANEL@IBL-HDFC0000167-810561957614-PAYMENT FROM PHONE</t>
        </is>
      </c>
      <c r="C689" s="63" t="inlineStr">
        <is>
          <t>0000810561957614</t>
        </is>
      </c>
      <c r="D689" s="62" t="n">
        <v>45687</v>
      </c>
      <c r="E689" s="63" t="n">
        <v>0</v>
      </c>
      <c r="F689" s="63" t="n">
        <v>20000</v>
      </c>
      <c r="G689" s="63" t="n">
        <v>48044.51</v>
      </c>
      <c r="H689" s="63" t="inlineStr"/>
      <c r="I689" s="63" t="inlineStr">
        <is>
          <t>UPI</t>
        </is>
      </c>
      <c r="J689" s="63" t="inlineStr">
        <is>
          <t>Received - Ajay Gupta</t>
        </is>
      </c>
      <c r="K689" s="63" t="inlineStr">
        <is>
          <t>Ajay Gupta</t>
        </is>
      </c>
      <c r="L689" s="35" t="n">
        <v>0.88</v>
      </c>
      <c r="M689" s="63" t="inlineStr">
        <is>
          <t>[DIFF]</t>
        </is>
      </c>
    </row>
    <row r="690">
      <c r="A690" s="83" t="n">
        <v>45687</v>
      </c>
      <c r="B690" s="84" t="inlineStr">
        <is>
          <t>NET PI TO HSL SEC A/C 523686-00602340029434</t>
        </is>
      </c>
      <c r="C690" s="84" t="inlineStr">
        <is>
          <t>0000000605686935</t>
        </is>
      </c>
      <c r="D690" s="83" t="n">
        <v>45687</v>
      </c>
      <c r="E690" s="84" t="n">
        <v>392.82</v>
      </c>
      <c r="F690" s="84" t="n">
        <v>0</v>
      </c>
      <c r="G690" s="84" t="n">
        <v>47651.69</v>
      </c>
      <c r="H690" s="84" t="inlineStr"/>
      <c r="I690" s="84" t="inlineStr">
        <is>
          <t>HSL</t>
        </is>
      </c>
      <c r="J690" s="84" t="inlineStr">
        <is>
          <t>HDFC Securities - Buy</t>
        </is>
      </c>
      <c r="K690" s="84" t="inlineStr">
        <is>
          <t>HDFC Securities</t>
        </is>
      </c>
      <c r="L690" s="32" t="n">
        <v>0.97</v>
      </c>
      <c r="M690" s="84" t="inlineStr">
        <is>
          <t>[MATCH]</t>
        </is>
      </c>
    </row>
    <row r="691">
      <c r="A691" s="83" t="n">
        <v>45687</v>
      </c>
      <c r="B691" s="84" t="inlineStr">
        <is>
          <t>NET PI TO HSL SEC A/C 523686-00602340029434</t>
        </is>
      </c>
      <c r="C691" s="84" t="inlineStr">
        <is>
          <t>0000000605831271</t>
        </is>
      </c>
      <c r="D691" s="83" t="n">
        <v>45687</v>
      </c>
      <c r="E691" s="84" t="n">
        <v>19819.29</v>
      </c>
      <c r="F691" s="84" t="n">
        <v>0</v>
      </c>
      <c r="G691" s="84" t="n">
        <v>27832.4</v>
      </c>
      <c r="H691" s="84" t="inlineStr"/>
      <c r="I691" s="84" t="inlineStr">
        <is>
          <t>HSL</t>
        </is>
      </c>
      <c r="J691" s="84" t="inlineStr">
        <is>
          <t>HDFC Securities - Buy</t>
        </is>
      </c>
      <c r="K691" s="84" t="inlineStr">
        <is>
          <t>HDFC Securities</t>
        </is>
      </c>
      <c r="L691" s="32" t="n">
        <v>0.97</v>
      </c>
      <c r="M691" s="84" t="inlineStr">
        <is>
          <t>[MATCH]</t>
        </is>
      </c>
    </row>
    <row r="692">
      <c r="A692" s="33" t="n">
        <v>45687</v>
      </c>
      <c r="B692" s="34" t="inlineStr">
        <is>
          <t>NEFT CR-SBIN0004266-SBI GENERAL INSURANCE CO LTDSBI GEN-SUNITA GUPTA 0000000002717756-SBINN52025013077176630</t>
        </is>
      </c>
      <c r="C692" s="34" t="inlineStr">
        <is>
          <t>SBINN52025013077176630</t>
        </is>
      </c>
      <c r="D692" s="33" t="n">
        <v>45687</v>
      </c>
      <c r="E692" s="34" t="n">
        <v>0</v>
      </c>
      <c r="F692" s="34" t="n">
        <v>2738</v>
      </c>
      <c r="G692" s="34" t="n">
        <v>30570.4</v>
      </c>
      <c r="H692" s="34" t="inlineStr"/>
      <c r="I692" s="34" t="inlineStr">
        <is>
          <t>Rental Income</t>
        </is>
      </c>
      <c r="J692" s="34" t="inlineStr">
        <is>
          <t>Received - Sunita Gupta</t>
        </is>
      </c>
      <c r="K692" s="34" t="inlineStr">
        <is>
          <t>Sunita Gupta</t>
        </is>
      </c>
      <c r="L692" s="35" t="n">
        <v>0.88</v>
      </c>
      <c r="M692" s="34" t="inlineStr">
        <is>
          <t>[DIFF]</t>
        </is>
      </c>
    </row>
    <row r="693">
      <c r="A693" s="83" t="n">
        <v>45687</v>
      </c>
      <c r="B693" s="84" t="inlineStr">
        <is>
          <t>NET PI TO HSL SEC A/C 523686-00602340029434</t>
        </is>
      </c>
      <c r="C693" s="84" t="inlineStr">
        <is>
          <t>0000000605902511</t>
        </is>
      </c>
      <c r="D693" s="83" t="n">
        <v>45687</v>
      </c>
      <c r="E693" s="84" t="n">
        <v>3162.79</v>
      </c>
      <c r="F693" s="84" t="n">
        <v>0</v>
      </c>
      <c r="G693" s="84" t="n">
        <v>27407.61</v>
      </c>
      <c r="H693" s="84" t="inlineStr"/>
      <c r="I693" s="84" t="inlineStr">
        <is>
          <t>HSL</t>
        </is>
      </c>
      <c r="J693" s="84" t="inlineStr">
        <is>
          <t>HDFC Securities - Buy</t>
        </is>
      </c>
      <c r="K693" s="84" t="inlineStr">
        <is>
          <t>HDFC Securities</t>
        </is>
      </c>
      <c r="L693" s="32" t="n">
        <v>0.97</v>
      </c>
      <c r="M693" s="84" t="inlineStr">
        <is>
          <t>[MATCH]</t>
        </is>
      </c>
    </row>
    <row r="694">
      <c r="A694" s="97" t="n">
        <v>45688</v>
      </c>
      <c r="B694" s="98" t="inlineStr">
        <is>
          <t>FT- 606018689-50200085415108 - HDFC SECURITIES LTD-CLIENT DSCNB A/C -</t>
        </is>
      </c>
      <c r="C694" s="98" t="inlineStr">
        <is>
          <t>0000000928614873</t>
        </is>
      </c>
      <c r="D694" s="97" t="n">
        <v>45688</v>
      </c>
      <c r="E694" s="98" t="n">
        <v>0</v>
      </c>
      <c r="F694" s="98" t="n">
        <v>5948.06</v>
      </c>
      <c r="G694" s="98" t="n">
        <v>33355.67</v>
      </c>
      <c r="H694" s="98" t="inlineStr"/>
      <c r="I694" s="98" t="inlineStr">
        <is>
          <t>HDFC Sec</t>
        </is>
      </c>
      <c r="J694" s="98" t="inlineStr">
        <is>
          <t>HDFC Securities - Settlement</t>
        </is>
      </c>
      <c r="K694" s="98" t="inlineStr">
        <is>
          <t>HDFC Securities</t>
        </is>
      </c>
      <c r="L694" s="35" t="n">
        <v>0.93</v>
      </c>
      <c r="M694" s="98" t="inlineStr">
        <is>
          <t>[DIFF]</t>
        </is>
      </c>
    </row>
    <row r="695">
      <c r="A695" s="83" t="n">
        <v>45688</v>
      </c>
      <c r="B695" s="84" t="inlineStr">
        <is>
          <t>NET PI TO HSL SEC A/C 523686-00602340029434</t>
        </is>
      </c>
      <c r="C695" s="84" t="inlineStr">
        <is>
          <t>0000000606129630</t>
        </is>
      </c>
      <c r="D695" s="83" t="n">
        <v>45688</v>
      </c>
      <c r="E695" s="84" t="n">
        <v>366.51</v>
      </c>
      <c r="F695" s="84" t="n">
        <v>0</v>
      </c>
      <c r="G695" s="84" t="n">
        <v>32989.16</v>
      </c>
      <c r="H695" s="84" t="inlineStr"/>
      <c r="I695" s="84" t="inlineStr">
        <is>
          <t>HSL</t>
        </is>
      </c>
      <c r="J695" s="84" t="inlineStr">
        <is>
          <t>HDFC Securities - Buy</t>
        </is>
      </c>
      <c r="K695" s="84" t="inlineStr">
        <is>
          <t>HDFC Securities</t>
        </is>
      </c>
      <c r="L695" s="32" t="n">
        <v>0.97</v>
      </c>
      <c r="M695" s="84" t="inlineStr">
        <is>
          <t>[MATCH]</t>
        </is>
      </c>
    </row>
    <row r="696">
      <c r="A696" s="97" t="n">
        <v>45691</v>
      </c>
      <c r="B696" s="98" t="inlineStr">
        <is>
          <t>FT- 606603295-50200085415108 - HDFC SECURITIES LTD-CLIENT DSCNB A/C -</t>
        </is>
      </c>
      <c r="C696" s="98" t="inlineStr">
        <is>
          <t>0000000932234453</t>
        </is>
      </c>
      <c r="D696" s="97" t="n">
        <v>45691</v>
      </c>
      <c r="E696" s="98" t="n">
        <v>0</v>
      </c>
      <c r="F696" s="98" t="n">
        <v>105.23</v>
      </c>
      <c r="G696" s="98" t="n">
        <v>33094.39</v>
      </c>
      <c r="H696" s="98" t="inlineStr"/>
      <c r="I696" s="98" t="inlineStr">
        <is>
          <t>HDFC Sec</t>
        </is>
      </c>
      <c r="J696" s="98" t="inlineStr">
        <is>
          <t>HDFC Securities - Settlement</t>
        </is>
      </c>
      <c r="K696" s="98" t="inlineStr">
        <is>
          <t>HDFC Securities</t>
        </is>
      </c>
      <c r="L696" s="35" t="n">
        <v>0.93</v>
      </c>
      <c r="M696" s="98" t="inlineStr">
        <is>
          <t>[DIFF]</t>
        </is>
      </c>
    </row>
    <row r="697">
      <c r="A697" s="97" t="n">
        <v>45691</v>
      </c>
      <c r="B697" s="98" t="inlineStr">
        <is>
          <t>FT- 606642758-50200085415108 - HDFC SECURITIES LTD-CLIENT DSCNB A/C -</t>
        </is>
      </c>
      <c r="C697" s="98" t="inlineStr">
        <is>
          <t>0000000932209174</t>
        </is>
      </c>
      <c r="D697" s="97" t="n">
        <v>45691</v>
      </c>
      <c r="E697" s="98" t="n">
        <v>0</v>
      </c>
      <c r="F697" s="98" t="n">
        <v>34295.84</v>
      </c>
      <c r="G697" s="98" t="n">
        <v>67390.23</v>
      </c>
      <c r="H697" s="98" t="inlineStr"/>
      <c r="I697" s="98" t="inlineStr">
        <is>
          <t>HDFC Sec</t>
        </is>
      </c>
      <c r="J697" s="98" t="inlineStr">
        <is>
          <t>HDFC Securities - Settlement</t>
        </is>
      </c>
      <c r="K697" s="98" t="inlineStr">
        <is>
          <t>HDFC Securities</t>
        </is>
      </c>
      <c r="L697" s="35" t="n">
        <v>0.93</v>
      </c>
      <c r="M697" s="98" t="inlineStr">
        <is>
          <t>[DIFF]</t>
        </is>
      </c>
    </row>
    <row r="698">
      <c r="A698" s="42" t="n">
        <v>45691</v>
      </c>
      <c r="B698" s="43" t="inlineStr">
        <is>
          <t>ACH C- TCS3INTSPLDIV030225-789082</t>
        </is>
      </c>
      <c r="C698" s="43" t="inlineStr">
        <is>
          <t>0000003978429499</t>
        </is>
      </c>
      <c r="D698" s="42" t="n">
        <v>45691</v>
      </c>
      <c r="E698" s="43" t="n">
        <v>0</v>
      </c>
      <c r="F698" s="43" t="n">
        <v>3496</v>
      </c>
      <c r="G698" s="43" t="n">
        <v>70886.23</v>
      </c>
      <c r="H698" s="43" t="inlineStr"/>
      <c r="I698" s="43" t="inlineStr">
        <is>
          <t>Dividend Income</t>
        </is>
      </c>
      <c r="J698" s="43" t="inlineStr">
        <is>
          <t>Dividend Income</t>
        </is>
      </c>
      <c r="K698" s="43" t="inlineStr">
        <is>
          <t>Dividend Income</t>
        </is>
      </c>
      <c r="L698" s="32" t="n">
        <v>0.88</v>
      </c>
      <c r="M698" s="43" t="inlineStr">
        <is>
          <t>[MATCH]</t>
        </is>
      </c>
    </row>
    <row r="699">
      <c r="A699" s="83" t="n">
        <v>45691</v>
      </c>
      <c r="B699" s="84" t="inlineStr">
        <is>
          <t>NET PI TO HSL SEC A/C 523686-00602340029434</t>
        </is>
      </c>
      <c r="C699" s="84" t="inlineStr">
        <is>
          <t>0000000606971283</t>
        </is>
      </c>
      <c r="D699" s="83" t="n">
        <v>45691</v>
      </c>
      <c r="E699" s="84" t="n">
        <v>28353.38</v>
      </c>
      <c r="F699" s="84" t="n">
        <v>0</v>
      </c>
      <c r="G699" s="84" t="n">
        <v>42532.85</v>
      </c>
      <c r="H699" s="84" t="inlineStr"/>
      <c r="I699" s="84" t="inlineStr">
        <is>
          <t>HSL</t>
        </is>
      </c>
      <c r="J699" s="84" t="inlineStr">
        <is>
          <t>HDFC Securities - Buy</t>
        </is>
      </c>
      <c r="K699" s="84" t="inlineStr">
        <is>
          <t>HDFC Securities</t>
        </is>
      </c>
      <c r="L699" s="32" t="n">
        <v>0.97</v>
      </c>
      <c r="M699" s="84" t="inlineStr">
        <is>
          <t>[MATCH]</t>
        </is>
      </c>
    </row>
    <row r="700">
      <c r="A700" s="97" t="n">
        <v>45692</v>
      </c>
      <c r="B700" s="98" t="inlineStr">
        <is>
          <t>FT- 607119671-50200085415108 - HDFC SECURITIES LTD-CLIENT DSCNB A/C -</t>
        </is>
      </c>
      <c r="C700" s="98" t="inlineStr">
        <is>
          <t>0000000933874366</t>
        </is>
      </c>
      <c r="D700" s="97" t="n">
        <v>45692</v>
      </c>
      <c r="E700" s="98" t="n">
        <v>0</v>
      </c>
      <c r="F700" s="98" t="n">
        <v>46286.58</v>
      </c>
      <c r="G700" s="98" t="n">
        <v>88819.42999999999</v>
      </c>
      <c r="H700" s="98" t="inlineStr"/>
      <c r="I700" s="98" t="inlineStr">
        <is>
          <t>HDFC Sec</t>
        </is>
      </c>
      <c r="J700" s="98" t="inlineStr">
        <is>
          <t>HDFC Securities - Settlement</t>
        </is>
      </c>
      <c r="K700" s="98" t="inlineStr">
        <is>
          <t>HDFC Securities</t>
        </is>
      </c>
      <c r="L700" s="35" t="n">
        <v>0.93</v>
      </c>
      <c r="M700" s="98" t="inlineStr">
        <is>
          <t>[DIFF]</t>
        </is>
      </c>
    </row>
    <row r="701">
      <c r="A701" s="83" t="n">
        <v>45692</v>
      </c>
      <c r="B701" s="84" t="inlineStr">
        <is>
          <t>NET PI TO HSL SEC A/C 523686-00602340029434</t>
        </is>
      </c>
      <c r="C701" s="84" t="inlineStr">
        <is>
          <t>0000000607235409</t>
        </is>
      </c>
      <c r="D701" s="83" t="n">
        <v>45692</v>
      </c>
      <c r="E701" s="84" t="n">
        <v>357.49</v>
      </c>
      <c r="F701" s="84" t="n">
        <v>0</v>
      </c>
      <c r="G701" s="84" t="n">
        <v>88461.94</v>
      </c>
      <c r="H701" s="84" t="inlineStr"/>
      <c r="I701" s="84" t="inlineStr">
        <is>
          <t>HSL</t>
        </is>
      </c>
      <c r="J701" s="84" t="inlineStr">
        <is>
          <t>HDFC Securities - Buy</t>
        </is>
      </c>
      <c r="K701" s="84" t="inlineStr">
        <is>
          <t>HDFC Securities</t>
        </is>
      </c>
      <c r="L701" s="32" t="n">
        <v>0.97</v>
      </c>
      <c r="M701" s="84" t="inlineStr">
        <is>
          <t>[MATCH]</t>
        </is>
      </c>
    </row>
    <row r="702">
      <c r="A702" s="83" t="n">
        <v>45692</v>
      </c>
      <c r="B702" s="84" t="inlineStr">
        <is>
          <t>NET PI TO HSL SEC A/C 523686-00602340029434</t>
        </is>
      </c>
      <c r="C702" s="84" t="inlineStr">
        <is>
          <t>0000000607401894</t>
        </is>
      </c>
      <c r="D702" s="83" t="n">
        <v>45692</v>
      </c>
      <c r="E702" s="84" t="n">
        <v>7755.45</v>
      </c>
      <c r="F702" s="84" t="n">
        <v>0</v>
      </c>
      <c r="G702" s="84" t="n">
        <v>80706.49000000001</v>
      </c>
      <c r="H702" s="84" t="inlineStr"/>
      <c r="I702" s="84" t="inlineStr">
        <is>
          <t>HSL</t>
        </is>
      </c>
      <c r="J702" s="84" t="inlineStr">
        <is>
          <t>HDFC Securities - Buy</t>
        </is>
      </c>
      <c r="K702" s="84" t="inlineStr">
        <is>
          <t>HDFC Securities</t>
        </is>
      </c>
      <c r="L702" s="32" t="n">
        <v>0.97</v>
      </c>
      <c r="M702" s="84" t="inlineStr">
        <is>
          <t>[MATCH]</t>
        </is>
      </c>
    </row>
    <row r="703">
      <c r="A703" s="83" t="n">
        <v>45693</v>
      </c>
      <c r="B703" s="84" t="inlineStr">
        <is>
          <t>NET PI TO HSL SEC A/C 523686-00602340029434</t>
        </is>
      </c>
      <c r="C703" s="84" t="inlineStr">
        <is>
          <t>0000000607666478</t>
        </is>
      </c>
      <c r="D703" s="83" t="n">
        <v>45693</v>
      </c>
      <c r="E703" s="84" t="n">
        <v>366.99</v>
      </c>
      <c r="F703" s="84" t="n">
        <v>0</v>
      </c>
      <c r="G703" s="84" t="n">
        <v>80339.5</v>
      </c>
      <c r="H703" s="84" t="inlineStr"/>
      <c r="I703" s="84" t="inlineStr">
        <is>
          <t>HSL</t>
        </is>
      </c>
      <c r="J703" s="84" t="inlineStr">
        <is>
          <t>HDFC Securities - Buy</t>
        </is>
      </c>
      <c r="K703" s="84" t="inlineStr">
        <is>
          <t>HDFC Securities</t>
        </is>
      </c>
      <c r="L703" s="32" t="n">
        <v>0.97</v>
      </c>
      <c r="M703" s="84" t="inlineStr">
        <is>
          <t>[MATCH]</t>
        </is>
      </c>
    </row>
    <row r="704">
      <c r="A704" s="33" t="n">
        <v>45693</v>
      </c>
      <c r="B704" s="34" t="inlineStr">
        <is>
          <t>NEFT CR-SBIN0004266-SBI GENERAL INSURANCE CO LTDSBI GEN-SUNITA GUPTA 0000000002717756-SBINN52025020592093945</t>
        </is>
      </c>
      <c r="C704" s="34" t="inlineStr">
        <is>
          <t>SBINN52025020592093945</t>
        </is>
      </c>
      <c r="D704" s="33" t="n">
        <v>45693</v>
      </c>
      <c r="E704" s="34" t="n">
        <v>0</v>
      </c>
      <c r="F704" s="34" t="n">
        <v>10164</v>
      </c>
      <c r="G704" s="34" t="n">
        <v>90503.5</v>
      </c>
      <c r="H704" s="34" t="inlineStr"/>
      <c r="I704" s="34" t="inlineStr">
        <is>
          <t>Rental Income</t>
        </is>
      </c>
      <c r="J704" s="34" t="inlineStr">
        <is>
          <t>Received - Sunita Gupta</t>
        </is>
      </c>
      <c r="K704" s="34" t="inlineStr">
        <is>
          <t>Sunita Gupta</t>
        </is>
      </c>
      <c r="L704" s="35" t="n">
        <v>0.88</v>
      </c>
      <c r="M704" s="34" t="inlineStr">
        <is>
          <t>[DIFF]</t>
        </is>
      </c>
    </row>
    <row r="705">
      <c r="A705" s="83" t="n">
        <v>45693</v>
      </c>
      <c r="B705" s="84" t="inlineStr">
        <is>
          <t>NET PI TO HSL SEC A/C 523686-00602340029434</t>
        </is>
      </c>
      <c r="C705" s="84" t="inlineStr">
        <is>
          <t>0000000607815966</t>
        </is>
      </c>
      <c r="D705" s="83" t="n">
        <v>45693</v>
      </c>
      <c r="E705" s="84" t="n">
        <v>28518.15</v>
      </c>
      <c r="F705" s="84" t="n">
        <v>0</v>
      </c>
      <c r="G705" s="84" t="n">
        <v>61985.35</v>
      </c>
      <c r="H705" s="84" t="inlineStr"/>
      <c r="I705" s="84" t="inlineStr">
        <is>
          <t>HSL</t>
        </is>
      </c>
      <c r="J705" s="84" t="inlineStr">
        <is>
          <t>HDFC Securities - Buy</t>
        </is>
      </c>
      <c r="K705" s="84" t="inlineStr">
        <is>
          <t>HDFC Securities</t>
        </is>
      </c>
      <c r="L705" s="32" t="n">
        <v>0.97</v>
      </c>
      <c r="M705" s="84" t="inlineStr">
        <is>
          <t>[MATCH]</t>
        </is>
      </c>
    </row>
    <row r="706">
      <c r="A706" s="97" t="n">
        <v>45694</v>
      </c>
      <c r="B706" s="98" t="inlineStr">
        <is>
          <t>FT- 607956203-50200085415108 - HDFC SECURITIES LTD-CLIENT DSCNB A/C -</t>
        </is>
      </c>
      <c r="C706" s="98" t="inlineStr">
        <is>
          <t>0000000937435816</t>
        </is>
      </c>
      <c r="D706" s="97" t="n">
        <v>45694</v>
      </c>
      <c r="E706" s="98" t="n">
        <v>0</v>
      </c>
      <c r="F706" s="98" t="n">
        <v>42371.2</v>
      </c>
      <c r="G706" s="98" t="n">
        <v>104356.55</v>
      </c>
      <c r="H706" s="98" t="inlineStr"/>
      <c r="I706" s="98" t="inlineStr">
        <is>
          <t>HDFC Sec</t>
        </is>
      </c>
      <c r="J706" s="98" t="inlineStr">
        <is>
          <t>HDFC Securities - Settlement</t>
        </is>
      </c>
      <c r="K706" s="98" t="inlineStr">
        <is>
          <t>HDFC Securities</t>
        </is>
      </c>
      <c r="L706" s="35" t="n">
        <v>0.93</v>
      </c>
      <c r="M706" s="98" t="inlineStr">
        <is>
          <t>[DIFF]</t>
        </is>
      </c>
    </row>
    <row r="707">
      <c r="A707" s="83" t="n">
        <v>45694</v>
      </c>
      <c r="B707" s="84" t="inlineStr">
        <is>
          <t>NET PI TO HSL SEC A/C 523686-00602340029434</t>
        </is>
      </c>
      <c r="C707" s="84" t="inlineStr">
        <is>
          <t>0000000608067800</t>
        </is>
      </c>
      <c r="D707" s="83" t="n">
        <v>45694</v>
      </c>
      <c r="E707" s="84" t="n">
        <v>379.21</v>
      </c>
      <c r="F707" s="84" t="n">
        <v>0</v>
      </c>
      <c r="G707" s="84" t="n">
        <v>103977.34</v>
      </c>
      <c r="H707" s="84" t="inlineStr"/>
      <c r="I707" s="84" t="inlineStr">
        <is>
          <t>HSL</t>
        </is>
      </c>
      <c r="J707" s="84" t="inlineStr">
        <is>
          <t>HDFC Securities - Buy</t>
        </is>
      </c>
      <c r="K707" s="84" t="inlineStr">
        <is>
          <t>HDFC Securities</t>
        </is>
      </c>
      <c r="L707" s="32" t="n">
        <v>0.97</v>
      </c>
      <c r="M707" s="84" t="inlineStr">
        <is>
          <t>[MATCH]</t>
        </is>
      </c>
    </row>
    <row r="708">
      <c r="A708" s="83" t="n">
        <v>45694</v>
      </c>
      <c r="B708" s="84" t="inlineStr">
        <is>
          <t>NET PI TO HSL SEC A/C 523686-00602340029434</t>
        </is>
      </c>
      <c r="C708" s="84" t="inlineStr">
        <is>
          <t>0000000608233949</t>
        </is>
      </c>
      <c r="D708" s="83" t="n">
        <v>45694</v>
      </c>
      <c r="E708" s="84" t="n">
        <v>3322.57</v>
      </c>
      <c r="F708" s="84" t="n">
        <v>0</v>
      </c>
      <c r="G708" s="84" t="n">
        <v>100654.77</v>
      </c>
      <c r="H708" s="84" t="inlineStr"/>
      <c r="I708" s="84" t="inlineStr">
        <is>
          <t>HSL</t>
        </is>
      </c>
      <c r="J708" s="84" t="inlineStr">
        <is>
          <t>HDFC Securities - Buy</t>
        </is>
      </c>
      <c r="K708" s="84" t="inlineStr">
        <is>
          <t>HDFC Securities</t>
        </is>
      </c>
      <c r="L708" s="32" t="n">
        <v>0.97</v>
      </c>
      <c r="M708" s="84" t="inlineStr">
        <is>
          <t>[MATCH]</t>
        </is>
      </c>
    </row>
    <row r="709">
      <c r="A709" s="83" t="n">
        <v>45695</v>
      </c>
      <c r="B709" s="84" t="inlineStr">
        <is>
          <t>NET PI TO HSL SEC A/C 523686-00602340029434</t>
        </is>
      </c>
      <c r="C709" s="84" t="inlineStr">
        <is>
          <t>0000000608473140</t>
        </is>
      </c>
      <c r="D709" s="83" t="n">
        <v>45695</v>
      </c>
      <c r="E709" s="84" t="n">
        <v>378.02</v>
      </c>
      <c r="F709" s="84" t="n">
        <v>0</v>
      </c>
      <c r="G709" s="84" t="n">
        <v>100276.75</v>
      </c>
      <c r="H709" s="84" t="inlineStr"/>
      <c r="I709" s="84" t="inlineStr">
        <is>
          <t>HSL</t>
        </is>
      </c>
      <c r="J709" s="84" t="inlineStr">
        <is>
          <t>HDFC Securities - Buy</t>
        </is>
      </c>
      <c r="K709" s="84" t="inlineStr">
        <is>
          <t>HDFC Securities</t>
        </is>
      </c>
      <c r="L709" s="32" t="n">
        <v>0.97</v>
      </c>
      <c r="M709" s="84" t="inlineStr">
        <is>
          <t>[MATCH]</t>
        </is>
      </c>
    </row>
    <row r="710">
      <c r="A710" s="33" t="n">
        <v>45695</v>
      </c>
      <c r="B710" s="34" t="inlineStr">
        <is>
          <t>NEFT CR-SBIN0004266-SBI GENERAL INSURANCE CO LTDSBI GEN-SUNITA GUPTA 0000000002717756-SBINN52025020795304462</t>
        </is>
      </c>
      <c r="C710" s="34" t="inlineStr">
        <is>
          <t>SBINN52025020795304462</t>
        </is>
      </c>
      <c r="D710" s="33" t="n">
        <v>45695</v>
      </c>
      <c r="E710" s="34" t="n">
        <v>0</v>
      </c>
      <c r="F710" s="34" t="n">
        <v>34220</v>
      </c>
      <c r="G710" s="34" t="n">
        <v>134496.75</v>
      </c>
      <c r="H710" s="34" t="inlineStr"/>
      <c r="I710" s="34" t="inlineStr">
        <is>
          <t>Rental Income</t>
        </is>
      </c>
      <c r="J710" s="34" t="inlineStr">
        <is>
          <t>Received - Sunita Gupta</t>
        </is>
      </c>
      <c r="K710" s="34" t="inlineStr">
        <is>
          <t>Sunita Gupta</t>
        </is>
      </c>
      <c r="L710" s="35" t="n">
        <v>0.88</v>
      </c>
      <c r="M710" s="34" t="inlineStr">
        <is>
          <t>[DIFF]</t>
        </is>
      </c>
    </row>
    <row r="711">
      <c r="A711" s="83" t="n">
        <v>45695</v>
      </c>
      <c r="B711" s="84" t="inlineStr">
        <is>
          <t>NET PI TO HSL SEC A/C 523686-00602340029434</t>
        </is>
      </c>
      <c r="C711" s="84" t="inlineStr">
        <is>
          <t>0000000608626433</t>
        </is>
      </c>
      <c r="D711" s="83" t="n">
        <v>45695</v>
      </c>
      <c r="E711" s="84" t="n">
        <v>33071.58</v>
      </c>
      <c r="F711" s="84" t="n">
        <v>0</v>
      </c>
      <c r="G711" s="84" t="n">
        <v>101425.17</v>
      </c>
      <c r="H711" s="84" t="inlineStr"/>
      <c r="I711" s="84" t="inlineStr">
        <is>
          <t>HSL</t>
        </is>
      </c>
      <c r="J711" s="84" t="inlineStr">
        <is>
          <t>HDFC Securities - Buy</t>
        </is>
      </c>
      <c r="K711" s="84" t="inlineStr">
        <is>
          <t>HDFC Securities</t>
        </is>
      </c>
      <c r="L711" s="32" t="n">
        <v>0.97</v>
      </c>
      <c r="M711" s="84" t="inlineStr">
        <is>
          <t>[MATCH]</t>
        </is>
      </c>
    </row>
    <row r="712">
      <c r="A712" s="97" t="n">
        <v>45698</v>
      </c>
      <c r="B712" s="98" t="inlineStr">
        <is>
          <t>FT- 608796900-50200085415108 - HDFC SECURITIES LTD-CLIENT DSCNB A/C -</t>
        </is>
      </c>
      <c r="C712" s="98" t="inlineStr">
        <is>
          <t>0000000942972147</t>
        </is>
      </c>
      <c r="D712" s="97" t="n">
        <v>45698</v>
      </c>
      <c r="E712" s="98" t="n">
        <v>0</v>
      </c>
      <c r="F712" s="98" t="n">
        <v>86601.53</v>
      </c>
      <c r="G712" s="98" t="n">
        <v>188026.7</v>
      </c>
      <c r="H712" s="98" t="inlineStr"/>
      <c r="I712" s="98" t="inlineStr">
        <is>
          <t>HDFC Sec</t>
        </is>
      </c>
      <c r="J712" s="98" t="inlineStr">
        <is>
          <t>HDFC Securities - Settlement</t>
        </is>
      </c>
      <c r="K712" s="98" t="inlineStr">
        <is>
          <t>HDFC Securities</t>
        </is>
      </c>
      <c r="L712" s="35" t="n">
        <v>0.93</v>
      </c>
      <c r="M712" s="98" t="inlineStr">
        <is>
          <t>[DIFF]</t>
        </is>
      </c>
    </row>
    <row r="713">
      <c r="A713" s="83" t="n">
        <v>45698</v>
      </c>
      <c r="B713" s="84" t="inlineStr">
        <is>
          <t>NET PI TO HSL SEC A/C 523686-00602340029434</t>
        </is>
      </c>
      <c r="C713" s="84" t="inlineStr">
        <is>
          <t>0000000608981340</t>
        </is>
      </c>
      <c r="D713" s="83" t="n">
        <v>45698</v>
      </c>
      <c r="E713" s="84" t="n">
        <v>1098.72</v>
      </c>
      <c r="F713" s="84" t="n">
        <v>0</v>
      </c>
      <c r="G713" s="84" t="n">
        <v>186927.98</v>
      </c>
      <c r="H713" s="84" t="inlineStr"/>
      <c r="I713" s="84" t="inlineStr">
        <is>
          <t>HSL</t>
        </is>
      </c>
      <c r="J713" s="84" t="inlineStr">
        <is>
          <t>HDFC Securities - Buy</t>
        </is>
      </c>
      <c r="K713" s="84" t="inlineStr">
        <is>
          <t>HDFC Securities</t>
        </is>
      </c>
      <c r="L713" s="32" t="n">
        <v>0.97</v>
      </c>
      <c r="M713" s="84" t="inlineStr">
        <is>
          <t>[MATCH]</t>
        </is>
      </c>
    </row>
    <row r="714">
      <c r="A714" s="83" t="n">
        <v>45699</v>
      </c>
      <c r="B714" s="84" t="inlineStr">
        <is>
          <t>NET PI TO HSL SEC A/C 523686-00602340029434</t>
        </is>
      </c>
      <c r="C714" s="84" t="inlineStr">
        <is>
          <t>0000000609204108</t>
        </is>
      </c>
      <c r="D714" s="83" t="n">
        <v>45699</v>
      </c>
      <c r="E714" s="84" t="n">
        <v>32793.15</v>
      </c>
      <c r="F714" s="84" t="n">
        <v>0</v>
      </c>
      <c r="G714" s="84" t="n">
        <v>154134.83</v>
      </c>
      <c r="H714" s="84" t="inlineStr"/>
      <c r="I714" s="84" t="inlineStr">
        <is>
          <t>HSL</t>
        </is>
      </c>
      <c r="J714" s="84" t="inlineStr">
        <is>
          <t>HDFC Securities - Buy</t>
        </is>
      </c>
      <c r="K714" s="84" t="inlineStr">
        <is>
          <t>HDFC Securities</t>
        </is>
      </c>
      <c r="L714" s="32" t="n">
        <v>0.97</v>
      </c>
      <c r="M714" s="84" t="inlineStr">
        <is>
          <t>[MATCH]</t>
        </is>
      </c>
    </row>
    <row r="715">
      <c r="A715" s="83" t="n">
        <v>45699</v>
      </c>
      <c r="B715" s="84" t="inlineStr">
        <is>
          <t>NET PI TO HSL SEC A/C 523686-00602340029434</t>
        </is>
      </c>
      <c r="C715" s="84" t="inlineStr">
        <is>
          <t>0000000609459108</t>
        </is>
      </c>
      <c r="D715" s="83" t="n">
        <v>45699</v>
      </c>
      <c r="E715" s="84" t="n">
        <v>378.42</v>
      </c>
      <c r="F715" s="84" t="n">
        <v>0</v>
      </c>
      <c r="G715" s="84" t="n">
        <v>153756.41</v>
      </c>
      <c r="H715" s="84" t="inlineStr"/>
      <c r="I715" s="84" t="inlineStr">
        <is>
          <t>HSL</t>
        </is>
      </c>
      <c r="J715" s="84" t="inlineStr">
        <is>
          <t>HDFC Securities - Buy</t>
        </is>
      </c>
      <c r="K715" s="84" t="inlineStr">
        <is>
          <t>HDFC Securities</t>
        </is>
      </c>
      <c r="L715" s="32" t="n">
        <v>0.97</v>
      </c>
      <c r="M715" s="84" t="inlineStr">
        <is>
          <t>[MATCH]</t>
        </is>
      </c>
    </row>
    <row r="716">
      <c r="A716" s="83" t="n">
        <v>45699</v>
      </c>
      <c r="B716" s="84" t="inlineStr">
        <is>
          <t>NET PI TO HSL SEC A/C 523686-00602340029434</t>
        </is>
      </c>
      <c r="C716" s="84" t="inlineStr">
        <is>
          <t>0000000609656175</t>
        </is>
      </c>
      <c r="D716" s="83" t="n">
        <v>45699</v>
      </c>
      <c r="E716" s="84" t="n">
        <v>37144.79</v>
      </c>
      <c r="F716" s="84" t="n">
        <v>0</v>
      </c>
      <c r="G716" s="84" t="n">
        <v>116611.62</v>
      </c>
      <c r="H716" s="84" t="inlineStr"/>
      <c r="I716" s="84" t="inlineStr">
        <is>
          <t>HSL</t>
        </is>
      </c>
      <c r="J716" s="84" t="inlineStr">
        <is>
          <t>HDFC Securities - Buy</t>
        </is>
      </c>
      <c r="K716" s="84" t="inlineStr">
        <is>
          <t>HDFC Securities</t>
        </is>
      </c>
      <c r="L716" s="32" t="n">
        <v>0.97</v>
      </c>
      <c r="M716" s="84" t="inlineStr">
        <is>
          <t>[MATCH]</t>
        </is>
      </c>
    </row>
    <row r="717">
      <c r="A717" s="83" t="n">
        <v>45700</v>
      </c>
      <c r="B717" s="84" t="inlineStr">
        <is>
          <t>NET PI TO HSL SEC A/C 523686-00602340029434</t>
        </is>
      </c>
      <c r="C717" s="84" t="inlineStr">
        <is>
          <t>0000000609912955</t>
        </is>
      </c>
      <c r="D717" s="83" t="n">
        <v>45700</v>
      </c>
      <c r="E717" s="84" t="n">
        <v>379.99</v>
      </c>
      <c r="F717" s="84" t="n">
        <v>0</v>
      </c>
      <c r="G717" s="84" t="n">
        <v>116231.63</v>
      </c>
      <c r="H717" s="84" t="inlineStr"/>
      <c r="I717" s="84" t="inlineStr">
        <is>
          <t>HSL</t>
        </is>
      </c>
      <c r="J717" s="84" t="inlineStr">
        <is>
          <t>HDFC Securities - Buy</t>
        </is>
      </c>
      <c r="K717" s="84" t="inlineStr">
        <is>
          <t>HDFC Securities</t>
        </is>
      </c>
      <c r="L717" s="32" t="n">
        <v>0.97</v>
      </c>
      <c r="M717" s="84" t="inlineStr">
        <is>
          <t>[MATCH]</t>
        </is>
      </c>
    </row>
    <row r="718">
      <c r="A718" s="83" t="n">
        <v>45700</v>
      </c>
      <c r="B718" s="84" t="inlineStr">
        <is>
          <t>NET PI TO HSL SEC A/C 523686-00602340029434</t>
        </is>
      </c>
      <c r="C718" s="84" t="inlineStr">
        <is>
          <t>0000000610090800</t>
        </is>
      </c>
      <c r="D718" s="83" t="n">
        <v>45700</v>
      </c>
      <c r="E718" s="84" t="n">
        <v>43612.42</v>
      </c>
      <c r="F718" s="84" t="n">
        <v>0</v>
      </c>
      <c r="G718" s="84" t="n">
        <v>72619.21000000001</v>
      </c>
      <c r="H718" s="84" t="inlineStr"/>
      <c r="I718" s="84" t="inlineStr">
        <is>
          <t>HSL</t>
        </is>
      </c>
      <c r="J718" s="84" t="inlineStr">
        <is>
          <t>HDFC Securities - Buy</t>
        </is>
      </c>
      <c r="K718" s="84" t="inlineStr">
        <is>
          <t>HDFC Securities</t>
        </is>
      </c>
      <c r="L718" s="32" t="n">
        <v>0.97</v>
      </c>
      <c r="M718" s="84" t="inlineStr">
        <is>
          <t>[MATCH]</t>
        </is>
      </c>
    </row>
    <row r="719">
      <c r="A719" s="83" t="n">
        <v>45701</v>
      </c>
      <c r="B719" s="84" t="inlineStr">
        <is>
          <t>NET PI TO HSL SEC A/C 523686-00602340029434</t>
        </is>
      </c>
      <c r="C719" s="84" t="inlineStr">
        <is>
          <t>0000000610366580</t>
        </is>
      </c>
      <c r="D719" s="83" t="n">
        <v>45701</v>
      </c>
      <c r="E719" s="84" t="n">
        <v>369.32</v>
      </c>
      <c r="F719" s="84" t="n">
        <v>0</v>
      </c>
      <c r="G719" s="84" t="n">
        <v>72249.89</v>
      </c>
      <c r="H719" s="84" t="inlineStr"/>
      <c r="I719" s="84" t="inlineStr">
        <is>
          <t>HSL</t>
        </is>
      </c>
      <c r="J719" s="84" t="inlineStr">
        <is>
          <t>HDFC Securities - Buy</t>
        </is>
      </c>
      <c r="K719" s="84" t="inlineStr">
        <is>
          <t>HDFC Securities</t>
        </is>
      </c>
      <c r="L719" s="32" t="n">
        <v>0.97</v>
      </c>
      <c r="M719" s="84" t="inlineStr">
        <is>
          <t>[MATCH]</t>
        </is>
      </c>
    </row>
    <row r="720">
      <c r="A720" s="42" t="n">
        <v>45701</v>
      </c>
      <c r="B720" s="43" t="inlineStr">
        <is>
          <t>ACH C- COFORGE LTD-95252</t>
        </is>
      </c>
      <c r="C720" s="43" t="inlineStr">
        <is>
          <t>0000004485597556</t>
        </is>
      </c>
      <c r="D720" s="42" t="n">
        <v>45701</v>
      </c>
      <c r="E720" s="43" t="n">
        <v>0</v>
      </c>
      <c r="F720" s="43" t="n">
        <v>627</v>
      </c>
      <c r="G720" s="43" t="n">
        <v>72876.89</v>
      </c>
      <c r="H720" s="43" t="inlineStr"/>
      <c r="I720" s="43" t="inlineStr">
        <is>
          <t>Dividend Income</t>
        </is>
      </c>
      <c r="J720" s="43" t="inlineStr">
        <is>
          <t>Dividend Income</t>
        </is>
      </c>
      <c r="K720" s="43" t="inlineStr">
        <is>
          <t>Dividend Income</t>
        </is>
      </c>
      <c r="L720" s="32" t="n">
        <v>0.88</v>
      </c>
      <c r="M720" s="43" t="inlineStr">
        <is>
          <t>[MATCH]</t>
        </is>
      </c>
    </row>
    <row r="721">
      <c r="A721" s="83" t="n">
        <v>45701</v>
      </c>
      <c r="B721" s="84" t="inlineStr">
        <is>
          <t>NET PI TO HSL SEC A/C 523686-00602340029434</t>
        </is>
      </c>
      <c r="C721" s="84" t="inlineStr">
        <is>
          <t>0000000610514625</t>
        </is>
      </c>
      <c r="D721" s="83" t="n">
        <v>45701</v>
      </c>
      <c r="E721" s="84" t="n">
        <v>3599.59</v>
      </c>
      <c r="F721" s="84" t="n">
        <v>0</v>
      </c>
      <c r="G721" s="84" t="n">
        <v>69277.3</v>
      </c>
      <c r="H721" s="84" t="inlineStr"/>
      <c r="I721" s="84" t="inlineStr">
        <is>
          <t>HSL</t>
        </is>
      </c>
      <c r="J721" s="84" t="inlineStr">
        <is>
          <t>HDFC Securities - Buy</t>
        </is>
      </c>
      <c r="K721" s="84" t="inlineStr">
        <is>
          <t>HDFC Securities</t>
        </is>
      </c>
      <c r="L721" s="32" t="n">
        <v>0.97</v>
      </c>
      <c r="M721" s="84" t="inlineStr">
        <is>
          <t>[MATCH]</t>
        </is>
      </c>
    </row>
    <row r="722">
      <c r="A722" s="42" t="n">
        <v>45702</v>
      </c>
      <c r="B722" s="43" t="inlineStr">
        <is>
          <t>DR LAL PATHLDIV24 2500000000000000008368</t>
        </is>
      </c>
      <c r="C722" s="43" t="inlineStr">
        <is>
          <t>0000250449784923</t>
        </is>
      </c>
      <c r="D722" s="42" t="n">
        <v>45702</v>
      </c>
      <c r="E722" s="43" t="n">
        <v>0</v>
      </c>
      <c r="F722" s="43" t="n">
        <v>210</v>
      </c>
      <c r="G722" s="43" t="n">
        <v>69487.3</v>
      </c>
      <c r="H722" s="43" t="inlineStr"/>
      <c r="I722" s="43" t="inlineStr">
        <is>
          <t>Dividend Income</t>
        </is>
      </c>
      <c r="J722" s="43" t="inlineStr">
        <is>
          <t>Dividend Income</t>
        </is>
      </c>
      <c r="K722" s="43" t="inlineStr">
        <is>
          <t>Dividend Income</t>
        </is>
      </c>
      <c r="L722" s="32" t="n">
        <v>0.85</v>
      </c>
      <c r="M722" s="43" t="inlineStr">
        <is>
          <t>[MATCH]</t>
        </is>
      </c>
    </row>
    <row r="723">
      <c r="A723" s="83" t="n">
        <v>45702</v>
      </c>
      <c r="B723" s="84" t="inlineStr">
        <is>
          <t>NET PI TO HSL SEC A/C 523686-00602340029434</t>
        </is>
      </c>
      <c r="C723" s="84" t="inlineStr">
        <is>
          <t>0000000610752888</t>
        </is>
      </c>
      <c r="D723" s="83" t="n">
        <v>45702</v>
      </c>
      <c r="E723" s="84" t="n">
        <v>402.64</v>
      </c>
      <c r="F723" s="84" t="n">
        <v>0</v>
      </c>
      <c r="G723" s="84" t="n">
        <v>69084.66</v>
      </c>
      <c r="H723" s="84" t="inlineStr"/>
      <c r="I723" s="84" t="inlineStr">
        <is>
          <t>HSL</t>
        </is>
      </c>
      <c r="J723" s="84" t="inlineStr">
        <is>
          <t>HDFC Securities - Buy</t>
        </is>
      </c>
      <c r="K723" s="84" t="inlineStr">
        <is>
          <t>HDFC Securities</t>
        </is>
      </c>
      <c r="L723" s="32" t="n">
        <v>0.97</v>
      </c>
      <c r="M723" s="84" t="inlineStr">
        <is>
          <t>[MATCH]</t>
        </is>
      </c>
    </row>
    <row r="724">
      <c r="A724" s="89" t="n">
        <v>45702</v>
      </c>
      <c r="B724" s="90" t="inlineStr">
        <is>
          <t>DEPOSITORY CHARGES JAN25 - 41060499</t>
        </is>
      </c>
      <c r="C724" s="90" t="inlineStr">
        <is>
          <t>000000000000000</t>
        </is>
      </c>
      <c r="D724" s="89" t="n">
        <v>45702</v>
      </c>
      <c r="E724" s="90" t="n">
        <v>247.8</v>
      </c>
      <c r="F724" s="90" t="n">
        <v>0</v>
      </c>
      <c r="G724" s="90" t="n">
        <v>68836.86</v>
      </c>
      <c r="H724" s="90" t="inlineStr"/>
      <c r="I724" s="90" t="inlineStr">
        <is>
          <t>Depository Charges</t>
        </is>
      </c>
      <c r="J724" s="90" t="inlineStr">
        <is>
          <t>Depository Charges</t>
        </is>
      </c>
      <c r="K724" s="90" t="inlineStr">
        <is>
          <t>Depository Charges</t>
        </is>
      </c>
      <c r="L724" s="32" t="n">
        <v>0.93</v>
      </c>
      <c r="M724" s="90" t="inlineStr">
        <is>
          <t>[MATCH]</t>
        </is>
      </c>
    </row>
    <row r="725">
      <c r="A725" s="83" t="n">
        <v>45702</v>
      </c>
      <c r="B725" s="84" t="inlineStr">
        <is>
          <t>NET PI TO HSL SEC A/C 523686-00602340029434</t>
        </is>
      </c>
      <c r="C725" s="84" t="inlineStr">
        <is>
          <t>0000000610956478</t>
        </is>
      </c>
      <c r="D725" s="83" t="n">
        <v>45702</v>
      </c>
      <c r="E725" s="84" t="n">
        <v>21070.58</v>
      </c>
      <c r="F725" s="84" t="n">
        <v>0</v>
      </c>
      <c r="G725" s="84" t="n">
        <v>47766.28</v>
      </c>
      <c r="H725" s="84" t="inlineStr"/>
      <c r="I725" s="84" t="inlineStr">
        <is>
          <t>HSL</t>
        </is>
      </c>
      <c r="J725" s="84" t="inlineStr">
        <is>
          <t>HDFC Securities - Buy</t>
        </is>
      </c>
      <c r="K725" s="84" t="inlineStr">
        <is>
          <t>HDFC Securities</t>
        </is>
      </c>
      <c r="L725" s="32" t="n">
        <v>0.97</v>
      </c>
      <c r="M725" s="84" t="inlineStr">
        <is>
          <t>[MATCH]</t>
        </is>
      </c>
    </row>
    <row r="726">
      <c r="A726" s="83" t="n">
        <v>45703</v>
      </c>
      <c r="B726" s="84" t="inlineStr">
        <is>
          <t>NET PI TO HSL SEC A/C 523686-00602340029434</t>
        </is>
      </c>
      <c r="C726" s="84" t="inlineStr">
        <is>
          <t>0000000611016991</t>
        </is>
      </c>
      <c r="D726" s="83" t="n">
        <v>45703</v>
      </c>
      <c r="E726" s="84" t="n">
        <v>5298.4</v>
      </c>
      <c r="F726" s="84" t="n">
        <v>0</v>
      </c>
      <c r="G726" s="84" t="n">
        <v>42467.88</v>
      </c>
      <c r="H726" s="84" t="inlineStr"/>
      <c r="I726" s="84" t="inlineStr">
        <is>
          <t>HSL</t>
        </is>
      </c>
      <c r="J726" s="84" t="inlineStr">
        <is>
          <t>HDFC Securities - Buy</t>
        </is>
      </c>
      <c r="K726" s="84" t="inlineStr">
        <is>
          <t>HDFC Securities</t>
        </is>
      </c>
      <c r="L726" s="32" t="n">
        <v>0.97</v>
      </c>
      <c r="M726" s="84" t="inlineStr">
        <is>
          <t>[MATCH]</t>
        </is>
      </c>
    </row>
    <row r="727">
      <c r="A727" s="97" t="n">
        <v>45705</v>
      </c>
      <c r="B727" s="98" t="inlineStr">
        <is>
          <t>FT- 611101706-50200085415108 - HDFC SECURITIES LTD-CLIENT DSCNB A/C -</t>
        </is>
      </c>
      <c r="C727" s="98" t="inlineStr">
        <is>
          <t>0000000951903089</t>
        </is>
      </c>
      <c r="D727" s="97" t="n">
        <v>45705</v>
      </c>
      <c r="E727" s="98" t="n">
        <v>0</v>
      </c>
      <c r="F727" s="98" t="n">
        <v>834.62</v>
      </c>
      <c r="G727" s="98" t="n">
        <v>43302.5</v>
      </c>
      <c r="H727" s="98" t="inlineStr"/>
      <c r="I727" s="98" t="inlineStr">
        <is>
          <t>HDFC Sec</t>
        </is>
      </c>
      <c r="J727" s="98" t="inlineStr">
        <is>
          <t>HDFC Securities - Settlement</t>
        </is>
      </c>
      <c r="K727" s="98" t="inlineStr">
        <is>
          <t>HDFC Securities</t>
        </is>
      </c>
      <c r="L727" s="35" t="n">
        <v>0.93</v>
      </c>
      <c r="M727" s="98" t="inlineStr">
        <is>
          <t>[DIFF]</t>
        </is>
      </c>
    </row>
    <row r="728">
      <c r="A728" s="97" t="n">
        <v>45705</v>
      </c>
      <c r="B728" s="98" t="inlineStr">
        <is>
          <t>FT- 611101707-50200085415108 - HDFC SECURITIES LTD-CLIENT DSCNB A/C -</t>
        </is>
      </c>
      <c r="C728" s="98" t="inlineStr">
        <is>
          <t>0000000951903093</t>
        </is>
      </c>
      <c r="D728" s="97" t="n">
        <v>45705</v>
      </c>
      <c r="E728" s="98" t="n">
        <v>0</v>
      </c>
      <c r="F728" s="98" t="n">
        <v>5298.4</v>
      </c>
      <c r="G728" s="98" t="n">
        <v>48600.9</v>
      </c>
      <c r="H728" s="98" t="inlineStr"/>
      <c r="I728" s="98" t="inlineStr">
        <is>
          <t>HDFC Sec</t>
        </is>
      </c>
      <c r="J728" s="98" t="inlineStr">
        <is>
          <t>HDFC Securities - Settlement</t>
        </is>
      </c>
      <c r="K728" s="98" t="inlineStr">
        <is>
          <t>HDFC Securities</t>
        </is>
      </c>
      <c r="L728" s="35" t="n">
        <v>0.93</v>
      </c>
      <c r="M728" s="98" t="inlineStr">
        <is>
          <t>[DIFF]</t>
        </is>
      </c>
    </row>
    <row r="729">
      <c r="A729" s="28" t="n">
        <v>45705</v>
      </c>
      <c r="B729" s="29" t="inlineStr">
        <is>
          <t>ACH D- TP ACH INDIANESIGN-1720937443</t>
        </is>
      </c>
      <c r="C729" s="29" t="inlineStr">
        <is>
          <t>0000004616735225</t>
        </is>
      </c>
      <c r="D729" s="28" t="n">
        <v>45705</v>
      </c>
      <c r="E729" s="29" t="n">
        <v>5000</v>
      </c>
      <c r="F729" s="29" t="n">
        <v>0</v>
      </c>
      <c r="G729" s="29" t="n">
        <v>43600.9</v>
      </c>
      <c r="H729" s="29" t="inlineStr"/>
      <c r="I729" s="29" t="inlineStr">
        <is>
          <t>SIP  - 5000</t>
        </is>
      </c>
      <c r="J729" s="29" t="inlineStr">
        <is>
          <t>SIP</t>
        </is>
      </c>
      <c r="K729" s="29" t="inlineStr">
        <is>
          <t>SIP</t>
        </is>
      </c>
      <c r="L729" s="35" t="n">
        <v>0.95</v>
      </c>
      <c r="M729" s="29" t="inlineStr">
        <is>
          <t>[DIFF]</t>
        </is>
      </c>
    </row>
    <row r="730">
      <c r="A730" s="83" t="n">
        <v>45705</v>
      </c>
      <c r="B730" s="84" t="inlineStr">
        <is>
          <t>NET PI TO HSL SEC A/C 523686-00602340029434</t>
        </is>
      </c>
      <c r="C730" s="84" t="inlineStr">
        <is>
          <t>0000000611267279</t>
        </is>
      </c>
      <c r="D730" s="83" t="n">
        <v>45705</v>
      </c>
      <c r="E730" s="84" t="n">
        <v>1179.75</v>
      </c>
      <c r="F730" s="84" t="n">
        <v>0</v>
      </c>
      <c r="G730" s="84" t="n">
        <v>42421.15</v>
      </c>
      <c r="H730" s="84" t="inlineStr"/>
      <c r="I730" s="84" t="inlineStr">
        <is>
          <t>HSL</t>
        </is>
      </c>
      <c r="J730" s="84" t="inlineStr">
        <is>
          <t>HDFC Securities - Buy</t>
        </is>
      </c>
      <c r="K730" s="84" t="inlineStr">
        <is>
          <t>HDFC Securities</t>
        </is>
      </c>
      <c r="L730" s="32" t="n">
        <v>0.97</v>
      </c>
      <c r="M730" s="84" t="inlineStr">
        <is>
          <t>[MATCH]</t>
        </is>
      </c>
    </row>
    <row r="731">
      <c r="A731" s="42" t="n">
        <v>45705</v>
      </c>
      <c r="B731" s="43" t="inlineStr">
        <is>
          <t>ACH C- SHRIRAM.FINLTD I2DV2-STFIN3004764</t>
        </is>
      </c>
      <c r="C731" s="43" t="inlineStr">
        <is>
          <t>0000004642446420</t>
        </is>
      </c>
      <c r="D731" s="42" t="n">
        <v>45705</v>
      </c>
      <c r="E731" s="43" t="n">
        <v>0</v>
      </c>
      <c r="F731" s="43" t="n">
        <v>475</v>
      </c>
      <c r="G731" s="43" t="n">
        <v>42896.15</v>
      </c>
      <c r="H731" s="43" t="inlineStr"/>
      <c r="I731" s="43" t="inlineStr">
        <is>
          <t>Dividend Income</t>
        </is>
      </c>
      <c r="J731" s="43" t="inlineStr">
        <is>
          <t>Dividend Income</t>
        </is>
      </c>
      <c r="K731" s="43" t="inlineStr">
        <is>
          <t>Dividend Income</t>
        </is>
      </c>
      <c r="L731" s="32" t="n">
        <v>0.88</v>
      </c>
      <c r="M731" s="43" t="inlineStr">
        <is>
          <t>[MATCH]</t>
        </is>
      </c>
    </row>
    <row r="732">
      <c r="A732" s="83" t="n">
        <v>45705</v>
      </c>
      <c r="B732" s="84" t="inlineStr">
        <is>
          <t>NET PI TO HSL SEC A/C 523686-00602340029434</t>
        </is>
      </c>
      <c r="C732" s="84" t="inlineStr">
        <is>
          <t>0000000611475267</t>
        </is>
      </c>
      <c r="D732" s="83" t="n">
        <v>45705</v>
      </c>
      <c r="E732" s="84" t="n">
        <v>17237.03</v>
      </c>
      <c r="F732" s="84" t="n">
        <v>0</v>
      </c>
      <c r="G732" s="84" t="n">
        <v>25659.12</v>
      </c>
      <c r="H732" s="84" t="inlineStr"/>
      <c r="I732" s="84" t="inlineStr">
        <is>
          <t>HSL</t>
        </is>
      </c>
      <c r="J732" s="84" t="inlineStr">
        <is>
          <t>HDFC Securities - Buy</t>
        </is>
      </c>
      <c r="K732" s="84" t="inlineStr">
        <is>
          <t>HDFC Securities</t>
        </is>
      </c>
      <c r="L732" s="32" t="n">
        <v>0.97</v>
      </c>
      <c r="M732" s="84" t="inlineStr">
        <is>
          <t>[MATCH]</t>
        </is>
      </c>
    </row>
    <row r="733">
      <c r="A733" s="83" t="n">
        <v>45705</v>
      </c>
      <c r="B733" s="84" t="inlineStr">
        <is>
          <t>NET PI TO HSL SEC A/C 523686-00602340029434</t>
        </is>
      </c>
      <c r="C733" s="84" t="inlineStr">
        <is>
          <t>0000000611516776</t>
        </is>
      </c>
      <c r="D733" s="83" t="n">
        <v>45705</v>
      </c>
      <c r="E733" s="84" t="n">
        <v>6502.29</v>
      </c>
      <c r="F733" s="84" t="n">
        <v>0</v>
      </c>
      <c r="G733" s="84" t="n">
        <v>19156.83</v>
      </c>
      <c r="H733" s="84" t="inlineStr"/>
      <c r="I733" s="84" t="inlineStr">
        <is>
          <t>HSL</t>
        </is>
      </c>
      <c r="J733" s="84" t="inlineStr">
        <is>
          <t>HDFC Securities - Buy</t>
        </is>
      </c>
      <c r="K733" s="84" t="inlineStr">
        <is>
          <t>HDFC Securities</t>
        </is>
      </c>
      <c r="L733" s="32" t="n">
        <v>0.97</v>
      </c>
      <c r="M733" s="84" t="inlineStr">
        <is>
          <t>[MATCH]</t>
        </is>
      </c>
    </row>
    <row r="734">
      <c r="A734" s="97" t="n">
        <v>45706</v>
      </c>
      <c r="B734" s="98" t="inlineStr">
        <is>
          <t>FT- 611623287-50200085415108 - HDFC SECURITIES LTD-CLIENT DSCNB A/C -</t>
        </is>
      </c>
      <c r="C734" s="98" t="inlineStr">
        <is>
          <t>0000000953039575</t>
        </is>
      </c>
      <c r="D734" s="97" t="n">
        <v>45706</v>
      </c>
      <c r="E734" s="98" t="n">
        <v>0</v>
      </c>
      <c r="F734" s="98" t="n">
        <v>40874.93</v>
      </c>
      <c r="G734" s="98" t="n">
        <v>60031.76</v>
      </c>
      <c r="H734" s="98" t="inlineStr"/>
      <c r="I734" s="98" t="inlineStr">
        <is>
          <t>HDFC Sec</t>
        </is>
      </c>
      <c r="J734" s="98" t="inlineStr">
        <is>
          <t>HDFC Securities - Settlement</t>
        </is>
      </c>
      <c r="K734" s="98" t="inlineStr">
        <is>
          <t>HDFC Securities</t>
        </is>
      </c>
      <c r="L734" s="35" t="n">
        <v>0.93</v>
      </c>
      <c r="M734" s="98" t="inlineStr">
        <is>
          <t>[DIFF]</t>
        </is>
      </c>
    </row>
    <row r="735">
      <c r="A735" s="83" t="n">
        <v>45706</v>
      </c>
      <c r="B735" s="84" t="inlineStr">
        <is>
          <t>NET PI TO HSL SEC A/C 523686-00602340029434</t>
        </is>
      </c>
      <c r="C735" s="84" t="inlineStr">
        <is>
          <t>0000000611750471</t>
        </is>
      </c>
      <c r="D735" s="83" t="n">
        <v>45706</v>
      </c>
      <c r="E735" s="84" t="n">
        <v>386.68</v>
      </c>
      <c r="F735" s="84" t="n">
        <v>0</v>
      </c>
      <c r="G735" s="84" t="n">
        <v>59645.08</v>
      </c>
      <c r="H735" s="84" t="inlineStr"/>
      <c r="I735" s="84" t="inlineStr">
        <is>
          <t>HSL</t>
        </is>
      </c>
      <c r="J735" s="84" t="inlineStr">
        <is>
          <t>HDFC Securities - Buy</t>
        </is>
      </c>
      <c r="K735" s="84" t="inlineStr">
        <is>
          <t>HDFC Securities</t>
        </is>
      </c>
      <c r="L735" s="32" t="n">
        <v>0.97</v>
      </c>
      <c r="M735" s="84" t="inlineStr">
        <is>
          <t>[MATCH]</t>
        </is>
      </c>
    </row>
    <row r="736">
      <c r="A736" s="42" t="n">
        <v>45706</v>
      </c>
      <c r="B736" s="43" t="inlineStr">
        <is>
          <t>ACH C- COAL INDIA LTD-1765532</t>
        </is>
      </c>
      <c r="C736" s="43" t="inlineStr">
        <is>
          <t>0000004678552777</t>
        </is>
      </c>
      <c r="D736" s="42" t="n">
        <v>45706</v>
      </c>
      <c r="E736" s="43" t="n">
        <v>0</v>
      </c>
      <c r="F736" s="43" t="n">
        <v>17</v>
      </c>
      <c r="G736" s="43" t="n">
        <v>59662.08</v>
      </c>
      <c r="H736" s="43" t="inlineStr"/>
      <c r="I736" s="43" t="inlineStr">
        <is>
          <t>Dividend Income</t>
        </is>
      </c>
      <c r="J736" s="43" t="inlineStr">
        <is>
          <t>Dividend Income</t>
        </is>
      </c>
      <c r="K736" s="43" t="inlineStr">
        <is>
          <t>Dividend Income</t>
        </is>
      </c>
      <c r="L736" s="32" t="n">
        <v>0.88</v>
      </c>
      <c r="M736" s="43" t="inlineStr">
        <is>
          <t>[MATCH]</t>
        </is>
      </c>
    </row>
    <row r="737">
      <c r="A737" s="42" t="n">
        <v>45706</v>
      </c>
      <c r="B737" s="43" t="inlineStr">
        <is>
          <t>ACH C- CAMS 3INTDIV 24 25-179387</t>
        </is>
      </c>
      <c r="C737" s="43" t="inlineStr">
        <is>
          <t>0000004674863456</t>
        </is>
      </c>
      <c r="D737" s="42" t="n">
        <v>45706</v>
      </c>
      <c r="E737" s="43" t="n">
        <v>0</v>
      </c>
      <c r="F737" s="43" t="n">
        <v>525</v>
      </c>
      <c r="G737" s="43" t="n">
        <v>60187.08</v>
      </c>
      <c r="H737" s="43" t="inlineStr"/>
      <c r="I737" s="43" t="inlineStr">
        <is>
          <t>Dividend Income</t>
        </is>
      </c>
      <c r="J737" s="43" t="inlineStr">
        <is>
          <t>Dividend Income</t>
        </is>
      </c>
      <c r="K737" s="43" t="inlineStr">
        <is>
          <t>Dividend Income</t>
        </is>
      </c>
      <c r="L737" s="32" t="n">
        <v>0.88</v>
      </c>
      <c r="M737" s="43" t="inlineStr">
        <is>
          <t>[MATCH]</t>
        </is>
      </c>
    </row>
    <row r="738">
      <c r="A738" s="83" t="n">
        <v>45706</v>
      </c>
      <c r="B738" s="84" t="inlineStr">
        <is>
          <t>NET PI TO HSL SEC A/C 523686-00602340029434</t>
        </is>
      </c>
      <c r="C738" s="84" t="inlineStr">
        <is>
          <t>0000000611976420</t>
        </is>
      </c>
      <c r="D738" s="83" t="n">
        <v>45706</v>
      </c>
      <c r="E738" s="84" t="n">
        <v>10680.72</v>
      </c>
      <c r="F738" s="84" t="n">
        <v>0</v>
      </c>
      <c r="G738" s="84" t="n">
        <v>49506.36</v>
      </c>
      <c r="H738" s="84" t="inlineStr"/>
      <c r="I738" s="84" t="inlineStr">
        <is>
          <t>HSL</t>
        </is>
      </c>
      <c r="J738" s="84" t="inlineStr">
        <is>
          <t>HDFC Securities - Buy</t>
        </is>
      </c>
      <c r="K738" s="84" t="inlineStr">
        <is>
          <t>HDFC Securities</t>
        </is>
      </c>
      <c r="L738" s="32" t="n">
        <v>0.97</v>
      </c>
      <c r="M738" s="84" t="inlineStr">
        <is>
          <t>[MATCH]</t>
        </is>
      </c>
    </row>
    <row r="739">
      <c r="A739" s="83" t="n">
        <v>45706</v>
      </c>
      <c r="B739" s="84" t="inlineStr">
        <is>
          <t>NET PI TO HSL SEC A/C 523686-00602340029434</t>
        </is>
      </c>
      <c r="C739" s="84" t="inlineStr">
        <is>
          <t>0000000612010020</t>
        </is>
      </c>
      <c r="D739" s="83" t="n">
        <v>45706</v>
      </c>
      <c r="E739" s="84" t="n">
        <v>32910.82</v>
      </c>
      <c r="F739" s="84" t="n">
        <v>0</v>
      </c>
      <c r="G739" s="84" t="n">
        <v>16595.54</v>
      </c>
      <c r="H739" s="84" t="inlineStr"/>
      <c r="I739" s="84" t="inlineStr">
        <is>
          <t>HSL</t>
        </is>
      </c>
      <c r="J739" s="84" t="inlineStr">
        <is>
          <t>HDFC Securities - Buy</t>
        </is>
      </c>
      <c r="K739" s="84" t="inlineStr">
        <is>
          <t>HDFC Securities</t>
        </is>
      </c>
      <c r="L739" s="32" t="n">
        <v>0.97</v>
      </c>
      <c r="M739" s="84" t="inlineStr">
        <is>
          <t>[MATCH]</t>
        </is>
      </c>
    </row>
    <row r="740">
      <c r="A740" s="83" t="n">
        <v>45707</v>
      </c>
      <c r="B740" s="84" t="inlineStr">
        <is>
          <t>NET PI TO HSL SEC A/C 523686-00602340029434</t>
        </is>
      </c>
      <c r="C740" s="84" t="inlineStr">
        <is>
          <t>0000000612158040</t>
        </is>
      </c>
      <c r="D740" s="83" t="n">
        <v>45707</v>
      </c>
      <c r="E740" s="84" t="n">
        <v>397.02</v>
      </c>
      <c r="F740" s="84" t="n">
        <v>0</v>
      </c>
      <c r="G740" s="84" t="n">
        <v>16198.52</v>
      </c>
      <c r="H740" s="84" t="inlineStr"/>
      <c r="I740" s="84" t="inlineStr">
        <is>
          <t>HSL</t>
        </is>
      </c>
      <c r="J740" s="84" t="inlineStr">
        <is>
          <t>HDFC Securities - Buy</t>
        </is>
      </c>
      <c r="K740" s="84" t="inlineStr">
        <is>
          <t>HDFC Securities</t>
        </is>
      </c>
      <c r="L740" s="32" t="n">
        <v>0.97</v>
      </c>
      <c r="M740" s="84" t="inlineStr">
        <is>
          <t>[MATCH]</t>
        </is>
      </c>
    </row>
    <row r="741">
      <c r="A741" s="83" t="n">
        <v>45707</v>
      </c>
      <c r="B741" s="84" t="inlineStr">
        <is>
          <t>NET PI TO HSL SEC A/C 523686-00602340029434</t>
        </is>
      </c>
      <c r="C741" s="84" t="inlineStr">
        <is>
          <t>0000000612307517</t>
        </is>
      </c>
      <c r="D741" s="83" t="n">
        <v>45707</v>
      </c>
      <c r="E741" s="84" t="n">
        <v>13065.24</v>
      </c>
      <c r="F741" s="84" t="n">
        <v>0</v>
      </c>
      <c r="G741" s="84" t="n">
        <v>3133.28</v>
      </c>
      <c r="H741" s="84" t="inlineStr"/>
      <c r="I741" s="84" t="inlineStr">
        <is>
          <t>HSL</t>
        </is>
      </c>
      <c r="J741" s="84" t="inlineStr">
        <is>
          <t>HDFC Securities - Buy</t>
        </is>
      </c>
      <c r="K741" s="84" t="inlineStr">
        <is>
          <t>HDFC Securities</t>
        </is>
      </c>
      <c r="L741" s="32" t="n">
        <v>0.97</v>
      </c>
      <c r="M741" s="84" t="inlineStr">
        <is>
          <t>[MATCH]</t>
        </is>
      </c>
    </row>
    <row r="742">
      <c r="A742" s="97" t="n">
        <v>45708</v>
      </c>
      <c r="B742" s="98" t="inlineStr">
        <is>
          <t>FT- 612389928-50200085415108 - HDFC SECURITIES LTD-CLIENT DSCNB A/C -</t>
        </is>
      </c>
      <c r="C742" s="98" t="inlineStr">
        <is>
          <t>0000000955041078</t>
        </is>
      </c>
      <c r="D742" s="97" t="n">
        <v>45708</v>
      </c>
      <c r="E742" s="98" t="n">
        <v>0</v>
      </c>
      <c r="F742" s="98" t="n">
        <v>12303.96</v>
      </c>
      <c r="G742" s="98" t="n">
        <v>15437.24</v>
      </c>
      <c r="H742" s="98" t="inlineStr"/>
      <c r="I742" s="98" t="inlineStr">
        <is>
          <t>HDFC Sec</t>
        </is>
      </c>
      <c r="J742" s="98" t="inlineStr">
        <is>
          <t>HDFC Securities - Settlement</t>
        </is>
      </c>
      <c r="K742" s="98" t="inlineStr">
        <is>
          <t>HDFC Securities</t>
        </is>
      </c>
      <c r="L742" s="35" t="n">
        <v>0.93</v>
      </c>
      <c r="M742" s="98" t="inlineStr">
        <is>
          <t>[DIFF]</t>
        </is>
      </c>
    </row>
    <row r="743">
      <c r="A743" s="42" t="n">
        <v>45708</v>
      </c>
      <c r="B743" s="43" t="inlineStr">
        <is>
          <t>ACH C- CONCOR 3RD INT DIV-CN060225004173</t>
        </is>
      </c>
      <c r="C743" s="43" t="inlineStr">
        <is>
          <t>0000004731849470</t>
        </is>
      </c>
      <c r="D743" s="42" t="n">
        <v>45708</v>
      </c>
      <c r="E743" s="43" t="n">
        <v>0</v>
      </c>
      <c r="F743" s="43" t="n">
        <v>573.75</v>
      </c>
      <c r="G743" s="43" t="n">
        <v>16010.99</v>
      </c>
      <c r="H743" s="43" t="inlineStr"/>
      <c r="I743" s="43" t="inlineStr">
        <is>
          <t>Dividend Income</t>
        </is>
      </c>
      <c r="J743" s="43" t="inlineStr">
        <is>
          <t>Dividend Income</t>
        </is>
      </c>
      <c r="K743" s="43" t="inlineStr">
        <is>
          <t>Dividend Income</t>
        </is>
      </c>
      <c r="L743" s="32" t="n">
        <v>0.88</v>
      </c>
      <c r="M743" s="43" t="inlineStr">
        <is>
          <t>[MATCH]</t>
        </is>
      </c>
    </row>
    <row r="744">
      <c r="A744" s="83" t="n">
        <v>45708</v>
      </c>
      <c r="B744" s="84" t="inlineStr">
        <is>
          <t>NET PI TO HSL SEC A/C 523686-00602340029434</t>
        </is>
      </c>
      <c r="C744" s="84" t="inlineStr">
        <is>
          <t>0000000612555837</t>
        </is>
      </c>
      <c r="D744" s="83" t="n">
        <v>45708</v>
      </c>
      <c r="E744" s="84" t="n">
        <v>392.37</v>
      </c>
      <c r="F744" s="84" t="n">
        <v>0</v>
      </c>
      <c r="G744" s="84" t="n">
        <v>15618.62</v>
      </c>
      <c r="H744" s="84" t="inlineStr"/>
      <c r="I744" s="84" t="inlineStr">
        <is>
          <t>HSL</t>
        </is>
      </c>
      <c r="J744" s="84" t="inlineStr">
        <is>
          <t>HDFC Securities - Buy</t>
        </is>
      </c>
      <c r="K744" s="84" t="inlineStr">
        <is>
          <t>HDFC Securities</t>
        </is>
      </c>
      <c r="L744" s="32" t="n">
        <v>0.97</v>
      </c>
      <c r="M744" s="84" t="inlineStr">
        <is>
          <t>[MATCH]</t>
        </is>
      </c>
    </row>
    <row r="745">
      <c r="A745" s="28" t="n">
        <v>45708</v>
      </c>
      <c r="B745" s="29" t="inlineStr">
        <is>
          <t>YHDF2532495131/BILLDKTHECALCUTTAELE</t>
        </is>
      </c>
      <c r="C745" s="29" t="inlineStr">
        <is>
          <t>0000255176808718</t>
        </is>
      </c>
      <c r="D745" s="28" t="n">
        <v>45708</v>
      </c>
      <c r="E745" s="29" t="n">
        <v>7632</v>
      </c>
      <c r="F745" s="29" t="n">
        <v>0</v>
      </c>
      <c r="G745" s="29" t="n">
        <v>7986.62</v>
      </c>
      <c r="H745" s="29" t="inlineStr"/>
      <c r="I745" s="29" t="inlineStr">
        <is>
          <t>Electricity Bill</t>
        </is>
      </c>
      <c r="J745" s="29" t="inlineStr">
        <is>
          <t>SIP</t>
        </is>
      </c>
      <c r="K745" s="29" t="inlineStr">
        <is>
          <t>SIP</t>
        </is>
      </c>
      <c r="L745" s="35" t="n">
        <v>0.9</v>
      </c>
      <c r="M745" s="29" t="inlineStr">
        <is>
          <t>[DIFF]</t>
        </is>
      </c>
    </row>
    <row r="746">
      <c r="A746" s="97" t="n">
        <v>45709</v>
      </c>
      <c r="B746" s="98" t="inlineStr">
        <is>
          <t>FT- 612817930-50200085415108 - HDFC SECURITIES LTD-CLIENT DSCNB A/C -</t>
        </is>
      </c>
      <c r="C746" s="98" t="inlineStr">
        <is>
          <t>0000000956285689</t>
        </is>
      </c>
      <c r="D746" s="97" t="n">
        <v>45709</v>
      </c>
      <c r="E746" s="98" t="n">
        <v>0</v>
      </c>
      <c r="F746" s="98" t="n">
        <v>14833.79</v>
      </c>
      <c r="G746" s="98" t="n">
        <v>22820.41</v>
      </c>
      <c r="H746" s="98" t="inlineStr"/>
      <c r="I746" s="98" t="inlineStr">
        <is>
          <t>HDFC Sec</t>
        </is>
      </c>
      <c r="J746" s="98" t="inlineStr">
        <is>
          <t>HDFC Securities - Settlement</t>
        </is>
      </c>
      <c r="K746" s="98" t="inlineStr">
        <is>
          <t>HDFC Securities</t>
        </is>
      </c>
      <c r="L746" s="35" t="n">
        <v>0.93</v>
      </c>
      <c r="M746" s="98" t="inlineStr">
        <is>
          <t>[DIFF]</t>
        </is>
      </c>
    </row>
    <row r="747">
      <c r="A747" s="97" t="n">
        <v>45709</v>
      </c>
      <c r="B747" s="98" t="inlineStr">
        <is>
          <t>FT- 612789373-50200085415108 - HDFC SECURITIES LTD-CLIENT DSCNB A/C -</t>
        </is>
      </c>
      <c r="C747" s="98" t="inlineStr">
        <is>
          <t>0000000956277351</t>
        </is>
      </c>
      <c r="D747" s="97" t="n">
        <v>45709</v>
      </c>
      <c r="E747" s="98" t="n">
        <v>0</v>
      </c>
      <c r="F747" s="98" t="n">
        <v>15852.28</v>
      </c>
      <c r="G747" s="98" t="n">
        <v>38672.69</v>
      </c>
      <c r="H747" s="98" t="inlineStr"/>
      <c r="I747" s="98" t="inlineStr">
        <is>
          <t>HDFC Sec</t>
        </is>
      </c>
      <c r="J747" s="98" t="inlineStr">
        <is>
          <t>HDFC Securities - Settlement</t>
        </is>
      </c>
      <c r="K747" s="98" t="inlineStr">
        <is>
          <t>HDFC Securities</t>
        </is>
      </c>
      <c r="L747" s="35" t="n">
        <v>0.93</v>
      </c>
      <c r="M747" s="98" t="inlineStr">
        <is>
          <t>[DIFF]</t>
        </is>
      </c>
    </row>
    <row r="748">
      <c r="A748" s="83" t="n">
        <v>45709</v>
      </c>
      <c r="B748" s="84" t="inlineStr">
        <is>
          <t>NET PI TO HSL SEC A/C 523686-00602340029434</t>
        </is>
      </c>
      <c r="C748" s="84" t="inlineStr">
        <is>
          <t>0000000612905644</t>
        </is>
      </c>
      <c r="D748" s="83" t="n">
        <v>45709</v>
      </c>
      <c r="E748" s="84" t="n">
        <v>413.13</v>
      </c>
      <c r="F748" s="84" t="n">
        <v>0</v>
      </c>
      <c r="G748" s="84" t="n">
        <v>38259.56</v>
      </c>
      <c r="H748" s="84" t="inlineStr"/>
      <c r="I748" s="84" t="inlineStr">
        <is>
          <t>HSL</t>
        </is>
      </c>
      <c r="J748" s="84" t="inlineStr">
        <is>
          <t>HDFC Securities - Buy</t>
        </is>
      </c>
      <c r="K748" s="84" t="inlineStr">
        <is>
          <t>HDFC Securities</t>
        </is>
      </c>
      <c r="L748" s="32" t="n">
        <v>0.97</v>
      </c>
      <c r="M748" s="84" t="inlineStr">
        <is>
          <t>[MATCH]</t>
        </is>
      </c>
    </row>
    <row r="749">
      <c r="A749" s="83" t="n">
        <v>45709</v>
      </c>
      <c r="B749" s="84" t="inlineStr">
        <is>
          <t>NET PI TO HSL SEC A/C 523686-00602340029434</t>
        </is>
      </c>
      <c r="C749" s="84" t="inlineStr">
        <is>
          <t>0000000613095690</t>
        </is>
      </c>
      <c r="D749" s="83" t="n">
        <v>45709</v>
      </c>
      <c r="E749" s="84" t="n">
        <v>591.59</v>
      </c>
      <c r="F749" s="84" t="n">
        <v>0</v>
      </c>
      <c r="G749" s="84" t="n">
        <v>37667.97</v>
      </c>
      <c r="H749" s="84" t="inlineStr"/>
      <c r="I749" s="84" t="inlineStr">
        <is>
          <t>HSL</t>
        </is>
      </c>
      <c r="J749" s="84" t="inlineStr">
        <is>
          <t>HDFC Securities - Buy</t>
        </is>
      </c>
      <c r="K749" s="84" t="inlineStr">
        <is>
          <t>HDFC Securities</t>
        </is>
      </c>
      <c r="L749" s="32" t="n">
        <v>0.97</v>
      </c>
      <c r="M749" s="84" t="inlineStr">
        <is>
          <t>[MATCH]</t>
        </is>
      </c>
    </row>
    <row r="750">
      <c r="A750" s="83" t="n">
        <v>45709</v>
      </c>
      <c r="B750" s="84" t="inlineStr">
        <is>
          <t>NET PI TO HSL SEC A/C 523686-00602340029434</t>
        </is>
      </c>
      <c r="C750" s="84" t="inlineStr">
        <is>
          <t>0000000613123782</t>
        </is>
      </c>
      <c r="D750" s="83" t="n">
        <v>45709</v>
      </c>
      <c r="E750" s="84" t="n">
        <v>14592.03</v>
      </c>
      <c r="F750" s="84" t="n">
        <v>0</v>
      </c>
      <c r="G750" s="84" t="n">
        <v>23075.94</v>
      </c>
      <c r="H750" s="84" t="inlineStr"/>
      <c r="I750" s="84" t="inlineStr">
        <is>
          <t>HSL</t>
        </is>
      </c>
      <c r="J750" s="84" t="inlineStr">
        <is>
          <t>HDFC Securities - Buy</t>
        </is>
      </c>
      <c r="K750" s="84" t="inlineStr">
        <is>
          <t>HDFC Securities</t>
        </is>
      </c>
      <c r="L750" s="32" t="n">
        <v>0.97</v>
      </c>
      <c r="M750" s="84" t="inlineStr">
        <is>
          <t>[MATCH]</t>
        </is>
      </c>
    </row>
    <row r="751">
      <c r="A751" s="83" t="n">
        <v>45712</v>
      </c>
      <c r="B751" s="84" t="inlineStr">
        <is>
          <t>NET PI TO HSL SEC A/C 523686-00602340029434</t>
        </is>
      </c>
      <c r="C751" s="84" t="inlineStr">
        <is>
          <t>0000000613361543</t>
        </is>
      </c>
      <c r="D751" s="83" t="n">
        <v>45712</v>
      </c>
      <c r="E751" s="84" t="n">
        <v>1240.11</v>
      </c>
      <c r="F751" s="84" t="n">
        <v>0</v>
      </c>
      <c r="G751" s="84" t="n">
        <v>21835.83</v>
      </c>
      <c r="H751" s="84" t="inlineStr"/>
      <c r="I751" s="84" t="inlineStr">
        <is>
          <t>HSL</t>
        </is>
      </c>
      <c r="J751" s="84" t="inlineStr">
        <is>
          <t>HDFC Securities - Buy</t>
        </is>
      </c>
      <c r="K751" s="84" t="inlineStr">
        <is>
          <t>HDFC Securities</t>
        </is>
      </c>
      <c r="L751" s="32" t="n">
        <v>0.97</v>
      </c>
      <c r="M751" s="84" t="inlineStr">
        <is>
          <t>[MATCH]</t>
        </is>
      </c>
    </row>
    <row r="752">
      <c r="A752" s="42" t="n">
        <v>45712</v>
      </c>
      <c r="B752" s="43" t="inlineStr">
        <is>
          <t>ACH C- PI INDUSTRIES LTD-3738446</t>
        </is>
      </c>
      <c r="C752" s="43" t="inlineStr">
        <is>
          <t>0000004935229836</t>
        </is>
      </c>
      <c r="D752" s="42" t="n">
        <v>45712</v>
      </c>
      <c r="E752" s="43" t="n">
        <v>0</v>
      </c>
      <c r="F752" s="43" t="n">
        <v>144</v>
      </c>
      <c r="G752" s="43" t="n">
        <v>21979.83</v>
      </c>
      <c r="H752" s="43" t="inlineStr"/>
      <c r="I752" s="43" t="inlineStr">
        <is>
          <t>Dividend Income</t>
        </is>
      </c>
      <c r="J752" s="43" t="inlineStr">
        <is>
          <t>Dividend Income</t>
        </is>
      </c>
      <c r="K752" s="43" t="inlineStr">
        <is>
          <t>Dividend Income</t>
        </is>
      </c>
      <c r="L752" s="32" t="n">
        <v>0.88</v>
      </c>
      <c r="M752" s="43" t="inlineStr">
        <is>
          <t>[MATCH]</t>
        </is>
      </c>
    </row>
    <row r="753">
      <c r="A753" s="83" t="n">
        <v>45712</v>
      </c>
      <c r="B753" s="84" t="inlineStr">
        <is>
          <t>NET PI TO HSL SEC A/C 523686-00602340029434</t>
        </is>
      </c>
      <c r="C753" s="84" t="inlineStr">
        <is>
          <t>0000000613534015</t>
        </is>
      </c>
      <c r="D753" s="83" t="n">
        <v>45712</v>
      </c>
      <c r="E753" s="84" t="n">
        <v>20231.34</v>
      </c>
      <c r="F753" s="84" t="n">
        <v>0</v>
      </c>
      <c r="G753" s="84" t="n">
        <v>1748.49</v>
      </c>
      <c r="H753" s="84" t="inlineStr"/>
      <c r="I753" s="84" t="inlineStr">
        <is>
          <t>HSL</t>
        </is>
      </c>
      <c r="J753" s="84" t="inlineStr">
        <is>
          <t>HDFC Securities - Buy</t>
        </is>
      </c>
      <c r="K753" s="84" t="inlineStr">
        <is>
          <t>HDFC Securities</t>
        </is>
      </c>
      <c r="L753" s="32" t="n">
        <v>0.97</v>
      </c>
      <c r="M753" s="84" t="inlineStr">
        <is>
          <t>[MATCH]</t>
        </is>
      </c>
    </row>
    <row r="754">
      <c r="A754" s="28" t="n">
        <v>45713</v>
      </c>
      <c r="B754" s="29" t="inlineStr">
        <is>
          <t>ACH D- TP ACH INDIANESIGN-1724388224</t>
        </is>
      </c>
      <c r="C754" s="29" t="inlineStr">
        <is>
          <t>0000004954609668</t>
        </is>
      </c>
      <c r="D754" s="28" t="n">
        <v>45713</v>
      </c>
      <c r="E754" s="29" t="n">
        <v>10000</v>
      </c>
      <c r="F754" s="29" t="n">
        <v>0</v>
      </c>
      <c r="G754" s="29" t="n">
        <v>-8251.51</v>
      </c>
      <c r="H754" s="29" t="inlineStr"/>
      <c r="I754" s="29" t="inlineStr">
        <is>
          <t>Plus -Minus</t>
        </is>
      </c>
      <c r="J754" s="29" t="inlineStr">
        <is>
          <t>SIP</t>
        </is>
      </c>
      <c r="K754" s="29" t="inlineStr">
        <is>
          <t>SIP</t>
        </is>
      </c>
      <c r="L754" s="35" t="n">
        <v>0.95</v>
      </c>
      <c r="M754" s="29" t="inlineStr">
        <is>
          <t>[DIFF]</t>
        </is>
      </c>
    </row>
    <row r="755">
      <c r="A755" s="105" t="n">
        <v>45713</v>
      </c>
      <c r="B755" s="106" t="inlineStr">
        <is>
          <t>ACH D- TP ACH INDIANESIGN-1724388224</t>
        </is>
      </c>
      <c r="C755" s="106" t="inlineStr">
        <is>
          <t>0000004954609668</t>
        </is>
      </c>
      <c r="D755" s="105" t="n">
        <v>45713</v>
      </c>
      <c r="E755" s="106" t="n">
        <v>0</v>
      </c>
      <c r="F755" s="106" t="n">
        <v>10000</v>
      </c>
      <c r="G755" s="106" t="n">
        <v>1748.49</v>
      </c>
      <c r="H755" s="106" t="inlineStr"/>
      <c r="I755" s="106" t="inlineStr">
        <is>
          <t>Plus -Minus</t>
        </is>
      </c>
      <c r="J755" s="106" t="inlineStr">
        <is>
          <t>SIP Refund / Reversal</t>
        </is>
      </c>
      <c r="K755" s="106" t="inlineStr">
        <is>
          <t>Mutual Funds</t>
        </is>
      </c>
      <c r="L755" s="35" t="n">
        <v>0.9</v>
      </c>
      <c r="M755" s="106" t="inlineStr">
        <is>
          <t>[DIFF]</t>
        </is>
      </c>
    </row>
    <row r="756">
      <c r="A756" s="83" t="n">
        <v>45713</v>
      </c>
      <c r="B756" s="84" t="inlineStr">
        <is>
          <t>NET PI TO HSL SEC A/C 523686-00602340029434</t>
        </is>
      </c>
      <c r="C756" s="84" t="inlineStr">
        <is>
          <t>0000000613787503</t>
        </is>
      </c>
      <c r="D756" s="83" t="n">
        <v>45713</v>
      </c>
      <c r="E756" s="84" t="n">
        <v>411.36</v>
      </c>
      <c r="F756" s="84" t="n">
        <v>0</v>
      </c>
      <c r="G756" s="84" t="n">
        <v>1337.13</v>
      </c>
      <c r="H756" s="84" t="inlineStr"/>
      <c r="I756" s="84" t="inlineStr">
        <is>
          <t>HSL</t>
        </is>
      </c>
      <c r="J756" s="84" t="inlineStr">
        <is>
          <t>HDFC Securities - Buy</t>
        </is>
      </c>
      <c r="K756" s="84" t="inlineStr">
        <is>
          <t>HDFC Securities</t>
        </is>
      </c>
      <c r="L756" s="32" t="n">
        <v>0.97</v>
      </c>
      <c r="M756" s="84" t="inlineStr">
        <is>
          <t>[MATCH]</t>
        </is>
      </c>
    </row>
    <row r="757">
      <c r="A757" s="42" t="n">
        <v>45713</v>
      </c>
      <c r="B757" s="43" t="inlineStr">
        <is>
          <t>ACH C- HEROMOTOCORPLTD-00000000000007133</t>
        </is>
      </c>
      <c r="C757" s="43" t="inlineStr">
        <is>
          <t>0000007059427056</t>
        </is>
      </c>
      <c r="D757" s="42" t="n">
        <v>45713</v>
      </c>
      <c r="E757" s="43" t="n">
        <v>0</v>
      </c>
      <c r="F757" s="43" t="n">
        <v>300</v>
      </c>
      <c r="G757" s="43" t="n">
        <v>1637.13</v>
      </c>
      <c r="H757" s="43" t="inlineStr"/>
      <c r="I757" s="43" t="inlineStr">
        <is>
          <t>Dividend Income</t>
        </is>
      </c>
      <c r="J757" s="43" t="inlineStr">
        <is>
          <t>Dividend Income</t>
        </is>
      </c>
      <c r="K757" s="43" t="inlineStr">
        <is>
          <t>Dividend Income</t>
        </is>
      </c>
      <c r="L757" s="32" t="n">
        <v>0.88</v>
      </c>
      <c r="M757" s="43" t="inlineStr">
        <is>
          <t>[MATCH]</t>
        </is>
      </c>
    </row>
    <row r="758">
      <c r="A758" s="83" t="n">
        <v>45714</v>
      </c>
      <c r="B758" s="84" t="inlineStr">
        <is>
          <t>NET PI TO HSL SEC A/C 523686-00602340029434</t>
        </is>
      </c>
      <c r="C758" s="84" t="inlineStr">
        <is>
          <t>0000000613939750</t>
        </is>
      </c>
      <c r="D758" s="83" t="n">
        <v>45714</v>
      </c>
      <c r="E758" s="84" t="n">
        <v>1637.13</v>
      </c>
      <c r="F758" s="84" t="n">
        <v>0</v>
      </c>
      <c r="G758" s="84" t="n">
        <v>0</v>
      </c>
      <c r="H758" s="84" t="inlineStr"/>
      <c r="I758" s="84" t="inlineStr">
        <is>
          <t>HSL</t>
        </is>
      </c>
      <c r="J758" s="84" t="inlineStr">
        <is>
          <t>HDFC Securities - Buy</t>
        </is>
      </c>
      <c r="K758" s="84" t="inlineStr">
        <is>
          <t>HDFC Securities</t>
        </is>
      </c>
      <c r="L758" s="32" t="n">
        <v>0.97</v>
      </c>
      <c r="M758" s="84" t="inlineStr">
        <is>
          <t>[MATCH]</t>
        </is>
      </c>
    </row>
    <row r="759">
      <c r="A759" s="97" t="n">
        <v>45716</v>
      </c>
      <c r="B759" s="98" t="inlineStr">
        <is>
          <t>FT- 614513900-50200085415108 - HDFC SECURITIES LTD-CLIENT DSCNB A/C -</t>
        </is>
      </c>
      <c r="C759" s="98" t="inlineStr">
        <is>
          <t>0000000963766350</t>
        </is>
      </c>
      <c r="D759" s="97" t="n">
        <v>45716</v>
      </c>
      <c r="E759" s="98" t="n">
        <v>0</v>
      </c>
      <c r="F759" s="98" t="n">
        <v>5258.39</v>
      </c>
      <c r="G759" s="98" t="n">
        <v>5258.39</v>
      </c>
      <c r="H759" s="98" t="inlineStr"/>
      <c r="I759" s="98" t="inlineStr">
        <is>
          <t>HDFC Sec</t>
        </is>
      </c>
      <c r="J759" s="98" t="inlineStr">
        <is>
          <t>HDFC Securities - Settlement</t>
        </is>
      </c>
      <c r="K759" s="98" t="inlineStr">
        <is>
          <t>HDFC Securities</t>
        </is>
      </c>
      <c r="L759" s="35" t="n">
        <v>0.93</v>
      </c>
      <c r="M759" s="98" t="inlineStr">
        <is>
          <t>[DIFF]</t>
        </is>
      </c>
    </row>
    <row r="760">
      <c r="A760" s="83" t="n">
        <v>45716</v>
      </c>
      <c r="B760" s="84" t="inlineStr">
        <is>
          <t>NET PI TO HSL SEC A/C 523686-00602340029434</t>
        </is>
      </c>
      <c r="C760" s="84" t="inlineStr">
        <is>
          <t>0000000614645050</t>
        </is>
      </c>
      <c r="D760" s="83" t="n">
        <v>45716</v>
      </c>
      <c r="E760" s="84" t="n">
        <v>411.07</v>
      </c>
      <c r="F760" s="84" t="n">
        <v>0</v>
      </c>
      <c r="G760" s="84" t="n">
        <v>4847.32</v>
      </c>
      <c r="H760" s="84" t="inlineStr"/>
      <c r="I760" s="84" t="inlineStr">
        <is>
          <t>HSL</t>
        </is>
      </c>
      <c r="J760" s="84" t="inlineStr">
        <is>
          <t>HDFC Securities - Buy</t>
        </is>
      </c>
      <c r="K760" s="84" t="inlineStr">
        <is>
          <t>HDFC Securities</t>
        </is>
      </c>
      <c r="L760" s="32" t="n">
        <v>0.97</v>
      </c>
      <c r="M760" s="84" t="inlineStr">
        <is>
          <t>[MATCH]</t>
        </is>
      </c>
    </row>
    <row r="761">
      <c r="A761" s="42" t="n">
        <v>45716</v>
      </c>
      <c r="B761" s="43" t="inlineStr">
        <is>
          <t>ACH C- POWER GRID CORPORATI-98355423</t>
        </is>
      </c>
      <c r="C761" s="43" t="inlineStr">
        <is>
          <t>0000005170152520</t>
        </is>
      </c>
      <c r="D761" s="42" t="n">
        <v>45716</v>
      </c>
      <c r="E761" s="43" t="n">
        <v>0</v>
      </c>
      <c r="F761" s="43" t="n">
        <v>325</v>
      </c>
      <c r="G761" s="43" t="n">
        <v>5172.32</v>
      </c>
      <c r="H761" s="43" t="inlineStr"/>
      <c r="I761" s="43" t="inlineStr">
        <is>
          <t>Dividend Income</t>
        </is>
      </c>
      <c r="J761" s="43" t="inlineStr">
        <is>
          <t>Dividend Income</t>
        </is>
      </c>
      <c r="K761" s="43" t="inlineStr">
        <is>
          <t>Dividend Income</t>
        </is>
      </c>
      <c r="L761" s="32" t="n">
        <v>0.88</v>
      </c>
      <c r="M761" s="43" t="inlineStr">
        <is>
          <t>[MATCH]</t>
        </is>
      </c>
    </row>
    <row r="762">
      <c r="A762" s="33" t="n">
        <v>45716</v>
      </c>
      <c r="B762" s="34" t="inlineStr">
        <is>
          <t>NEFT CR-SBIN0004266-SBI GENERAL INSURANCE CO LTDSBI GEN-SUNITA GUPTA 0000000002717756-SBINN52025022832582513</t>
        </is>
      </c>
      <c r="C762" s="34" t="inlineStr">
        <is>
          <t>SBINN52025022832582513</t>
        </is>
      </c>
      <c r="D762" s="33" t="n">
        <v>45716</v>
      </c>
      <c r="E762" s="34" t="n">
        <v>0</v>
      </c>
      <c r="F762" s="34" t="n">
        <v>2738</v>
      </c>
      <c r="G762" s="34" t="n">
        <v>7910.32</v>
      </c>
      <c r="H762" s="34" t="inlineStr"/>
      <c r="I762" s="34" t="inlineStr">
        <is>
          <t>Rental Income</t>
        </is>
      </c>
      <c r="J762" s="34" t="inlineStr">
        <is>
          <t>Received - Sunita Gupta</t>
        </is>
      </c>
      <c r="K762" s="34" t="inlineStr">
        <is>
          <t>Sunita Gupta</t>
        </is>
      </c>
      <c r="L762" s="35" t="n">
        <v>0.88</v>
      </c>
      <c r="M762" s="34" t="inlineStr">
        <is>
          <t>[DIFF]</t>
        </is>
      </c>
    </row>
    <row r="763">
      <c r="A763" s="42" t="n">
        <v>45716</v>
      </c>
      <c r="B763" s="43" t="inlineStr">
        <is>
          <t>NEFT CR-UTIB0000004-AXIS MUTUAL FUND DIVIDEND A/C-SUNITA GUPTA-UTIBN62025022834402533</t>
        </is>
      </c>
      <c r="C763" s="43" t="inlineStr">
        <is>
          <t>UTIBN62025022834402533</t>
        </is>
      </c>
      <c r="D763" s="42" t="n">
        <v>45716</v>
      </c>
      <c r="E763" s="43" t="n">
        <v>0</v>
      </c>
      <c r="F763" s="43" t="n">
        <v>84.56999999999999</v>
      </c>
      <c r="G763" s="43" t="n">
        <v>7994.89</v>
      </c>
      <c r="H763" s="43" t="inlineStr"/>
      <c r="I763" s="43" t="inlineStr">
        <is>
          <t>Dividend Income</t>
        </is>
      </c>
      <c r="J763" s="43" t="inlineStr">
        <is>
          <t>Dividend Income</t>
        </is>
      </c>
      <c r="K763" s="43" t="inlineStr">
        <is>
          <t>Dividend Income</t>
        </is>
      </c>
      <c r="L763" s="32" t="n">
        <v>0.85</v>
      </c>
      <c r="M763" s="43" t="inlineStr">
        <is>
          <t>[MATCH]</t>
        </is>
      </c>
    </row>
    <row r="764">
      <c r="A764" s="33" t="n">
        <v>45716</v>
      </c>
      <c r="B764" s="34" t="inlineStr">
        <is>
          <t>NEFT CR-SBIN0004266-SBI GENERAL INSURANCE CO LTDSBI GEN-SUNITA GUPTA 0000000002717756-SBINN52025022834304792</t>
        </is>
      </c>
      <c r="C764" s="34" t="inlineStr">
        <is>
          <t>SBINN52025022834304792</t>
        </is>
      </c>
      <c r="D764" s="33" t="n">
        <v>45716</v>
      </c>
      <c r="E764" s="34" t="n">
        <v>0</v>
      </c>
      <c r="F764" s="34" t="n">
        <v>7632</v>
      </c>
      <c r="G764" s="34" t="n">
        <v>15626.89</v>
      </c>
      <c r="H764" s="34" t="inlineStr"/>
      <c r="I764" s="34" t="inlineStr">
        <is>
          <t>Rental Income</t>
        </is>
      </c>
      <c r="J764" s="34" t="inlineStr">
        <is>
          <t>Received - Sunita Gupta</t>
        </is>
      </c>
      <c r="K764" s="34" t="inlineStr">
        <is>
          <t>Sunita Gupta</t>
        </is>
      </c>
      <c r="L764" s="35" t="n">
        <v>0.88</v>
      </c>
      <c r="M764" s="34" t="inlineStr">
        <is>
          <t>[DIFF]</t>
        </is>
      </c>
    </row>
    <row r="765">
      <c r="A765" s="83" t="n">
        <v>45717</v>
      </c>
      <c r="B765" s="84" t="inlineStr">
        <is>
          <t>NET PI TO HSL SEC A/C 523686-00602340029434</t>
        </is>
      </c>
      <c r="C765" s="84" t="inlineStr">
        <is>
          <t>0000000614847452</t>
        </is>
      </c>
      <c r="D765" s="83" t="n">
        <v>45717</v>
      </c>
      <c r="E765" s="84" t="n">
        <v>15626.89</v>
      </c>
      <c r="F765" s="84" t="n">
        <v>0</v>
      </c>
      <c r="G765" s="84" t="n">
        <v>0</v>
      </c>
      <c r="H765" s="84" t="inlineStr"/>
      <c r="I765" s="84" t="inlineStr">
        <is>
          <t>HSL</t>
        </is>
      </c>
      <c r="J765" s="84" t="inlineStr">
        <is>
          <t>HDFC Securities - Buy</t>
        </is>
      </c>
      <c r="K765" s="84" t="inlineStr">
        <is>
          <t>HDFC Securities</t>
        </is>
      </c>
      <c r="L765" s="32" t="n">
        <v>0.97</v>
      </c>
      <c r="M765" s="84" t="inlineStr">
        <is>
          <t>[MATCH]</t>
        </is>
      </c>
    </row>
    <row r="766">
      <c r="A766" s="42" t="n">
        <v>45717</v>
      </c>
      <c r="B766" s="43" t="inlineStr">
        <is>
          <t>ACH C- HINDUSTAN AERONAUTIC-5997828</t>
        </is>
      </c>
      <c r="C766" s="43" t="inlineStr">
        <is>
          <t>0000005213615472</t>
        </is>
      </c>
      <c r="D766" s="42" t="n">
        <v>45717</v>
      </c>
      <c r="E766" s="43" t="n">
        <v>0</v>
      </c>
      <c r="F766" s="43" t="n">
        <v>950</v>
      </c>
      <c r="G766" s="43" t="n">
        <v>950</v>
      </c>
      <c r="H766" s="43" t="inlineStr"/>
      <c r="I766" s="43" t="inlineStr">
        <is>
          <t>Dividend Income</t>
        </is>
      </c>
      <c r="J766" s="43" t="inlineStr">
        <is>
          <t>Dividend Income</t>
        </is>
      </c>
      <c r="K766" s="43" t="inlineStr">
        <is>
          <t>Dividend Income</t>
        </is>
      </c>
      <c r="L766" s="32" t="n">
        <v>0.88</v>
      </c>
      <c r="M766" s="43" t="inlineStr">
        <is>
          <t>[MATCH]</t>
        </is>
      </c>
    </row>
    <row r="767">
      <c r="A767" s="33" t="n">
        <v>45718</v>
      </c>
      <c r="B767" s="34" t="inlineStr">
        <is>
          <t>01671000085930-TPT-BORROW FROM SUNITA-AJAY KUMAR GUPTA</t>
        </is>
      </c>
      <c r="C767" s="34" t="inlineStr">
        <is>
          <t>0000000494386268</t>
        </is>
      </c>
      <c r="D767" s="33" t="n">
        <v>45718</v>
      </c>
      <c r="E767" s="34" t="n">
        <v>0</v>
      </c>
      <c r="F767" s="34" t="n">
        <v>25000</v>
      </c>
      <c r="G767" s="34" t="n">
        <v>25950</v>
      </c>
      <c r="H767" s="34" t="inlineStr"/>
      <c r="I767" s="34" t="inlineStr">
        <is>
          <t>Transfer by Ajay</t>
        </is>
      </c>
      <c r="J767" s="34" t="inlineStr">
        <is>
          <t>Received - Sunita Gupta</t>
        </is>
      </c>
      <c r="K767" s="34" t="inlineStr">
        <is>
          <t>Sunita Gupta</t>
        </is>
      </c>
      <c r="L767" s="35" t="n">
        <v>0.88</v>
      </c>
      <c r="M767" s="34" t="inlineStr">
        <is>
          <t>[DIFF]</t>
        </is>
      </c>
    </row>
    <row r="768">
      <c r="A768" s="83" t="n">
        <v>45719</v>
      </c>
      <c r="B768" s="84" t="inlineStr">
        <is>
          <t>NET PI TO HSL SEC A/C 523686-00602340029434</t>
        </is>
      </c>
      <c r="C768" s="84" t="inlineStr">
        <is>
          <t>0000000615040666</t>
        </is>
      </c>
      <c r="D768" s="83" t="n">
        <v>45719</v>
      </c>
      <c r="E768" s="84" t="n">
        <v>18225.8</v>
      </c>
      <c r="F768" s="84" t="n">
        <v>0</v>
      </c>
      <c r="G768" s="84" t="n">
        <v>7724.2</v>
      </c>
      <c r="H768" s="84" t="inlineStr"/>
      <c r="I768" s="84" t="inlineStr">
        <is>
          <t>HSL</t>
        </is>
      </c>
      <c r="J768" s="84" t="inlineStr">
        <is>
          <t>HDFC Securities - Buy</t>
        </is>
      </c>
      <c r="K768" s="84" t="inlineStr">
        <is>
          <t>HDFC Securities</t>
        </is>
      </c>
      <c r="L768" s="32" t="n">
        <v>0.97</v>
      </c>
      <c r="M768" s="84" t="inlineStr">
        <is>
          <t>[MATCH]</t>
        </is>
      </c>
    </row>
    <row r="769">
      <c r="A769" s="42" t="n">
        <v>45719</v>
      </c>
      <c r="B769" s="43" t="inlineStr">
        <is>
          <t>CUMMINS IND DIV24 2500000000000000009129</t>
        </is>
      </c>
      <c r="C769" s="43" t="inlineStr">
        <is>
          <t>0000250606578485</t>
        </is>
      </c>
      <c r="D769" s="42" t="n">
        <v>45719</v>
      </c>
      <c r="E769" s="43" t="n">
        <v>0</v>
      </c>
      <c r="F769" s="43" t="n">
        <v>180</v>
      </c>
      <c r="G769" s="43" t="n">
        <v>7904.2</v>
      </c>
      <c r="H769" s="43" t="inlineStr"/>
      <c r="I769" s="43" t="inlineStr">
        <is>
          <t>Dividend Income</t>
        </is>
      </c>
      <c r="J769" s="43" t="inlineStr">
        <is>
          <t>Dividend Income</t>
        </is>
      </c>
      <c r="K769" s="43" t="inlineStr">
        <is>
          <t>Dividend Income</t>
        </is>
      </c>
      <c r="L769" s="32" t="n">
        <v>0.85</v>
      </c>
      <c r="M769" s="43" t="inlineStr">
        <is>
          <t>[MATCH]</t>
        </is>
      </c>
    </row>
    <row r="770">
      <c r="A770" s="83" t="n">
        <v>45719</v>
      </c>
      <c r="B770" s="84" t="inlineStr">
        <is>
          <t>NET PI TO HSL SEC A/C 523686-00602340029434</t>
        </is>
      </c>
      <c r="C770" s="84" t="inlineStr">
        <is>
          <t>0000000615218345</t>
        </is>
      </c>
      <c r="D770" s="83" t="n">
        <v>45719</v>
      </c>
      <c r="E770" s="84" t="n">
        <v>1190.49</v>
      </c>
      <c r="F770" s="84" t="n">
        <v>0</v>
      </c>
      <c r="G770" s="84" t="n">
        <v>6713.71</v>
      </c>
      <c r="H770" s="84" t="inlineStr"/>
      <c r="I770" s="84" t="inlineStr">
        <is>
          <t>HSL</t>
        </is>
      </c>
      <c r="J770" s="84" t="inlineStr">
        <is>
          <t>HDFC Securities - Buy</t>
        </is>
      </c>
      <c r="K770" s="84" t="inlineStr">
        <is>
          <t>HDFC Securities</t>
        </is>
      </c>
      <c r="L770" s="32" t="n">
        <v>0.97</v>
      </c>
      <c r="M770" s="84" t="inlineStr">
        <is>
          <t>[MATCH]</t>
        </is>
      </c>
    </row>
    <row r="771">
      <c r="A771" s="83" t="n">
        <v>45719</v>
      </c>
      <c r="B771" s="84" t="inlineStr">
        <is>
          <t>NET PI TO HSL SEC A/C 523686-00602340029434</t>
        </is>
      </c>
      <c r="C771" s="84" t="inlineStr">
        <is>
          <t>0000000615421442</t>
        </is>
      </c>
      <c r="D771" s="83" t="n">
        <v>45719</v>
      </c>
      <c r="E771" s="84" t="n">
        <v>6444.18</v>
      </c>
      <c r="F771" s="84" t="n">
        <v>0</v>
      </c>
      <c r="G771" s="84" t="n">
        <v>269.53</v>
      </c>
      <c r="H771" s="84" t="inlineStr"/>
      <c r="I771" s="84" t="inlineStr">
        <is>
          <t>HSL</t>
        </is>
      </c>
      <c r="J771" s="84" t="inlineStr">
        <is>
          <t>HDFC Securities - Buy</t>
        </is>
      </c>
      <c r="K771" s="84" t="inlineStr">
        <is>
          <t>HDFC Securities</t>
        </is>
      </c>
      <c r="L771" s="32" t="n">
        <v>0.97</v>
      </c>
      <c r="M771" s="84" t="inlineStr">
        <is>
          <t>[MATCH]</t>
        </is>
      </c>
    </row>
    <row r="772">
      <c r="A772" s="83" t="n">
        <v>45720</v>
      </c>
      <c r="B772" s="84" t="inlineStr">
        <is>
          <t>NET PI TO HSL SEC A/C 523686-00602340029434</t>
        </is>
      </c>
      <c r="C772" s="84" t="inlineStr">
        <is>
          <t>0000000615700704</t>
        </is>
      </c>
      <c r="D772" s="83" t="n">
        <v>45720</v>
      </c>
      <c r="E772" s="84" t="n">
        <v>269.53</v>
      </c>
      <c r="F772" s="84" t="n">
        <v>0</v>
      </c>
      <c r="G772" s="84" t="n">
        <v>0</v>
      </c>
      <c r="H772" s="84" t="inlineStr"/>
      <c r="I772" s="84" t="inlineStr">
        <is>
          <t>HSL</t>
        </is>
      </c>
      <c r="J772" s="84" t="inlineStr">
        <is>
          <t>HDFC Securities - Buy</t>
        </is>
      </c>
      <c r="K772" s="84" t="inlineStr">
        <is>
          <t>HDFC Securities</t>
        </is>
      </c>
      <c r="L772" s="32" t="n">
        <v>0.97</v>
      </c>
      <c r="M772" s="84" t="inlineStr">
        <is>
          <t>[MATCH]</t>
        </is>
      </c>
    </row>
    <row r="773">
      <c r="A773" s="97" t="n">
        <v>45721</v>
      </c>
      <c r="B773" s="98" t="inlineStr">
        <is>
          <t>FT- 615954992-50200085415108 - HDFC SECURITIES LTD-CLIENT DSCNB A/C -</t>
        </is>
      </c>
      <c r="C773" s="98" t="inlineStr">
        <is>
          <t>0000000971336845</t>
        </is>
      </c>
      <c r="D773" s="97" t="n">
        <v>45721</v>
      </c>
      <c r="E773" s="98" t="n">
        <v>0</v>
      </c>
      <c r="F773" s="98" t="n">
        <v>27222.37</v>
      </c>
      <c r="G773" s="98" t="n">
        <v>27222.37</v>
      </c>
      <c r="H773" s="98" t="inlineStr"/>
      <c r="I773" s="98" t="inlineStr">
        <is>
          <t>HDFC Sec</t>
        </is>
      </c>
      <c r="J773" s="98" t="inlineStr">
        <is>
          <t>HDFC Securities - Settlement</t>
        </is>
      </c>
      <c r="K773" s="98" t="inlineStr">
        <is>
          <t>HDFC Securities</t>
        </is>
      </c>
      <c r="L773" s="35" t="n">
        <v>0.93</v>
      </c>
      <c r="M773" s="98" t="inlineStr">
        <is>
          <t>[DIFF]</t>
        </is>
      </c>
    </row>
    <row r="774">
      <c r="A774" s="83" t="n">
        <v>45721</v>
      </c>
      <c r="B774" s="84" t="inlineStr">
        <is>
          <t>NET PI TO HSL SEC A/C 523686-00602340029434</t>
        </is>
      </c>
      <c r="C774" s="84" t="inlineStr">
        <is>
          <t>0000000616094449</t>
        </is>
      </c>
      <c r="D774" s="83" t="n">
        <v>45721</v>
      </c>
      <c r="E774" s="84" t="n">
        <v>388.08</v>
      </c>
      <c r="F774" s="84" t="n">
        <v>0</v>
      </c>
      <c r="G774" s="84" t="n">
        <v>26834.29</v>
      </c>
      <c r="H774" s="84" t="inlineStr"/>
      <c r="I774" s="84" t="inlineStr">
        <is>
          <t>HSL</t>
        </is>
      </c>
      <c r="J774" s="84" t="inlineStr">
        <is>
          <t>HDFC Securities - Buy</t>
        </is>
      </c>
      <c r="K774" s="84" t="inlineStr">
        <is>
          <t>HDFC Securities</t>
        </is>
      </c>
      <c r="L774" s="32" t="n">
        <v>0.97</v>
      </c>
      <c r="M774" s="84" t="inlineStr">
        <is>
          <t>[MATCH]</t>
        </is>
      </c>
    </row>
    <row r="775">
      <c r="A775" s="97" t="n">
        <v>45722</v>
      </c>
      <c r="B775" s="98" t="inlineStr">
        <is>
          <t>FT- 616353489-50200085415108 - HDFC SECURITIES LTD-CLIENT DSCNB A/C -</t>
        </is>
      </c>
      <c r="C775" s="98" t="inlineStr">
        <is>
          <t>0000000973366845</t>
        </is>
      </c>
      <c r="D775" s="97" t="n">
        <v>45722</v>
      </c>
      <c r="E775" s="98" t="n">
        <v>0</v>
      </c>
      <c r="F775" s="98" t="n">
        <v>30246.56</v>
      </c>
      <c r="G775" s="98" t="n">
        <v>57080.85</v>
      </c>
      <c r="H775" s="98" t="inlineStr"/>
      <c r="I775" s="98" t="inlineStr">
        <is>
          <t>HDFC Sec</t>
        </is>
      </c>
      <c r="J775" s="98" t="inlineStr">
        <is>
          <t>HDFC Securities - Settlement</t>
        </is>
      </c>
      <c r="K775" s="98" t="inlineStr">
        <is>
          <t>HDFC Securities</t>
        </is>
      </c>
      <c r="L775" s="35" t="n">
        <v>0.93</v>
      </c>
      <c r="M775" s="98" t="inlineStr">
        <is>
          <t>[DIFF]</t>
        </is>
      </c>
    </row>
    <row r="776">
      <c r="A776" s="83" t="n">
        <v>45722</v>
      </c>
      <c r="B776" s="84" t="inlineStr">
        <is>
          <t>NET PI TO HSL SEC A/C 523686-00602340029434</t>
        </is>
      </c>
      <c r="C776" s="84" t="inlineStr">
        <is>
          <t>0000000616486079</t>
        </is>
      </c>
      <c r="D776" s="83" t="n">
        <v>45722</v>
      </c>
      <c r="E776" s="84" t="n">
        <v>367.7</v>
      </c>
      <c r="F776" s="84" t="n">
        <v>0</v>
      </c>
      <c r="G776" s="84" t="n">
        <v>56713.15</v>
      </c>
      <c r="H776" s="84" t="inlineStr"/>
      <c r="I776" s="84" t="inlineStr">
        <is>
          <t>HSL</t>
        </is>
      </c>
      <c r="J776" s="84" t="inlineStr">
        <is>
          <t>HDFC Securities - Buy</t>
        </is>
      </c>
      <c r="K776" s="84" t="inlineStr">
        <is>
          <t>HDFC Securities</t>
        </is>
      </c>
      <c r="L776" s="32" t="n">
        <v>0.97</v>
      </c>
      <c r="M776" s="84" t="inlineStr">
        <is>
          <t>[MATCH]</t>
        </is>
      </c>
    </row>
    <row r="777">
      <c r="A777" s="97" t="n">
        <v>45723</v>
      </c>
      <c r="B777" s="98" t="inlineStr">
        <is>
          <t>FT- 616737413-50200085415108 - HDFC SECURITIES LTD-CLIENT DSCNB A/C -</t>
        </is>
      </c>
      <c r="C777" s="98" t="inlineStr">
        <is>
          <t>0000000975520750</t>
        </is>
      </c>
      <c r="D777" s="97" t="n">
        <v>45723</v>
      </c>
      <c r="E777" s="98" t="n">
        <v>0</v>
      </c>
      <c r="F777" s="98" t="n">
        <v>14134.77</v>
      </c>
      <c r="G777" s="98" t="n">
        <v>70847.92</v>
      </c>
      <c r="H777" s="98" t="inlineStr"/>
      <c r="I777" s="98" t="inlineStr">
        <is>
          <t>HDFC Sec</t>
        </is>
      </c>
      <c r="J777" s="98" t="inlineStr">
        <is>
          <t>HDFC Securities - Settlement</t>
        </is>
      </c>
      <c r="K777" s="98" t="inlineStr">
        <is>
          <t>HDFC Securities</t>
        </is>
      </c>
      <c r="L777" s="35" t="n">
        <v>0.93</v>
      </c>
      <c r="M777" s="98" t="inlineStr">
        <is>
          <t>[DIFF]</t>
        </is>
      </c>
    </row>
    <row r="778">
      <c r="A778" s="83" t="n">
        <v>45723</v>
      </c>
      <c r="B778" s="84" t="inlineStr">
        <is>
          <t>NET PI TO HSL SEC A/C 523686-00602340029434</t>
        </is>
      </c>
      <c r="C778" s="84" t="inlineStr">
        <is>
          <t>0000000616872735</t>
        </is>
      </c>
      <c r="D778" s="83" t="n">
        <v>45723</v>
      </c>
      <c r="E778" s="84" t="n">
        <v>378.47</v>
      </c>
      <c r="F778" s="84" t="n">
        <v>0</v>
      </c>
      <c r="G778" s="84" t="n">
        <v>70469.45</v>
      </c>
      <c r="H778" s="84" t="inlineStr"/>
      <c r="I778" s="84" t="inlineStr">
        <is>
          <t>HSL</t>
        </is>
      </c>
      <c r="J778" s="84" t="inlineStr">
        <is>
          <t>HDFC Securities - Buy</t>
        </is>
      </c>
      <c r="K778" s="84" t="inlineStr">
        <is>
          <t>HDFC Securities</t>
        </is>
      </c>
      <c r="L778" s="32" t="n">
        <v>0.97</v>
      </c>
      <c r="M778" s="84" t="inlineStr">
        <is>
          <t>[MATCH]</t>
        </is>
      </c>
    </row>
    <row r="779">
      <c r="A779" s="83" t="n">
        <v>45723</v>
      </c>
      <c r="B779" s="84" t="inlineStr">
        <is>
          <t>NET PI TO HSL SEC A/C 523686-00602340029434</t>
        </is>
      </c>
      <c r="C779" s="84" t="inlineStr">
        <is>
          <t>0000000617026809</t>
        </is>
      </c>
      <c r="D779" s="83" t="n">
        <v>45723</v>
      </c>
      <c r="E779" s="84" t="n">
        <v>25484.58</v>
      </c>
      <c r="F779" s="84" t="n">
        <v>0</v>
      </c>
      <c r="G779" s="84" t="n">
        <v>44984.87</v>
      </c>
      <c r="H779" s="84" t="inlineStr"/>
      <c r="I779" s="84" t="inlineStr">
        <is>
          <t>HSL</t>
        </is>
      </c>
      <c r="J779" s="84" t="inlineStr">
        <is>
          <t>HDFC Securities - Buy</t>
        </is>
      </c>
      <c r="K779" s="84" t="inlineStr">
        <is>
          <t>HDFC Securities</t>
        </is>
      </c>
      <c r="L779" s="32" t="n">
        <v>0.97</v>
      </c>
      <c r="M779" s="84" t="inlineStr">
        <is>
          <t>[MATCH]</t>
        </is>
      </c>
    </row>
    <row r="780">
      <c r="A780" s="33" t="n">
        <v>45724</v>
      </c>
      <c r="B780" s="34" t="inlineStr">
        <is>
          <t>NEFT CR-SBIN0004266-SBI GENERAL INSURANCE CO LTDSBI GEN-SUNITA GUPTA 0000000002717756-SBINN52025030852329749</t>
        </is>
      </c>
      <c r="C780" s="34" t="inlineStr">
        <is>
          <t>SBINN52025030852329749</t>
        </is>
      </c>
      <c r="D780" s="33" t="n">
        <v>45725</v>
      </c>
      <c r="E780" s="34" t="n">
        <v>0</v>
      </c>
      <c r="F780" s="34" t="n">
        <v>34220</v>
      </c>
      <c r="G780" s="34" t="n">
        <v>79204.87</v>
      </c>
      <c r="H780" s="34" t="inlineStr"/>
      <c r="I780" s="34" t="inlineStr">
        <is>
          <t>Rental Income</t>
        </is>
      </c>
      <c r="J780" s="34" t="inlineStr">
        <is>
          <t>Received - Sunita Gupta</t>
        </is>
      </c>
      <c r="K780" s="34" t="inlineStr">
        <is>
          <t>Sunita Gupta</t>
        </is>
      </c>
      <c r="L780" s="35" t="n">
        <v>0.88</v>
      </c>
      <c r="M780" s="34" t="inlineStr">
        <is>
          <t>[DIFF]</t>
        </is>
      </c>
    </row>
    <row r="781">
      <c r="A781" s="38" t="n">
        <v>45726</v>
      </c>
      <c r="B781" s="39" t="inlineStr">
        <is>
          <t>.ACH DEBIT RETURN CHARGES 250225 250225-MIR2506812943710</t>
        </is>
      </c>
      <c r="C781" s="39" t="inlineStr">
        <is>
          <t>MIR2506812943710</t>
        </is>
      </c>
      <c r="D781" s="38" t="n">
        <v>45726</v>
      </c>
      <c r="E781" s="39" t="n">
        <v>531</v>
      </c>
      <c r="F781" s="39" t="n">
        <v>0</v>
      </c>
      <c r="G781" s="39" t="n">
        <v>78673.87</v>
      </c>
      <c r="H781" s="39" t="inlineStr"/>
      <c r="I781" s="39" t="inlineStr">
        <is>
          <t>Bank Charges</t>
        </is>
      </c>
      <c r="J781" s="39" t="inlineStr">
        <is>
          <t>Bank Charges</t>
        </is>
      </c>
      <c r="K781" s="39" t="inlineStr">
        <is>
          <t>Bank Charges</t>
        </is>
      </c>
      <c r="L781" s="32" t="n">
        <v>0.9</v>
      </c>
      <c r="M781" s="39" t="inlineStr">
        <is>
          <t>[MATCH]</t>
        </is>
      </c>
    </row>
    <row r="782">
      <c r="A782" s="83" t="n">
        <v>45726</v>
      </c>
      <c r="B782" s="84" t="inlineStr">
        <is>
          <t>NET PI TO HSL SEC A/C 523686-00602340029434</t>
        </is>
      </c>
      <c r="C782" s="84" t="inlineStr">
        <is>
          <t>0000000617417013</t>
        </is>
      </c>
      <c r="D782" s="83" t="n">
        <v>45726</v>
      </c>
      <c r="E782" s="84" t="n">
        <v>1123.29</v>
      </c>
      <c r="F782" s="84" t="n">
        <v>0</v>
      </c>
      <c r="G782" s="84" t="n">
        <v>77550.58</v>
      </c>
      <c r="H782" s="84" t="inlineStr"/>
      <c r="I782" s="84" t="inlineStr">
        <is>
          <t>HSL</t>
        </is>
      </c>
      <c r="J782" s="84" t="inlineStr">
        <is>
          <t>HDFC Securities - Buy</t>
        </is>
      </c>
      <c r="K782" s="84" t="inlineStr">
        <is>
          <t>HDFC Securities</t>
        </is>
      </c>
      <c r="L782" s="32" t="n">
        <v>0.97</v>
      </c>
      <c r="M782" s="84" t="inlineStr">
        <is>
          <t>[MATCH]</t>
        </is>
      </c>
    </row>
    <row r="783">
      <c r="A783" s="33" t="n">
        <v>45726</v>
      </c>
      <c r="B783" s="34" t="inlineStr">
        <is>
          <t>NEFT DR-SBIN0011669-SUNITA GUPTA-NETBANK, MUM-HDFCN52025031010201759-TRFR FR SUNITA HDF</t>
        </is>
      </c>
      <c r="C783" s="34" t="inlineStr">
        <is>
          <t>HDFCN52025031010201759</t>
        </is>
      </c>
      <c r="D783" s="33" t="n">
        <v>45726</v>
      </c>
      <c r="E783" s="34" t="n">
        <v>30000</v>
      </c>
      <c r="F783" s="34" t="n">
        <v>0</v>
      </c>
      <c r="G783" s="34" t="n">
        <v>47550.58</v>
      </c>
      <c r="H783" s="34" t="inlineStr"/>
      <c r="I783" s="34" t="inlineStr">
        <is>
          <t>Contra</t>
        </is>
      </c>
      <c r="J783" s="34" t="inlineStr">
        <is>
          <t>Transfer - Sunita Gupta</t>
        </is>
      </c>
      <c r="K783" s="34" t="inlineStr">
        <is>
          <t>Sunita Gupta</t>
        </is>
      </c>
      <c r="L783" s="35" t="n">
        <v>0.88</v>
      </c>
      <c r="M783" s="34" t="inlineStr">
        <is>
          <t>[DIFF]</t>
        </is>
      </c>
    </row>
    <row r="784">
      <c r="A784" s="83" t="n">
        <v>45726</v>
      </c>
      <c r="B784" s="84" t="inlineStr">
        <is>
          <t>NET PI TO HSL SEC A/C 523686-00602340029434</t>
        </is>
      </c>
      <c r="C784" s="84" t="inlineStr">
        <is>
          <t>0000000617604161</t>
        </is>
      </c>
      <c r="D784" s="83" t="n">
        <v>45726</v>
      </c>
      <c r="E784" s="84" t="n">
        <v>15384.37</v>
      </c>
      <c r="F784" s="84" t="n">
        <v>0</v>
      </c>
      <c r="G784" s="84" t="n">
        <v>32166.21</v>
      </c>
      <c r="H784" s="84" t="inlineStr"/>
      <c r="I784" s="84" t="inlineStr">
        <is>
          <t>HSL</t>
        </is>
      </c>
      <c r="J784" s="84" t="inlineStr">
        <is>
          <t>HDFC Securities - Buy</t>
        </is>
      </c>
      <c r="K784" s="84" t="inlineStr">
        <is>
          <t>HDFC Securities</t>
        </is>
      </c>
      <c r="L784" s="32" t="n">
        <v>0.97</v>
      </c>
      <c r="M784" s="84" t="inlineStr">
        <is>
          <t>[MATCH]</t>
        </is>
      </c>
    </row>
    <row r="785">
      <c r="A785" s="83" t="n">
        <v>45727</v>
      </c>
      <c r="B785" s="84" t="inlineStr">
        <is>
          <t>NET PI TO HSL SEC A/C 523686-00602340029434</t>
        </is>
      </c>
      <c r="C785" s="84" t="inlineStr">
        <is>
          <t>0000000617842812</t>
        </is>
      </c>
      <c r="D785" s="83" t="n">
        <v>45727</v>
      </c>
      <c r="E785" s="84" t="n">
        <v>368.95</v>
      </c>
      <c r="F785" s="84" t="n">
        <v>0</v>
      </c>
      <c r="G785" s="84" t="n">
        <v>31797.26</v>
      </c>
      <c r="H785" s="84" t="inlineStr"/>
      <c r="I785" s="84" t="inlineStr">
        <is>
          <t>HSL</t>
        </is>
      </c>
      <c r="J785" s="84" t="inlineStr">
        <is>
          <t>HDFC Securities - Buy</t>
        </is>
      </c>
      <c r="K785" s="84" t="inlineStr">
        <is>
          <t>HDFC Securities</t>
        </is>
      </c>
      <c r="L785" s="32" t="n">
        <v>0.97</v>
      </c>
      <c r="M785" s="84" t="inlineStr">
        <is>
          <t>[MATCH]</t>
        </is>
      </c>
    </row>
    <row r="786">
      <c r="A786" s="83" t="n">
        <v>45727</v>
      </c>
      <c r="B786" s="84" t="inlineStr">
        <is>
          <t>NET PI TO HSL SEC A/C 523686-00602340029434</t>
        </is>
      </c>
      <c r="C786" s="84" t="inlineStr">
        <is>
          <t>0000000617990197</t>
        </is>
      </c>
      <c r="D786" s="83" t="n">
        <v>45727</v>
      </c>
      <c r="E786" s="84" t="n">
        <v>12503.5</v>
      </c>
      <c r="F786" s="84" t="n">
        <v>0</v>
      </c>
      <c r="G786" s="84" t="n">
        <v>19293.76</v>
      </c>
      <c r="H786" s="84" t="inlineStr"/>
      <c r="I786" s="84" t="inlineStr">
        <is>
          <t>HSL</t>
        </is>
      </c>
      <c r="J786" s="84" t="inlineStr">
        <is>
          <t>HDFC Securities - Buy</t>
        </is>
      </c>
      <c r="K786" s="84" t="inlineStr">
        <is>
          <t>HDFC Securities</t>
        </is>
      </c>
      <c r="L786" s="32" t="n">
        <v>0.97</v>
      </c>
      <c r="M786" s="84" t="inlineStr">
        <is>
          <t>[MATCH]</t>
        </is>
      </c>
    </row>
    <row r="787">
      <c r="A787" s="83" t="n">
        <v>45728</v>
      </c>
      <c r="B787" s="84" t="inlineStr">
        <is>
          <t>NET PI TO HSL SEC A/C 523686-00602340029434</t>
        </is>
      </c>
      <c r="C787" s="84" t="inlineStr">
        <is>
          <t>0000000618237527</t>
        </is>
      </c>
      <c r="D787" s="83" t="n">
        <v>45728</v>
      </c>
      <c r="E787" s="84" t="n">
        <v>364.5</v>
      </c>
      <c r="F787" s="84" t="n">
        <v>0</v>
      </c>
      <c r="G787" s="84" t="n">
        <v>18929.26</v>
      </c>
      <c r="H787" s="84" t="inlineStr"/>
      <c r="I787" s="84" t="inlineStr">
        <is>
          <t>HSL</t>
        </is>
      </c>
      <c r="J787" s="84" t="inlineStr">
        <is>
          <t>HDFC Securities - Buy</t>
        </is>
      </c>
      <c r="K787" s="84" t="inlineStr">
        <is>
          <t>HDFC Securities</t>
        </is>
      </c>
      <c r="L787" s="32" t="n">
        <v>0.97</v>
      </c>
      <c r="M787" s="84" t="inlineStr">
        <is>
          <t>[MATCH]</t>
        </is>
      </c>
    </row>
    <row r="788">
      <c r="A788" s="83" t="n">
        <v>45728</v>
      </c>
      <c r="B788" s="84" t="inlineStr">
        <is>
          <t>NET PI TO HSL SEC A/C 523686-00602340029434</t>
        </is>
      </c>
      <c r="C788" s="84" t="inlineStr">
        <is>
          <t>0000000618374522</t>
        </is>
      </c>
      <c r="D788" s="83" t="n">
        <v>45728</v>
      </c>
      <c r="E788" s="84" t="n">
        <v>9109.33</v>
      </c>
      <c r="F788" s="84" t="n">
        <v>0</v>
      </c>
      <c r="G788" s="84" t="n">
        <v>9819.93</v>
      </c>
      <c r="H788" s="84" t="inlineStr"/>
      <c r="I788" s="84" t="inlineStr">
        <is>
          <t>HSL</t>
        </is>
      </c>
      <c r="J788" s="84" t="inlineStr">
        <is>
          <t>HDFC Securities - Buy</t>
        </is>
      </c>
      <c r="K788" s="84" t="inlineStr">
        <is>
          <t>HDFC Securities</t>
        </is>
      </c>
      <c r="L788" s="32" t="n">
        <v>0.97</v>
      </c>
      <c r="M788" s="84" t="inlineStr">
        <is>
          <t>[MATCH]</t>
        </is>
      </c>
    </row>
    <row r="789">
      <c r="A789" s="83" t="n">
        <v>45729</v>
      </c>
      <c r="B789" s="84" t="inlineStr">
        <is>
          <t>NET PI TO HSL SEC A/C 523686-00602340029434</t>
        </is>
      </c>
      <c r="C789" s="84" t="inlineStr">
        <is>
          <t>0000000618631035</t>
        </is>
      </c>
      <c r="D789" s="83" t="n">
        <v>45729</v>
      </c>
      <c r="E789" s="84" t="n">
        <v>361.26</v>
      </c>
      <c r="F789" s="84" t="n">
        <v>0</v>
      </c>
      <c r="G789" s="84" t="n">
        <v>9458.67</v>
      </c>
      <c r="H789" s="84" t="inlineStr"/>
      <c r="I789" s="84" t="inlineStr">
        <is>
          <t>HSL</t>
        </is>
      </c>
      <c r="J789" s="84" t="inlineStr">
        <is>
          <t>HDFC Securities - Buy</t>
        </is>
      </c>
      <c r="K789" s="84" t="inlineStr">
        <is>
          <t>HDFC Securities</t>
        </is>
      </c>
      <c r="L789" s="32" t="n">
        <v>0.97</v>
      </c>
      <c r="M789" s="84" t="inlineStr">
        <is>
          <t>[MATCH]</t>
        </is>
      </c>
    </row>
    <row r="790">
      <c r="A790" s="89" t="n">
        <v>45731</v>
      </c>
      <c r="B790" s="90" t="inlineStr">
        <is>
          <t>DEPOSITORY CHARGES FEB25 - 41060499</t>
        </is>
      </c>
      <c r="C790" s="90" t="inlineStr">
        <is>
          <t>000000000000000</t>
        </is>
      </c>
      <c r="D790" s="89" t="n">
        <v>45731</v>
      </c>
      <c r="E790" s="90" t="n">
        <v>861.4</v>
      </c>
      <c r="F790" s="90" t="n">
        <v>0</v>
      </c>
      <c r="G790" s="90" t="n">
        <v>8597.27</v>
      </c>
      <c r="H790" s="90" t="inlineStr"/>
      <c r="I790" s="90" t="inlineStr">
        <is>
          <t>Depository Charges</t>
        </is>
      </c>
      <c r="J790" s="90" t="inlineStr">
        <is>
          <t>Depository Charges</t>
        </is>
      </c>
      <c r="K790" s="90" t="inlineStr">
        <is>
          <t>Depository Charges</t>
        </is>
      </c>
      <c r="L790" s="32" t="n">
        <v>0.93</v>
      </c>
      <c r="M790" s="90" t="inlineStr">
        <is>
          <t>[MATCH]</t>
        </is>
      </c>
    </row>
    <row r="791">
      <c r="A791" s="97" t="n">
        <v>45733</v>
      </c>
      <c r="B791" s="98" t="inlineStr">
        <is>
          <t>FT- 618929987-50200085415108 - HDFC SECURITIES LTD-CLIENT DSCNB A/C -</t>
        </is>
      </c>
      <c r="C791" s="98" t="inlineStr">
        <is>
          <t>0000000988622903</t>
        </is>
      </c>
      <c r="D791" s="97" t="n">
        <v>45733</v>
      </c>
      <c r="E791" s="98" t="n">
        <v>0</v>
      </c>
      <c r="F791" s="98" t="n">
        <v>5950.61</v>
      </c>
      <c r="G791" s="98" t="n">
        <v>14547.88</v>
      </c>
      <c r="H791" s="98" t="inlineStr"/>
      <c r="I791" s="98" t="inlineStr">
        <is>
          <t>HDFC Sec</t>
        </is>
      </c>
      <c r="J791" s="98" t="inlineStr">
        <is>
          <t>HDFC Securities - Settlement</t>
        </is>
      </c>
      <c r="K791" s="98" t="inlineStr">
        <is>
          <t>HDFC Securities</t>
        </is>
      </c>
      <c r="L791" s="35" t="n">
        <v>0.93</v>
      </c>
      <c r="M791" s="98" t="inlineStr">
        <is>
          <t>[DIFF]</t>
        </is>
      </c>
    </row>
    <row r="792">
      <c r="A792" s="28" t="n">
        <v>45733</v>
      </c>
      <c r="B792" s="29" t="inlineStr">
        <is>
          <t>ACH D- TP ACH INDIANESIGN-1752676394</t>
        </is>
      </c>
      <c r="C792" s="29" t="inlineStr">
        <is>
          <t>0000006164673791</t>
        </is>
      </c>
      <c r="D792" s="28" t="n">
        <v>45733</v>
      </c>
      <c r="E792" s="29" t="n">
        <v>5000</v>
      </c>
      <c r="F792" s="29" t="n">
        <v>0</v>
      </c>
      <c r="G792" s="29" t="n">
        <v>9547.879999999999</v>
      </c>
      <c r="H792" s="29" t="inlineStr"/>
      <c r="I792" s="29" t="inlineStr">
        <is>
          <t>SIP  - 5000</t>
        </is>
      </c>
      <c r="J792" s="29" t="inlineStr">
        <is>
          <t>SIP</t>
        </is>
      </c>
      <c r="K792" s="29" t="inlineStr">
        <is>
          <t>SIP</t>
        </is>
      </c>
      <c r="L792" s="35" t="n">
        <v>0.95</v>
      </c>
      <c r="M792" s="29" t="inlineStr">
        <is>
          <t>[DIFF]</t>
        </is>
      </c>
    </row>
    <row r="793">
      <c r="A793" s="83" t="n">
        <v>45733</v>
      </c>
      <c r="B793" s="84" t="inlineStr">
        <is>
          <t>NET PI TO HSL SEC A/C 523686-00602340029434</t>
        </is>
      </c>
      <c r="C793" s="84" t="inlineStr">
        <is>
          <t>0000000619112958</t>
        </is>
      </c>
      <c r="D793" s="83" t="n">
        <v>45733</v>
      </c>
      <c r="E793" s="84" t="n">
        <v>1445.04</v>
      </c>
      <c r="F793" s="84" t="n">
        <v>0</v>
      </c>
      <c r="G793" s="84" t="n">
        <v>8102.84</v>
      </c>
      <c r="H793" s="84" t="inlineStr"/>
      <c r="I793" s="84" t="inlineStr">
        <is>
          <t>HSL</t>
        </is>
      </c>
      <c r="J793" s="84" t="inlineStr">
        <is>
          <t>HDFC Securities - Buy</t>
        </is>
      </c>
      <c r="K793" s="84" t="inlineStr">
        <is>
          <t>HDFC Securities</t>
        </is>
      </c>
      <c r="L793" s="32" t="n">
        <v>0.97</v>
      </c>
      <c r="M793" s="84" t="inlineStr">
        <is>
          <t>[MATCH]</t>
        </is>
      </c>
    </row>
    <row r="794">
      <c r="A794" s="97" t="n">
        <v>45734</v>
      </c>
      <c r="B794" s="98" t="inlineStr">
        <is>
          <t>FT- 619390903-50200085415108 - HDFC SECURITIES LTD-CLIENT DSCNB A/C -</t>
        </is>
      </c>
      <c r="C794" s="98" t="inlineStr">
        <is>
          <t>0000000989836158</t>
        </is>
      </c>
      <c r="D794" s="97" t="n">
        <v>45734</v>
      </c>
      <c r="E794" s="98" t="n">
        <v>0</v>
      </c>
      <c r="F794" s="98" t="n">
        <v>1118.28</v>
      </c>
      <c r="G794" s="98" t="n">
        <v>9221.120000000001</v>
      </c>
      <c r="H794" s="98" t="inlineStr"/>
      <c r="I794" s="98" t="inlineStr">
        <is>
          <t>HDFC Sec</t>
        </is>
      </c>
      <c r="J794" s="98" t="inlineStr">
        <is>
          <t>HDFC Securities - Settlement</t>
        </is>
      </c>
      <c r="K794" s="98" t="inlineStr">
        <is>
          <t>HDFC Securities</t>
        </is>
      </c>
      <c r="L794" s="35" t="n">
        <v>0.93</v>
      </c>
      <c r="M794" s="98" t="inlineStr">
        <is>
          <t>[DIFF]</t>
        </is>
      </c>
    </row>
    <row r="795">
      <c r="A795" s="83" t="n">
        <v>45734</v>
      </c>
      <c r="B795" s="84" t="inlineStr">
        <is>
          <t>NET PI TO HSL SEC A/C 523686-00602340029434</t>
        </is>
      </c>
      <c r="C795" s="84" t="inlineStr">
        <is>
          <t>0000000619517620</t>
        </is>
      </c>
      <c r="D795" s="83" t="n">
        <v>45734</v>
      </c>
      <c r="E795" s="84" t="n">
        <v>351.67</v>
      </c>
      <c r="F795" s="84" t="n">
        <v>0</v>
      </c>
      <c r="G795" s="84" t="n">
        <v>8869.450000000001</v>
      </c>
      <c r="H795" s="84" t="inlineStr"/>
      <c r="I795" s="84" t="inlineStr">
        <is>
          <t>HSL</t>
        </is>
      </c>
      <c r="J795" s="84" t="inlineStr">
        <is>
          <t>HDFC Securities - Buy</t>
        </is>
      </c>
      <c r="K795" s="84" t="inlineStr">
        <is>
          <t>HDFC Securities</t>
        </is>
      </c>
      <c r="L795" s="32" t="n">
        <v>0.97</v>
      </c>
      <c r="M795" s="84" t="inlineStr">
        <is>
          <t>[MATCH]</t>
        </is>
      </c>
    </row>
    <row r="796">
      <c r="A796" s="83" t="n">
        <v>45734</v>
      </c>
      <c r="B796" s="84" t="inlineStr">
        <is>
          <t>NET PI TO HSL SEC A/C 523686-00602340029434</t>
        </is>
      </c>
      <c r="C796" s="84" t="inlineStr">
        <is>
          <t>0000000619643845</t>
        </is>
      </c>
      <c r="D796" s="83" t="n">
        <v>45734</v>
      </c>
      <c r="E796" s="84" t="n">
        <v>7670.71</v>
      </c>
      <c r="F796" s="84" t="n">
        <v>0</v>
      </c>
      <c r="G796" s="84" t="n">
        <v>1198.74</v>
      </c>
      <c r="H796" s="84" t="inlineStr"/>
      <c r="I796" s="84" t="inlineStr">
        <is>
          <t>HSL</t>
        </is>
      </c>
      <c r="J796" s="84" t="inlineStr">
        <is>
          <t>HDFC Securities - Buy</t>
        </is>
      </c>
      <c r="K796" s="84" t="inlineStr">
        <is>
          <t>HDFC Securities</t>
        </is>
      </c>
      <c r="L796" s="32" t="n">
        <v>0.97</v>
      </c>
      <c r="M796" s="84" t="inlineStr">
        <is>
          <t>[MATCH]</t>
        </is>
      </c>
    </row>
    <row r="797">
      <c r="A797" s="83" t="n">
        <v>45735</v>
      </c>
      <c r="B797" s="84" t="inlineStr">
        <is>
          <t>NET PI TO HSL SEC A/C 523686-00602340029434</t>
        </is>
      </c>
      <c r="C797" s="84" t="inlineStr">
        <is>
          <t>0000000619891002</t>
        </is>
      </c>
      <c r="D797" s="83" t="n">
        <v>45735</v>
      </c>
      <c r="E797" s="84" t="n">
        <v>349.34</v>
      </c>
      <c r="F797" s="84" t="n">
        <v>0</v>
      </c>
      <c r="G797" s="84" t="n">
        <v>849.4</v>
      </c>
      <c r="H797" s="84" t="inlineStr"/>
      <c r="I797" s="84" t="inlineStr">
        <is>
          <t>HSL</t>
        </is>
      </c>
      <c r="J797" s="84" t="inlineStr">
        <is>
          <t>HDFC Securities - Buy</t>
        </is>
      </c>
      <c r="K797" s="84" t="inlineStr">
        <is>
          <t>HDFC Securities</t>
        </is>
      </c>
      <c r="L797" s="32" t="n">
        <v>0.97</v>
      </c>
      <c r="M797" s="84" t="inlineStr">
        <is>
          <t>[MATCH]</t>
        </is>
      </c>
    </row>
    <row r="798">
      <c r="A798" s="97" t="n">
        <v>45736</v>
      </c>
      <c r="B798" s="98" t="inlineStr">
        <is>
          <t>FT- 620122043-50200085415108 - HDFC SECURITIES LTD-CLIENT DSCNB A/C -</t>
        </is>
      </c>
      <c r="C798" s="98" t="inlineStr">
        <is>
          <t>0000000992611311</t>
        </is>
      </c>
      <c r="D798" s="97" t="n">
        <v>45736</v>
      </c>
      <c r="E798" s="98" t="n">
        <v>0</v>
      </c>
      <c r="F798" s="98" t="n">
        <v>15924.95</v>
      </c>
      <c r="G798" s="98" t="n">
        <v>16774.35</v>
      </c>
      <c r="H798" s="98" t="inlineStr"/>
      <c r="I798" s="98" t="inlineStr">
        <is>
          <t>HDFC Sec</t>
        </is>
      </c>
      <c r="J798" s="98" t="inlineStr">
        <is>
          <t>HDFC Securities - Settlement</t>
        </is>
      </c>
      <c r="K798" s="98" t="inlineStr">
        <is>
          <t>HDFC Securities</t>
        </is>
      </c>
      <c r="L798" s="35" t="n">
        <v>0.93</v>
      </c>
      <c r="M798" s="98" t="inlineStr">
        <is>
          <t>[DIFF]</t>
        </is>
      </c>
    </row>
    <row r="799">
      <c r="A799" s="33" t="n">
        <v>45736</v>
      </c>
      <c r="B799" s="34" t="inlineStr">
        <is>
          <t>01671000085930-TPT-BORROW FROM SUNITA-AJAY KUMAR GUPTA</t>
        </is>
      </c>
      <c r="C799" s="34" t="inlineStr">
        <is>
          <t>0000000200154523</t>
        </is>
      </c>
      <c r="D799" s="33" t="n">
        <v>45736</v>
      </c>
      <c r="E799" s="34" t="n">
        <v>0</v>
      </c>
      <c r="F799" s="34" t="n">
        <v>75000</v>
      </c>
      <c r="G799" s="34" t="n">
        <v>91774.35000000001</v>
      </c>
      <c r="H799" s="34" t="inlineStr"/>
      <c r="I799" s="34" t="inlineStr">
        <is>
          <t>Transfer by Ajay</t>
        </is>
      </c>
      <c r="J799" s="34" t="inlineStr">
        <is>
          <t>Received - Sunita Gupta</t>
        </is>
      </c>
      <c r="K799" s="34" t="inlineStr">
        <is>
          <t>Sunita Gupta</t>
        </is>
      </c>
      <c r="L799" s="35" t="n">
        <v>0.88</v>
      </c>
      <c r="M799" s="34" t="inlineStr">
        <is>
          <t>[DIFF]</t>
        </is>
      </c>
    </row>
    <row r="800">
      <c r="A800" s="83" t="n">
        <v>45736</v>
      </c>
      <c r="B800" s="84" t="inlineStr">
        <is>
          <t>NET PI TO HSL SEC A/C 523686-00602340029434</t>
        </is>
      </c>
      <c r="C800" s="84" t="inlineStr">
        <is>
          <t>0000000620274462</t>
        </is>
      </c>
      <c r="D800" s="83" t="n">
        <v>45736</v>
      </c>
      <c r="E800" s="84" t="n">
        <v>377.93</v>
      </c>
      <c r="F800" s="84" t="n">
        <v>0</v>
      </c>
      <c r="G800" s="84" t="n">
        <v>91396.42</v>
      </c>
      <c r="H800" s="84" t="inlineStr"/>
      <c r="I800" s="84" t="inlineStr">
        <is>
          <t>HSL</t>
        </is>
      </c>
      <c r="J800" s="84" t="inlineStr">
        <is>
          <t>HDFC Securities - Buy</t>
        </is>
      </c>
      <c r="K800" s="84" t="inlineStr">
        <is>
          <t>HDFC Securities</t>
        </is>
      </c>
      <c r="L800" s="32" t="n">
        <v>0.97</v>
      </c>
      <c r="M800" s="84" t="inlineStr">
        <is>
          <t>[MATCH]</t>
        </is>
      </c>
    </row>
    <row r="801">
      <c r="A801" s="83" t="n">
        <v>45736</v>
      </c>
      <c r="B801" s="84" t="inlineStr">
        <is>
          <t>NET PI TO HSL SEC A/C 523686-00602340029434</t>
        </is>
      </c>
      <c r="C801" s="84" t="inlineStr">
        <is>
          <t>0000000620386355</t>
        </is>
      </c>
      <c r="D801" s="83" t="n">
        <v>45736</v>
      </c>
      <c r="E801" s="84" t="n">
        <v>16460.12</v>
      </c>
      <c r="F801" s="84" t="n">
        <v>0</v>
      </c>
      <c r="G801" s="84" t="n">
        <v>74936.3</v>
      </c>
      <c r="H801" s="84" t="inlineStr"/>
      <c r="I801" s="84" t="inlineStr">
        <is>
          <t>HSL</t>
        </is>
      </c>
      <c r="J801" s="84" t="inlineStr">
        <is>
          <t>HDFC Securities - Buy</t>
        </is>
      </c>
      <c r="K801" s="84" t="inlineStr">
        <is>
          <t>HDFC Securities</t>
        </is>
      </c>
      <c r="L801" s="32" t="n">
        <v>0.97</v>
      </c>
      <c r="M801" s="84" t="inlineStr">
        <is>
          <t>[MATCH]</t>
        </is>
      </c>
    </row>
    <row r="802">
      <c r="A802" s="107" t="n">
        <v>45736</v>
      </c>
      <c r="B802" s="108" t="inlineStr">
        <is>
          <t>IMPS-507918394917-SBI GENERAL INSURANC-IDFB-XXXXXXX8671-IMPSTXN</t>
        </is>
      </c>
      <c r="C802" s="108" t="inlineStr">
        <is>
          <t>0000507918394917</t>
        </is>
      </c>
      <c r="D802" s="107" t="n">
        <v>45736</v>
      </c>
      <c r="E802" s="108" t="n">
        <v>0</v>
      </c>
      <c r="F802" s="108" t="n">
        <v>1</v>
      </c>
      <c r="G802" s="108" t="n">
        <v>74937.3</v>
      </c>
      <c r="H802" s="108" t="inlineStr"/>
      <c r="I802" s="108" t="inlineStr">
        <is>
          <t>Misc Income</t>
        </is>
      </c>
      <c r="J802" s="108" t="inlineStr">
        <is>
          <t>Misc Income</t>
        </is>
      </c>
      <c r="K802" s="108" t="inlineStr">
        <is>
          <t>Misc Income</t>
        </is>
      </c>
      <c r="L802" s="50" t="n">
        <v>0.55</v>
      </c>
      <c r="M802" s="108" t="inlineStr">
        <is>
          <t>[MATCH]</t>
        </is>
      </c>
    </row>
    <row r="803">
      <c r="A803" s="83" t="n">
        <v>45737</v>
      </c>
      <c r="B803" s="84" t="inlineStr">
        <is>
          <t>NET PI TO HSL SEC A/C 523686-00602340029434</t>
        </is>
      </c>
      <c r="C803" s="84" t="inlineStr">
        <is>
          <t>0000000620408632</t>
        </is>
      </c>
      <c r="D803" s="83" t="n">
        <v>45737</v>
      </c>
      <c r="E803" s="84" t="n">
        <v>54024.08</v>
      </c>
      <c r="F803" s="84" t="n">
        <v>0</v>
      </c>
      <c r="G803" s="84" t="n">
        <v>20913.22</v>
      </c>
      <c r="H803" s="84" t="inlineStr"/>
      <c r="I803" s="84" t="inlineStr">
        <is>
          <t>HSL</t>
        </is>
      </c>
      <c r="J803" s="84" t="inlineStr">
        <is>
          <t>HDFC Securities - Buy</t>
        </is>
      </c>
      <c r="K803" s="84" t="inlineStr">
        <is>
          <t>HDFC Securities</t>
        </is>
      </c>
      <c r="L803" s="32" t="n">
        <v>0.97</v>
      </c>
      <c r="M803" s="84" t="inlineStr">
        <is>
          <t>[MATCH]</t>
        </is>
      </c>
    </row>
    <row r="804">
      <c r="A804" s="83" t="n">
        <v>45737</v>
      </c>
      <c r="B804" s="84" t="inlineStr">
        <is>
          <t>NET PI TO HSL SEC A/C 523686-00602340029434</t>
        </is>
      </c>
      <c r="C804" s="84" t="inlineStr">
        <is>
          <t>0000000620679490</t>
        </is>
      </c>
      <c r="D804" s="83" t="n">
        <v>45737</v>
      </c>
      <c r="E804" s="84" t="n">
        <v>20913.22</v>
      </c>
      <c r="F804" s="84" t="n">
        <v>0</v>
      </c>
      <c r="G804" s="84" t="n">
        <v>0</v>
      </c>
      <c r="H804" s="84" t="inlineStr"/>
      <c r="I804" s="84" t="inlineStr">
        <is>
          <t>HSL</t>
        </is>
      </c>
      <c r="J804" s="84" t="inlineStr">
        <is>
          <t>HDFC Securities - Buy</t>
        </is>
      </c>
      <c r="K804" s="84" t="inlineStr">
        <is>
          <t>HDFC Securities</t>
        </is>
      </c>
      <c r="L804" s="32" t="n">
        <v>0.97</v>
      </c>
      <c r="M804" s="84" t="inlineStr">
        <is>
          <t>[MATCH]</t>
        </is>
      </c>
    </row>
    <row r="805">
      <c r="A805" s="85" t="n">
        <v>45737</v>
      </c>
      <c r="B805" s="86" t="inlineStr">
        <is>
          <t>NET PO FROM HSL A/C 523686-50200085415108</t>
        </is>
      </c>
      <c r="C805" s="86" t="inlineStr">
        <is>
          <t>0000000620786197</t>
        </is>
      </c>
      <c r="D805" s="85" t="n">
        <v>45737</v>
      </c>
      <c r="E805" s="86" t="n">
        <v>0</v>
      </c>
      <c r="F805" s="86" t="n">
        <v>18737.64</v>
      </c>
      <c r="G805" s="86" t="n">
        <v>18737.64</v>
      </c>
      <c r="H805" s="86" t="inlineStr"/>
      <c r="I805" s="86" t="inlineStr">
        <is>
          <t>HSL</t>
        </is>
      </c>
      <c r="J805" s="86" t="inlineStr">
        <is>
          <t>HDFC Securities - Sell</t>
        </is>
      </c>
      <c r="K805" s="86" t="inlineStr">
        <is>
          <t>HDFC Securities</t>
        </is>
      </c>
      <c r="L805" s="32" t="n">
        <v>0.97</v>
      </c>
      <c r="M805" s="86" t="inlineStr">
        <is>
          <t>[MATCH]</t>
        </is>
      </c>
    </row>
    <row r="806">
      <c r="A806" s="28" t="n">
        <v>45738</v>
      </c>
      <c r="B806" s="29" t="inlineStr">
        <is>
          <t>YHDF2547685358/BILLDKTHECALCUTTAELE</t>
        </is>
      </c>
      <c r="C806" s="29" t="inlineStr">
        <is>
          <t>0000258179548489</t>
        </is>
      </c>
      <c r="D806" s="28" t="n">
        <v>45738</v>
      </c>
      <c r="E806" s="29" t="n">
        <v>2732</v>
      </c>
      <c r="F806" s="29" t="n">
        <v>0</v>
      </c>
      <c r="G806" s="29" t="n">
        <v>16005.64</v>
      </c>
      <c r="H806" s="29" t="inlineStr"/>
      <c r="I806" s="29" t="inlineStr">
        <is>
          <t>Electricity Bill</t>
        </is>
      </c>
      <c r="J806" s="29" t="inlineStr">
        <is>
          <t>SIP</t>
        </is>
      </c>
      <c r="K806" s="29" t="inlineStr">
        <is>
          <t>SIP</t>
        </is>
      </c>
      <c r="L806" s="35" t="n">
        <v>0.9</v>
      </c>
      <c r="M806" s="29" t="inlineStr">
        <is>
          <t>[DIFF]</t>
        </is>
      </c>
    </row>
    <row r="807">
      <c r="A807" s="83" t="n">
        <v>45740</v>
      </c>
      <c r="B807" s="84" t="inlineStr">
        <is>
          <t>NET PI TO HSL SEC A/C 523686-00602340029434</t>
        </is>
      </c>
      <c r="C807" s="84" t="inlineStr">
        <is>
          <t>0000000621091728</t>
        </is>
      </c>
      <c r="D807" s="83" t="n">
        <v>45740</v>
      </c>
      <c r="E807" s="84" t="n">
        <v>1278.96</v>
      </c>
      <c r="F807" s="84" t="n">
        <v>0</v>
      </c>
      <c r="G807" s="84" t="n">
        <v>14726.68</v>
      </c>
      <c r="H807" s="84" t="inlineStr"/>
      <c r="I807" s="84" t="inlineStr">
        <is>
          <t>HSL</t>
        </is>
      </c>
      <c r="J807" s="84" t="inlineStr">
        <is>
          <t>HDFC Securities - Buy</t>
        </is>
      </c>
      <c r="K807" s="84" t="inlineStr">
        <is>
          <t>HDFC Securities</t>
        </is>
      </c>
      <c r="L807" s="32" t="n">
        <v>0.97</v>
      </c>
      <c r="M807" s="84" t="inlineStr">
        <is>
          <t>[MATCH]</t>
        </is>
      </c>
    </row>
    <row r="808">
      <c r="A808" s="97" t="n">
        <v>45741</v>
      </c>
      <c r="B808" s="98" t="inlineStr">
        <is>
          <t>FT- 621348015-50200085415108 - HDFC SECURITIES LTD-CLIENT DSCNB A/C -</t>
        </is>
      </c>
      <c r="C808" s="98" t="inlineStr">
        <is>
          <t>0000000998110131</t>
        </is>
      </c>
      <c r="D808" s="97" t="n">
        <v>45741</v>
      </c>
      <c r="E808" s="98" t="n">
        <v>0</v>
      </c>
      <c r="F808" s="98" t="n">
        <v>27412.47</v>
      </c>
      <c r="G808" s="98" t="n">
        <v>42139.15</v>
      </c>
      <c r="H808" s="98" t="inlineStr"/>
      <c r="I808" s="98" t="inlineStr">
        <is>
          <t>HDFC Sec</t>
        </is>
      </c>
      <c r="J808" s="98" t="inlineStr">
        <is>
          <t>HDFC Securities - Settlement</t>
        </is>
      </c>
      <c r="K808" s="98" t="inlineStr">
        <is>
          <t>HDFC Securities</t>
        </is>
      </c>
      <c r="L808" s="35" t="n">
        <v>0.93</v>
      </c>
      <c r="M808" s="98" t="inlineStr">
        <is>
          <t>[DIFF]</t>
        </is>
      </c>
    </row>
    <row r="809">
      <c r="A809" s="28" t="n">
        <v>45741</v>
      </c>
      <c r="B809" s="29" t="inlineStr">
        <is>
          <t>ACH D- TP ACH INDIANESIGN-1756309312</t>
        </is>
      </c>
      <c r="C809" s="29" t="inlineStr">
        <is>
          <t>0000006385920508</t>
        </is>
      </c>
      <c r="D809" s="28" t="n">
        <v>45741</v>
      </c>
      <c r="E809" s="29" t="n">
        <v>10000</v>
      </c>
      <c r="F809" s="29" t="n">
        <v>0</v>
      </c>
      <c r="G809" s="29" t="n">
        <v>32139.15</v>
      </c>
      <c r="H809" s="29" t="inlineStr"/>
      <c r="I809" s="29" t="inlineStr">
        <is>
          <t>SIP  - 10000</t>
        </is>
      </c>
      <c r="J809" s="29" t="inlineStr">
        <is>
          <t>SIP</t>
        </is>
      </c>
      <c r="K809" s="29" t="inlineStr">
        <is>
          <t>SIP</t>
        </is>
      </c>
      <c r="L809" s="35" t="n">
        <v>0.95</v>
      </c>
      <c r="M809" s="29" t="inlineStr">
        <is>
          <t>[DIFF]</t>
        </is>
      </c>
    </row>
    <row r="810">
      <c r="A810" s="83" t="n">
        <v>45741</v>
      </c>
      <c r="B810" s="84" t="inlineStr">
        <is>
          <t>NET PI TO HSL SEC A/C 523686-00602340029434</t>
        </is>
      </c>
      <c r="C810" s="84" t="inlineStr">
        <is>
          <t>0000000621519684</t>
        </is>
      </c>
      <c r="D810" s="83" t="n">
        <v>45741</v>
      </c>
      <c r="E810" s="84" t="n">
        <v>437.86</v>
      </c>
      <c r="F810" s="84" t="n">
        <v>0</v>
      </c>
      <c r="G810" s="84" t="n">
        <v>31701.29</v>
      </c>
      <c r="H810" s="84" t="inlineStr"/>
      <c r="I810" s="84" t="inlineStr">
        <is>
          <t>HSL</t>
        </is>
      </c>
      <c r="J810" s="84" t="inlineStr">
        <is>
          <t>HDFC Securities - Buy</t>
        </is>
      </c>
      <c r="K810" s="84" t="inlineStr">
        <is>
          <t>HDFC Securities</t>
        </is>
      </c>
      <c r="L810" s="32" t="n">
        <v>0.97</v>
      </c>
      <c r="M810" s="84" t="inlineStr">
        <is>
          <t>[MATCH]</t>
        </is>
      </c>
    </row>
    <row r="811">
      <c r="A811" s="83" t="n">
        <v>45741</v>
      </c>
      <c r="B811" s="84" t="inlineStr">
        <is>
          <t>NET PI TO HSL SEC A/C 523686-00602340029434</t>
        </is>
      </c>
      <c r="C811" s="84" t="inlineStr">
        <is>
          <t>0000000621689205</t>
        </is>
      </c>
      <c r="D811" s="83" t="n">
        <v>45741</v>
      </c>
      <c r="E811" s="84" t="n">
        <v>5764.56</v>
      </c>
      <c r="F811" s="84" t="n">
        <v>0</v>
      </c>
      <c r="G811" s="84" t="n">
        <v>25936.73</v>
      </c>
      <c r="H811" s="84" t="inlineStr"/>
      <c r="I811" s="84" t="inlineStr">
        <is>
          <t>HSL</t>
        </is>
      </c>
      <c r="J811" s="84" t="inlineStr">
        <is>
          <t>HDFC Securities - Buy</t>
        </is>
      </c>
      <c r="K811" s="84" t="inlineStr">
        <is>
          <t>HDFC Securities</t>
        </is>
      </c>
      <c r="L811" s="32" t="n">
        <v>0.97</v>
      </c>
      <c r="M811" s="84" t="inlineStr">
        <is>
          <t>[MATCH]</t>
        </is>
      </c>
    </row>
    <row r="812">
      <c r="A812" s="97" t="n">
        <v>45742</v>
      </c>
      <c r="B812" s="98" t="inlineStr">
        <is>
          <t>FT- 621799157-50200085415108 - HDFC SECURITIES LTD-CLIENT DSCNB A/C -</t>
        </is>
      </c>
      <c r="C812" s="98" t="inlineStr">
        <is>
          <t>0000000999436007</t>
        </is>
      </c>
      <c r="D812" s="97" t="n">
        <v>45742</v>
      </c>
      <c r="E812" s="98" t="n">
        <v>0</v>
      </c>
      <c r="F812" s="98" t="n">
        <v>911.1</v>
      </c>
      <c r="G812" s="98" t="n">
        <v>26847.83</v>
      </c>
      <c r="H812" s="98" t="inlineStr"/>
      <c r="I812" s="98" t="inlineStr">
        <is>
          <t>HDFC Sec</t>
        </is>
      </c>
      <c r="J812" s="98" t="inlineStr">
        <is>
          <t>HDFC Securities - Settlement</t>
        </is>
      </c>
      <c r="K812" s="98" t="inlineStr">
        <is>
          <t>HDFC Securities</t>
        </is>
      </c>
      <c r="L812" s="35" t="n">
        <v>0.93</v>
      </c>
      <c r="M812" s="98" t="inlineStr">
        <is>
          <t>[DIFF]</t>
        </is>
      </c>
    </row>
    <row r="813">
      <c r="A813" s="97" t="n">
        <v>45742</v>
      </c>
      <c r="B813" s="98" t="inlineStr">
        <is>
          <t>FT- 621822800-50200085415108 - HDFC SECURITIES LTD-CLIENT DSCNB A/C -</t>
        </is>
      </c>
      <c r="C813" s="98" t="inlineStr">
        <is>
          <t>0000000999473460</t>
        </is>
      </c>
      <c r="D813" s="97" t="n">
        <v>45742</v>
      </c>
      <c r="E813" s="98" t="n">
        <v>0</v>
      </c>
      <c r="F813" s="98" t="n">
        <v>17430.4</v>
      </c>
      <c r="G813" s="98" t="n">
        <v>44278.23</v>
      </c>
      <c r="H813" s="98" t="inlineStr"/>
      <c r="I813" s="98" t="inlineStr">
        <is>
          <t>HDFC Sec</t>
        </is>
      </c>
      <c r="J813" s="98" t="inlineStr">
        <is>
          <t>HDFC Securities - Settlement</t>
        </is>
      </c>
      <c r="K813" s="98" t="inlineStr">
        <is>
          <t>HDFC Securities</t>
        </is>
      </c>
      <c r="L813" s="35" t="n">
        <v>0.93</v>
      </c>
      <c r="M813" s="98" t="inlineStr">
        <is>
          <t>[DIFF]</t>
        </is>
      </c>
    </row>
    <row r="814">
      <c r="A814" s="83" t="n">
        <v>45742</v>
      </c>
      <c r="B814" s="84" t="inlineStr">
        <is>
          <t>NET PI TO HSL SEC A/C 523686-00602340029434</t>
        </is>
      </c>
      <c r="C814" s="84" t="inlineStr">
        <is>
          <t>0000000621932120</t>
        </is>
      </c>
      <c r="D814" s="83" t="n">
        <v>45742</v>
      </c>
      <c r="E814" s="84" t="n">
        <v>433.89</v>
      </c>
      <c r="F814" s="84" t="n">
        <v>0</v>
      </c>
      <c r="G814" s="84" t="n">
        <v>43844.34</v>
      </c>
      <c r="H814" s="84" t="inlineStr"/>
      <c r="I814" s="84" t="inlineStr">
        <is>
          <t>HSL</t>
        </is>
      </c>
      <c r="J814" s="84" t="inlineStr">
        <is>
          <t>HDFC Securities - Buy</t>
        </is>
      </c>
      <c r="K814" s="84" t="inlineStr">
        <is>
          <t>HDFC Securities</t>
        </is>
      </c>
      <c r="L814" s="32" t="n">
        <v>0.97</v>
      </c>
      <c r="M814" s="84" t="inlineStr">
        <is>
          <t>[MATCH]</t>
        </is>
      </c>
    </row>
    <row r="815">
      <c r="A815" s="83" t="n">
        <v>45742</v>
      </c>
      <c r="B815" s="84" t="inlineStr">
        <is>
          <t>NET PI TO HSL SEC A/C 523686-00602340029434</t>
        </is>
      </c>
      <c r="C815" s="84" t="inlineStr">
        <is>
          <t>0000000622109680</t>
        </is>
      </c>
      <c r="D815" s="83" t="n">
        <v>45742</v>
      </c>
      <c r="E815" s="84" t="n">
        <v>8577.92</v>
      </c>
      <c r="F815" s="84" t="n">
        <v>0</v>
      </c>
      <c r="G815" s="84" t="n">
        <v>35266.42</v>
      </c>
      <c r="H815" s="84" t="inlineStr"/>
      <c r="I815" s="84" t="inlineStr">
        <is>
          <t>HSL</t>
        </is>
      </c>
      <c r="J815" s="84" t="inlineStr">
        <is>
          <t>HDFC Securities - Buy</t>
        </is>
      </c>
      <c r="K815" s="84" t="inlineStr">
        <is>
          <t>HDFC Securities</t>
        </is>
      </c>
      <c r="L815" s="32" t="n">
        <v>0.97</v>
      </c>
      <c r="M815" s="84" t="inlineStr">
        <is>
          <t>[MATCH]</t>
        </is>
      </c>
    </row>
    <row r="816">
      <c r="A816" s="83" t="n">
        <v>45743</v>
      </c>
      <c r="B816" s="84" t="inlineStr">
        <is>
          <t>NET PI TO HSL SEC A/C 523686-00602340029434</t>
        </is>
      </c>
      <c r="C816" s="84" t="inlineStr">
        <is>
          <t>0000000622365500</t>
        </is>
      </c>
      <c r="D816" s="83" t="n">
        <v>45743</v>
      </c>
      <c r="E816" s="84" t="n">
        <v>426.77</v>
      </c>
      <c r="F816" s="84" t="n">
        <v>0</v>
      </c>
      <c r="G816" s="84" t="n">
        <v>34839.65</v>
      </c>
      <c r="H816" s="84" t="inlineStr"/>
      <c r="I816" s="84" t="inlineStr">
        <is>
          <t>HSL</t>
        </is>
      </c>
      <c r="J816" s="84" t="inlineStr">
        <is>
          <t>HDFC Securities - Buy</t>
        </is>
      </c>
      <c r="K816" s="84" t="inlineStr">
        <is>
          <t>HDFC Securities</t>
        </is>
      </c>
      <c r="L816" s="32" t="n">
        <v>0.97</v>
      </c>
      <c r="M816" s="84" t="inlineStr">
        <is>
          <t>[MATCH]</t>
        </is>
      </c>
    </row>
    <row r="817">
      <c r="A817" s="42" t="n">
        <v>45743</v>
      </c>
      <c r="B817" s="43" t="inlineStr">
        <is>
          <t>ACH C- IRFC LTD-IR2103250146332</t>
        </is>
      </c>
      <c r="C817" s="43" t="inlineStr">
        <is>
          <t>0000006490317246</t>
        </is>
      </c>
      <c r="D817" s="42" t="n">
        <v>45743</v>
      </c>
      <c r="E817" s="43" t="n">
        <v>0</v>
      </c>
      <c r="F817" s="43" t="n">
        <v>240</v>
      </c>
      <c r="G817" s="43" t="n">
        <v>35079.65</v>
      </c>
      <c r="H817" s="43" t="inlineStr"/>
      <c r="I817" s="43" t="inlineStr">
        <is>
          <t>Dividend Income</t>
        </is>
      </c>
      <c r="J817" s="43" t="inlineStr">
        <is>
          <t>Dividend Income</t>
        </is>
      </c>
      <c r="K817" s="43" t="inlineStr">
        <is>
          <t>Dividend Income</t>
        </is>
      </c>
      <c r="L817" s="32" t="n">
        <v>0.88</v>
      </c>
      <c r="M817" s="43" t="inlineStr">
        <is>
          <t>[MATCH]</t>
        </is>
      </c>
    </row>
    <row r="818">
      <c r="A818" s="83" t="n">
        <v>45743</v>
      </c>
      <c r="B818" s="84" t="inlineStr">
        <is>
          <t>NET PI TO HSL SEC A/C 523686-00602340029434</t>
        </is>
      </c>
      <c r="C818" s="84" t="inlineStr">
        <is>
          <t>0000000622506110</t>
        </is>
      </c>
      <c r="D818" s="83" t="n">
        <v>45743</v>
      </c>
      <c r="E818" s="84" t="n">
        <v>1302.61</v>
      </c>
      <c r="F818" s="84" t="n">
        <v>0</v>
      </c>
      <c r="G818" s="84" t="n">
        <v>33777.04</v>
      </c>
      <c r="H818" s="84" t="inlineStr"/>
      <c r="I818" s="84" t="inlineStr">
        <is>
          <t>HSL</t>
        </is>
      </c>
      <c r="J818" s="84" t="inlineStr">
        <is>
          <t>HDFC Securities - Buy</t>
        </is>
      </c>
      <c r="K818" s="84" t="inlineStr">
        <is>
          <t>HDFC Securities</t>
        </is>
      </c>
      <c r="L818" s="32" t="n">
        <v>0.97</v>
      </c>
      <c r="M818" s="84" t="inlineStr">
        <is>
          <t>[MATCH]</t>
        </is>
      </c>
    </row>
    <row r="819">
      <c r="A819" s="97" t="n">
        <v>45744</v>
      </c>
      <c r="B819" s="98" t="inlineStr">
        <is>
          <t>FT- 622645959-50200085415108 - HDFC SECURITIES LTD-CLIENT DSCNB A/C -</t>
        </is>
      </c>
      <c r="C819" s="98" t="inlineStr">
        <is>
          <t>0000001002983074</t>
        </is>
      </c>
      <c r="D819" s="97" t="n">
        <v>45744</v>
      </c>
      <c r="E819" s="98" t="n">
        <v>0</v>
      </c>
      <c r="F819" s="98" t="n">
        <v>32508.09</v>
      </c>
      <c r="G819" s="98" t="n">
        <v>66285.13</v>
      </c>
      <c r="H819" s="98" t="inlineStr"/>
      <c r="I819" s="98" t="inlineStr">
        <is>
          <t>HDFC Sec</t>
        </is>
      </c>
      <c r="J819" s="98" t="inlineStr">
        <is>
          <t>HDFC Securities - Settlement</t>
        </is>
      </c>
      <c r="K819" s="98" t="inlineStr">
        <is>
          <t>HDFC Securities</t>
        </is>
      </c>
      <c r="L819" s="35" t="n">
        <v>0.93</v>
      </c>
      <c r="M819" s="98" t="inlineStr">
        <is>
          <t>[DIFF]</t>
        </is>
      </c>
    </row>
    <row r="820">
      <c r="A820" s="42" t="n">
        <v>45744</v>
      </c>
      <c r="B820" s="43" t="inlineStr">
        <is>
          <t>ACH C- NMDC LTD-0000030388452</t>
        </is>
      </c>
      <c r="C820" s="43" t="inlineStr">
        <is>
          <t>0000006524703984</t>
        </is>
      </c>
      <c r="D820" s="42" t="n">
        <v>45744</v>
      </c>
      <c r="E820" s="43" t="n">
        <v>0</v>
      </c>
      <c r="F820" s="43" t="n">
        <v>4065</v>
      </c>
      <c r="G820" s="43" t="n">
        <v>70350.13</v>
      </c>
      <c r="H820" s="43" t="inlineStr"/>
      <c r="I820" s="43" t="inlineStr">
        <is>
          <t>Dividend Income</t>
        </is>
      </c>
      <c r="J820" s="43" t="inlineStr">
        <is>
          <t>Dividend Income</t>
        </is>
      </c>
      <c r="K820" s="43" t="inlineStr">
        <is>
          <t>Dividend Income</t>
        </is>
      </c>
      <c r="L820" s="32" t="n">
        <v>0.88</v>
      </c>
      <c r="M820" s="43" t="inlineStr">
        <is>
          <t>[MATCH]</t>
        </is>
      </c>
    </row>
    <row r="821">
      <c r="A821" s="83" t="n">
        <v>45744</v>
      </c>
      <c r="B821" s="84" t="inlineStr">
        <is>
          <t>NET PI TO HSL SEC A/C 523686-00602340029434</t>
        </is>
      </c>
      <c r="C821" s="84" t="inlineStr">
        <is>
          <t>0000000622783934</t>
        </is>
      </c>
      <c r="D821" s="83" t="n">
        <v>45744</v>
      </c>
      <c r="E821" s="84" t="n">
        <v>426.31</v>
      </c>
      <c r="F821" s="84" t="n">
        <v>0</v>
      </c>
      <c r="G821" s="84" t="n">
        <v>69923.82000000001</v>
      </c>
      <c r="H821" s="84" t="inlineStr"/>
      <c r="I821" s="84" t="inlineStr">
        <is>
          <t>HSL</t>
        </is>
      </c>
      <c r="J821" s="84" t="inlineStr">
        <is>
          <t>HDFC Securities - Buy</t>
        </is>
      </c>
      <c r="K821" s="84" t="inlineStr">
        <is>
          <t>HDFC Securities</t>
        </is>
      </c>
      <c r="L821" s="32" t="n">
        <v>0.97</v>
      </c>
      <c r="M821" s="84" t="inlineStr">
        <is>
          <t>[MATCH]</t>
        </is>
      </c>
    </row>
    <row r="822">
      <c r="A822" s="42" t="n">
        <v>45744</v>
      </c>
      <c r="B822" s="43" t="inlineStr">
        <is>
          <t>NEFT CR-UTIB0000004-AXIS MUTUAL FUND DIVIDEND A/C-SUNITA GUPTA-UTIBN62025032810896860</t>
        </is>
      </c>
      <c r="C822" s="43" t="inlineStr">
        <is>
          <t>UTIBN62025032810896860</t>
        </is>
      </c>
      <c r="D822" s="42" t="n">
        <v>45744</v>
      </c>
      <c r="E822" s="43" t="n">
        <v>0</v>
      </c>
      <c r="F822" s="43" t="n">
        <v>84.56999999999999</v>
      </c>
      <c r="G822" s="43" t="n">
        <v>70008.39</v>
      </c>
      <c r="H822" s="43" t="inlineStr"/>
      <c r="I822" s="43" t="inlineStr">
        <is>
          <t>Dividend Income</t>
        </is>
      </c>
      <c r="J822" s="43" t="inlineStr">
        <is>
          <t>Dividend Income</t>
        </is>
      </c>
      <c r="K822" s="43" t="inlineStr">
        <is>
          <t>Dividend Income</t>
        </is>
      </c>
      <c r="L822" s="32" t="n">
        <v>0.85</v>
      </c>
      <c r="M822" s="43" t="inlineStr">
        <is>
          <t>[MATCH]</t>
        </is>
      </c>
    </row>
    <row r="823">
      <c r="A823" s="83" t="n">
        <v>45744</v>
      </c>
      <c r="B823" s="84" t="inlineStr">
        <is>
          <t>NET PI TO HSL SEC A/C 523686-00602340029434</t>
        </is>
      </c>
      <c r="C823" s="84" t="inlineStr">
        <is>
          <t>0000000622945273</t>
        </is>
      </c>
      <c r="D823" s="83" t="n">
        <v>45744</v>
      </c>
      <c r="E823" s="84" t="n">
        <v>6570.74</v>
      </c>
      <c r="F823" s="84" t="n">
        <v>0</v>
      </c>
      <c r="G823" s="84" t="n">
        <v>63437.65</v>
      </c>
      <c r="H823" s="84" t="inlineStr"/>
      <c r="I823" s="84" t="inlineStr">
        <is>
          <t>HSL</t>
        </is>
      </c>
      <c r="J823" s="84" t="inlineStr">
        <is>
          <t>HDFC Securities - Buy</t>
        </is>
      </c>
      <c r="K823" s="84" t="inlineStr">
        <is>
          <t>HDFC Securities</t>
        </is>
      </c>
      <c r="L823" s="32" t="n">
        <v>0.97</v>
      </c>
      <c r="M823" s="84" t="inlineStr">
        <is>
          <t>[MATCH]</t>
        </is>
      </c>
    </row>
    <row r="824">
      <c r="A824" s="38" t="n">
        <v>45745</v>
      </c>
      <c r="B824" s="39" t="inlineStr">
        <is>
          <t>ISAQMC-JUL-SEP24-323600 070325-MIR2508872188526</t>
        </is>
      </c>
      <c r="C824" s="39" t="inlineStr">
        <is>
          <t>MIR2508872188526</t>
        </is>
      </c>
      <c r="D824" s="38" t="n">
        <v>45745</v>
      </c>
      <c r="E824" s="39" t="n">
        <v>295</v>
      </c>
      <c r="F824" s="39" t="n">
        <v>0</v>
      </c>
      <c r="G824" s="39" t="n">
        <v>63142.65</v>
      </c>
      <c r="H824" s="39" t="inlineStr"/>
      <c r="I824" s="39" t="inlineStr">
        <is>
          <t>Bank Charges</t>
        </is>
      </c>
      <c r="J824" s="39" t="inlineStr">
        <is>
          <t>Bank Charges</t>
        </is>
      </c>
      <c r="K824" s="39" t="inlineStr">
        <is>
          <t>Bank Charges</t>
        </is>
      </c>
      <c r="L824" s="32" t="n">
        <v>0.9</v>
      </c>
      <c r="M824" s="39" t="inlineStr">
        <is>
          <t>[MATCH]</t>
        </is>
      </c>
    </row>
  </sheetData>
  <autoFilter ref="A9:M8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54" customWidth="1" min="3" max="3"/>
    <col hidden="1" width="14" customWidth="1" min="4" max="4"/>
    <col width="10" customWidth="1" min="5" max="5"/>
    <col width="10" customWidth="1" min="6" max="6"/>
    <col hidden="1" width="12" customWidth="1" min="7" max="7"/>
    <col hidden="1" width="15" customWidth="1" min="8" max="8"/>
    <col hidden="1" width="29" customWidth="1" min="9" max="9"/>
    <col width="27" customWidth="1" min="10" max="10"/>
    <col width="17" customWidth="1" min="11" max="11"/>
    <col width="14" customWidth="1" min="12" max="12"/>
    <col width="11" customWidth="1" min="13" max="13"/>
  </cols>
  <sheetData>
    <row r="1">
      <c r="B1" s="1" t="inlineStr">
        <is>
          <t>State Bank of India Narration Sheet</t>
        </is>
      </c>
    </row>
    <row r="2">
      <c r="B2" s="2" t="inlineStr">
        <is>
          <t>Colour Legend of Categories:</t>
        </is>
      </c>
    </row>
    <row r="3">
      <c r="B3" s="6" t="inlineStr">
        <is>
          <t>Cash Withdrawal</t>
        </is>
      </c>
      <c r="C3" s="10" t="inlineStr">
        <is>
          <t>Bank Interest</t>
        </is>
      </c>
      <c r="D3" s="109" t="inlineStr">
        <is>
          <t>What is this?</t>
        </is>
      </c>
      <c r="E3" s="7" t="inlineStr">
        <is>
          <t>Received - Sunita Gupta</t>
        </is>
      </c>
      <c r="F3" s="20" t="inlineStr">
        <is>
          <t>Rent</t>
        </is>
      </c>
    </row>
    <row r="5">
      <c r="A5" s="21" t="inlineStr">
        <is>
          <t>Date</t>
        </is>
      </c>
      <c r="B5" s="21" t="inlineStr">
        <is>
          <t>Particulars</t>
        </is>
      </c>
      <c r="C5" s="21" t="inlineStr">
        <is>
          <t>Ref</t>
        </is>
      </c>
      <c r="D5" s="21" t="inlineStr">
        <is>
          <t>Value_Date</t>
        </is>
      </c>
      <c r="E5" s="21" t="inlineStr">
        <is>
          <t>DR</t>
        </is>
      </c>
      <c r="F5" s="21" t="inlineStr">
        <is>
          <t>CR</t>
        </is>
      </c>
      <c r="G5" s="21" t="inlineStr">
        <is>
          <t>Balance</t>
        </is>
      </c>
      <c r="H5" s="21" t="inlineStr">
        <is>
          <t>Beneficiary</t>
        </is>
      </c>
      <c r="I5" s="21" t="inlineStr">
        <is>
          <t>Human_Narration</t>
        </is>
      </c>
      <c r="J5" s="21" t="inlineStr">
        <is>
          <t>Auto_Narration</t>
        </is>
      </c>
      <c r="K5" s="21" t="inlineStr">
        <is>
          <t>Account_Head</t>
        </is>
      </c>
      <c r="L5" s="21" t="inlineStr">
        <is>
          <t>Confidence</t>
        </is>
      </c>
      <c r="M5" s="21" t="inlineStr">
        <is>
          <t>Match</t>
        </is>
      </c>
    </row>
    <row r="6">
      <c r="A6" s="30" t="n">
        <v>45415</v>
      </c>
      <c r="B6" s="31" t="inlineStr">
        <is>
          <t xml:space="preserve">   ATM WDL-ATM CASH 3233  SBI SHIVAJI NAGAR ATM NASHIK--</t>
        </is>
      </c>
      <c r="C6" s="31" t="n">
        <v/>
      </c>
      <c r="D6" s="30" t="n">
        <v>45415</v>
      </c>
      <c r="E6" s="31" t="n">
        <v>2000</v>
      </c>
      <c r="F6" s="31" t="n">
        <v>0</v>
      </c>
      <c r="G6" s="31" t="n">
        <v>24120.7</v>
      </c>
      <c r="H6" s="31" t="inlineStr"/>
      <c r="I6" s="31" t="inlineStr">
        <is>
          <t>ATM Withdrawal</t>
        </is>
      </c>
      <c r="J6" s="31" t="inlineStr">
        <is>
          <t>Cash Withdrawal</t>
        </is>
      </c>
      <c r="K6" s="31" t="inlineStr">
        <is>
          <t>Cash</t>
        </is>
      </c>
      <c r="L6" s="32" t="n">
        <v>0.92</v>
      </c>
      <c r="M6" s="31" t="inlineStr">
        <is>
          <t>[MATCH]</t>
        </is>
      </c>
    </row>
    <row r="7">
      <c r="A7" s="40" t="n">
        <v>45468</v>
      </c>
      <c r="B7" s="41" t="inlineStr">
        <is>
          <t xml:space="preserve">   CREDIT INTEREST---</t>
        </is>
      </c>
      <c r="C7" s="41" t="n">
        <v/>
      </c>
      <c r="D7" s="40" t="n">
        <v>45468</v>
      </c>
      <c r="E7" s="41" t="n">
        <v>0</v>
      </c>
      <c r="F7" s="41" t="n">
        <v>169</v>
      </c>
      <c r="G7" s="41" t="n">
        <v>24289.7</v>
      </c>
      <c r="H7" s="41" t="inlineStr"/>
      <c r="I7" s="41" t="inlineStr">
        <is>
          <t>Bank Interest</t>
        </is>
      </c>
      <c r="J7" s="41" t="inlineStr">
        <is>
          <t>Bank Interest</t>
        </is>
      </c>
      <c r="K7" s="41" t="inlineStr">
        <is>
          <t>Bank Interest</t>
        </is>
      </c>
      <c r="L7" s="32" t="n">
        <v>0.9</v>
      </c>
      <c r="M7" s="41" t="inlineStr">
        <is>
          <t>[MATCH]</t>
        </is>
      </c>
    </row>
    <row r="8">
      <c r="A8" s="30" t="n">
        <v>45474</v>
      </c>
      <c r="B8" s="31" t="inlineStr">
        <is>
          <t xml:space="preserve">   ATM WDL-ATM CASH 2734  SBI SHIVAJI NAGAR ATM NASHIK--</t>
        </is>
      </c>
      <c r="C8" s="31" t="n">
        <v/>
      </c>
      <c r="D8" s="30" t="n">
        <v>45474</v>
      </c>
      <c r="E8" s="31" t="n">
        <v>2000</v>
      </c>
      <c r="F8" s="31" t="n">
        <v>0</v>
      </c>
      <c r="G8" s="31" t="n">
        <v>22289.7</v>
      </c>
      <c r="H8" s="31" t="inlineStr"/>
      <c r="I8" s="31" t="inlineStr">
        <is>
          <t>ATM Withdrawal</t>
        </is>
      </c>
      <c r="J8" s="31" t="inlineStr">
        <is>
          <t>Cash Withdrawal</t>
        </is>
      </c>
      <c r="K8" s="31" t="inlineStr">
        <is>
          <t>Cash</t>
        </is>
      </c>
      <c r="L8" s="32" t="n">
        <v>0.92</v>
      </c>
      <c r="M8" s="31" t="inlineStr">
        <is>
          <t>[MATCH]</t>
        </is>
      </c>
    </row>
    <row r="9">
      <c r="A9" s="110" t="n">
        <v>45554</v>
      </c>
      <c r="B9" s="111" t="inlineStr">
        <is>
          <t xml:space="preserve">   DEBIT-ATMCard AMC  652294*8079--</t>
        </is>
      </c>
      <c r="C9" s="111" t="n">
        <v/>
      </c>
      <c r="D9" s="110" t="n">
        <v>45554</v>
      </c>
      <c r="E9" s="111" t="n">
        <v>236</v>
      </c>
      <c r="F9" s="111" t="n">
        <v>0</v>
      </c>
      <c r="G9" s="111" t="n">
        <v>22053.7</v>
      </c>
      <c r="H9" s="111" t="inlineStr"/>
      <c r="I9" s="111" t="inlineStr">
        <is>
          <t>Bank Charges</t>
        </is>
      </c>
      <c r="J9" s="111" t="inlineStr">
        <is>
          <t>What is this?</t>
        </is>
      </c>
      <c r="K9" s="111" t="inlineStr">
        <is>
          <t>Suspense</t>
        </is>
      </c>
      <c r="L9" s="27" t="n">
        <v>0</v>
      </c>
      <c r="M9" s="111" t="inlineStr">
        <is>
          <t>[DIFF]</t>
        </is>
      </c>
    </row>
    <row r="10">
      <c r="A10" s="40" t="n">
        <v>45560</v>
      </c>
      <c r="B10" s="41" t="inlineStr">
        <is>
          <t xml:space="preserve">   CREDIT INTEREST---</t>
        </is>
      </c>
      <c r="C10" s="41" t="n">
        <v/>
      </c>
      <c r="D10" s="40" t="n">
        <v>45560</v>
      </c>
      <c r="E10" s="41" t="n">
        <v>0</v>
      </c>
      <c r="F10" s="41" t="n">
        <v>152</v>
      </c>
      <c r="G10" s="41" t="n">
        <v>22205.7</v>
      </c>
      <c r="H10" s="41" t="inlineStr"/>
      <c r="I10" s="41" t="inlineStr">
        <is>
          <t>Bank Interest</t>
        </is>
      </c>
      <c r="J10" s="41" t="inlineStr">
        <is>
          <t>Bank Interest</t>
        </is>
      </c>
      <c r="K10" s="41" t="inlineStr">
        <is>
          <t>Bank Interest</t>
        </is>
      </c>
      <c r="L10" s="32" t="n">
        <v>0.9</v>
      </c>
      <c r="M10" s="41" t="inlineStr">
        <is>
          <t>[MATCH]</t>
        </is>
      </c>
    </row>
    <row r="11">
      <c r="A11" s="40" t="n">
        <v>45651</v>
      </c>
      <c r="B11" s="41" t="inlineStr">
        <is>
          <t xml:space="preserve">   CREDIT INTEREST---</t>
        </is>
      </c>
      <c r="C11" s="41" t="n">
        <v/>
      </c>
      <c r="D11" s="40" t="n">
        <v>45651</v>
      </c>
      <c r="E11" s="41" t="n">
        <v>0</v>
      </c>
      <c r="F11" s="41" t="n">
        <v>149</v>
      </c>
      <c r="G11" s="41" t="n">
        <v>22354.7</v>
      </c>
      <c r="H11" s="41" t="inlineStr"/>
      <c r="I11" s="41" t="inlineStr">
        <is>
          <t>Bank Interest</t>
        </is>
      </c>
      <c r="J11" s="41" t="inlineStr">
        <is>
          <t>Bank Interest</t>
        </is>
      </c>
      <c r="K11" s="41" t="inlineStr">
        <is>
          <t>Bank Interest</t>
        </is>
      </c>
      <c r="L11" s="32" t="n">
        <v>0.9</v>
      </c>
      <c r="M11" s="41" t="inlineStr">
        <is>
          <t>[MATCH]</t>
        </is>
      </c>
    </row>
    <row r="12">
      <c r="A12" s="110" t="n">
        <v>45708</v>
      </c>
      <c r="B12" s="111" t="inlineStr">
        <is>
          <t xml:space="preserve">   BY TRANSFER-INB borrow--</t>
        </is>
      </c>
      <c r="C12" s="111" t="inlineStr">
        <is>
          <t>IID4853269               TRANSFER FROM 32718635441</t>
        </is>
      </c>
      <c r="D12" s="110" t="n">
        <v>45708</v>
      </c>
      <c r="E12" s="111" t="n">
        <v>0</v>
      </c>
      <c r="F12" s="111" t="n">
        <v>100000</v>
      </c>
      <c r="G12" s="111" t="n">
        <v>122354.7</v>
      </c>
      <c r="H12" s="111" t="inlineStr"/>
      <c r="I12" s="111" t="inlineStr">
        <is>
          <t>Transfer from Ajay</t>
        </is>
      </c>
      <c r="J12" s="111" t="inlineStr">
        <is>
          <t>What is this?</t>
        </is>
      </c>
      <c r="K12" s="111" t="inlineStr">
        <is>
          <t>Suspense</t>
        </is>
      </c>
      <c r="L12" s="27" t="n">
        <v>0</v>
      </c>
      <c r="M12" s="111" t="inlineStr">
        <is>
          <t>[DIFF]</t>
        </is>
      </c>
    </row>
    <row r="13">
      <c r="A13" s="110" t="n">
        <v>45709</v>
      </c>
      <c r="B13" s="111" t="inlineStr">
        <is>
          <t xml:space="preserve">   TO TRANSFER-INB Security deposit return--</t>
        </is>
      </c>
      <c r="C13" s="111" t="inlineStr">
        <is>
          <t xml:space="preserve">IT00YWYOL0               TRANSFER TO 35730790076  </t>
        </is>
      </c>
      <c r="D13" s="110" t="n">
        <v>45709</v>
      </c>
      <c r="E13" s="111" t="n">
        <v>100000</v>
      </c>
      <c r="F13" s="111" t="n">
        <v>0</v>
      </c>
      <c r="G13" s="111" t="n">
        <v>22354.7</v>
      </c>
      <c r="H13" s="111" t="inlineStr"/>
      <c r="I13" s="111" t="inlineStr">
        <is>
          <t>Security Deposit Returned</t>
        </is>
      </c>
      <c r="J13" s="111" t="inlineStr">
        <is>
          <t>What is this?</t>
        </is>
      </c>
      <c r="K13" s="111" t="inlineStr">
        <is>
          <t>Suspense</t>
        </is>
      </c>
      <c r="L13" s="27" t="n">
        <v>0</v>
      </c>
      <c r="M13" s="111" t="inlineStr">
        <is>
          <t>[DIFF]</t>
        </is>
      </c>
    </row>
    <row r="14">
      <c r="A14" s="33" t="n">
        <v>45724</v>
      </c>
      <c r="B14" s="34" t="inlineStr">
        <is>
          <t xml:space="preserve">   BY TRANSFER-INB borrow from Sunita--</t>
        </is>
      </c>
      <c r="C14" s="34" t="inlineStr">
        <is>
          <t>IID5359354               TRANSFER FROM 32718635441</t>
        </is>
      </c>
      <c r="D14" s="33" t="n">
        <v>45724</v>
      </c>
      <c r="E14" s="34" t="n">
        <v>0</v>
      </c>
      <c r="F14" s="34" t="n">
        <v>32000</v>
      </c>
      <c r="G14" s="34" t="n">
        <v>54354.7</v>
      </c>
      <c r="H14" s="34" t="inlineStr"/>
      <c r="I14" s="34" t="inlineStr">
        <is>
          <t>Transfer from Ajay</t>
        </is>
      </c>
      <c r="J14" s="34" t="inlineStr">
        <is>
          <t>Received - Sunita Gupta</t>
        </is>
      </c>
      <c r="K14" s="34" t="inlineStr">
        <is>
          <t>Sunita Gupta</t>
        </is>
      </c>
      <c r="L14" s="35" t="n">
        <v>0.88</v>
      </c>
      <c r="M14" s="34" t="inlineStr">
        <is>
          <t>[DIFF]</t>
        </is>
      </c>
    </row>
    <row r="15">
      <c r="A15" s="110" t="n">
        <v>45724</v>
      </c>
      <c r="B15" s="111" t="inlineStr">
        <is>
          <t xml:space="preserve">   TO TRANSFER-INB Pymt twrds scrap material--</t>
        </is>
      </c>
      <c r="C15" s="111" t="inlineStr">
        <is>
          <t xml:space="preserve">IT00ZBZYC9               TRANSFER TO 35730790076  </t>
        </is>
      </c>
      <c r="D15" s="110" t="n">
        <v>45724</v>
      </c>
      <c r="E15" s="111" t="n">
        <v>43000</v>
      </c>
      <c r="F15" s="111" t="n">
        <v>0</v>
      </c>
      <c r="G15" s="111" t="n">
        <v>11354.7</v>
      </c>
      <c r="H15" s="111" t="inlineStr"/>
      <c r="I15" s="111" t="inlineStr">
        <is>
          <t>Asset Purchase</t>
        </is>
      </c>
      <c r="J15" s="111" t="inlineStr">
        <is>
          <t>What is this?</t>
        </is>
      </c>
      <c r="K15" s="111" t="inlineStr">
        <is>
          <t>Suspense</t>
        </is>
      </c>
      <c r="L15" s="27" t="n">
        <v>0</v>
      </c>
      <c r="M15" s="111" t="inlineStr">
        <is>
          <t>[DIFF]</t>
        </is>
      </c>
    </row>
    <row r="16">
      <c r="A16" s="33" t="n">
        <v>45726</v>
      </c>
      <c r="B16" s="34" t="inlineStr">
        <is>
          <t xml:space="preserve">   BY TRANSFER-NEFT*HDFC0000001*HDFCH00113163511*SUNITA GUPTA*BAT--</t>
        </is>
      </c>
      <c r="C16" s="34" t="inlineStr">
        <is>
          <t>TRANSFER FROM 3199970044309</t>
        </is>
      </c>
      <c r="D16" s="33" t="n">
        <v>45726</v>
      </c>
      <c r="E16" s="34" t="n">
        <v>0</v>
      </c>
      <c r="F16" s="34" t="n">
        <v>30000</v>
      </c>
      <c r="G16" s="34" t="n">
        <v>41354.7</v>
      </c>
      <c r="H16" s="34" t="inlineStr"/>
      <c r="I16" s="34" t="inlineStr">
        <is>
          <t>Rent Income</t>
        </is>
      </c>
      <c r="J16" s="34" t="inlineStr">
        <is>
          <t>Received - Sunita Gupta</t>
        </is>
      </c>
      <c r="K16" s="34" t="inlineStr">
        <is>
          <t>Sunita Gupta</t>
        </is>
      </c>
      <c r="L16" s="35" t="n">
        <v>0.88</v>
      </c>
      <c r="M16" s="34" t="inlineStr">
        <is>
          <t>[DIFF]</t>
        </is>
      </c>
    </row>
    <row r="17">
      <c r="A17" s="112" t="n">
        <v>45726</v>
      </c>
      <c r="B17" s="113" t="inlineStr">
        <is>
          <t xml:space="preserve">   TO TRANSFER-INB Rent--</t>
        </is>
      </c>
      <c r="C17" s="113" t="inlineStr">
        <is>
          <t xml:space="preserve">IT00ZCPZM4               TRANSFER TO 35730790076  </t>
        </is>
      </c>
      <c r="D17" s="112" t="n">
        <v>45726</v>
      </c>
      <c r="E17" s="113" t="n">
        <v>21955</v>
      </c>
      <c r="F17" s="113" t="n">
        <v>0</v>
      </c>
      <c r="G17" s="113" t="n">
        <v>19399.7</v>
      </c>
      <c r="H17" s="113" t="inlineStr"/>
      <c r="I17" s="113" t="n">
        <v/>
      </c>
      <c r="J17" s="113" t="inlineStr">
        <is>
          <t>Rent</t>
        </is>
      </c>
      <c r="K17" s="113" t="inlineStr">
        <is>
          <t>Rent</t>
        </is>
      </c>
      <c r="L17" s="32" t="n">
        <v>0.9</v>
      </c>
      <c r="M17" s="113" t="inlineStr">
        <is>
          <t>N/A</t>
        </is>
      </c>
    </row>
    <row r="18">
      <c r="A18" s="40" t="n">
        <v>45741</v>
      </c>
      <c r="B18" s="41" t="inlineStr">
        <is>
          <t xml:space="preserve">   CREDIT INTEREST---</t>
        </is>
      </c>
      <c r="C18" s="41" t="n">
        <v/>
      </c>
      <c r="D18" s="40" t="n">
        <v>45741</v>
      </c>
      <c r="E18" s="41" t="n">
        <v>0</v>
      </c>
      <c r="F18" s="41" t="n">
        <v>151</v>
      </c>
      <c r="G18" s="41" t="n">
        <v>19550.7</v>
      </c>
      <c r="H18" s="41" t="inlineStr"/>
      <c r="I18" s="41" t="inlineStr">
        <is>
          <t>Bank Interest</t>
        </is>
      </c>
      <c r="J18" s="41" t="inlineStr">
        <is>
          <t>Bank Interest</t>
        </is>
      </c>
      <c r="K18" s="41" t="inlineStr">
        <is>
          <t>Bank Interest</t>
        </is>
      </c>
      <c r="L18" s="32" t="n">
        <v>0.9</v>
      </c>
      <c r="M18" s="41" t="inlineStr">
        <is>
          <t>[MATCH]</t>
        </is>
      </c>
    </row>
  </sheetData>
  <autoFilter ref="A5:M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3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hidden="1" width="14" customWidth="1" min="2" max="2"/>
    <col width="13" customWidth="1" min="3" max="3"/>
    <col width="13" customWidth="1" min="4" max="4"/>
    <col hidden="1" width="25" customWidth="1" min="5" max="5"/>
    <col width="32" customWidth="1" min="6" max="6"/>
    <col width="14" customWidth="1" min="7" max="7"/>
    <col width="27" customWidth="1" min="8" max="8"/>
    <col width="14" customWidth="1" min="9" max="9"/>
    <col hidden="1" width="35" customWidth="1" min="10" max="10"/>
    <col width="60" customWidth="1" min="11" max="11"/>
    <col width="23" customWidth="1" min="12" max="12"/>
    <col width="24" customWidth="1" min="13" max="13"/>
  </cols>
  <sheetData>
    <row r="1">
      <c r="B1" s="1" t="inlineStr">
        <is>
          <t>Tally Export Narration Sheet</t>
        </is>
      </c>
    </row>
    <row r="2">
      <c r="B2" s="2" t="inlineStr">
        <is>
          <t>Colour Legend of Categories:</t>
        </is>
      </c>
    </row>
    <row r="3">
      <c r="B3" s="74" t="inlineStr">
        <is>
          <t>HDFC Securities - Buy</t>
        </is>
      </c>
      <c r="C3" s="75" t="inlineStr">
        <is>
          <t>HDFC Securities - Sell</t>
        </is>
      </c>
      <c r="D3" s="76" t="inlineStr">
        <is>
          <t>Internal Transfer</t>
        </is>
      </c>
      <c r="E3" s="77" t="inlineStr">
        <is>
          <t>Depository Charges</t>
        </is>
      </c>
      <c r="F3" s="3" t="inlineStr">
        <is>
          <t>UPI - Fresh Produce</t>
        </is>
      </c>
    </row>
    <row r="4">
      <c r="B4" s="7" t="inlineStr">
        <is>
          <t>Received - Sunita Gupta</t>
        </is>
      </c>
      <c r="C4" s="4" t="inlineStr">
        <is>
          <t>UPI Payment</t>
        </is>
      </c>
      <c r="D4" s="5" t="inlineStr">
        <is>
          <t>MF Investment</t>
        </is>
      </c>
      <c r="E4" s="5" t="inlineStr">
        <is>
          <t>SIP</t>
        </is>
      </c>
      <c r="F4" s="7" t="inlineStr">
        <is>
          <t>Transfer - Sunita Gupta</t>
        </is>
      </c>
    </row>
    <row r="5">
      <c r="B5" s="11" t="inlineStr">
        <is>
          <t>Dividend Income</t>
        </is>
      </c>
      <c r="C5" s="5" t="inlineStr">
        <is>
          <t>NEFT Transfer</t>
        </is>
      </c>
      <c r="D5" s="9" t="inlineStr">
        <is>
          <t>Bank Charges</t>
        </is>
      </c>
      <c r="E5" s="6" t="inlineStr">
        <is>
          <t>Cash Withdrawal</t>
        </is>
      </c>
      <c r="F5" s="5" t="inlineStr">
        <is>
          <t>Zerodha Broking</t>
        </is>
      </c>
    </row>
    <row r="6">
      <c r="B6" s="18" t="inlineStr">
        <is>
          <t>Transfer - Archit Gupta</t>
        </is>
      </c>
      <c r="C6" s="8" t="inlineStr">
        <is>
          <t>Transfer - Ajay Gupta</t>
        </is>
      </c>
      <c r="D6" s="8" t="inlineStr">
        <is>
          <t>Received - Ajay Gupta</t>
        </is>
      </c>
      <c r="E6" s="10" t="inlineStr">
        <is>
          <t>Bank Interest</t>
        </is>
      </c>
      <c r="F6" s="13" t="inlineStr">
        <is>
          <t>Received - Rakhi Vin</t>
        </is>
      </c>
    </row>
    <row r="7">
      <c r="B7" s="12" t="inlineStr">
        <is>
          <t>UPI - Pharmacy</t>
        </is>
      </c>
      <c r="C7" s="13" t="inlineStr">
        <is>
          <t>Received - Deepika U</t>
        </is>
      </c>
      <c r="D7" s="13" t="inlineStr">
        <is>
          <t>Received - Bhutada S</t>
        </is>
      </c>
      <c r="E7" s="13" t="inlineStr">
        <is>
          <t>Received - Aditya Dh</t>
        </is>
      </c>
      <c r="F7" s="13" t="inlineStr">
        <is>
          <t>Received - Priti Muk</t>
        </is>
      </c>
    </row>
    <row r="8">
      <c r="B8" s="13" t="inlineStr">
        <is>
          <t>Received - Deepali A</t>
        </is>
      </c>
      <c r="C8" s="14" t="inlineStr">
        <is>
          <t>UPI - IRCTC</t>
        </is>
      </c>
      <c r="D8" s="78" t="inlineStr">
        <is>
          <t>Income Tax Refund</t>
        </is>
      </c>
      <c r="E8" s="15" t="inlineStr">
        <is>
          <t>UPI - Flipkart</t>
        </is>
      </c>
      <c r="F8" s="79" t="inlineStr">
        <is>
          <t>UPI - Paytm</t>
        </is>
      </c>
    </row>
    <row r="9">
      <c r="B9" s="16" t="inlineStr">
        <is>
          <t>Misc Income</t>
        </is>
      </c>
      <c r="C9" s="17" t="inlineStr">
        <is>
          <t>UPI - Meesho</t>
        </is>
      </c>
      <c r="D9" s="13" t="inlineStr">
        <is>
          <t>Received - Sharda Ar</t>
        </is>
      </c>
      <c r="E9" s="13" t="inlineStr">
        <is>
          <t>Received - Manjoosha</t>
        </is>
      </c>
      <c r="F9" s="6" t="inlineStr">
        <is>
          <t>HDFC Securities - Settlement</t>
        </is>
      </c>
    </row>
    <row r="10">
      <c r="B10" s="109" t="inlineStr">
        <is>
          <t>What is this?</t>
        </is>
      </c>
      <c r="C10" s="18" t="inlineStr">
        <is>
          <t>Received - Archit Gupta</t>
        </is>
      </c>
      <c r="D10" s="80" t="inlineStr">
        <is>
          <t>MF Redemption</t>
        </is>
      </c>
      <c r="E10" s="13" t="inlineStr">
        <is>
          <t>Received - Google In</t>
        </is>
      </c>
      <c r="F10" s="19" t="inlineStr">
        <is>
          <t>Shopping - Jewellery</t>
        </is>
      </c>
    </row>
    <row r="11">
      <c r="B11" s="81" t="inlineStr">
        <is>
          <t>Cash Deposit</t>
        </is>
      </c>
      <c r="C11" s="82" t="inlineStr">
        <is>
          <t>Transfer - Megha Gupta</t>
        </is>
      </c>
      <c r="D11" s="20" t="inlineStr">
        <is>
          <t>Rent</t>
        </is>
      </c>
      <c r="E11" s="20" t="inlineStr">
        <is>
          <t>Health Insurance</t>
        </is>
      </c>
    </row>
    <row r="13">
      <c r="A13" s="21" t="inlineStr">
        <is>
          <t>TX Date</t>
        </is>
      </c>
      <c r="B13" s="21" t="inlineStr">
        <is>
          <t>Date</t>
        </is>
      </c>
      <c r="C13" s="21" t="inlineStr">
        <is>
          <t>DR</t>
        </is>
      </c>
      <c r="D13" s="21" t="inlineStr">
        <is>
          <t>CR</t>
        </is>
      </c>
      <c r="E13" s="21" t="inlineStr">
        <is>
          <t>Beneficiary</t>
        </is>
      </c>
      <c r="F13" s="21" t="inlineStr">
        <is>
          <t>Narration</t>
        </is>
      </c>
      <c r="G13" s="21" t="inlineStr">
        <is>
          <t>Confidence</t>
        </is>
      </c>
      <c r="H13" s="21" t="inlineStr">
        <is>
          <t>Account Head</t>
        </is>
      </c>
      <c r="I13" s="21" t="inlineStr">
        <is>
          <t>Account No</t>
        </is>
      </c>
      <c r="J13" s="21" t="inlineStr">
        <is>
          <t>Kya Hai?</t>
        </is>
      </c>
      <c r="K13" s="21" t="inlineStr">
        <is>
          <t>Particulars</t>
        </is>
      </c>
      <c r="L13" s="21" t="inlineStr">
        <is>
          <t>Bank</t>
        </is>
      </c>
      <c r="M13" s="21" t="inlineStr">
        <is>
          <t>Duplicate</t>
        </is>
      </c>
    </row>
    <row r="14">
      <c r="A14" s="83" t="n">
        <v>45383</v>
      </c>
      <c r="B14" s="83" t="n">
        <v>45383</v>
      </c>
      <c r="C14" s="84" t="n">
        <v>1672</v>
      </c>
      <c r="D14" s="84" t="n">
        <v>0</v>
      </c>
      <c r="E14" s="84" t="inlineStr"/>
      <c r="F14" s="84" t="inlineStr">
        <is>
          <t>HDFC Securities - Buy</t>
        </is>
      </c>
      <c r="G14" s="32" t="n">
        <v>0.97</v>
      </c>
      <c r="H14" s="84" t="inlineStr">
        <is>
          <t>HDFC Securities</t>
        </is>
      </c>
      <c r="I14" s="84" t="inlineStr">
        <is>
          <t>HDFC 0094</t>
        </is>
      </c>
      <c r="J14" s="84" t="inlineStr">
        <is>
          <t>HSL</t>
        </is>
      </c>
      <c r="K14" s="84" t="inlineStr">
        <is>
          <t>NET PI TO HSL SEC A/C 523686-00602340029434</t>
        </is>
      </c>
      <c r="L14" s="84" t="inlineStr">
        <is>
          <t>HDFC Bank</t>
        </is>
      </c>
      <c r="M14" s="84" t="inlineStr"/>
    </row>
    <row r="15">
      <c r="A15" s="85" t="n">
        <v>45384</v>
      </c>
      <c r="B15" s="85" t="n">
        <v>45384</v>
      </c>
      <c r="C15" s="86" t="n">
        <v>0</v>
      </c>
      <c r="D15" s="86" t="n">
        <v>16753.39</v>
      </c>
      <c r="E15" s="86" t="inlineStr"/>
      <c r="F15" s="86" t="inlineStr">
        <is>
          <t>HDFC Securities - Sell</t>
        </is>
      </c>
      <c r="G15" s="32" t="n">
        <v>0.97</v>
      </c>
      <c r="H15" s="86" t="inlineStr">
        <is>
          <t>HDFC Securities</t>
        </is>
      </c>
      <c r="I15" s="86" t="inlineStr">
        <is>
          <t>HDFC 0094</t>
        </is>
      </c>
      <c r="J15" s="86" t="inlineStr">
        <is>
          <t>HSL</t>
        </is>
      </c>
      <c r="K15" s="86" t="inlineStr">
        <is>
          <t>NET PO FROM HSL A/C 523686-50200085415108</t>
        </is>
      </c>
      <c r="L15" s="86" t="inlineStr">
        <is>
          <t>HDFC Bank</t>
        </is>
      </c>
      <c r="M15" s="86" t="inlineStr"/>
    </row>
    <row r="16">
      <c r="A16" s="85" t="n">
        <v>45384</v>
      </c>
      <c r="B16" s="85" t="n">
        <v>45384</v>
      </c>
      <c r="C16" s="86" t="n">
        <v>0</v>
      </c>
      <c r="D16" s="86" t="n">
        <v>97641.5</v>
      </c>
      <c r="E16" s="86" t="inlineStr"/>
      <c r="F16" s="86" t="inlineStr">
        <is>
          <t>HDFC Securities - Sell</t>
        </is>
      </c>
      <c r="G16" s="32" t="n">
        <v>0.97</v>
      </c>
      <c r="H16" s="86" t="inlineStr">
        <is>
          <t>HDFC Securities</t>
        </is>
      </c>
      <c r="I16" s="86" t="inlineStr">
        <is>
          <t>HDFC 0094</t>
        </is>
      </c>
      <c r="J16" s="86" t="inlineStr">
        <is>
          <t>HSL</t>
        </is>
      </c>
      <c r="K16" s="86" t="inlineStr">
        <is>
          <t>NET PO FROM HSL A/C 523686-50200085415108</t>
        </is>
      </c>
      <c r="L16" s="86" t="inlineStr">
        <is>
          <t>HDFC Bank</t>
        </is>
      </c>
      <c r="M16" s="86" t="inlineStr"/>
    </row>
    <row r="17">
      <c r="A17" s="83" t="n">
        <v>45384</v>
      </c>
      <c r="B17" s="83" t="n">
        <v>45384</v>
      </c>
      <c r="C17" s="84" t="n">
        <v>418</v>
      </c>
      <c r="D17" s="84" t="n">
        <v>0</v>
      </c>
      <c r="E17" s="84" t="inlineStr"/>
      <c r="F17" s="84" t="inlineStr">
        <is>
          <t>HDFC Securities - Buy</t>
        </is>
      </c>
      <c r="G17" s="32" t="n">
        <v>0.97</v>
      </c>
      <c r="H17" s="84" t="inlineStr">
        <is>
          <t>HDFC Securities</t>
        </is>
      </c>
      <c r="I17" s="84" t="inlineStr">
        <is>
          <t>HDFC 0094</t>
        </is>
      </c>
      <c r="J17" s="84" t="inlineStr">
        <is>
          <t>HSL</t>
        </is>
      </c>
      <c r="K17" s="84" t="inlineStr">
        <is>
          <t>NET PI TO HSL SEC A/C 523686-00602340029434</t>
        </is>
      </c>
      <c r="L17" s="84" t="inlineStr">
        <is>
          <t>HDFC Bank</t>
        </is>
      </c>
      <c r="M17" s="84" t="inlineStr"/>
    </row>
    <row r="18">
      <c r="A18" s="83" t="n">
        <v>45384</v>
      </c>
      <c r="B18" s="83" t="n">
        <v>45384</v>
      </c>
      <c r="C18" s="84" t="n">
        <v>103098.99</v>
      </c>
      <c r="D18" s="84" t="n">
        <v>0</v>
      </c>
      <c r="E18" s="84" t="inlineStr"/>
      <c r="F18" s="84" t="inlineStr">
        <is>
          <t>HDFC Securities - Buy</t>
        </is>
      </c>
      <c r="G18" s="32" t="n">
        <v>0.97</v>
      </c>
      <c r="H18" s="84" t="inlineStr">
        <is>
          <t>HDFC Securities</t>
        </is>
      </c>
      <c r="I18" s="84" t="inlineStr">
        <is>
          <t>HDFC 0094</t>
        </is>
      </c>
      <c r="J18" s="84" t="inlineStr">
        <is>
          <t>HSL</t>
        </is>
      </c>
      <c r="K18" s="84" t="inlineStr">
        <is>
          <t>NET PI TO HSL SEC A/C 523686-00602340029434</t>
        </is>
      </c>
      <c r="L18" s="84" t="inlineStr">
        <is>
          <t>HDFC Bank</t>
        </is>
      </c>
      <c r="M18" s="84" t="inlineStr"/>
    </row>
    <row r="19">
      <c r="A19" s="85" t="n">
        <v>45385</v>
      </c>
      <c r="B19" s="85" t="n">
        <v>45385</v>
      </c>
      <c r="C19" s="86" t="n">
        <v>0</v>
      </c>
      <c r="D19" s="86" t="n">
        <v>1514.95</v>
      </c>
      <c r="E19" s="86" t="inlineStr"/>
      <c r="F19" s="86" t="inlineStr">
        <is>
          <t>HDFC Securities - Sell</t>
        </is>
      </c>
      <c r="G19" s="32" t="n">
        <v>0.97</v>
      </c>
      <c r="H19" s="86" t="inlineStr">
        <is>
          <t>HDFC Securities</t>
        </is>
      </c>
      <c r="I19" s="86" t="inlineStr">
        <is>
          <t>HDFC 0094</t>
        </is>
      </c>
      <c r="J19" s="86" t="inlineStr">
        <is>
          <t>HSL</t>
        </is>
      </c>
      <c r="K19" s="86" t="inlineStr">
        <is>
          <t>NET PO FROM HSL A/C 523686-50200085415108</t>
        </is>
      </c>
      <c r="L19" s="86" t="inlineStr">
        <is>
          <t>HDFC Bank</t>
        </is>
      </c>
      <c r="M19" s="86" t="inlineStr"/>
    </row>
    <row r="20">
      <c r="A20" s="83" t="n">
        <v>45385</v>
      </c>
      <c r="B20" s="83" t="n">
        <v>45385</v>
      </c>
      <c r="C20" s="84" t="n">
        <v>379.22</v>
      </c>
      <c r="D20" s="84" t="n">
        <v>0</v>
      </c>
      <c r="E20" s="84" t="inlineStr"/>
      <c r="F20" s="84" t="inlineStr">
        <is>
          <t>HDFC Securities - Buy</t>
        </is>
      </c>
      <c r="G20" s="32" t="n">
        <v>0.97</v>
      </c>
      <c r="H20" s="84" t="inlineStr">
        <is>
          <t>HDFC Securities</t>
        </is>
      </c>
      <c r="I20" s="84" t="inlineStr">
        <is>
          <t>HDFC 0094</t>
        </is>
      </c>
      <c r="J20" s="84" t="inlineStr">
        <is>
          <t>HSL</t>
        </is>
      </c>
      <c r="K20" s="84" t="inlineStr">
        <is>
          <t>NET PI TO HSL SEC A/C 523686-00602340029434</t>
        </is>
      </c>
      <c r="L20" s="84" t="inlineStr">
        <is>
          <t>HDFC Bank</t>
        </is>
      </c>
      <c r="M20" s="84" t="inlineStr"/>
    </row>
    <row r="21">
      <c r="A21" s="85" t="n">
        <v>45386</v>
      </c>
      <c r="B21" s="85" t="n">
        <v>45386</v>
      </c>
      <c r="C21" s="86" t="n">
        <v>0</v>
      </c>
      <c r="D21" s="86" t="n">
        <v>6701.42</v>
      </c>
      <c r="E21" s="86" t="inlineStr"/>
      <c r="F21" s="86" t="inlineStr">
        <is>
          <t>HDFC Securities - Sell</t>
        </is>
      </c>
      <c r="G21" s="32" t="n">
        <v>0.97</v>
      </c>
      <c r="H21" s="86" t="inlineStr">
        <is>
          <t>HDFC Securities</t>
        </is>
      </c>
      <c r="I21" s="86" t="inlineStr">
        <is>
          <t>HDFC 0094</t>
        </is>
      </c>
      <c r="J21" s="86" t="inlineStr">
        <is>
          <t>HSL</t>
        </is>
      </c>
      <c r="K21" s="86" t="inlineStr">
        <is>
          <t>NET PO FROM HSL A/C 523686-50200085415108</t>
        </is>
      </c>
      <c r="L21" s="86" t="inlineStr">
        <is>
          <t>HDFC Bank</t>
        </is>
      </c>
      <c r="M21" s="86" t="inlineStr"/>
    </row>
    <row r="22">
      <c r="A22" s="114" t="n">
        <v>45386</v>
      </c>
      <c r="B22" s="114" t="n">
        <v>45386</v>
      </c>
      <c r="C22" s="115" t="n">
        <v>0</v>
      </c>
      <c r="D22" s="115" t="n">
        <v>30000</v>
      </c>
      <c r="E22" s="115" t="inlineStr"/>
      <c r="F22" s="115" t="inlineStr">
        <is>
          <t>Internal Transfer</t>
        </is>
      </c>
      <c r="G22" s="53" t="n">
        <v>0.8</v>
      </c>
      <c r="H22" s="115" t="inlineStr">
        <is>
          <t>Transfer</t>
        </is>
      </c>
      <c r="I22" s="115" t="inlineStr">
        <is>
          <t>HDFC 0094</t>
        </is>
      </c>
      <c r="J22" s="115" t="inlineStr">
        <is>
          <t>Transfer from Aayush</t>
        </is>
      </c>
      <c r="K22" s="115" t="inlineStr">
        <is>
          <t>50100128155413-TPT-TO MUMMY-AAYUSH KUMAR GUPTA</t>
        </is>
      </c>
      <c r="L22" s="115" t="inlineStr">
        <is>
          <t>HDFC Bank</t>
        </is>
      </c>
      <c r="M22" s="115" t="inlineStr"/>
    </row>
    <row r="23">
      <c r="A23" s="83" t="n">
        <v>45386</v>
      </c>
      <c r="B23" s="83" t="n">
        <v>45386</v>
      </c>
      <c r="C23" s="84" t="n">
        <v>425.81</v>
      </c>
      <c r="D23" s="84" t="n">
        <v>0</v>
      </c>
      <c r="E23" s="84" t="inlineStr"/>
      <c r="F23" s="84" t="inlineStr">
        <is>
          <t>HDFC Securities - Buy</t>
        </is>
      </c>
      <c r="G23" s="32" t="n">
        <v>0.97</v>
      </c>
      <c r="H23" s="84" t="inlineStr">
        <is>
          <t>HDFC Securities</t>
        </is>
      </c>
      <c r="I23" s="84" t="inlineStr">
        <is>
          <t>HDFC 0094</t>
        </is>
      </c>
      <c r="J23" s="84" t="inlineStr">
        <is>
          <t>HSL</t>
        </is>
      </c>
      <c r="K23" s="84" t="inlineStr">
        <is>
          <t>NET PI TO HSL SEC A/C 523686-00602340029434</t>
        </is>
      </c>
      <c r="L23" s="84" t="inlineStr">
        <is>
          <t>HDFC Bank</t>
        </is>
      </c>
      <c r="M23" s="84" t="inlineStr"/>
    </row>
    <row r="24">
      <c r="A24" s="83" t="n">
        <v>45386</v>
      </c>
      <c r="B24" s="83" t="n">
        <v>45386</v>
      </c>
      <c r="C24" s="84" t="n">
        <v>72828.22</v>
      </c>
      <c r="D24" s="84" t="n">
        <v>0</v>
      </c>
      <c r="E24" s="84" t="inlineStr"/>
      <c r="F24" s="84" t="inlineStr">
        <is>
          <t>HDFC Securities - Buy</t>
        </is>
      </c>
      <c r="G24" s="32" t="n">
        <v>0.97</v>
      </c>
      <c r="H24" s="84" t="inlineStr">
        <is>
          <t>HDFC Securities</t>
        </is>
      </c>
      <c r="I24" s="84" t="inlineStr">
        <is>
          <t>HDFC 0094</t>
        </is>
      </c>
      <c r="J24" s="84" t="inlineStr">
        <is>
          <t>HSL</t>
        </is>
      </c>
      <c r="K24" s="84" t="inlineStr">
        <is>
          <t>NET PI TO HSL SEC A/C 523686-00602340029434</t>
        </is>
      </c>
      <c r="L24" s="84" t="inlineStr">
        <is>
          <t>HDFC Bank</t>
        </is>
      </c>
      <c r="M24" s="84" t="inlineStr"/>
    </row>
    <row r="25">
      <c r="A25" s="83" t="n">
        <v>45387</v>
      </c>
      <c r="B25" s="83" t="n">
        <v>45387</v>
      </c>
      <c r="C25" s="84" t="n">
        <v>402.46</v>
      </c>
      <c r="D25" s="84" t="n">
        <v>0</v>
      </c>
      <c r="E25" s="84" t="inlineStr"/>
      <c r="F25" s="84" t="inlineStr">
        <is>
          <t>HDFC Securities - Buy</t>
        </is>
      </c>
      <c r="G25" s="32" t="n">
        <v>0.97</v>
      </c>
      <c r="H25" s="84" t="inlineStr">
        <is>
          <t>HDFC Securities</t>
        </is>
      </c>
      <c r="I25" s="84" t="inlineStr">
        <is>
          <t>HDFC 0094</t>
        </is>
      </c>
      <c r="J25" s="84" t="inlineStr">
        <is>
          <t>HSL</t>
        </is>
      </c>
      <c r="K25" s="84" t="inlineStr">
        <is>
          <t>NET PI TO HSL SEC A/C 523686-00602340029434</t>
        </is>
      </c>
      <c r="L25" s="84" t="inlineStr">
        <is>
          <t>HDFC Bank</t>
        </is>
      </c>
      <c r="M25" s="84" t="inlineStr"/>
    </row>
    <row r="26">
      <c r="A26" s="89" t="n">
        <v>45387</v>
      </c>
      <c r="B26" s="89" t="n">
        <v>45387</v>
      </c>
      <c r="C26" s="90" t="n">
        <v>1270.62</v>
      </c>
      <c r="D26" s="90" t="n">
        <v>0</v>
      </c>
      <c r="E26" s="90" t="inlineStr"/>
      <c r="F26" s="90" t="inlineStr">
        <is>
          <t>Depository Charges</t>
        </is>
      </c>
      <c r="G26" s="32" t="n">
        <v>0.93</v>
      </c>
      <c r="H26" s="90" t="inlineStr">
        <is>
          <t>Depository Charges</t>
        </is>
      </c>
      <c r="I26" s="90" t="inlineStr">
        <is>
          <t>HDFC 0094</t>
        </is>
      </c>
      <c r="J26" s="90" t="inlineStr">
        <is>
          <t>Depository Charges</t>
        </is>
      </c>
      <c r="K26" s="90" t="inlineStr">
        <is>
          <t>DEPOSITORY CHARGES MAR24 - 41060499</t>
        </is>
      </c>
      <c r="L26" s="90" t="inlineStr">
        <is>
          <t>HDFC Bank</t>
        </is>
      </c>
      <c r="M26" s="90" t="inlineStr"/>
    </row>
    <row r="27">
      <c r="A27" s="85" t="n">
        <v>45387</v>
      </c>
      <c r="B27" s="85" t="n">
        <v>45387</v>
      </c>
      <c r="C27" s="86" t="n">
        <v>0</v>
      </c>
      <c r="D27" s="86" t="n">
        <v>42585.27</v>
      </c>
      <c r="E27" s="86" t="inlineStr"/>
      <c r="F27" s="86" t="inlineStr">
        <is>
          <t>HDFC Securities - Sell</t>
        </is>
      </c>
      <c r="G27" s="32" t="n">
        <v>0.97</v>
      </c>
      <c r="H27" s="86" t="inlineStr">
        <is>
          <t>HDFC Securities</t>
        </is>
      </c>
      <c r="I27" s="86" t="inlineStr">
        <is>
          <t>HDFC 0094</t>
        </is>
      </c>
      <c r="J27" s="86" t="inlineStr">
        <is>
          <t>HSL</t>
        </is>
      </c>
      <c r="K27" s="86" t="inlineStr">
        <is>
          <t>NET PO FROM HSL A/C 523686-50200085415108</t>
        </is>
      </c>
      <c r="L27" s="86" t="inlineStr">
        <is>
          <t>HDFC Bank</t>
        </is>
      </c>
      <c r="M27" s="86" t="inlineStr"/>
    </row>
    <row r="28">
      <c r="A28" s="51" t="n">
        <v>45388</v>
      </c>
      <c r="B28" s="51" t="n">
        <v>45388</v>
      </c>
      <c r="C28" s="52" t="n">
        <v>30</v>
      </c>
      <c r="D28" s="52" t="n">
        <v>0</v>
      </c>
      <c r="E28" s="52" t="inlineStr"/>
      <c r="F28" s="52" t="inlineStr">
        <is>
          <t>UPI - Fresh Produce</t>
        </is>
      </c>
      <c r="G28" s="53" t="n">
        <v>0.82</v>
      </c>
      <c r="H28" s="52" t="inlineStr">
        <is>
          <t>Groceries</t>
        </is>
      </c>
      <c r="I28" s="52" t="inlineStr">
        <is>
          <t>AXIS 7042</t>
        </is>
      </c>
      <c r="J28" s="52" t="inlineStr">
        <is>
          <t>Household Expenses</t>
        </is>
      </c>
      <c r="K28" s="52" t="inlineStr">
        <is>
          <t>UPI/P2M/409717050341/SHIVBHOLA VEGETABLE E/veg/Yes Bank Ltd</t>
        </is>
      </c>
      <c r="L28" s="52" t="inlineStr">
        <is>
          <t>Axis Bank</t>
        </is>
      </c>
      <c r="M28" s="52" t="inlineStr"/>
    </row>
    <row r="29">
      <c r="A29" s="89" t="n">
        <v>45388</v>
      </c>
      <c r="B29" s="89" t="n">
        <v>45388</v>
      </c>
      <c r="C29" s="90" t="n">
        <v>239.78</v>
      </c>
      <c r="D29" s="90" t="n">
        <v>0</v>
      </c>
      <c r="E29" s="90" t="inlineStr"/>
      <c r="F29" s="90" t="inlineStr">
        <is>
          <t>Depository Charges</t>
        </is>
      </c>
      <c r="G29" s="32" t="n">
        <v>0.93</v>
      </c>
      <c r="H29" s="90" t="inlineStr">
        <is>
          <t>Depository Charges</t>
        </is>
      </c>
      <c r="I29" s="90" t="inlineStr">
        <is>
          <t>HDFC 0094</t>
        </is>
      </c>
      <c r="J29" s="90" t="inlineStr">
        <is>
          <t>Depository Charges</t>
        </is>
      </c>
      <c r="K29" s="90" t="inlineStr">
        <is>
          <t>DEPOSITORY CHARGES MAR24 - 41060499</t>
        </is>
      </c>
      <c r="L29" s="90" t="inlineStr">
        <is>
          <t>HDFC Bank</t>
        </is>
      </c>
      <c r="M29" s="90" t="inlineStr"/>
    </row>
    <row r="30">
      <c r="A30" s="85" t="n">
        <v>45390</v>
      </c>
      <c r="B30" s="85" t="n">
        <v>45390</v>
      </c>
      <c r="C30" s="86" t="n">
        <v>0</v>
      </c>
      <c r="D30" s="86" t="n">
        <v>6712.4</v>
      </c>
      <c r="E30" s="86" t="inlineStr"/>
      <c r="F30" s="86" t="inlineStr">
        <is>
          <t>HDFC Securities - Sell</t>
        </is>
      </c>
      <c r="G30" s="32" t="n">
        <v>0.97</v>
      </c>
      <c r="H30" s="86" t="inlineStr">
        <is>
          <t>HDFC Securities</t>
        </is>
      </c>
      <c r="I30" s="86" t="inlineStr">
        <is>
          <t>HDFC 0094</t>
        </is>
      </c>
      <c r="J30" s="86" t="inlineStr">
        <is>
          <t>HSL</t>
        </is>
      </c>
      <c r="K30" s="86" t="inlineStr">
        <is>
          <t>NET PO FROM HSL A/C 523686-50200085415108</t>
        </is>
      </c>
      <c r="L30" s="86" t="inlineStr">
        <is>
          <t>HDFC Bank</t>
        </is>
      </c>
      <c r="M30" s="86" t="inlineStr"/>
    </row>
    <row r="31">
      <c r="A31" s="83" t="n">
        <v>45390</v>
      </c>
      <c r="B31" s="83" t="n">
        <v>45390</v>
      </c>
      <c r="C31" s="84" t="n">
        <v>1477.11</v>
      </c>
      <c r="D31" s="84" t="n">
        <v>0</v>
      </c>
      <c r="E31" s="84" t="inlineStr"/>
      <c r="F31" s="84" t="inlineStr">
        <is>
          <t>HDFC Securities - Buy</t>
        </is>
      </c>
      <c r="G31" s="32" t="n">
        <v>0.97</v>
      </c>
      <c r="H31" s="84" t="inlineStr">
        <is>
          <t>HDFC Securities</t>
        </is>
      </c>
      <c r="I31" s="84" t="inlineStr">
        <is>
          <t>HDFC 0094</t>
        </is>
      </c>
      <c r="J31" s="84" t="inlineStr">
        <is>
          <t>HSL</t>
        </is>
      </c>
      <c r="K31" s="84" t="inlineStr">
        <is>
          <t>NET PI TO HSL SEC A/C 523686-00602340029434</t>
        </is>
      </c>
      <c r="L31" s="84" t="inlineStr">
        <is>
          <t>HDFC Bank</t>
        </is>
      </c>
      <c r="M31" s="84" t="inlineStr"/>
    </row>
    <row r="32">
      <c r="A32" s="83" t="n">
        <v>45390</v>
      </c>
      <c r="B32" s="83" t="n">
        <v>45390</v>
      </c>
      <c r="C32" s="84" t="n">
        <v>47223.12</v>
      </c>
      <c r="D32" s="84" t="n">
        <v>0</v>
      </c>
      <c r="E32" s="84" t="inlineStr"/>
      <c r="F32" s="84" t="inlineStr">
        <is>
          <t>HDFC Securities - Buy</t>
        </is>
      </c>
      <c r="G32" s="32" t="n">
        <v>0.97</v>
      </c>
      <c r="H32" s="84" t="inlineStr">
        <is>
          <t>HDFC Securities</t>
        </is>
      </c>
      <c r="I32" s="84" t="inlineStr">
        <is>
          <t>HDFC 0094</t>
        </is>
      </c>
      <c r="J32" s="84" t="inlineStr">
        <is>
          <t>HSL</t>
        </is>
      </c>
      <c r="K32" s="84" t="inlineStr">
        <is>
          <t>NET PI TO HSL SEC A/C 523686-00602340029434</t>
        </is>
      </c>
      <c r="L32" s="84" t="inlineStr">
        <is>
          <t>HDFC Bank</t>
        </is>
      </c>
      <c r="M32" s="84" t="inlineStr"/>
    </row>
    <row r="33">
      <c r="A33" s="116" t="n">
        <v>45390</v>
      </c>
      <c r="B33" s="116" t="n">
        <v>45390</v>
      </c>
      <c r="C33" s="117" t="n">
        <v>0</v>
      </c>
      <c r="D33" s="117" t="n">
        <v>32137</v>
      </c>
      <c r="E33" s="117" t="inlineStr"/>
      <c r="F33" s="117" t="inlineStr">
        <is>
          <t>Received - Sunita Gupta</t>
        </is>
      </c>
      <c r="G33" s="32" t="n">
        <v>0.88</v>
      </c>
      <c r="H33" s="117" t="inlineStr">
        <is>
          <t>Sunita Gupta</t>
        </is>
      </c>
      <c r="I33" s="117" t="inlineStr">
        <is>
          <t>HDFC 0094</t>
        </is>
      </c>
      <c r="J33" s="117" t="inlineStr">
        <is>
          <t>Rental Income</t>
        </is>
      </c>
      <c r="K33" s="117" t="inlineStr">
        <is>
          <t>NEFT CR-SBIN0004266-SBI GENERAL INSURANCE CO LTDSBI GEN-SUNITA GUPTA 0000000002717756-SBIN424099209370</t>
        </is>
      </c>
      <c r="L33" s="117" t="inlineStr">
        <is>
          <t>HDFC Bank</t>
        </is>
      </c>
      <c r="M33" s="117" t="inlineStr"/>
    </row>
    <row r="34">
      <c r="A34" s="85" t="n">
        <v>45390</v>
      </c>
      <c r="B34" s="85" t="n">
        <v>45390</v>
      </c>
      <c r="C34" s="86" t="n">
        <v>0</v>
      </c>
      <c r="D34" s="86" t="n">
        <v>25926.77</v>
      </c>
      <c r="E34" s="86" t="inlineStr"/>
      <c r="F34" s="86" t="inlineStr">
        <is>
          <t>HDFC Securities - Sell</t>
        </is>
      </c>
      <c r="G34" s="32" t="n">
        <v>0.97</v>
      </c>
      <c r="H34" s="86" t="inlineStr">
        <is>
          <t>HDFC Securities</t>
        </is>
      </c>
      <c r="I34" s="86" t="inlineStr">
        <is>
          <t>HDFC 0094</t>
        </is>
      </c>
      <c r="J34" s="86" t="inlineStr">
        <is>
          <t>HSL</t>
        </is>
      </c>
      <c r="K34" s="86" t="inlineStr">
        <is>
          <t>NET PO FROM HSL A/C 523686-50200085415108</t>
        </is>
      </c>
      <c r="L34" s="86" t="inlineStr">
        <is>
          <t>HDFC Bank</t>
        </is>
      </c>
      <c r="M34" s="86" t="inlineStr"/>
    </row>
    <row r="35">
      <c r="A35" s="83" t="n">
        <v>45391</v>
      </c>
      <c r="B35" s="83" t="n">
        <v>45391</v>
      </c>
      <c r="C35" s="84" t="n">
        <v>22012.34</v>
      </c>
      <c r="D35" s="84" t="n">
        <v>0</v>
      </c>
      <c r="E35" s="84" t="inlineStr"/>
      <c r="F35" s="84" t="inlineStr">
        <is>
          <t>HDFC Securities - Buy</t>
        </is>
      </c>
      <c r="G35" s="32" t="n">
        <v>0.97</v>
      </c>
      <c r="H35" s="84" t="inlineStr">
        <is>
          <t>HDFC Securities</t>
        </is>
      </c>
      <c r="I35" s="84" t="inlineStr">
        <is>
          <t>HDFC 0094</t>
        </is>
      </c>
      <c r="J35" s="84" t="inlineStr">
        <is>
          <t>HSL</t>
        </is>
      </c>
      <c r="K35" s="84" t="inlineStr">
        <is>
          <t>NET PI TO HSL SEC A/C 523686-00602340029434</t>
        </is>
      </c>
      <c r="L35" s="84" t="inlineStr">
        <is>
          <t>HDFC Bank</t>
        </is>
      </c>
      <c r="M35" s="84" t="inlineStr"/>
    </row>
    <row r="36">
      <c r="A36" s="85" t="n">
        <v>45392</v>
      </c>
      <c r="B36" s="85" t="n">
        <v>45392</v>
      </c>
      <c r="C36" s="86" t="n">
        <v>0</v>
      </c>
      <c r="D36" s="86" t="n">
        <v>11463.88</v>
      </c>
      <c r="E36" s="86" t="inlineStr"/>
      <c r="F36" s="86" t="inlineStr">
        <is>
          <t>HDFC Securities - Sell</t>
        </is>
      </c>
      <c r="G36" s="32" t="n">
        <v>0.97</v>
      </c>
      <c r="H36" s="86" t="inlineStr">
        <is>
          <t>HDFC Securities</t>
        </is>
      </c>
      <c r="I36" s="86" t="inlineStr">
        <is>
          <t>HDFC 0094</t>
        </is>
      </c>
      <c r="J36" s="86" t="inlineStr">
        <is>
          <t>HSL</t>
        </is>
      </c>
      <c r="K36" s="86" t="inlineStr">
        <is>
          <t>NET PO FROM HSL A/C 523686-50200085415108</t>
        </is>
      </c>
      <c r="L36" s="86" t="inlineStr">
        <is>
          <t>HDFC Bank</t>
        </is>
      </c>
      <c r="M36" s="86" t="inlineStr"/>
    </row>
    <row r="37">
      <c r="A37" s="83" t="n">
        <v>45392</v>
      </c>
      <c r="B37" s="83" t="n">
        <v>45392</v>
      </c>
      <c r="C37" s="84" t="n">
        <v>437.52</v>
      </c>
      <c r="D37" s="84" t="n">
        <v>0</v>
      </c>
      <c r="E37" s="84" t="inlineStr"/>
      <c r="F37" s="84" t="inlineStr">
        <is>
          <t>HDFC Securities - Buy</t>
        </is>
      </c>
      <c r="G37" s="32" t="n">
        <v>0.97</v>
      </c>
      <c r="H37" s="84" t="inlineStr">
        <is>
          <t>HDFC Securities</t>
        </is>
      </c>
      <c r="I37" s="84" t="inlineStr">
        <is>
          <t>HDFC 0094</t>
        </is>
      </c>
      <c r="J37" s="84" t="inlineStr">
        <is>
          <t>HSL</t>
        </is>
      </c>
      <c r="K37" s="84" t="inlineStr">
        <is>
          <t>NET PI TO HSL SEC A/C 523686-00602340029434</t>
        </is>
      </c>
      <c r="L37" s="84" t="inlineStr">
        <is>
          <t>HDFC Bank</t>
        </is>
      </c>
      <c r="M37" s="84" t="inlineStr"/>
    </row>
    <row r="38">
      <c r="A38" s="83" t="n">
        <v>45392</v>
      </c>
      <c r="B38" s="83" t="n">
        <v>45392</v>
      </c>
      <c r="C38" s="84" t="n">
        <v>4688.18</v>
      </c>
      <c r="D38" s="84" t="n">
        <v>0</v>
      </c>
      <c r="E38" s="84" t="inlineStr"/>
      <c r="F38" s="84" t="inlineStr">
        <is>
          <t>HDFC Securities - Buy</t>
        </is>
      </c>
      <c r="G38" s="32" t="n">
        <v>0.97</v>
      </c>
      <c r="H38" s="84" t="inlineStr">
        <is>
          <t>HDFC Securities</t>
        </is>
      </c>
      <c r="I38" s="84" t="inlineStr">
        <is>
          <t>HDFC 0094</t>
        </is>
      </c>
      <c r="J38" s="84" t="inlineStr">
        <is>
          <t>HSL</t>
        </is>
      </c>
      <c r="K38" s="84" t="inlineStr">
        <is>
          <t>NET PI TO HSL SEC A/C 523686-00602340029434</t>
        </is>
      </c>
      <c r="L38" s="84" t="inlineStr">
        <is>
          <t>HDFC Bank</t>
        </is>
      </c>
      <c r="M38" s="84" t="inlineStr"/>
    </row>
    <row r="39">
      <c r="A39" s="83" t="n">
        <v>45394</v>
      </c>
      <c r="B39" s="83" t="n">
        <v>45394</v>
      </c>
      <c r="C39" s="84" t="n">
        <v>939.76</v>
      </c>
      <c r="D39" s="84" t="n">
        <v>0</v>
      </c>
      <c r="E39" s="84" t="inlineStr"/>
      <c r="F39" s="84" t="inlineStr">
        <is>
          <t>HDFC Securities - Buy</t>
        </is>
      </c>
      <c r="G39" s="32" t="n">
        <v>0.97</v>
      </c>
      <c r="H39" s="84" t="inlineStr">
        <is>
          <t>HDFC Securities</t>
        </is>
      </c>
      <c r="I39" s="84" t="inlineStr">
        <is>
          <t>HDFC 0094</t>
        </is>
      </c>
      <c r="J39" s="84" t="inlineStr">
        <is>
          <t>HSL</t>
        </is>
      </c>
      <c r="K39" s="84" t="inlineStr">
        <is>
          <t>NET PI TO HSL SEC A/C 523686-00602340029434</t>
        </is>
      </c>
      <c r="L39" s="84" t="inlineStr">
        <is>
          <t>HDFC Bank</t>
        </is>
      </c>
      <c r="M39" s="84" t="inlineStr"/>
    </row>
    <row r="40">
      <c r="A40" s="85" t="n">
        <v>45394</v>
      </c>
      <c r="B40" s="85" t="n">
        <v>45394</v>
      </c>
      <c r="C40" s="86" t="n">
        <v>0</v>
      </c>
      <c r="D40" s="86" t="n">
        <v>4970.09</v>
      </c>
      <c r="E40" s="86" t="inlineStr"/>
      <c r="F40" s="86" t="inlineStr">
        <is>
          <t>HDFC Securities - Sell</t>
        </is>
      </c>
      <c r="G40" s="32" t="n">
        <v>0.97</v>
      </c>
      <c r="H40" s="86" t="inlineStr">
        <is>
          <t>HDFC Securities</t>
        </is>
      </c>
      <c r="I40" s="86" t="inlineStr">
        <is>
          <t>HDFC 0094</t>
        </is>
      </c>
      <c r="J40" s="86" t="inlineStr">
        <is>
          <t>HSL</t>
        </is>
      </c>
      <c r="K40" s="86" t="inlineStr">
        <is>
          <t>NET PO FROM HSL A/C 523686-50200085415108</t>
        </is>
      </c>
      <c r="L40" s="86" t="inlineStr">
        <is>
          <t>HDFC Bank</t>
        </is>
      </c>
      <c r="M40" s="86" t="inlineStr"/>
    </row>
    <row r="41">
      <c r="A41" s="85" t="n">
        <v>45394</v>
      </c>
      <c r="B41" s="85" t="n">
        <v>45394</v>
      </c>
      <c r="C41" s="86" t="n">
        <v>0</v>
      </c>
      <c r="D41" s="86" t="n">
        <v>30503.75</v>
      </c>
      <c r="E41" s="86" t="inlineStr"/>
      <c r="F41" s="86" t="inlineStr">
        <is>
          <t>HDFC Securities - Sell</t>
        </is>
      </c>
      <c r="G41" s="32" t="n">
        <v>0.97</v>
      </c>
      <c r="H41" s="86" t="inlineStr">
        <is>
          <t>HDFC Securities</t>
        </is>
      </c>
      <c r="I41" s="86" t="inlineStr">
        <is>
          <t>HDFC 0094</t>
        </is>
      </c>
      <c r="J41" s="86" t="inlineStr">
        <is>
          <t>HSL</t>
        </is>
      </c>
      <c r="K41" s="86" t="inlineStr">
        <is>
          <t>NET PO FROM HSL A/C 523686-50200085415108</t>
        </is>
      </c>
      <c r="L41" s="86" t="inlineStr">
        <is>
          <t>HDFC Bank</t>
        </is>
      </c>
      <c r="M41" s="86" t="inlineStr"/>
    </row>
    <row r="42">
      <c r="A42" s="48" t="n">
        <v>45395</v>
      </c>
      <c r="B42" s="48" t="n">
        <v>45395</v>
      </c>
      <c r="C42" s="49" t="n">
        <v>1000</v>
      </c>
      <c r="D42" s="49" t="n">
        <v>0</v>
      </c>
      <c r="E42" s="49" t="inlineStr">
        <is>
          <t>Deepika Umesh Mundada</t>
        </is>
      </c>
      <c r="F42" s="49" t="inlineStr">
        <is>
          <t>UPI Payment</t>
        </is>
      </c>
      <c r="G42" s="50" t="n">
        <v>0.55</v>
      </c>
      <c r="H42" s="49" t="inlineStr">
        <is>
          <t>Personal</t>
        </is>
      </c>
      <c r="I42" s="49" t="inlineStr">
        <is>
          <t>AXIS 7042</t>
        </is>
      </c>
      <c r="J42" s="49" t="inlineStr">
        <is>
          <t>Kitty</t>
        </is>
      </c>
      <c r="K42" s="49" t="inlineStr">
        <is>
          <t>UPI/P2A/447025620282/DEEPIKA UMESH MUNDADA/kitty/State Bank Of India</t>
        </is>
      </c>
      <c r="L42" s="49" t="inlineStr">
        <is>
          <t>Axis Bank</t>
        </is>
      </c>
      <c r="M42" s="49" t="inlineStr"/>
    </row>
    <row r="43">
      <c r="A43" s="85" t="n">
        <v>45397</v>
      </c>
      <c r="B43" s="85" t="n">
        <v>45397</v>
      </c>
      <c r="C43" s="86" t="n">
        <v>0</v>
      </c>
      <c r="D43" s="86" t="n">
        <v>29255.99</v>
      </c>
      <c r="E43" s="86" t="inlineStr"/>
      <c r="F43" s="86" t="inlineStr">
        <is>
          <t>HDFC Securities - Sell</t>
        </is>
      </c>
      <c r="G43" s="32" t="n">
        <v>0.97</v>
      </c>
      <c r="H43" s="86" t="inlineStr">
        <is>
          <t>HDFC Securities</t>
        </is>
      </c>
      <c r="I43" s="86" t="inlineStr">
        <is>
          <t>HDFC 0094</t>
        </is>
      </c>
      <c r="J43" s="86" t="inlineStr">
        <is>
          <t>HSL</t>
        </is>
      </c>
      <c r="K43" s="86" t="inlineStr">
        <is>
          <t>NET PO FROM HSL A/C 523686-50200085415108</t>
        </is>
      </c>
      <c r="L43" s="86" t="inlineStr">
        <is>
          <t>HDFC Bank</t>
        </is>
      </c>
      <c r="M43" s="86" t="inlineStr"/>
    </row>
    <row r="44">
      <c r="A44" s="64" t="n">
        <v>45397</v>
      </c>
      <c r="B44" s="64" t="n">
        <v>45397</v>
      </c>
      <c r="C44" s="65" t="n">
        <v>5000</v>
      </c>
      <c r="D44" s="65" t="n">
        <v>0</v>
      </c>
      <c r="E44" s="65" t="inlineStr"/>
      <c r="F44" s="65" t="inlineStr">
        <is>
          <t>MF Investment</t>
        </is>
      </c>
      <c r="G44" s="32" t="n">
        <v>0.92</v>
      </c>
      <c r="H44" s="65" t="inlineStr">
        <is>
          <t>Mutual_Fund_Investments</t>
        </is>
      </c>
      <c r="I44" s="65" t="inlineStr">
        <is>
          <t>HDFC 0094</t>
        </is>
      </c>
      <c r="J44" s="65" t="inlineStr">
        <is>
          <t>SIP  - 5000</t>
        </is>
      </c>
      <c r="K44" s="65" t="inlineStr">
        <is>
          <t>ACH D- INDIAN CLEARING CORP-P25847643X05</t>
        </is>
      </c>
      <c r="L44" s="65" t="inlineStr">
        <is>
          <t>HDFC Bank</t>
        </is>
      </c>
      <c r="M44" s="65" t="inlineStr"/>
    </row>
    <row r="45">
      <c r="A45" s="83" t="n">
        <v>45397</v>
      </c>
      <c r="B45" s="83" t="n">
        <v>45397</v>
      </c>
      <c r="C45" s="84" t="n">
        <v>1254.81</v>
      </c>
      <c r="D45" s="84" t="n">
        <v>0</v>
      </c>
      <c r="E45" s="84" t="inlineStr"/>
      <c r="F45" s="84" t="inlineStr">
        <is>
          <t>HDFC Securities - Buy</t>
        </is>
      </c>
      <c r="G45" s="32" t="n">
        <v>0.97</v>
      </c>
      <c r="H45" s="84" t="inlineStr">
        <is>
          <t>HDFC Securities</t>
        </is>
      </c>
      <c r="I45" s="84" t="inlineStr">
        <is>
          <t>HDFC 0094</t>
        </is>
      </c>
      <c r="J45" s="84" t="inlineStr">
        <is>
          <t>HSL</t>
        </is>
      </c>
      <c r="K45" s="84" t="inlineStr">
        <is>
          <t>NET PI TO HSL SEC A/C 523686-00602340029434</t>
        </is>
      </c>
      <c r="L45" s="84" t="inlineStr">
        <is>
          <t>HDFC Bank</t>
        </is>
      </c>
      <c r="M45" s="84" t="inlineStr"/>
    </row>
    <row r="46">
      <c r="A46" s="83" t="n">
        <v>45398</v>
      </c>
      <c r="B46" s="83" t="n">
        <v>45398</v>
      </c>
      <c r="C46" s="84" t="n">
        <v>32991.42</v>
      </c>
      <c r="D46" s="84" t="n">
        <v>0</v>
      </c>
      <c r="E46" s="84" t="inlineStr"/>
      <c r="F46" s="84" t="inlineStr">
        <is>
          <t>HDFC Securities - Buy</t>
        </is>
      </c>
      <c r="G46" s="32" t="n">
        <v>0.97</v>
      </c>
      <c r="H46" s="84" t="inlineStr">
        <is>
          <t>HDFC Securities</t>
        </is>
      </c>
      <c r="I46" s="84" t="inlineStr">
        <is>
          <t>HDFC 0094</t>
        </is>
      </c>
      <c r="J46" s="84" t="inlineStr">
        <is>
          <t>HSL</t>
        </is>
      </c>
      <c r="K46" s="84" t="inlineStr">
        <is>
          <t>NET PI TO HSL SEC A/C 523686-00602340029434</t>
        </is>
      </c>
      <c r="L46" s="84" t="inlineStr">
        <is>
          <t>HDFC Bank</t>
        </is>
      </c>
      <c r="M46" s="84" t="inlineStr"/>
    </row>
    <row r="47">
      <c r="A47" s="64" t="n">
        <v>45398</v>
      </c>
      <c r="B47" s="64" t="n">
        <v>45398</v>
      </c>
      <c r="C47" s="65" t="n">
        <v>10000</v>
      </c>
      <c r="D47" s="65" t="n">
        <v>0</v>
      </c>
      <c r="E47" s="65" t="inlineStr"/>
      <c r="F47" s="65" t="inlineStr">
        <is>
          <t>SIP</t>
        </is>
      </c>
      <c r="G47" s="32" t="n">
        <v>0.9</v>
      </c>
      <c r="H47" s="65" t="inlineStr">
        <is>
          <t>SIP</t>
        </is>
      </c>
      <c r="I47" s="65" t="inlineStr">
        <is>
          <t>HDFC 0094</t>
        </is>
      </c>
      <c r="J47" s="65" t="inlineStr">
        <is>
          <t>Electricity Bill</t>
        </is>
      </c>
      <c r="K47" s="65" t="inlineStr">
        <is>
          <t>YHDF2301816719/BILLDKINDIANCLEARING</t>
        </is>
      </c>
      <c r="L47" s="65" t="inlineStr">
        <is>
          <t>HDFC Bank</t>
        </is>
      </c>
      <c r="M47" s="65" t="inlineStr"/>
    </row>
    <row r="48">
      <c r="A48" s="85" t="n">
        <v>45398</v>
      </c>
      <c r="B48" s="85" t="n">
        <v>45398</v>
      </c>
      <c r="C48" s="86" t="n">
        <v>0</v>
      </c>
      <c r="D48" s="86" t="n">
        <v>29141.48</v>
      </c>
      <c r="E48" s="86" t="inlineStr"/>
      <c r="F48" s="86" t="inlineStr">
        <is>
          <t>HDFC Securities - Sell</t>
        </is>
      </c>
      <c r="G48" s="32" t="n">
        <v>0.97</v>
      </c>
      <c r="H48" s="86" t="inlineStr">
        <is>
          <t>HDFC Securities</t>
        </is>
      </c>
      <c r="I48" s="86" t="inlineStr">
        <is>
          <t>HDFC 0094</t>
        </is>
      </c>
      <c r="J48" s="86" t="inlineStr">
        <is>
          <t>HSL</t>
        </is>
      </c>
      <c r="K48" s="86" t="inlineStr">
        <is>
          <t>NET PO FROM HSL A/C 523686-50200085415108</t>
        </is>
      </c>
      <c r="L48" s="86" t="inlineStr">
        <is>
          <t>HDFC Bank</t>
        </is>
      </c>
      <c r="M48" s="86" t="inlineStr"/>
    </row>
    <row r="49">
      <c r="A49" s="83" t="n">
        <v>45398</v>
      </c>
      <c r="B49" s="83" t="n">
        <v>45398</v>
      </c>
      <c r="C49" s="84" t="n">
        <v>400.81</v>
      </c>
      <c r="D49" s="84" t="n">
        <v>0</v>
      </c>
      <c r="E49" s="84" t="inlineStr"/>
      <c r="F49" s="84" t="inlineStr">
        <is>
          <t>HDFC Securities - Buy</t>
        </is>
      </c>
      <c r="G49" s="32" t="n">
        <v>0.97</v>
      </c>
      <c r="H49" s="84" t="inlineStr">
        <is>
          <t>HDFC Securities</t>
        </is>
      </c>
      <c r="I49" s="84" t="inlineStr">
        <is>
          <t>HDFC 0094</t>
        </is>
      </c>
      <c r="J49" s="84" t="inlineStr">
        <is>
          <t>HSL</t>
        </is>
      </c>
      <c r="K49" s="84" t="inlineStr">
        <is>
          <t>NET PI TO HSL SEC A/C 523686-00602340029434</t>
        </is>
      </c>
      <c r="L49" s="84" t="inlineStr">
        <is>
          <t>HDFC Bank</t>
        </is>
      </c>
      <c r="M49" s="84" t="inlineStr"/>
    </row>
    <row r="50">
      <c r="A50" s="85" t="n">
        <v>45400</v>
      </c>
      <c r="B50" s="85" t="n">
        <v>45400</v>
      </c>
      <c r="C50" s="86" t="n">
        <v>0</v>
      </c>
      <c r="D50" s="86" t="n">
        <v>10255.18</v>
      </c>
      <c r="E50" s="86" t="inlineStr"/>
      <c r="F50" s="86" t="inlineStr">
        <is>
          <t>HDFC Securities - Sell</t>
        </is>
      </c>
      <c r="G50" s="32" t="n">
        <v>0.97</v>
      </c>
      <c r="H50" s="86" t="inlineStr">
        <is>
          <t>HDFC Securities</t>
        </is>
      </c>
      <c r="I50" s="86" t="inlineStr">
        <is>
          <t>HDFC 0094</t>
        </is>
      </c>
      <c r="J50" s="86" t="inlineStr">
        <is>
          <t>HSL</t>
        </is>
      </c>
      <c r="K50" s="86" t="inlineStr">
        <is>
          <t>NET PO FROM HSL A/C 523686-50200085415108</t>
        </is>
      </c>
      <c r="L50" s="86" t="inlineStr">
        <is>
          <t>HDFC Bank</t>
        </is>
      </c>
      <c r="M50" s="86" t="inlineStr"/>
    </row>
    <row r="51">
      <c r="A51" s="83" t="n">
        <v>45400</v>
      </c>
      <c r="B51" s="83" t="n">
        <v>45400</v>
      </c>
      <c r="C51" s="84" t="n">
        <v>731.0599999999999</v>
      </c>
      <c r="D51" s="84" t="n">
        <v>0</v>
      </c>
      <c r="E51" s="84" t="inlineStr"/>
      <c r="F51" s="84" t="inlineStr">
        <is>
          <t>HDFC Securities - Buy</t>
        </is>
      </c>
      <c r="G51" s="32" t="n">
        <v>0.97</v>
      </c>
      <c r="H51" s="84" t="inlineStr">
        <is>
          <t>HDFC Securities</t>
        </is>
      </c>
      <c r="I51" s="84" t="inlineStr">
        <is>
          <t>HDFC 0094</t>
        </is>
      </c>
      <c r="J51" s="84" t="inlineStr">
        <is>
          <t>HSL</t>
        </is>
      </c>
      <c r="K51" s="84" t="inlineStr">
        <is>
          <t>NET PI TO HSL SEC A/C 523686-00602340029434</t>
        </is>
      </c>
      <c r="L51" s="84" t="inlineStr">
        <is>
          <t>HDFC Bank</t>
        </is>
      </c>
      <c r="M51" s="84" t="inlineStr"/>
    </row>
    <row r="52">
      <c r="A52" s="83" t="n">
        <v>45400</v>
      </c>
      <c r="B52" s="83" t="n">
        <v>45400</v>
      </c>
      <c r="C52" s="84" t="n">
        <v>20472.73</v>
      </c>
      <c r="D52" s="84" t="n">
        <v>0</v>
      </c>
      <c r="E52" s="84" t="inlineStr"/>
      <c r="F52" s="84" t="inlineStr">
        <is>
          <t>HDFC Securities - Buy</t>
        </is>
      </c>
      <c r="G52" s="32" t="n">
        <v>0.97</v>
      </c>
      <c r="H52" s="84" t="inlineStr">
        <is>
          <t>HDFC Securities</t>
        </is>
      </c>
      <c r="I52" s="84" t="inlineStr">
        <is>
          <t>HDFC 0094</t>
        </is>
      </c>
      <c r="J52" s="84" t="inlineStr">
        <is>
          <t>HSL</t>
        </is>
      </c>
      <c r="K52" s="84" t="inlineStr">
        <is>
          <t>NET PI TO HSL SEC A/C 523686-00602340029434</t>
        </is>
      </c>
      <c r="L52" s="84" t="inlineStr">
        <is>
          <t>HDFC Bank</t>
        </is>
      </c>
      <c r="M52" s="84" t="inlineStr"/>
    </row>
    <row r="53">
      <c r="A53" s="83" t="n">
        <v>45401</v>
      </c>
      <c r="B53" s="83" t="n">
        <v>45401</v>
      </c>
      <c r="C53" s="84" t="n">
        <v>26524.15</v>
      </c>
      <c r="D53" s="84" t="n">
        <v>0</v>
      </c>
      <c r="E53" s="84" t="inlineStr"/>
      <c r="F53" s="84" t="inlineStr">
        <is>
          <t>HDFC Securities - Buy</t>
        </is>
      </c>
      <c r="G53" s="32" t="n">
        <v>0.97</v>
      </c>
      <c r="H53" s="84" t="inlineStr">
        <is>
          <t>HDFC Securities</t>
        </is>
      </c>
      <c r="I53" s="84" t="inlineStr">
        <is>
          <t>HDFC 0094</t>
        </is>
      </c>
      <c r="J53" s="84" t="inlineStr">
        <is>
          <t>HSL</t>
        </is>
      </c>
      <c r="K53" s="84" t="inlineStr">
        <is>
          <t>NET PI TO HSL SEC A/C 523686-00602340029434</t>
        </is>
      </c>
      <c r="L53" s="84" t="inlineStr">
        <is>
          <t>HDFC Bank</t>
        </is>
      </c>
      <c r="M53" s="84" t="inlineStr"/>
    </row>
    <row r="54">
      <c r="A54" s="83" t="n">
        <v>45401</v>
      </c>
      <c r="B54" s="83" t="n">
        <v>45401</v>
      </c>
      <c r="C54" s="84" t="n">
        <v>401.53</v>
      </c>
      <c r="D54" s="84" t="n">
        <v>0</v>
      </c>
      <c r="E54" s="84" t="inlineStr"/>
      <c r="F54" s="84" t="inlineStr">
        <is>
          <t>HDFC Securities - Buy</t>
        </is>
      </c>
      <c r="G54" s="32" t="n">
        <v>0.97</v>
      </c>
      <c r="H54" s="84" t="inlineStr">
        <is>
          <t>HDFC Securities</t>
        </is>
      </c>
      <c r="I54" s="84" t="inlineStr">
        <is>
          <t>HDFC 0094</t>
        </is>
      </c>
      <c r="J54" s="84" t="inlineStr">
        <is>
          <t>HSL</t>
        </is>
      </c>
      <c r="K54" s="84" t="inlineStr">
        <is>
          <t>NET PI TO HSL SEC A/C 523686-00602340029434</t>
        </is>
      </c>
      <c r="L54" s="84" t="inlineStr">
        <is>
          <t>HDFC Bank</t>
        </is>
      </c>
      <c r="M54" s="84" t="inlineStr"/>
    </row>
    <row r="55">
      <c r="A55" s="83" t="n">
        <v>45404</v>
      </c>
      <c r="B55" s="83" t="n">
        <v>45404</v>
      </c>
      <c r="C55" s="84" t="n">
        <v>1243.71</v>
      </c>
      <c r="D55" s="84" t="n">
        <v>0</v>
      </c>
      <c r="E55" s="84" t="inlineStr"/>
      <c r="F55" s="84" t="inlineStr">
        <is>
          <t>HDFC Securities - Buy</t>
        </is>
      </c>
      <c r="G55" s="32" t="n">
        <v>0.97</v>
      </c>
      <c r="H55" s="84" t="inlineStr">
        <is>
          <t>HDFC Securities</t>
        </is>
      </c>
      <c r="I55" s="84" t="inlineStr">
        <is>
          <t>HDFC 0094</t>
        </is>
      </c>
      <c r="J55" s="84" t="inlineStr">
        <is>
          <t>HSL</t>
        </is>
      </c>
      <c r="K55" s="84" t="inlineStr">
        <is>
          <t>NET PI TO HSL SEC A/C 523686-00602340029434</t>
        </is>
      </c>
      <c r="L55" s="84" t="inlineStr">
        <is>
          <t>HDFC Bank</t>
        </is>
      </c>
      <c r="M55" s="84" t="inlineStr"/>
    </row>
    <row r="56">
      <c r="A56" s="48" t="n">
        <v>45405</v>
      </c>
      <c r="B56" s="48" t="n">
        <v>45405</v>
      </c>
      <c r="C56" s="49" t="n">
        <v>390</v>
      </c>
      <c r="D56" s="49" t="n">
        <v>0</v>
      </c>
      <c r="E56" s="49" t="inlineStr">
        <is>
          <t>Bharti Ratan Devnani</t>
        </is>
      </c>
      <c r="F56" s="49" t="inlineStr">
        <is>
          <t>UPI Payment</t>
        </is>
      </c>
      <c r="G56" s="50" t="n">
        <v>0.55</v>
      </c>
      <c r="H56" s="49" t="inlineStr">
        <is>
          <t>Personal</t>
        </is>
      </c>
      <c r="I56" s="49" t="inlineStr">
        <is>
          <t>AXIS 7042</t>
        </is>
      </c>
      <c r="J56" s="49" t="inlineStr">
        <is>
          <t>Household Expenses</t>
        </is>
      </c>
      <c r="K56" s="49" t="inlineStr">
        <is>
          <t>UPI/P2A/448073432191/BHARTI RATAN DEVNANI /tiffin/Union Bank of India</t>
        </is>
      </c>
      <c r="L56" s="49" t="inlineStr">
        <is>
          <t>Axis Bank</t>
        </is>
      </c>
      <c r="M56" s="49" t="inlineStr"/>
    </row>
    <row r="57">
      <c r="A57" s="116" t="n">
        <v>45405</v>
      </c>
      <c r="B57" s="116" t="n">
        <v>45405</v>
      </c>
      <c r="C57" s="117" t="n">
        <v>100000</v>
      </c>
      <c r="D57" s="117" t="n">
        <v>0</v>
      </c>
      <c r="E57" s="117" t="inlineStr"/>
      <c r="F57" s="117" t="inlineStr">
        <is>
          <t>Transfer - Sunita Gupta</t>
        </is>
      </c>
      <c r="G57" s="32" t="n">
        <v>0.88</v>
      </c>
      <c r="H57" s="117" t="inlineStr">
        <is>
          <t>Sunita Gupta</t>
        </is>
      </c>
      <c r="I57" s="117" t="inlineStr">
        <is>
          <t>HDFC 0094</t>
        </is>
      </c>
      <c r="J57" s="117" t="inlineStr">
        <is>
          <t>Transfer from Ajay</t>
        </is>
      </c>
      <c r="K57" s="117" t="inlineStr">
        <is>
          <t>01671000085930-TPT-MONEY RETURNED FROM SUNITA TO AKG-AJAY KUMAR GUPTA</t>
        </is>
      </c>
      <c r="L57" s="117" t="inlineStr">
        <is>
          <t>HDFC Bank</t>
        </is>
      </c>
      <c r="M57" s="117" t="inlineStr"/>
    </row>
    <row r="58">
      <c r="A58" s="85" t="n">
        <v>45405</v>
      </c>
      <c r="B58" s="85" t="n">
        <v>45405</v>
      </c>
      <c r="C58" s="86" t="n">
        <v>0</v>
      </c>
      <c r="D58" s="86" t="n">
        <v>89361.64999999999</v>
      </c>
      <c r="E58" s="86" t="inlineStr"/>
      <c r="F58" s="86" t="inlineStr">
        <is>
          <t>HDFC Securities - Sell</t>
        </is>
      </c>
      <c r="G58" s="32" t="n">
        <v>0.97</v>
      </c>
      <c r="H58" s="86" t="inlineStr">
        <is>
          <t>HDFC Securities</t>
        </is>
      </c>
      <c r="I58" s="86" t="inlineStr">
        <is>
          <t>HDFC 0094</t>
        </is>
      </c>
      <c r="J58" s="86" t="inlineStr">
        <is>
          <t>HSL</t>
        </is>
      </c>
      <c r="K58" s="86" t="inlineStr">
        <is>
          <t>NET PO FROM HSL A/C 523686-50200085415108</t>
        </is>
      </c>
      <c r="L58" s="86" t="inlineStr">
        <is>
          <t>HDFC Bank</t>
        </is>
      </c>
      <c r="M58" s="86" t="inlineStr"/>
    </row>
    <row r="59">
      <c r="A59" s="85" t="n">
        <v>45405</v>
      </c>
      <c r="B59" s="85" t="n">
        <v>45405</v>
      </c>
      <c r="C59" s="86" t="n">
        <v>0</v>
      </c>
      <c r="D59" s="86" t="n">
        <v>19918.93</v>
      </c>
      <c r="E59" s="86" t="inlineStr"/>
      <c r="F59" s="86" t="inlineStr">
        <is>
          <t>HDFC Securities - Sell</t>
        </is>
      </c>
      <c r="G59" s="32" t="n">
        <v>0.97</v>
      </c>
      <c r="H59" s="86" t="inlineStr">
        <is>
          <t>HDFC Securities</t>
        </is>
      </c>
      <c r="I59" s="86" t="inlineStr">
        <is>
          <t>HDFC 0094</t>
        </is>
      </c>
      <c r="J59" s="86" t="inlineStr">
        <is>
          <t>HSL</t>
        </is>
      </c>
      <c r="K59" s="86" t="inlineStr">
        <is>
          <t>NET PO FROM HSL A/C 523686-50200085415108</t>
        </is>
      </c>
      <c r="L59" s="86" t="inlineStr">
        <is>
          <t>HDFC Bank</t>
        </is>
      </c>
      <c r="M59" s="86" t="inlineStr"/>
    </row>
    <row r="60">
      <c r="A60" s="83" t="n">
        <v>45405</v>
      </c>
      <c r="B60" s="83" t="n">
        <v>45405</v>
      </c>
      <c r="C60" s="84" t="n">
        <v>425.91</v>
      </c>
      <c r="D60" s="84" t="n">
        <v>0</v>
      </c>
      <c r="E60" s="84" t="inlineStr"/>
      <c r="F60" s="84" t="inlineStr">
        <is>
          <t>HDFC Securities - Buy</t>
        </is>
      </c>
      <c r="G60" s="32" t="n">
        <v>0.97</v>
      </c>
      <c r="H60" s="84" t="inlineStr">
        <is>
          <t>HDFC Securities</t>
        </is>
      </c>
      <c r="I60" s="84" t="inlineStr">
        <is>
          <t>HDFC 0094</t>
        </is>
      </c>
      <c r="J60" s="84" t="inlineStr">
        <is>
          <t>HSL</t>
        </is>
      </c>
      <c r="K60" s="84" t="inlineStr">
        <is>
          <t>NET PI TO HSL SEC A/C 523686-00602340029434</t>
        </is>
      </c>
      <c r="L60" s="84" t="inlineStr">
        <is>
          <t>HDFC Bank</t>
        </is>
      </c>
      <c r="M60" s="84" t="inlineStr"/>
    </row>
    <row r="61">
      <c r="A61" s="83" t="n">
        <v>45406</v>
      </c>
      <c r="B61" s="83" t="n">
        <v>45406</v>
      </c>
      <c r="C61" s="84" t="n">
        <v>376.18</v>
      </c>
      <c r="D61" s="84" t="n">
        <v>0</v>
      </c>
      <c r="E61" s="84" t="inlineStr"/>
      <c r="F61" s="84" t="inlineStr">
        <is>
          <t>HDFC Securities - Buy</t>
        </is>
      </c>
      <c r="G61" s="32" t="n">
        <v>0.97</v>
      </c>
      <c r="H61" s="84" t="inlineStr">
        <is>
          <t>HDFC Securities</t>
        </is>
      </c>
      <c r="I61" s="84" t="inlineStr">
        <is>
          <t>HDFC 0094</t>
        </is>
      </c>
      <c r="J61" s="84" t="inlineStr">
        <is>
          <t>HSL</t>
        </is>
      </c>
      <c r="K61" s="84" t="inlineStr">
        <is>
          <t>NET PI TO HSL SEC A/C 523686-00602340029434</t>
        </is>
      </c>
      <c r="L61" s="84" t="inlineStr">
        <is>
          <t>HDFC Bank</t>
        </is>
      </c>
      <c r="M61" s="84" t="inlineStr"/>
    </row>
    <row r="62">
      <c r="A62" s="85" t="n">
        <v>45406</v>
      </c>
      <c r="B62" s="85" t="n">
        <v>45406</v>
      </c>
      <c r="C62" s="86" t="n">
        <v>0</v>
      </c>
      <c r="D62" s="86" t="n">
        <v>15099.63</v>
      </c>
      <c r="E62" s="86" t="inlineStr"/>
      <c r="F62" s="86" t="inlineStr">
        <is>
          <t>HDFC Securities - Sell</t>
        </is>
      </c>
      <c r="G62" s="32" t="n">
        <v>0.97</v>
      </c>
      <c r="H62" s="86" t="inlineStr">
        <is>
          <t>HDFC Securities</t>
        </is>
      </c>
      <c r="I62" s="86" t="inlineStr">
        <is>
          <t>HDFC 0094</t>
        </is>
      </c>
      <c r="J62" s="86" t="inlineStr">
        <is>
          <t>HSL</t>
        </is>
      </c>
      <c r="K62" s="86" t="inlineStr">
        <is>
          <t>NET PO FROM HSL A/C 523686-50200085415108</t>
        </is>
      </c>
      <c r="L62" s="86" t="inlineStr">
        <is>
          <t>HDFC Bank</t>
        </is>
      </c>
      <c r="M62" s="86" t="inlineStr"/>
    </row>
    <row r="63">
      <c r="A63" s="64" t="n">
        <v>45406</v>
      </c>
      <c r="B63" s="64" t="n">
        <v>45406</v>
      </c>
      <c r="C63" s="65" t="n">
        <v>18664</v>
      </c>
      <c r="D63" s="65" t="n">
        <v>0</v>
      </c>
      <c r="E63" s="65" t="inlineStr"/>
      <c r="F63" s="65" t="inlineStr">
        <is>
          <t>SIP</t>
        </is>
      </c>
      <c r="G63" s="32" t="n">
        <v>0.9</v>
      </c>
      <c r="H63" s="65" t="inlineStr">
        <is>
          <t>SIP</t>
        </is>
      </c>
      <c r="I63" s="65" t="inlineStr">
        <is>
          <t>HDFC 0094</t>
        </is>
      </c>
      <c r="J63" s="65" t="inlineStr">
        <is>
          <t>Electricity Bill</t>
        </is>
      </c>
      <c r="K63" s="65" t="inlineStr">
        <is>
          <t>YHDF2309213912/BILLDKTHECALCUTTAELE</t>
        </is>
      </c>
      <c r="L63" s="65" t="inlineStr">
        <is>
          <t>HDFC Bank</t>
        </is>
      </c>
      <c r="M63" s="65" t="inlineStr"/>
    </row>
    <row r="64">
      <c r="A64" s="48" t="n">
        <v>45406</v>
      </c>
      <c r="B64" s="48" t="n">
        <v>45406</v>
      </c>
      <c r="C64" s="49" t="n">
        <v>150</v>
      </c>
      <c r="D64" s="49" t="n">
        <v>0</v>
      </c>
      <c r="E64" s="49" t="inlineStr">
        <is>
          <t>Kunal Eaknath Makune</t>
        </is>
      </c>
      <c r="F64" s="49" t="inlineStr">
        <is>
          <t>UPI Payment</t>
        </is>
      </c>
      <c r="G64" s="50" t="n">
        <v>0.55</v>
      </c>
      <c r="H64" s="49" t="inlineStr">
        <is>
          <t>Personal</t>
        </is>
      </c>
      <c r="I64" s="49" t="inlineStr">
        <is>
          <t>AXIS 7042</t>
        </is>
      </c>
      <c r="J64" s="49" t="inlineStr">
        <is>
          <t>Household Expenses</t>
        </is>
      </c>
      <c r="K64" s="49" t="inlineStr">
        <is>
          <t>UPI/P2M/448166340115/KUNAL EAKNATH MAKUNE /milk/Yes Bank Ltd</t>
        </is>
      </c>
      <c r="L64" s="49" t="inlineStr">
        <is>
          <t>Axis Bank</t>
        </is>
      </c>
      <c r="M64" s="49" t="inlineStr"/>
    </row>
    <row r="65">
      <c r="A65" s="83" t="n">
        <v>45407</v>
      </c>
      <c r="B65" s="83" t="n">
        <v>45407</v>
      </c>
      <c r="C65" s="84" t="n">
        <v>83979.75</v>
      </c>
      <c r="D65" s="84" t="n">
        <v>0</v>
      </c>
      <c r="E65" s="84" t="inlineStr"/>
      <c r="F65" s="84" t="inlineStr">
        <is>
          <t>HDFC Securities - Buy</t>
        </is>
      </c>
      <c r="G65" s="32" t="n">
        <v>0.97</v>
      </c>
      <c r="H65" s="84" t="inlineStr">
        <is>
          <t>HDFC Securities</t>
        </is>
      </c>
      <c r="I65" s="84" t="inlineStr">
        <is>
          <t>HDFC 0094</t>
        </is>
      </c>
      <c r="J65" s="84" t="inlineStr">
        <is>
          <t>HSL</t>
        </is>
      </c>
      <c r="K65" s="84" t="inlineStr">
        <is>
          <t>NET PI TO HSL SEC A/C 523686-00602340029434</t>
        </is>
      </c>
      <c r="L65" s="84" t="inlineStr">
        <is>
          <t>HDFC Bank</t>
        </is>
      </c>
      <c r="M65" s="84" t="inlineStr"/>
    </row>
    <row r="66">
      <c r="A66" s="42" t="n">
        <v>45407</v>
      </c>
      <c r="B66" s="42" t="n">
        <v>45407</v>
      </c>
      <c r="C66" s="43" t="n">
        <v>0</v>
      </c>
      <c r="D66" s="43" t="n">
        <v>84.56999999999999</v>
      </c>
      <c r="E66" s="43" t="inlineStr"/>
      <c r="F66" s="43" t="inlineStr">
        <is>
          <t>Dividend Income</t>
        </is>
      </c>
      <c r="G66" s="32" t="n">
        <v>0.85</v>
      </c>
      <c r="H66" s="43" t="inlineStr">
        <is>
          <t>Dividend Income</t>
        </is>
      </c>
      <c r="I66" s="43" t="inlineStr">
        <is>
          <t>HDFC 0094</t>
        </is>
      </c>
      <c r="J66" s="43" t="inlineStr">
        <is>
          <t>MF - Dividend</t>
        </is>
      </c>
      <c r="K66" s="43" t="inlineStr">
        <is>
          <t>NEFT CR-UTIB0000004-AXIS MUTUAL FUND DIVIDEND A/C-SUNITA GUPTA-AXISCN0597839178</t>
        </is>
      </c>
      <c r="L66" s="43" t="inlineStr">
        <is>
          <t>HDFC Bank</t>
        </is>
      </c>
      <c r="M66" s="43" t="inlineStr"/>
    </row>
    <row r="67">
      <c r="A67" s="83" t="n">
        <v>45407</v>
      </c>
      <c r="B67" s="83" t="n">
        <v>45407</v>
      </c>
      <c r="C67" s="84" t="n">
        <v>374.11</v>
      </c>
      <c r="D67" s="84" t="n">
        <v>0</v>
      </c>
      <c r="E67" s="84" t="inlineStr"/>
      <c r="F67" s="84" t="inlineStr">
        <is>
          <t>HDFC Securities - Buy</t>
        </is>
      </c>
      <c r="G67" s="32" t="n">
        <v>0.97</v>
      </c>
      <c r="H67" s="84" t="inlineStr">
        <is>
          <t>HDFC Securities</t>
        </is>
      </c>
      <c r="I67" s="84" t="inlineStr">
        <is>
          <t>HDFC 0094</t>
        </is>
      </c>
      <c r="J67" s="84" t="inlineStr">
        <is>
          <t>HSL</t>
        </is>
      </c>
      <c r="K67" s="84" t="inlineStr">
        <is>
          <t>NET PI TO HSL SEC A/C 523686-00602340029434</t>
        </is>
      </c>
      <c r="L67" s="84" t="inlineStr">
        <is>
          <t>HDFC Bank</t>
        </is>
      </c>
      <c r="M67" s="84" t="inlineStr"/>
    </row>
    <row r="68">
      <c r="A68" s="85" t="n">
        <v>45407</v>
      </c>
      <c r="B68" s="85" t="n">
        <v>45407</v>
      </c>
      <c r="C68" s="86" t="n">
        <v>0</v>
      </c>
      <c r="D68" s="86" t="n">
        <v>42290.74</v>
      </c>
      <c r="E68" s="86" t="inlineStr"/>
      <c r="F68" s="86" t="inlineStr">
        <is>
          <t>HDFC Securities - Sell</t>
        </is>
      </c>
      <c r="G68" s="32" t="n">
        <v>0.97</v>
      </c>
      <c r="H68" s="86" t="inlineStr">
        <is>
          <t>HDFC Securities</t>
        </is>
      </c>
      <c r="I68" s="86" t="inlineStr">
        <is>
          <t>HDFC 0094</t>
        </is>
      </c>
      <c r="J68" s="86" t="inlineStr">
        <is>
          <t>HSL</t>
        </is>
      </c>
      <c r="K68" s="86" t="inlineStr">
        <is>
          <t>NET PO FROM HSL A/C 523686-50200085415108</t>
        </is>
      </c>
      <c r="L68" s="86" t="inlineStr">
        <is>
          <t>HDFC Bank</t>
        </is>
      </c>
      <c r="M68" s="86" t="inlineStr"/>
    </row>
    <row r="69">
      <c r="A69" s="85" t="n">
        <v>45407</v>
      </c>
      <c r="B69" s="85" t="n">
        <v>45407</v>
      </c>
      <c r="C69" s="86" t="n">
        <v>0</v>
      </c>
      <c r="D69" s="86" t="n">
        <v>74786.99000000001</v>
      </c>
      <c r="E69" s="86" t="inlineStr"/>
      <c r="F69" s="86" t="inlineStr">
        <is>
          <t>HDFC Securities - Sell</t>
        </is>
      </c>
      <c r="G69" s="32" t="n">
        <v>0.97</v>
      </c>
      <c r="H69" s="86" t="inlineStr">
        <is>
          <t>HDFC Securities</t>
        </is>
      </c>
      <c r="I69" s="86" t="inlineStr">
        <is>
          <t>HDFC 0094</t>
        </is>
      </c>
      <c r="J69" s="86" t="inlineStr">
        <is>
          <t>HSL</t>
        </is>
      </c>
      <c r="K69" s="86" t="inlineStr">
        <is>
          <t>NET PO FROM HSL A/C 523686-50200085415108</t>
        </is>
      </c>
      <c r="L69" s="86" t="inlineStr">
        <is>
          <t>HDFC Bank</t>
        </is>
      </c>
      <c r="M69" s="86" t="inlineStr"/>
    </row>
    <row r="70">
      <c r="A70" s="64" t="n">
        <v>45407</v>
      </c>
      <c r="B70" s="64" t="n">
        <v>45407</v>
      </c>
      <c r="C70" s="65" t="n">
        <v>10000</v>
      </c>
      <c r="D70" s="65" t="n">
        <v>0</v>
      </c>
      <c r="E70" s="65" t="inlineStr"/>
      <c r="F70" s="65" t="inlineStr">
        <is>
          <t>MF Investment</t>
        </is>
      </c>
      <c r="G70" s="32" t="n">
        <v>0.92</v>
      </c>
      <c r="H70" s="65" t="inlineStr">
        <is>
          <t>Mutual_Fund_Investments</t>
        </is>
      </c>
      <c r="I70" s="65" t="inlineStr">
        <is>
          <t>HDFC 0094</t>
        </is>
      </c>
      <c r="J70" s="65" t="inlineStr">
        <is>
          <t>SIP  - 10000</t>
        </is>
      </c>
      <c r="K70" s="65" t="inlineStr">
        <is>
          <t>ACH D- INDIAN CLEARING CORP-P25847643X05</t>
        </is>
      </c>
      <c r="L70" s="65" t="inlineStr">
        <is>
          <t>HDFC Bank</t>
        </is>
      </c>
      <c r="M70" s="65" t="inlineStr"/>
    </row>
    <row r="71">
      <c r="A71" s="64" t="n">
        <v>45408</v>
      </c>
      <c r="B71" s="64" t="n">
        <v>45408</v>
      </c>
      <c r="C71" s="65" t="n">
        <v>0</v>
      </c>
      <c r="D71" s="65" t="n">
        <v>4251.5</v>
      </c>
      <c r="E71" s="65" t="inlineStr"/>
      <c r="F71" s="65" t="inlineStr">
        <is>
          <t>NEFT Transfer</t>
        </is>
      </c>
      <c r="G71" s="53" t="n">
        <v>0.7</v>
      </c>
      <c r="H71" s="65" t="inlineStr">
        <is>
          <t>Transfer</t>
        </is>
      </c>
      <c r="I71" s="65" t="inlineStr">
        <is>
          <t>AXIS 7042</t>
        </is>
      </c>
      <c r="J71" s="65" t="inlineStr">
        <is>
          <t>Zerodha</t>
        </is>
      </c>
      <c r="K71" s="65" t="inlineStr">
        <is>
          <t>NEFT/YESB41177892573/ZERODHA BROKING LTD-DSCNB A//YES BANK/YESB0000001</t>
        </is>
      </c>
      <c r="L71" s="65" t="inlineStr">
        <is>
          <t>Axis Bank</t>
        </is>
      </c>
      <c r="M71" s="65" t="inlineStr"/>
    </row>
    <row r="72">
      <c r="A72" s="85" t="n">
        <v>45408</v>
      </c>
      <c r="B72" s="85" t="n">
        <v>45408</v>
      </c>
      <c r="C72" s="86" t="n">
        <v>0</v>
      </c>
      <c r="D72" s="86" t="n">
        <v>1478.14</v>
      </c>
      <c r="E72" s="86" t="inlineStr"/>
      <c r="F72" s="86" t="inlineStr">
        <is>
          <t>HDFC Securities - Sell</t>
        </is>
      </c>
      <c r="G72" s="32" t="n">
        <v>0.97</v>
      </c>
      <c r="H72" s="86" t="inlineStr">
        <is>
          <t>HDFC Securities</t>
        </is>
      </c>
      <c r="I72" s="86" t="inlineStr">
        <is>
          <t>HDFC 0094</t>
        </is>
      </c>
      <c r="J72" s="86" t="inlineStr">
        <is>
          <t>HSL</t>
        </is>
      </c>
      <c r="K72" s="86" t="inlineStr">
        <is>
          <t>NET PO FROM HSL A/C 523686-50200085415108</t>
        </is>
      </c>
      <c r="L72" s="86" t="inlineStr">
        <is>
          <t>HDFC Bank</t>
        </is>
      </c>
      <c r="M72" s="86" t="inlineStr"/>
    </row>
    <row r="73">
      <c r="A73" s="85" t="n">
        <v>45408</v>
      </c>
      <c r="B73" s="85" t="n">
        <v>45408</v>
      </c>
      <c r="C73" s="86" t="n">
        <v>0</v>
      </c>
      <c r="D73" s="86" t="n">
        <v>19816.62</v>
      </c>
      <c r="E73" s="86" t="inlineStr"/>
      <c r="F73" s="86" t="inlineStr">
        <is>
          <t>HDFC Securities - Sell</t>
        </is>
      </c>
      <c r="G73" s="32" t="n">
        <v>0.97</v>
      </c>
      <c r="H73" s="86" t="inlineStr">
        <is>
          <t>HDFC Securities</t>
        </is>
      </c>
      <c r="I73" s="86" t="inlineStr">
        <is>
          <t>HDFC 0094</t>
        </is>
      </c>
      <c r="J73" s="86" t="inlineStr">
        <is>
          <t>HSL</t>
        </is>
      </c>
      <c r="K73" s="86" t="inlineStr">
        <is>
          <t>NET PO FROM HSL A/C 523686-50200085415108</t>
        </is>
      </c>
      <c r="L73" s="86" t="inlineStr">
        <is>
          <t>HDFC Bank</t>
        </is>
      </c>
      <c r="M73" s="86" t="inlineStr"/>
    </row>
    <row r="74">
      <c r="A74" s="83" t="n">
        <v>45408</v>
      </c>
      <c r="B74" s="83" t="n">
        <v>45408</v>
      </c>
      <c r="C74" s="84" t="n">
        <v>308.18</v>
      </c>
      <c r="D74" s="84" t="n">
        <v>0</v>
      </c>
      <c r="E74" s="84" t="inlineStr"/>
      <c r="F74" s="84" t="inlineStr">
        <is>
          <t>HDFC Securities - Buy</t>
        </is>
      </c>
      <c r="G74" s="32" t="n">
        <v>0.97</v>
      </c>
      <c r="H74" s="84" t="inlineStr">
        <is>
          <t>HDFC Securities</t>
        </is>
      </c>
      <c r="I74" s="84" t="inlineStr">
        <is>
          <t>HDFC 0094</t>
        </is>
      </c>
      <c r="J74" s="84" t="inlineStr">
        <is>
          <t>HSL</t>
        </is>
      </c>
      <c r="K74" s="84" t="inlineStr">
        <is>
          <t>NET PI TO HSL SEC A/C 523686-00602340029434</t>
        </is>
      </c>
      <c r="L74" s="84" t="inlineStr">
        <is>
          <t>HDFC Bank</t>
        </is>
      </c>
      <c r="M74" s="84" t="inlineStr"/>
    </row>
    <row r="75">
      <c r="A75" s="83" t="n">
        <v>45408</v>
      </c>
      <c r="B75" s="83" t="n">
        <v>45408</v>
      </c>
      <c r="C75" s="84" t="n">
        <v>41835.78</v>
      </c>
      <c r="D75" s="84" t="n">
        <v>0</v>
      </c>
      <c r="E75" s="84" t="inlineStr"/>
      <c r="F75" s="84" t="inlineStr">
        <is>
          <t>HDFC Securities - Buy</t>
        </is>
      </c>
      <c r="G75" s="32" t="n">
        <v>0.97</v>
      </c>
      <c r="H75" s="84" t="inlineStr">
        <is>
          <t>HDFC Securities</t>
        </is>
      </c>
      <c r="I75" s="84" t="inlineStr">
        <is>
          <t>HDFC 0094</t>
        </is>
      </c>
      <c r="J75" s="84" t="inlineStr">
        <is>
          <t>HSL</t>
        </is>
      </c>
      <c r="K75" s="84" t="inlineStr">
        <is>
          <t>NET PI TO HSL SEC A/C 523686-00602340029434</t>
        </is>
      </c>
      <c r="L75" s="84" t="inlineStr">
        <is>
          <t>HDFC Bank</t>
        </is>
      </c>
      <c r="M75" s="84" t="inlineStr"/>
    </row>
    <row r="76">
      <c r="A76" s="85" t="n">
        <v>45411</v>
      </c>
      <c r="B76" s="85" t="n">
        <v>45411</v>
      </c>
      <c r="C76" s="86" t="n">
        <v>0</v>
      </c>
      <c r="D76" s="86" t="n">
        <v>1181.14</v>
      </c>
      <c r="E76" s="86" t="inlineStr"/>
      <c r="F76" s="86" t="inlineStr">
        <is>
          <t>HDFC Securities - Sell</t>
        </is>
      </c>
      <c r="G76" s="32" t="n">
        <v>0.97</v>
      </c>
      <c r="H76" s="86" t="inlineStr">
        <is>
          <t>HDFC Securities</t>
        </is>
      </c>
      <c r="I76" s="86" t="inlineStr">
        <is>
          <t>HDFC 0094</t>
        </is>
      </c>
      <c r="J76" s="86" t="inlineStr">
        <is>
          <t>HSL</t>
        </is>
      </c>
      <c r="K76" s="86" t="inlineStr">
        <is>
          <t>NET PO FROM HSL A/C 523686-50200085415108</t>
        </is>
      </c>
      <c r="L76" s="86" t="inlineStr">
        <is>
          <t>HDFC Bank</t>
        </is>
      </c>
      <c r="M76" s="86" t="inlineStr"/>
    </row>
    <row r="77">
      <c r="A77" s="83" t="n">
        <v>45411</v>
      </c>
      <c r="B77" s="83" t="n">
        <v>45411</v>
      </c>
      <c r="C77" s="84" t="n">
        <v>854.79</v>
      </c>
      <c r="D77" s="84" t="n">
        <v>0</v>
      </c>
      <c r="E77" s="84" t="inlineStr"/>
      <c r="F77" s="84" t="inlineStr">
        <is>
          <t>HDFC Securities - Buy</t>
        </is>
      </c>
      <c r="G77" s="32" t="n">
        <v>0.97</v>
      </c>
      <c r="H77" s="84" t="inlineStr">
        <is>
          <t>HDFC Securities</t>
        </is>
      </c>
      <c r="I77" s="84" t="inlineStr">
        <is>
          <t>HDFC 0094</t>
        </is>
      </c>
      <c r="J77" s="84" t="inlineStr">
        <is>
          <t>HSL</t>
        </is>
      </c>
      <c r="K77" s="84" t="inlineStr">
        <is>
          <t>NET PI TO HSL SEC A/C 523686-00602340029434</t>
        </is>
      </c>
      <c r="L77" s="84" t="inlineStr">
        <is>
          <t>HDFC Bank</t>
        </is>
      </c>
      <c r="M77" s="84" t="inlineStr"/>
    </row>
    <row r="78">
      <c r="A78" s="83" t="n">
        <v>45411</v>
      </c>
      <c r="B78" s="83" t="n">
        <v>45411</v>
      </c>
      <c r="C78" s="84" t="n">
        <v>55580.94</v>
      </c>
      <c r="D78" s="84" t="n">
        <v>0</v>
      </c>
      <c r="E78" s="84" t="inlineStr"/>
      <c r="F78" s="84" t="inlineStr">
        <is>
          <t>HDFC Securities - Buy</t>
        </is>
      </c>
      <c r="G78" s="32" t="n">
        <v>0.97</v>
      </c>
      <c r="H78" s="84" t="inlineStr">
        <is>
          <t>HDFC Securities</t>
        </is>
      </c>
      <c r="I78" s="84" t="inlineStr">
        <is>
          <t>HDFC 0094</t>
        </is>
      </c>
      <c r="J78" s="84" t="inlineStr">
        <is>
          <t>HSL</t>
        </is>
      </c>
      <c r="K78" s="84" t="inlineStr">
        <is>
          <t>NET PI TO HSL SEC A/C 523686-00602340029434</t>
        </is>
      </c>
      <c r="L78" s="84" t="inlineStr">
        <is>
          <t>HDFC Bank</t>
        </is>
      </c>
      <c r="M78" s="84" t="inlineStr"/>
    </row>
    <row r="79">
      <c r="A79" s="85" t="n">
        <v>45412</v>
      </c>
      <c r="B79" s="85" t="n">
        <v>45412</v>
      </c>
      <c r="C79" s="86" t="n">
        <v>0</v>
      </c>
      <c r="D79" s="86" t="n">
        <v>59028.57</v>
      </c>
      <c r="E79" s="86" t="inlineStr"/>
      <c r="F79" s="86" t="inlineStr">
        <is>
          <t>HDFC Securities - Sell</t>
        </is>
      </c>
      <c r="G79" s="32" t="n">
        <v>0.97</v>
      </c>
      <c r="H79" s="86" t="inlineStr">
        <is>
          <t>HDFC Securities</t>
        </is>
      </c>
      <c r="I79" s="86" t="inlineStr">
        <is>
          <t>HDFC 0094</t>
        </is>
      </c>
      <c r="J79" s="86" t="inlineStr">
        <is>
          <t>HSL</t>
        </is>
      </c>
      <c r="K79" s="86" t="inlineStr">
        <is>
          <t>NET PO FROM HSL A/C 523686-50200085415108</t>
        </is>
      </c>
      <c r="L79" s="86" t="inlineStr">
        <is>
          <t>HDFC Bank</t>
        </is>
      </c>
      <c r="M79" s="86" t="inlineStr"/>
    </row>
    <row r="80">
      <c r="A80" s="83" t="n">
        <v>45412</v>
      </c>
      <c r="B80" s="83" t="n">
        <v>45412</v>
      </c>
      <c r="C80" s="84" t="n">
        <v>381.8</v>
      </c>
      <c r="D80" s="84" t="n">
        <v>0</v>
      </c>
      <c r="E80" s="84" t="inlineStr"/>
      <c r="F80" s="84" t="inlineStr">
        <is>
          <t>HDFC Securities - Buy</t>
        </is>
      </c>
      <c r="G80" s="32" t="n">
        <v>0.97</v>
      </c>
      <c r="H80" s="84" t="inlineStr">
        <is>
          <t>HDFC Securities</t>
        </is>
      </c>
      <c r="I80" s="84" t="inlineStr">
        <is>
          <t>HDFC 0094</t>
        </is>
      </c>
      <c r="J80" s="84" t="inlineStr">
        <is>
          <t>HSL</t>
        </is>
      </c>
      <c r="K80" s="84" t="inlineStr">
        <is>
          <t>NET PI TO HSL SEC A/C 523686-00602340029434</t>
        </is>
      </c>
      <c r="L80" s="84" t="inlineStr">
        <is>
          <t>HDFC Bank</t>
        </is>
      </c>
      <c r="M80" s="84" t="inlineStr"/>
    </row>
    <row r="81">
      <c r="A81" s="83" t="n">
        <v>45412</v>
      </c>
      <c r="B81" s="83" t="n">
        <v>45412</v>
      </c>
      <c r="C81" s="84" t="n">
        <v>248.41</v>
      </c>
      <c r="D81" s="84" t="n">
        <v>0</v>
      </c>
      <c r="E81" s="84" t="inlineStr"/>
      <c r="F81" s="84" t="inlineStr">
        <is>
          <t>HDFC Securities - Buy</t>
        </is>
      </c>
      <c r="G81" s="32" t="n">
        <v>0.97</v>
      </c>
      <c r="H81" s="84" t="inlineStr">
        <is>
          <t>HDFC Securities</t>
        </is>
      </c>
      <c r="I81" s="84" t="inlineStr">
        <is>
          <t>HDFC 0094</t>
        </is>
      </c>
      <c r="J81" s="84" t="inlineStr">
        <is>
          <t>HSL</t>
        </is>
      </c>
      <c r="K81" s="84" t="inlineStr">
        <is>
          <t>NET PI TO HSL SEC A/C 523686-00602340029434</t>
        </is>
      </c>
      <c r="L81" s="84" t="inlineStr">
        <is>
          <t>HDFC Bank</t>
        </is>
      </c>
      <c r="M81" s="84" t="inlineStr"/>
    </row>
    <row r="82">
      <c r="A82" s="85" t="n">
        <v>45412</v>
      </c>
      <c r="B82" s="85" t="n">
        <v>45412</v>
      </c>
      <c r="C82" s="86" t="n">
        <v>0</v>
      </c>
      <c r="D82" s="86" t="n">
        <v>2567.03</v>
      </c>
      <c r="E82" s="86" t="inlineStr"/>
      <c r="F82" s="86" t="inlineStr">
        <is>
          <t>HDFC Securities - Sell</t>
        </is>
      </c>
      <c r="G82" s="32" t="n">
        <v>0.97</v>
      </c>
      <c r="H82" s="86" t="inlineStr">
        <is>
          <t>HDFC Securities</t>
        </is>
      </c>
      <c r="I82" s="86" t="inlineStr">
        <is>
          <t>HDFC 0094</t>
        </is>
      </c>
      <c r="J82" s="86" t="inlineStr">
        <is>
          <t>HSL</t>
        </is>
      </c>
      <c r="K82" s="86" t="inlineStr">
        <is>
          <t>NET PO FROM HSL A/C 523686-50200085415108</t>
        </is>
      </c>
      <c r="L82" s="86" t="inlineStr">
        <is>
          <t>HDFC Bank</t>
        </is>
      </c>
      <c r="M82" s="86" t="inlineStr"/>
    </row>
    <row r="83">
      <c r="A83" s="85" t="n">
        <v>45414</v>
      </c>
      <c r="B83" s="85" t="n">
        <v>45414</v>
      </c>
      <c r="C83" s="86" t="n">
        <v>0</v>
      </c>
      <c r="D83" s="86" t="n">
        <v>13096.51</v>
      </c>
      <c r="E83" s="86" t="inlineStr"/>
      <c r="F83" s="86" t="inlineStr">
        <is>
          <t>HDFC Securities - Sell</t>
        </is>
      </c>
      <c r="G83" s="32" t="n">
        <v>0.97</v>
      </c>
      <c r="H83" s="86" t="inlineStr">
        <is>
          <t>HDFC Securities</t>
        </is>
      </c>
      <c r="I83" s="86" t="inlineStr">
        <is>
          <t>HDFC 0094</t>
        </is>
      </c>
      <c r="J83" s="86" t="inlineStr">
        <is>
          <t>HSL</t>
        </is>
      </c>
      <c r="K83" s="86" t="inlineStr">
        <is>
          <t>NET PO FROM HSL A/C 523686-50200085415108</t>
        </is>
      </c>
      <c r="L83" s="86" t="inlineStr">
        <is>
          <t>HDFC Bank</t>
        </is>
      </c>
      <c r="M83" s="86" t="inlineStr"/>
    </row>
    <row r="84">
      <c r="A84" s="85" t="n">
        <v>45414</v>
      </c>
      <c r="B84" s="85" t="n">
        <v>45414</v>
      </c>
      <c r="C84" s="86" t="n">
        <v>0</v>
      </c>
      <c r="D84" s="86" t="n">
        <v>29905.83</v>
      </c>
      <c r="E84" s="86" t="inlineStr"/>
      <c r="F84" s="86" t="inlineStr">
        <is>
          <t>HDFC Securities - Sell</t>
        </is>
      </c>
      <c r="G84" s="32" t="n">
        <v>0.97</v>
      </c>
      <c r="H84" s="86" t="inlineStr">
        <is>
          <t>HDFC Securities</t>
        </is>
      </c>
      <c r="I84" s="86" t="inlineStr">
        <is>
          <t>HDFC 0094</t>
        </is>
      </c>
      <c r="J84" s="86" t="inlineStr">
        <is>
          <t>HSL</t>
        </is>
      </c>
      <c r="K84" s="86" t="inlineStr">
        <is>
          <t>NET PO FROM HSL A/C 523686-50200085415108</t>
        </is>
      </c>
      <c r="L84" s="86" t="inlineStr">
        <is>
          <t>HDFC Bank</t>
        </is>
      </c>
      <c r="M84" s="86" t="inlineStr"/>
    </row>
    <row r="85">
      <c r="A85" s="83" t="n">
        <v>45414</v>
      </c>
      <c r="B85" s="83" t="n">
        <v>45414</v>
      </c>
      <c r="C85" s="84" t="n">
        <v>540.8200000000001</v>
      </c>
      <c r="D85" s="84" t="n">
        <v>0</v>
      </c>
      <c r="E85" s="84" t="inlineStr"/>
      <c r="F85" s="84" t="inlineStr">
        <is>
          <t>HDFC Securities - Buy</t>
        </is>
      </c>
      <c r="G85" s="32" t="n">
        <v>0.97</v>
      </c>
      <c r="H85" s="84" t="inlineStr">
        <is>
          <t>HDFC Securities</t>
        </is>
      </c>
      <c r="I85" s="84" t="inlineStr">
        <is>
          <t>HDFC 0094</t>
        </is>
      </c>
      <c r="J85" s="84" t="inlineStr">
        <is>
          <t>HSL</t>
        </is>
      </c>
      <c r="K85" s="84" t="inlineStr">
        <is>
          <t>NET PI TO HSL SEC A/C 523686-00602340029434</t>
        </is>
      </c>
      <c r="L85" s="84" t="inlineStr">
        <is>
          <t>HDFC Bank</t>
        </is>
      </c>
      <c r="M85" s="84" t="inlineStr"/>
    </row>
    <row r="86">
      <c r="A86" s="85" t="n">
        <v>45415</v>
      </c>
      <c r="B86" s="85" t="n">
        <v>45415</v>
      </c>
      <c r="C86" s="86" t="n">
        <v>0</v>
      </c>
      <c r="D86" s="86" t="n">
        <v>1350.04</v>
      </c>
      <c r="E86" s="86" t="inlineStr"/>
      <c r="F86" s="86" t="inlineStr">
        <is>
          <t>HDFC Securities - Sell</t>
        </is>
      </c>
      <c r="G86" s="32" t="n">
        <v>0.97</v>
      </c>
      <c r="H86" s="86" t="inlineStr">
        <is>
          <t>HDFC Securities</t>
        </is>
      </c>
      <c r="I86" s="86" t="inlineStr">
        <is>
          <t>HDFC 0094</t>
        </is>
      </c>
      <c r="J86" s="86" t="inlineStr">
        <is>
          <t>HSL</t>
        </is>
      </c>
      <c r="K86" s="86" t="inlineStr">
        <is>
          <t>NET PO FROM HSL A/C 523686-50200085415108</t>
        </is>
      </c>
      <c r="L86" s="86" t="inlineStr">
        <is>
          <t>HDFC Bank</t>
        </is>
      </c>
      <c r="M86" s="86" t="inlineStr"/>
    </row>
    <row r="87">
      <c r="A87" s="85" t="n">
        <v>45415</v>
      </c>
      <c r="B87" s="85" t="n">
        <v>45415</v>
      </c>
      <c r="C87" s="86" t="n">
        <v>0</v>
      </c>
      <c r="D87" s="86" t="n">
        <v>31409.53</v>
      </c>
      <c r="E87" s="86" t="inlineStr"/>
      <c r="F87" s="86" t="inlineStr">
        <is>
          <t>HDFC Securities - Sell</t>
        </is>
      </c>
      <c r="G87" s="32" t="n">
        <v>0.97</v>
      </c>
      <c r="H87" s="86" t="inlineStr">
        <is>
          <t>HDFC Securities</t>
        </is>
      </c>
      <c r="I87" s="86" t="inlineStr">
        <is>
          <t>HDFC 0094</t>
        </is>
      </c>
      <c r="J87" s="86" t="inlineStr">
        <is>
          <t>HSL</t>
        </is>
      </c>
      <c r="K87" s="86" t="inlineStr">
        <is>
          <t>NET PO FROM HSL A/C 523686-50200085415108</t>
        </is>
      </c>
      <c r="L87" s="86" t="inlineStr">
        <is>
          <t>HDFC Bank</t>
        </is>
      </c>
      <c r="M87" s="86" t="inlineStr"/>
    </row>
    <row r="88">
      <c r="A88" s="38" t="n">
        <v>45415</v>
      </c>
      <c r="B88" s="38" t="n">
        <v>45415</v>
      </c>
      <c r="C88" s="39" t="n">
        <v>295</v>
      </c>
      <c r="D88" s="39" t="n">
        <v>0</v>
      </c>
      <c r="E88" s="39" t="inlineStr"/>
      <c r="F88" s="39" t="inlineStr">
        <is>
          <t>Bank Charges</t>
        </is>
      </c>
      <c r="G88" s="32" t="n">
        <v>0.9</v>
      </c>
      <c r="H88" s="39" t="inlineStr">
        <is>
          <t>Bank Charges</t>
        </is>
      </c>
      <c r="I88" s="39" t="inlineStr">
        <is>
          <t>HDFC 0094</t>
        </is>
      </c>
      <c r="J88" s="39" t="inlineStr">
        <is>
          <t>Bank Charges</t>
        </is>
      </c>
      <c r="K88" s="39" t="inlineStr">
        <is>
          <t>ISAQMC-JAN-MAR24-323600 260424-MIR2512490180092</t>
        </is>
      </c>
      <c r="L88" s="39" t="inlineStr">
        <is>
          <t>HDFC Bank</t>
        </is>
      </c>
      <c r="M88" s="39" t="inlineStr"/>
    </row>
    <row r="89">
      <c r="A89" s="83" t="n">
        <v>45415</v>
      </c>
      <c r="B89" s="83" t="n">
        <v>45415</v>
      </c>
      <c r="C89" s="84" t="n">
        <v>210.54</v>
      </c>
      <c r="D89" s="84" t="n">
        <v>0</v>
      </c>
      <c r="E89" s="84" t="inlineStr"/>
      <c r="F89" s="84" t="inlineStr">
        <is>
          <t>HDFC Securities - Buy</t>
        </is>
      </c>
      <c r="G89" s="32" t="n">
        <v>0.97</v>
      </c>
      <c r="H89" s="84" t="inlineStr">
        <is>
          <t>HDFC Securities</t>
        </is>
      </c>
      <c r="I89" s="84" t="inlineStr">
        <is>
          <t>HDFC 0094</t>
        </is>
      </c>
      <c r="J89" s="84" t="inlineStr">
        <is>
          <t>HSL</t>
        </is>
      </c>
      <c r="K89" s="84" t="inlineStr">
        <is>
          <t>NET PI TO HSL SEC A/C 523686-00602340029434</t>
        </is>
      </c>
      <c r="L89" s="84" t="inlineStr">
        <is>
          <t>HDFC Bank</t>
        </is>
      </c>
      <c r="M89" s="84" t="inlineStr"/>
    </row>
    <row r="90">
      <c r="A90" s="83" t="n">
        <v>45415</v>
      </c>
      <c r="B90" s="83" t="n">
        <v>45415</v>
      </c>
      <c r="C90" s="84" t="n">
        <v>10104.28</v>
      </c>
      <c r="D90" s="84" t="n">
        <v>0</v>
      </c>
      <c r="E90" s="84" t="inlineStr"/>
      <c r="F90" s="84" t="inlineStr">
        <is>
          <t>HDFC Securities - Buy</t>
        </is>
      </c>
      <c r="G90" s="32" t="n">
        <v>0.97</v>
      </c>
      <c r="H90" s="84" t="inlineStr">
        <is>
          <t>HDFC Securities</t>
        </is>
      </c>
      <c r="I90" s="84" t="inlineStr">
        <is>
          <t>HDFC 0094</t>
        </is>
      </c>
      <c r="J90" s="84" t="inlineStr">
        <is>
          <t>HSL</t>
        </is>
      </c>
      <c r="K90" s="84" t="inlineStr">
        <is>
          <t>NET PI TO HSL SEC A/C 523686-00602340029434</t>
        </is>
      </c>
      <c r="L90" s="84" t="inlineStr">
        <is>
          <t>HDFC Bank</t>
        </is>
      </c>
      <c r="M90" s="84" t="inlineStr"/>
    </row>
    <row r="91">
      <c r="A91" s="30" t="n">
        <v>45415</v>
      </c>
      <c r="B91" s="30" t="n">
        <v>45415</v>
      </c>
      <c r="C91" s="31" t="n">
        <v>2000</v>
      </c>
      <c r="D91" s="31" t="n">
        <v>0</v>
      </c>
      <c r="E91" s="31" t="inlineStr"/>
      <c r="F91" s="31" t="inlineStr">
        <is>
          <t>Cash Withdrawal</t>
        </is>
      </c>
      <c r="G91" s="32" t="n">
        <v>0.92</v>
      </c>
      <c r="H91" s="31" t="inlineStr">
        <is>
          <t>Cash</t>
        </is>
      </c>
      <c r="I91" s="31" t="inlineStr">
        <is>
          <t>SBI 7685</t>
        </is>
      </c>
      <c r="J91" s="31" t="inlineStr">
        <is>
          <t>ATM Withdrawal</t>
        </is>
      </c>
      <c r="K91" s="31" t="inlineStr">
        <is>
          <t xml:space="preserve">   ATM WDL-ATM CASH 3233  SBI SHIVAJI NAGAR ATM NASHIK--</t>
        </is>
      </c>
      <c r="L91" s="31" t="inlineStr">
        <is>
          <t>State Bank of India</t>
        </is>
      </c>
      <c r="M91" s="31" t="inlineStr"/>
    </row>
    <row r="92">
      <c r="A92" s="83" t="n">
        <v>45415</v>
      </c>
      <c r="B92" s="83" t="n">
        <v>45415</v>
      </c>
      <c r="C92" s="84" t="n">
        <v>56293.41</v>
      </c>
      <c r="D92" s="84" t="n">
        <v>0</v>
      </c>
      <c r="E92" s="84" t="inlineStr"/>
      <c r="F92" s="84" t="inlineStr">
        <is>
          <t>HDFC Securities - Buy</t>
        </is>
      </c>
      <c r="G92" s="32" t="n">
        <v>0.97</v>
      </c>
      <c r="H92" s="84" t="inlineStr">
        <is>
          <t>HDFC Securities</t>
        </is>
      </c>
      <c r="I92" s="84" t="inlineStr">
        <is>
          <t>HDFC 0094</t>
        </is>
      </c>
      <c r="J92" s="84" t="inlineStr">
        <is>
          <t>HSL</t>
        </is>
      </c>
      <c r="K92" s="84" t="inlineStr">
        <is>
          <t>NET PI TO HSL SEC A/C 523686-00602340029434</t>
        </is>
      </c>
      <c r="L92" s="84" t="inlineStr">
        <is>
          <t>HDFC Bank</t>
        </is>
      </c>
      <c r="M92" s="84" t="inlineStr"/>
    </row>
    <row r="93">
      <c r="A93" s="30" t="n">
        <v>45415</v>
      </c>
      <c r="B93" s="30" t="n">
        <v>45415</v>
      </c>
      <c r="C93" s="31" t="n">
        <v>2000</v>
      </c>
      <c r="D93" s="31" t="n">
        <v>0</v>
      </c>
      <c r="E93" s="31" t="inlineStr"/>
      <c r="F93" s="31" t="inlineStr">
        <is>
          <t>Cash Withdrawal</t>
        </is>
      </c>
      <c r="G93" s="32" t="n">
        <v>0.92</v>
      </c>
      <c r="H93" s="31" t="inlineStr">
        <is>
          <t>Cash</t>
        </is>
      </c>
      <c r="I93" s="31" t="inlineStr">
        <is>
          <t>AXIS 7042</t>
        </is>
      </c>
      <c r="J93" s="31" t="inlineStr">
        <is>
          <t>ATM Withdrawal</t>
        </is>
      </c>
      <c r="K93" s="31" t="inlineStr">
        <is>
          <t>ATM-CASH-AXIS/BPRH265601/1296/030524/NASHIK</t>
        </is>
      </c>
      <c r="L93" s="31" t="inlineStr">
        <is>
          <t>Axis Bank</t>
        </is>
      </c>
      <c r="M93" s="31" t="inlineStr"/>
    </row>
    <row r="94">
      <c r="A94" s="85" t="n">
        <v>45418</v>
      </c>
      <c r="B94" s="85" t="n">
        <v>45418</v>
      </c>
      <c r="C94" s="86" t="n">
        <v>0</v>
      </c>
      <c r="D94" s="86" t="n">
        <v>4235.46</v>
      </c>
      <c r="E94" s="86" t="inlineStr"/>
      <c r="F94" s="86" t="inlineStr">
        <is>
          <t>HDFC Securities - Sell</t>
        </is>
      </c>
      <c r="G94" s="32" t="n">
        <v>0.97</v>
      </c>
      <c r="H94" s="86" t="inlineStr">
        <is>
          <t>HDFC Securities</t>
        </is>
      </c>
      <c r="I94" s="86" t="inlineStr">
        <is>
          <t>HDFC 0094</t>
        </is>
      </c>
      <c r="J94" s="86" t="inlineStr">
        <is>
          <t>HSL</t>
        </is>
      </c>
      <c r="K94" s="86" t="inlineStr">
        <is>
          <t>NET PO FROM HSL A/C 523686-50200085415108</t>
        </is>
      </c>
      <c r="L94" s="86" t="inlineStr">
        <is>
          <t>HDFC Bank</t>
        </is>
      </c>
      <c r="M94" s="86" t="inlineStr"/>
    </row>
    <row r="95">
      <c r="A95" s="83" t="n">
        <v>45418</v>
      </c>
      <c r="B95" s="83" t="n">
        <v>45418</v>
      </c>
      <c r="C95" s="84" t="n">
        <v>572.91</v>
      </c>
      <c r="D95" s="84" t="n">
        <v>0</v>
      </c>
      <c r="E95" s="84" t="inlineStr"/>
      <c r="F95" s="84" t="inlineStr">
        <is>
          <t>HDFC Securities - Buy</t>
        </is>
      </c>
      <c r="G95" s="32" t="n">
        <v>0.97</v>
      </c>
      <c r="H95" s="84" t="inlineStr">
        <is>
          <t>HDFC Securities</t>
        </is>
      </c>
      <c r="I95" s="84" t="inlineStr">
        <is>
          <t>HDFC 0094</t>
        </is>
      </c>
      <c r="J95" s="84" t="inlineStr">
        <is>
          <t>HSL</t>
        </is>
      </c>
      <c r="K95" s="84" t="inlineStr">
        <is>
          <t>NET PI TO HSL SEC A/C 523686-00602340029434</t>
        </is>
      </c>
      <c r="L95" s="84" t="inlineStr">
        <is>
          <t>HDFC Bank</t>
        </is>
      </c>
      <c r="M95" s="84" t="inlineStr"/>
    </row>
    <row r="96">
      <c r="A96" s="83" t="n">
        <v>45419</v>
      </c>
      <c r="B96" s="83" t="n">
        <v>45419</v>
      </c>
      <c r="C96" s="84" t="n">
        <v>25590.3</v>
      </c>
      <c r="D96" s="84" t="n">
        <v>0</v>
      </c>
      <c r="E96" s="84" t="inlineStr"/>
      <c r="F96" s="84" t="inlineStr">
        <is>
          <t>HDFC Securities - Buy</t>
        </is>
      </c>
      <c r="G96" s="32" t="n">
        <v>0.97</v>
      </c>
      <c r="H96" s="84" t="inlineStr">
        <is>
          <t>HDFC Securities</t>
        </is>
      </c>
      <c r="I96" s="84" t="inlineStr">
        <is>
          <t>HDFC 0094</t>
        </is>
      </c>
      <c r="J96" s="84" t="inlineStr">
        <is>
          <t>HSL</t>
        </is>
      </c>
      <c r="K96" s="84" t="inlineStr">
        <is>
          <t>NET PI TO HSL SEC A/C 523686-00602340029434</t>
        </is>
      </c>
      <c r="L96" s="84" t="inlineStr">
        <is>
          <t>HDFC Bank</t>
        </is>
      </c>
      <c r="M96" s="84" t="inlineStr"/>
    </row>
    <row r="97">
      <c r="A97" s="83" t="n">
        <v>45419</v>
      </c>
      <c r="B97" s="83" t="n">
        <v>45419</v>
      </c>
      <c r="C97" s="84" t="n">
        <v>414.01</v>
      </c>
      <c r="D97" s="84" t="n">
        <v>0</v>
      </c>
      <c r="E97" s="84" t="inlineStr"/>
      <c r="F97" s="84" t="inlineStr">
        <is>
          <t>HDFC Securities - Buy</t>
        </is>
      </c>
      <c r="G97" s="32" t="n">
        <v>0.97</v>
      </c>
      <c r="H97" s="84" t="inlineStr">
        <is>
          <t>HDFC Securities</t>
        </is>
      </c>
      <c r="I97" s="84" t="inlineStr">
        <is>
          <t>HDFC 0094</t>
        </is>
      </c>
      <c r="J97" s="84" t="inlineStr">
        <is>
          <t>HSL</t>
        </is>
      </c>
      <c r="K97" s="84" t="inlineStr">
        <is>
          <t>NET PI TO HSL SEC A/C 523686-00602340029434</t>
        </is>
      </c>
      <c r="L97" s="84" t="inlineStr">
        <is>
          <t>HDFC Bank</t>
        </is>
      </c>
      <c r="M97" s="84" t="inlineStr"/>
    </row>
    <row r="98">
      <c r="A98" s="83" t="n">
        <v>45419</v>
      </c>
      <c r="B98" s="83" t="n">
        <v>45419</v>
      </c>
      <c r="C98" s="84" t="n">
        <v>244.98</v>
      </c>
      <c r="D98" s="84" t="n">
        <v>0</v>
      </c>
      <c r="E98" s="84" t="inlineStr"/>
      <c r="F98" s="84" t="inlineStr">
        <is>
          <t>HDFC Securities - Buy</t>
        </is>
      </c>
      <c r="G98" s="32" t="n">
        <v>0.97</v>
      </c>
      <c r="H98" s="84" t="inlineStr">
        <is>
          <t>HDFC Securities</t>
        </is>
      </c>
      <c r="I98" s="84" t="inlineStr">
        <is>
          <t>HDFC 0094</t>
        </is>
      </c>
      <c r="J98" s="84" t="inlineStr">
        <is>
          <t>HSL</t>
        </is>
      </c>
      <c r="K98" s="84" t="inlineStr">
        <is>
          <t>NET PI TO HSL SEC A/C 523686-00602340029434</t>
        </is>
      </c>
      <c r="L98" s="84" t="inlineStr">
        <is>
          <t>HDFC Bank</t>
        </is>
      </c>
      <c r="M98" s="84" t="inlineStr"/>
    </row>
    <row r="99">
      <c r="A99" s="85" t="n">
        <v>45419</v>
      </c>
      <c r="B99" s="85" t="n">
        <v>45419</v>
      </c>
      <c r="C99" s="86" t="n">
        <v>0</v>
      </c>
      <c r="D99" s="86" t="n">
        <v>28704.57</v>
      </c>
      <c r="E99" s="86" t="inlineStr"/>
      <c r="F99" s="86" t="inlineStr">
        <is>
          <t>HDFC Securities - Sell</t>
        </is>
      </c>
      <c r="G99" s="32" t="n">
        <v>0.97</v>
      </c>
      <c r="H99" s="86" t="inlineStr">
        <is>
          <t>HDFC Securities</t>
        </is>
      </c>
      <c r="I99" s="86" t="inlineStr">
        <is>
          <t>HDFC 0094</t>
        </is>
      </c>
      <c r="J99" s="86" t="inlineStr">
        <is>
          <t>HSL</t>
        </is>
      </c>
      <c r="K99" s="86" t="inlineStr">
        <is>
          <t>NET PO FROM HSL A/C 523686-50200085415108</t>
        </is>
      </c>
      <c r="L99" s="86" t="inlineStr">
        <is>
          <t>HDFC Bank</t>
        </is>
      </c>
      <c r="M99" s="86" t="inlineStr"/>
    </row>
    <row r="100">
      <c r="A100" s="64" t="n">
        <v>45420</v>
      </c>
      <c r="B100" s="64" t="n">
        <v>45420</v>
      </c>
      <c r="C100" s="65" t="n">
        <v>50000</v>
      </c>
      <c r="D100" s="65" t="n">
        <v>0</v>
      </c>
      <c r="E100" s="65" t="inlineStr"/>
      <c r="F100" s="65" t="inlineStr">
        <is>
          <t>Zerodha Broking</t>
        </is>
      </c>
      <c r="G100" s="32" t="n">
        <v>0.88</v>
      </c>
      <c r="H100" s="65" t="inlineStr">
        <is>
          <t>Zerodha Broking Limited</t>
        </is>
      </c>
      <c r="I100" s="65" t="inlineStr">
        <is>
          <t>AXIS 7042</t>
        </is>
      </c>
      <c r="J100" s="65" t="inlineStr">
        <is>
          <t>Zerodha</t>
        </is>
      </c>
      <c r="K100" s="65" t="inlineStr">
        <is>
          <t>UPI/P2M/412955259759/Zerodha Broking Ltd  /001847/HDFC BANK LTD</t>
        </is>
      </c>
      <c r="L100" s="65" t="inlineStr">
        <is>
          <t>Axis Bank</t>
        </is>
      </c>
      <c r="M100" s="65" t="inlineStr"/>
    </row>
    <row r="101">
      <c r="A101" s="85" t="n">
        <v>45420</v>
      </c>
      <c r="B101" s="85" t="n">
        <v>45420</v>
      </c>
      <c r="C101" s="86" t="n">
        <v>0</v>
      </c>
      <c r="D101" s="86" t="n">
        <v>100255.34</v>
      </c>
      <c r="E101" s="86" t="inlineStr"/>
      <c r="F101" s="86" t="inlineStr">
        <is>
          <t>HDFC Securities - Sell</t>
        </is>
      </c>
      <c r="G101" s="32" t="n">
        <v>0.97</v>
      </c>
      <c r="H101" s="86" t="inlineStr">
        <is>
          <t>HDFC Securities</t>
        </is>
      </c>
      <c r="I101" s="86" t="inlineStr">
        <is>
          <t>HDFC 0094</t>
        </is>
      </c>
      <c r="J101" s="86" t="inlineStr">
        <is>
          <t>HSL</t>
        </is>
      </c>
      <c r="K101" s="86" t="inlineStr">
        <is>
          <t>NET PO FROM HSL A/C 523686-50200085415108</t>
        </is>
      </c>
      <c r="L101" s="86" t="inlineStr">
        <is>
          <t>HDFC Bank</t>
        </is>
      </c>
      <c r="M101" s="86" t="inlineStr"/>
    </row>
    <row r="102">
      <c r="A102" s="83" t="n">
        <v>45420</v>
      </c>
      <c r="B102" s="83" t="n">
        <v>45420</v>
      </c>
      <c r="C102" s="84" t="n">
        <v>217.06</v>
      </c>
      <c r="D102" s="84" t="n">
        <v>0</v>
      </c>
      <c r="E102" s="84" t="inlineStr"/>
      <c r="F102" s="84" t="inlineStr">
        <is>
          <t>HDFC Securities - Buy</t>
        </is>
      </c>
      <c r="G102" s="32" t="n">
        <v>0.97</v>
      </c>
      <c r="H102" s="84" t="inlineStr">
        <is>
          <t>HDFC Securities</t>
        </is>
      </c>
      <c r="I102" s="84" t="inlineStr">
        <is>
          <t>HDFC 0094</t>
        </is>
      </c>
      <c r="J102" s="84" t="inlineStr">
        <is>
          <t>HSL</t>
        </is>
      </c>
      <c r="K102" s="84" t="inlineStr">
        <is>
          <t>NET PI TO HSL SEC A/C 523686-00602340029434</t>
        </is>
      </c>
      <c r="L102" s="84" t="inlineStr">
        <is>
          <t>HDFC Bank</t>
        </is>
      </c>
      <c r="M102" s="84" t="inlineStr"/>
    </row>
    <row r="103">
      <c r="A103" s="116" t="n">
        <v>45420</v>
      </c>
      <c r="B103" s="116" t="n">
        <v>45420</v>
      </c>
      <c r="C103" s="117" t="n">
        <v>50000</v>
      </c>
      <c r="D103" s="117" t="n">
        <v>0</v>
      </c>
      <c r="E103" s="117" t="inlineStr"/>
      <c r="F103" s="117" t="inlineStr">
        <is>
          <t>Transfer - Sunita Gupta</t>
        </is>
      </c>
      <c r="G103" s="32" t="n">
        <v>0.88</v>
      </c>
      <c r="H103" s="117" t="inlineStr">
        <is>
          <t>Sunita Gupta</t>
        </is>
      </c>
      <c r="I103" s="117" t="inlineStr">
        <is>
          <t>HDFC 0094</t>
        </is>
      </c>
      <c r="J103" s="117" t="inlineStr">
        <is>
          <t>Contra</t>
        </is>
      </c>
      <c r="K103" s="117" t="inlineStr">
        <is>
          <t>NEFT DR-UTIB0002656-SUNITA GUPTA-NETBANK, MUM-N129243028299413-TRANSFER FROM HDFC</t>
        </is>
      </c>
      <c r="L103" s="117" t="inlineStr">
        <is>
          <t>HDFC Bank</t>
        </is>
      </c>
      <c r="M103" s="117" t="inlineStr"/>
    </row>
    <row r="104">
      <c r="A104" s="116" t="n">
        <v>45420</v>
      </c>
      <c r="B104" s="116" t="n">
        <v>45420</v>
      </c>
      <c r="C104" s="117" t="n">
        <v>0</v>
      </c>
      <c r="D104" s="117" t="n">
        <v>50000</v>
      </c>
      <c r="E104" s="117" t="inlineStr"/>
      <c r="F104" s="117" t="inlineStr">
        <is>
          <t>Received - Sunita Gupta</t>
        </is>
      </c>
      <c r="G104" s="32" t="n">
        <v>0.88</v>
      </c>
      <c r="H104" s="117" t="inlineStr">
        <is>
          <t>Sunita Gupta</t>
        </is>
      </c>
      <c r="I104" s="117" t="inlineStr">
        <is>
          <t>AXIS 7042</t>
        </is>
      </c>
      <c r="J104" s="117" t="inlineStr">
        <is>
          <t>Contra</t>
        </is>
      </c>
      <c r="K104" s="117" t="inlineStr">
        <is>
          <t>NEFT/N129243028299413/SUNITA GUPTA/HDFC BANK/Transfer from HDFC</t>
        </is>
      </c>
      <c r="L104" s="117" t="inlineStr">
        <is>
          <t>Axis Bank</t>
        </is>
      </c>
      <c r="M104" s="117" t="inlineStr"/>
    </row>
    <row r="105">
      <c r="A105" s="89" t="n">
        <v>45421</v>
      </c>
      <c r="B105" s="89" t="n">
        <v>45421</v>
      </c>
      <c r="C105" s="90" t="n">
        <v>4177.2</v>
      </c>
      <c r="D105" s="90" t="n">
        <v>0</v>
      </c>
      <c r="E105" s="90" t="inlineStr"/>
      <c r="F105" s="90" t="inlineStr">
        <is>
          <t>Depository Charges</t>
        </is>
      </c>
      <c r="G105" s="32" t="n">
        <v>0.93</v>
      </c>
      <c r="H105" s="90" t="inlineStr">
        <is>
          <t>Depository Charges</t>
        </is>
      </c>
      <c r="I105" s="90" t="inlineStr">
        <is>
          <t>HDFC 0094</t>
        </is>
      </c>
      <c r="J105" s="90" t="inlineStr">
        <is>
          <t>Depository Charges</t>
        </is>
      </c>
      <c r="K105" s="90" t="inlineStr">
        <is>
          <t>DEPOSITORY CHARGES APR24 - 41060499</t>
        </is>
      </c>
      <c r="L105" s="90" t="inlineStr">
        <is>
          <t>HDFC Bank</t>
        </is>
      </c>
      <c r="M105" s="90" t="inlineStr"/>
    </row>
    <row r="106">
      <c r="A106" s="85" t="n">
        <v>45421</v>
      </c>
      <c r="B106" s="85" t="n">
        <v>45421</v>
      </c>
      <c r="C106" s="86" t="n">
        <v>0</v>
      </c>
      <c r="D106" s="86" t="n">
        <v>4156.81</v>
      </c>
      <c r="E106" s="86" t="inlineStr"/>
      <c r="F106" s="86" t="inlineStr">
        <is>
          <t>HDFC Securities - Sell</t>
        </is>
      </c>
      <c r="G106" s="32" t="n">
        <v>0.97</v>
      </c>
      <c r="H106" s="86" t="inlineStr">
        <is>
          <t>HDFC Securities</t>
        </is>
      </c>
      <c r="I106" s="86" t="inlineStr">
        <is>
          <t>HDFC 0094</t>
        </is>
      </c>
      <c r="J106" s="86" t="inlineStr">
        <is>
          <t>HSL</t>
        </is>
      </c>
      <c r="K106" s="86" t="inlineStr">
        <is>
          <t>NET PO FROM HSL A/C 523686-50200085415108</t>
        </is>
      </c>
      <c r="L106" s="86" t="inlineStr">
        <is>
          <t>HDFC Bank</t>
        </is>
      </c>
      <c r="M106" s="86" t="inlineStr"/>
    </row>
    <row r="107">
      <c r="A107" s="116" t="n">
        <v>45421</v>
      </c>
      <c r="B107" s="116" t="n">
        <v>45421</v>
      </c>
      <c r="C107" s="117" t="n">
        <v>0</v>
      </c>
      <c r="D107" s="117" t="n">
        <v>29757</v>
      </c>
      <c r="E107" s="117" t="inlineStr"/>
      <c r="F107" s="117" t="inlineStr">
        <is>
          <t>Received - Sunita Gupta</t>
        </is>
      </c>
      <c r="G107" s="32" t="n">
        <v>0.88</v>
      </c>
      <c r="H107" s="117" t="inlineStr">
        <is>
          <t>Sunita Gupta</t>
        </is>
      </c>
      <c r="I107" s="117" t="inlineStr">
        <is>
          <t>HDFC 0094</t>
        </is>
      </c>
      <c r="J107" s="117" t="inlineStr">
        <is>
          <t>Rental Income</t>
        </is>
      </c>
      <c r="K107" s="117" t="inlineStr">
        <is>
          <t>NEFT CR-SBIN0004266-SBI GENERAL INSURANCE CO LTDSBI GEN-SUNITA GUPTA 0000000002717756-SBIN224130649205</t>
        </is>
      </c>
      <c r="L107" s="117" t="inlineStr">
        <is>
          <t>HDFC Bank</t>
        </is>
      </c>
      <c r="M107" s="117" t="inlineStr"/>
    </row>
    <row r="108">
      <c r="A108" s="83" t="n">
        <v>45421</v>
      </c>
      <c r="B108" s="83" t="n">
        <v>45421</v>
      </c>
      <c r="C108" s="84" t="n">
        <v>240.29</v>
      </c>
      <c r="D108" s="84" t="n">
        <v>0</v>
      </c>
      <c r="E108" s="84" t="inlineStr"/>
      <c r="F108" s="84" t="inlineStr">
        <is>
          <t>HDFC Securities - Buy</t>
        </is>
      </c>
      <c r="G108" s="32" t="n">
        <v>0.97</v>
      </c>
      <c r="H108" s="84" t="inlineStr">
        <is>
          <t>HDFC Securities</t>
        </is>
      </c>
      <c r="I108" s="84" t="inlineStr">
        <is>
          <t>HDFC 0094</t>
        </is>
      </c>
      <c r="J108" s="84" t="inlineStr">
        <is>
          <t>HSL</t>
        </is>
      </c>
      <c r="K108" s="84" t="inlineStr">
        <is>
          <t>NET PI TO HSL SEC A/C 523686-00602340029434</t>
        </is>
      </c>
      <c r="L108" s="84" t="inlineStr">
        <is>
          <t>HDFC Bank</t>
        </is>
      </c>
      <c r="M108" s="84" t="inlineStr"/>
    </row>
    <row r="109">
      <c r="A109" s="66" t="n">
        <v>45421</v>
      </c>
      <c r="B109" s="66" t="n">
        <v>45421</v>
      </c>
      <c r="C109" s="67" t="n">
        <v>25000</v>
      </c>
      <c r="D109" s="67" t="n">
        <v>0</v>
      </c>
      <c r="E109" s="67" t="inlineStr"/>
      <c r="F109" s="67" t="inlineStr">
        <is>
          <t>Transfer - Archit Gupta</t>
        </is>
      </c>
      <c r="G109" s="32" t="n">
        <v>0.85</v>
      </c>
      <c r="H109" s="67" t="inlineStr">
        <is>
          <t>Archit Gupta</t>
        </is>
      </c>
      <c r="I109" s="67" t="inlineStr">
        <is>
          <t>HDFC 0094</t>
        </is>
      </c>
      <c r="J109" s="67" t="inlineStr">
        <is>
          <t>Transfer from Archit</t>
        </is>
      </c>
      <c r="K109" s="67" t="inlineStr">
        <is>
          <t>50100542230922-TPT-TRANSFER FROM MUMMY TO ARCHIT-ARCHIT GUPTA</t>
        </is>
      </c>
      <c r="L109" s="67" t="inlineStr">
        <is>
          <t>HDFC Bank</t>
        </is>
      </c>
      <c r="M109" s="67" t="inlineStr"/>
    </row>
    <row r="110">
      <c r="A110" s="116" t="n">
        <v>45421</v>
      </c>
      <c r="B110" s="116" t="n">
        <v>45421</v>
      </c>
      <c r="C110" s="117" t="n">
        <v>25000</v>
      </c>
      <c r="D110" s="117" t="n">
        <v>0</v>
      </c>
      <c r="E110" s="117" t="inlineStr"/>
      <c r="F110" s="117" t="inlineStr">
        <is>
          <t>Transfer - Sunita Gupta</t>
        </is>
      </c>
      <c r="G110" s="32" t="n">
        <v>0.88</v>
      </c>
      <c r="H110" s="117" t="inlineStr">
        <is>
          <t>Sunita Gupta</t>
        </is>
      </c>
      <c r="I110" s="117" t="inlineStr">
        <is>
          <t>HDFC 0094</t>
        </is>
      </c>
      <c r="J110" s="117" t="inlineStr">
        <is>
          <t>Transfer from Ajay</t>
        </is>
      </c>
      <c r="K110" s="117" t="inlineStr">
        <is>
          <t>01671000085930-TPT-MNY RETURNED FROM SUNITA TO AKG-AJAY KUMAR GUPTA</t>
        </is>
      </c>
      <c r="L110" s="117" t="inlineStr">
        <is>
          <t>HDFC Bank</t>
        </is>
      </c>
      <c r="M110" s="117" t="inlineStr"/>
    </row>
    <row r="111">
      <c r="A111" s="83" t="n">
        <v>45421</v>
      </c>
      <c r="B111" s="83" t="n">
        <v>45421</v>
      </c>
      <c r="C111" s="84" t="n">
        <v>31074.79</v>
      </c>
      <c r="D111" s="84" t="n">
        <v>0</v>
      </c>
      <c r="E111" s="84" t="inlineStr"/>
      <c r="F111" s="84" t="inlineStr">
        <is>
          <t>HDFC Securities - Buy</t>
        </is>
      </c>
      <c r="G111" s="32" t="n">
        <v>0.97</v>
      </c>
      <c r="H111" s="84" t="inlineStr">
        <is>
          <t>HDFC Securities</t>
        </is>
      </c>
      <c r="I111" s="84" t="inlineStr">
        <is>
          <t>HDFC 0094</t>
        </is>
      </c>
      <c r="J111" s="84" t="inlineStr">
        <is>
          <t>HSL</t>
        </is>
      </c>
      <c r="K111" s="84" t="inlineStr">
        <is>
          <t>NET PI TO HSL SEC A/C 523686-00602340029434</t>
        </is>
      </c>
      <c r="L111" s="84" t="inlineStr">
        <is>
          <t>HDFC Bank</t>
        </is>
      </c>
      <c r="M111" s="84" t="inlineStr"/>
    </row>
    <row r="112">
      <c r="A112" s="85" t="n">
        <v>45422</v>
      </c>
      <c r="B112" s="85" t="n">
        <v>45422</v>
      </c>
      <c r="C112" s="86" t="n">
        <v>0</v>
      </c>
      <c r="D112" s="86" t="n">
        <v>61550.5</v>
      </c>
      <c r="E112" s="86" t="inlineStr"/>
      <c r="F112" s="86" t="inlineStr">
        <is>
          <t>HDFC Securities - Sell</t>
        </is>
      </c>
      <c r="G112" s="32" t="n">
        <v>0.97</v>
      </c>
      <c r="H112" s="86" t="inlineStr">
        <is>
          <t>HDFC Securities</t>
        </is>
      </c>
      <c r="I112" s="86" t="inlineStr">
        <is>
          <t>HDFC 0094</t>
        </is>
      </c>
      <c r="J112" s="86" t="inlineStr">
        <is>
          <t>HSL</t>
        </is>
      </c>
      <c r="K112" s="86" t="inlineStr">
        <is>
          <t>NET PO FROM HSL A/C 523686-50200085415108</t>
        </is>
      </c>
      <c r="L112" s="86" t="inlineStr">
        <is>
          <t>HDFC Bank</t>
        </is>
      </c>
      <c r="M112" s="86" t="inlineStr"/>
    </row>
    <row r="113">
      <c r="A113" s="85" t="n">
        <v>45422</v>
      </c>
      <c r="B113" s="85" t="n">
        <v>45422</v>
      </c>
      <c r="C113" s="86" t="n">
        <v>0</v>
      </c>
      <c r="D113" s="86" t="n">
        <v>349.85</v>
      </c>
      <c r="E113" s="86" t="inlineStr"/>
      <c r="F113" s="86" t="inlineStr">
        <is>
          <t>HDFC Securities - Sell</t>
        </is>
      </c>
      <c r="G113" s="32" t="n">
        <v>0.97</v>
      </c>
      <c r="H113" s="86" t="inlineStr">
        <is>
          <t>HDFC Securities</t>
        </is>
      </c>
      <c r="I113" s="86" t="inlineStr">
        <is>
          <t>HDFC 0094</t>
        </is>
      </c>
      <c r="J113" s="86" t="inlineStr">
        <is>
          <t>HSL</t>
        </is>
      </c>
      <c r="K113" s="86" t="inlineStr">
        <is>
          <t>NET PO FROM HSL A/C 523686-50200085415108</t>
        </is>
      </c>
      <c r="L113" s="86" t="inlineStr">
        <is>
          <t>HDFC Bank</t>
        </is>
      </c>
      <c r="M113" s="86" t="inlineStr"/>
    </row>
    <row r="114">
      <c r="A114" s="48" t="n">
        <v>45422</v>
      </c>
      <c r="B114" s="48" t="n">
        <v>45422</v>
      </c>
      <c r="C114" s="49" t="n">
        <v>1320</v>
      </c>
      <c r="D114" s="49" t="n">
        <v>0</v>
      </c>
      <c r="E114" s="49" t="inlineStr">
        <is>
          <t>Premji Traders</t>
        </is>
      </c>
      <c r="F114" s="49" t="inlineStr">
        <is>
          <t>UPI Payment</t>
        </is>
      </c>
      <c r="G114" s="50" t="n">
        <v>0.55</v>
      </c>
      <c r="H114" s="49" t="inlineStr">
        <is>
          <t>Personal</t>
        </is>
      </c>
      <c r="I114" s="49" t="inlineStr">
        <is>
          <t>AXIS 7042</t>
        </is>
      </c>
      <c r="J114" s="49" t="inlineStr">
        <is>
          <t>Household Expenses</t>
        </is>
      </c>
      <c r="K114" s="49" t="inlineStr">
        <is>
          <t>UPI/P2M/413124576623/PREMJI TRADERS       /UPI/Yes Bank Ltd</t>
        </is>
      </c>
      <c r="L114" s="49" t="inlineStr">
        <is>
          <t>Axis Bank</t>
        </is>
      </c>
      <c r="M114" s="49" t="inlineStr"/>
    </row>
    <row r="115">
      <c r="A115" s="116" t="n">
        <v>45422</v>
      </c>
      <c r="B115" s="116" t="n">
        <v>45422</v>
      </c>
      <c r="C115" s="117" t="n">
        <v>0</v>
      </c>
      <c r="D115" s="117" t="n">
        <v>18664</v>
      </c>
      <c r="E115" s="117" t="inlineStr"/>
      <c r="F115" s="117" t="inlineStr">
        <is>
          <t>Received - Sunita Gupta</t>
        </is>
      </c>
      <c r="G115" s="32" t="n">
        <v>0.88</v>
      </c>
      <c r="H115" s="117" t="inlineStr">
        <is>
          <t>Sunita Gupta</t>
        </is>
      </c>
      <c r="I115" s="117" t="inlineStr">
        <is>
          <t>HDFC 0094</t>
        </is>
      </c>
      <c r="J115" s="117" t="inlineStr">
        <is>
          <t>Rental Income</t>
        </is>
      </c>
      <c r="K115" s="117" t="inlineStr">
        <is>
          <t>NEFT CR-SBIN0004266-SBI GENERAL INSURANCE CO LTDSBI GEN-SUNITA GUPTA 0000000002717756-SBIN324131864994</t>
        </is>
      </c>
      <c r="L115" s="117" t="inlineStr">
        <is>
          <t>HDFC Bank</t>
        </is>
      </c>
      <c r="M115" s="117" t="inlineStr"/>
    </row>
    <row r="116">
      <c r="A116" s="83" t="n">
        <v>45422</v>
      </c>
      <c r="B116" s="83" t="n">
        <v>45422</v>
      </c>
      <c r="C116" s="84" t="n">
        <v>230.71</v>
      </c>
      <c r="D116" s="84" t="n">
        <v>0</v>
      </c>
      <c r="E116" s="84" t="inlineStr"/>
      <c r="F116" s="84" t="inlineStr">
        <is>
          <t>HDFC Securities - Buy</t>
        </is>
      </c>
      <c r="G116" s="32" t="n">
        <v>0.97</v>
      </c>
      <c r="H116" s="84" t="inlineStr">
        <is>
          <t>HDFC Securities</t>
        </is>
      </c>
      <c r="I116" s="84" t="inlineStr">
        <is>
          <t>HDFC 0094</t>
        </is>
      </c>
      <c r="J116" s="84" t="inlineStr">
        <is>
          <t>HSL</t>
        </is>
      </c>
      <c r="K116" s="84" t="inlineStr">
        <is>
          <t>NET PI TO HSL SEC A/C 523686-00602340029434</t>
        </is>
      </c>
      <c r="L116" s="84" t="inlineStr">
        <is>
          <t>HDFC Bank</t>
        </is>
      </c>
      <c r="M116" s="84" t="inlineStr"/>
    </row>
    <row r="117">
      <c r="A117" s="83" t="n">
        <v>45422</v>
      </c>
      <c r="B117" s="83" t="n">
        <v>45422</v>
      </c>
      <c r="C117" s="84" t="n">
        <v>12572.1</v>
      </c>
      <c r="D117" s="84" t="n">
        <v>0</v>
      </c>
      <c r="E117" s="84" t="inlineStr"/>
      <c r="F117" s="84" t="inlineStr">
        <is>
          <t>HDFC Securities - Buy</t>
        </is>
      </c>
      <c r="G117" s="32" t="n">
        <v>0.97</v>
      </c>
      <c r="H117" s="84" t="inlineStr">
        <is>
          <t>HDFC Securities</t>
        </is>
      </c>
      <c r="I117" s="84" t="inlineStr">
        <is>
          <t>HDFC 0094</t>
        </is>
      </c>
      <c r="J117" s="84" t="inlineStr">
        <is>
          <t>HSL</t>
        </is>
      </c>
      <c r="K117" s="84" t="inlineStr">
        <is>
          <t>NET PI TO HSL SEC A/C 523686-00602340029434</t>
        </is>
      </c>
      <c r="L117" s="84" t="inlineStr">
        <is>
          <t>HDFC Bank</t>
        </is>
      </c>
      <c r="M117" s="84" t="inlineStr"/>
    </row>
    <row r="118">
      <c r="A118" s="83" t="n">
        <v>45422</v>
      </c>
      <c r="B118" s="83" t="n">
        <v>45422</v>
      </c>
      <c r="C118" s="84" t="n">
        <v>6380.74</v>
      </c>
      <c r="D118" s="84" t="n">
        <v>0</v>
      </c>
      <c r="E118" s="84" t="inlineStr"/>
      <c r="F118" s="84" t="inlineStr">
        <is>
          <t>HDFC Securities - Buy</t>
        </is>
      </c>
      <c r="G118" s="32" t="n">
        <v>0.97</v>
      </c>
      <c r="H118" s="84" t="inlineStr">
        <is>
          <t>HDFC Securities</t>
        </is>
      </c>
      <c r="I118" s="84" t="inlineStr">
        <is>
          <t>HDFC 0094</t>
        </is>
      </c>
      <c r="J118" s="84" t="inlineStr">
        <is>
          <t>HSL</t>
        </is>
      </c>
      <c r="K118" s="84" t="inlineStr">
        <is>
          <t>NET PI TO HSL SEC A/C 523686-00602340029434</t>
        </is>
      </c>
      <c r="L118" s="84" t="inlineStr">
        <is>
          <t>HDFC Bank</t>
        </is>
      </c>
      <c r="M118" s="84" t="inlineStr"/>
    </row>
    <row r="119">
      <c r="A119" s="83" t="n">
        <v>45425</v>
      </c>
      <c r="B119" s="83" t="n">
        <v>45425</v>
      </c>
      <c r="C119" s="84" t="n">
        <v>759.6</v>
      </c>
      <c r="D119" s="84" t="n">
        <v>0</v>
      </c>
      <c r="E119" s="84" t="inlineStr"/>
      <c r="F119" s="84" t="inlineStr">
        <is>
          <t>HDFC Securities - Buy</t>
        </is>
      </c>
      <c r="G119" s="32" t="n">
        <v>0.97</v>
      </c>
      <c r="H119" s="84" t="inlineStr">
        <is>
          <t>HDFC Securities</t>
        </is>
      </c>
      <c r="I119" s="84" t="inlineStr">
        <is>
          <t>HDFC 0094</t>
        </is>
      </c>
      <c r="J119" s="84" t="inlineStr">
        <is>
          <t>HSL</t>
        </is>
      </c>
      <c r="K119" s="84" t="inlineStr">
        <is>
          <t>NET PI TO HSL SEC A/C 523686-00602340029434</t>
        </is>
      </c>
      <c r="L119" s="84" t="inlineStr">
        <is>
          <t>HDFC Bank</t>
        </is>
      </c>
      <c r="M119" s="84" t="inlineStr"/>
    </row>
    <row r="120">
      <c r="A120" s="83" t="n">
        <v>45425</v>
      </c>
      <c r="B120" s="83" t="n">
        <v>45425</v>
      </c>
      <c r="C120" s="84" t="n">
        <v>920.99</v>
      </c>
      <c r="D120" s="84" t="n">
        <v>0</v>
      </c>
      <c r="E120" s="84" t="inlineStr"/>
      <c r="F120" s="84" t="inlineStr">
        <is>
          <t>HDFC Securities - Buy</t>
        </is>
      </c>
      <c r="G120" s="32" t="n">
        <v>0.97</v>
      </c>
      <c r="H120" s="84" t="inlineStr">
        <is>
          <t>HDFC Securities</t>
        </is>
      </c>
      <c r="I120" s="84" t="inlineStr">
        <is>
          <t>HDFC 0094</t>
        </is>
      </c>
      <c r="J120" s="84" t="inlineStr">
        <is>
          <t>HSL</t>
        </is>
      </c>
      <c r="K120" s="84" t="inlineStr">
        <is>
          <t>NET PI TO HSL SEC A/C 523686-00602340029434</t>
        </is>
      </c>
      <c r="L120" s="84" t="inlineStr">
        <is>
          <t>HDFC Bank</t>
        </is>
      </c>
      <c r="M120" s="84" t="inlineStr"/>
    </row>
    <row r="121">
      <c r="A121" s="83" t="n">
        <v>45426</v>
      </c>
      <c r="B121" s="83" t="n">
        <v>45426</v>
      </c>
      <c r="C121" s="84" t="n">
        <v>272.35</v>
      </c>
      <c r="D121" s="84" t="n">
        <v>0</v>
      </c>
      <c r="E121" s="84" t="inlineStr"/>
      <c r="F121" s="84" t="inlineStr">
        <is>
          <t>HDFC Securities - Buy</t>
        </is>
      </c>
      <c r="G121" s="32" t="n">
        <v>0.97</v>
      </c>
      <c r="H121" s="84" t="inlineStr">
        <is>
          <t>HDFC Securities</t>
        </is>
      </c>
      <c r="I121" s="84" t="inlineStr">
        <is>
          <t>HDFC 0094</t>
        </is>
      </c>
      <c r="J121" s="84" t="inlineStr">
        <is>
          <t>HSL</t>
        </is>
      </c>
      <c r="K121" s="84" t="inlineStr">
        <is>
          <t>NET PI TO HSL SEC A/C 523686-00602340029434</t>
        </is>
      </c>
      <c r="L121" s="84" t="inlineStr">
        <is>
          <t>HDFC Bank</t>
        </is>
      </c>
      <c r="M121" s="84" t="inlineStr"/>
    </row>
    <row r="122">
      <c r="A122" s="85" t="n">
        <v>45426</v>
      </c>
      <c r="B122" s="85" t="n">
        <v>45426</v>
      </c>
      <c r="C122" s="86" t="n">
        <v>0</v>
      </c>
      <c r="D122" s="86" t="n">
        <v>2084.4</v>
      </c>
      <c r="E122" s="86" t="inlineStr"/>
      <c r="F122" s="86" t="inlineStr">
        <is>
          <t>HDFC Securities - Sell</t>
        </is>
      </c>
      <c r="G122" s="32" t="n">
        <v>0.97</v>
      </c>
      <c r="H122" s="86" t="inlineStr">
        <is>
          <t>HDFC Securities</t>
        </is>
      </c>
      <c r="I122" s="86" t="inlineStr">
        <is>
          <t>HDFC 0094</t>
        </is>
      </c>
      <c r="J122" s="86" t="inlineStr">
        <is>
          <t>HSL</t>
        </is>
      </c>
      <c r="K122" s="86" t="inlineStr">
        <is>
          <t>NET PO FROM HSL A/C 523686-50200085415108</t>
        </is>
      </c>
      <c r="L122" s="86" t="inlineStr">
        <is>
          <t>HDFC Bank</t>
        </is>
      </c>
      <c r="M122" s="86" t="inlineStr"/>
    </row>
    <row r="123">
      <c r="A123" s="85" t="n">
        <v>45427</v>
      </c>
      <c r="B123" s="85" t="n">
        <v>45427</v>
      </c>
      <c r="C123" s="86" t="n">
        <v>0</v>
      </c>
      <c r="D123" s="86" t="n">
        <v>10981.68</v>
      </c>
      <c r="E123" s="86" t="inlineStr"/>
      <c r="F123" s="86" t="inlineStr">
        <is>
          <t>HDFC Securities - Sell</t>
        </is>
      </c>
      <c r="G123" s="32" t="n">
        <v>0.97</v>
      </c>
      <c r="H123" s="86" t="inlineStr">
        <is>
          <t>HDFC Securities</t>
        </is>
      </c>
      <c r="I123" s="86" t="inlineStr">
        <is>
          <t>HDFC 0094</t>
        </is>
      </c>
      <c r="J123" s="86" t="inlineStr">
        <is>
          <t>HSL</t>
        </is>
      </c>
      <c r="K123" s="86" t="inlineStr">
        <is>
          <t>NET PO FROM HSL A/C 523686-50200085415108</t>
        </is>
      </c>
      <c r="L123" s="86" t="inlineStr">
        <is>
          <t>HDFC Bank</t>
        </is>
      </c>
      <c r="M123" s="86" t="inlineStr"/>
    </row>
    <row r="124">
      <c r="A124" s="116" t="n">
        <v>45427</v>
      </c>
      <c r="B124" s="116" t="n">
        <v>45427</v>
      </c>
      <c r="C124" s="117" t="n">
        <v>0</v>
      </c>
      <c r="D124" s="117" t="n">
        <v>100000</v>
      </c>
      <c r="E124" s="117" t="inlineStr"/>
      <c r="F124" s="117" t="inlineStr">
        <is>
          <t>Received - Sunita Gupta</t>
        </is>
      </c>
      <c r="G124" s="32" t="n">
        <v>0.88</v>
      </c>
      <c r="H124" s="117" t="inlineStr">
        <is>
          <t>Sunita Gupta</t>
        </is>
      </c>
      <c r="I124" s="117" t="inlineStr">
        <is>
          <t>AXIS 7042</t>
        </is>
      </c>
      <c r="J124" s="117" t="inlineStr">
        <is>
          <t>Contra</t>
        </is>
      </c>
      <c r="K124" s="117" t="inlineStr">
        <is>
          <t>NEFT/N136243040620640/SUNITA GUPTA/HDFC BANK/frm HDFC to Axis</t>
        </is>
      </c>
      <c r="L124" s="117" t="inlineStr">
        <is>
          <t>Axis Bank</t>
        </is>
      </c>
      <c r="M124" s="117" t="inlineStr"/>
    </row>
    <row r="125">
      <c r="A125" s="36" t="n">
        <v>45427</v>
      </c>
      <c r="B125" s="36" t="n">
        <v>45427</v>
      </c>
      <c r="C125" s="37" t="n">
        <v>40000</v>
      </c>
      <c r="D125" s="37" t="n">
        <v>0</v>
      </c>
      <c r="E125" s="37" t="inlineStr"/>
      <c r="F125" s="37" t="inlineStr">
        <is>
          <t>Transfer - Ajay Gupta</t>
        </is>
      </c>
      <c r="G125" s="32" t="n">
        <v>0.88</v>
      </c>
      <c r="H125" s="37" t="inlineStr">
        <is>
          <t>Ajay Gupta</t>
        </is>
      </c>
      <c r="I125" s="37" t="inlineStr">
        <is>
          <t>AXIS 7042</t>
        </is>
      </c>
      <c r="J125" s="37" t="inlineStr">
        <is>
          <t>Transfer from Ajay</t>
        </is>
      </c>
      <c r="K125" s="37" t="inlineStr">
        <is>
          <t>INB/IFT/Ajay Kumar Gupta/TPARTY TRANSFER</t>
        </is>
      </c>
      <c r="L125" s="37" t="inlineStr">
        <is>
          <t>Axis Bank</t>
        </is>
      </c>
      <c r="M125" s="37" t="inlineStr"/>
    </row>
    <row r="126">
      <c r="A126" s="85" t="n">
        <v>45427</v>
      </c>
      <c r="B126" s="85" t="n">
        <v>45427</v>
      </c>
      <c r="C126" s="86" t="n">
        <v>0</v>
      </c>
      <c r="D126" s="86" t="n">
        <v>134185.19</v>
      </c>
      <c r="E126" s="86" t="inlineStr"/>
      <c r="F126" s="86" t="inlineStr">
        <is>
          <t>HDFC Securities - Sell</t>
        </is>
      </c>
      <c r="G126" s="32" t="n">
        <v>0.97</v>
      </c>
      <c r="H126" s="86" t="inlineStr">
        <is>
          <t>HDFC Securities</t>
        </is>
      </c>
      <c r="I126" s="86" t="inlineStr">
        <is>
          <t>HDFC 0094</t>
        </is>
      </c>
      <c r="J126" s="86" t="inlineStr">
        <is>
          <t>HSL</t>
        </is>
      </c>
      <c r="K126" s="86" t="inlineStr">
        <is>
          <t>NET PO FROM HSL A/C 523686-50200085415108</t>
        </is>
      </c>
      <c r="L126" s="86" t="inlineStr">
        <is>
          <t>HDFC Bank</t>
        </is>
      </c>
      <c r="M126" s="86" t="inlineStr"/>
    </row>
    <row r="127">
      <c r="A127" s="64" t="n">
        <v>45427</v>
      </c>
      <c r="B127" s="64" t="n">
        <v>45427</v>
      </c>
      <c r="C127" s="65" t="n">
        <v>5000</v>
      </c>
      <c r="D127" s="65" t="n">
        <v>0</v>
      </c>
      <c r="E127" s="65" t="inlineStr"/>
      <c r="F127" s="65" t="inlineStr">
        <is>
          <t>MF Investment</t>
        </is>
      </c>
      <c r="G127" s="32" t="n">
        <v>0.92</v>
      </c>
      <c r="H127" s="65" t="inlineStr">
        <is>
          <t>Mutual_Fund_Investments</t>
        </is>
      </c>
      <c r="I127" s="65" t="inlineStr">
        <is>
          <t>HDFC 0094</t>
        </is>
      </c>
      <c r="J127" s="65" t="inlineStr">
        <is>
          <t>SIP  - 5000</t>
        </is>
      </c>
      <c r="K127" s="65" t="inlineStr">
        <is>
          <t>ACH D- INDIAN CLEARING CORP-P25847643X05</t>
        </is>
      </c>
      <c r="L127" s="65" t="inlineStr">
        <is>
          <t>HDFC Bank</t>
        </is>
      </c>
      <c r="M127" s="65" t="inlineStr"/>
    </row>
    <row r="128">
      <c r="A128" s="116" t="n">
        <v>45427</v>
      </c>
      <c r="B128" s="116" t="n">
        <v>45427</v>
      </c>
      <c r="C128" s="117" t="n">
        <v>100000</v>
      </c>
      <c r="D128" s="117" t="n">
        <v>0</v>
      </c>
      <c r="E128" s="117" t="inlineStr"/>
      <c r="F128" s="117" t="inlineStr">
        <is>
          <t>Transfer - Sunita Gupta</t>
        </is>
      </c>
      <c r="G128" s="32" t="n">
        <v>0.88</v>
      </c>
      <c r="H128" s="117" t="inlineStr">
        <is>
          <t>Sunita Gupta</t>
        </is>
      </c>
      <c r="I128" s="117" t="inlineStr">
        <is>
          <t>HDFC 0094</t>
        </is>
      </c>
      <c r="J128" s="117" t="inlineStr">
        <is>
          <t>Contra</t>
        </is>
      </c>
      <c r="K128" s="117" t="inlineStr">
        <is>
          <t>NEFT DR-UTIB0002656-SUNITA GUPTA-NETBANK, MUM-N136243040620640-FRM HDFC TO AXIS</t>
        </is>
      </c>
      <c r="L128" s="117" t="inlineStr">
        <is>
          <t>HDFC Bank</t>
        </is>
      </c>
      <c r="M128" s="117" t="inlineStr"/>
    </row>
    <row r="129">
      <c r="A129" s="83" t="n">
        <v>45427</v>
      </c>
      <c r="B129" s="83" t="n">
        <v>45427</v>
      </c>
      <c r="C129" s="84" t="n">
        <v>272.35</v>
      </c>
      <c r="D129" s="84" t="n">
        <v>0</v>
      </c>
      <c r="E129" s="84" t="inlineStr"/>
      <c r="F129" s="84" t="inlineStr">
        <is>
          <t>HDFC Securities - Buy</t>
        </is>
      </c>
      <c r="G129" s="32" t="n">
        <v>0.97</v>
      </c>
      <c r="H129" s="84" t="inlineStr">
        <is>
          <t>HDFC Securities</t>
        </is>
      </c>
      <c r="I129" s="84" t="inlineStr">
        <is>
          <t>HDFC 0094</t>
        </is>
      </c>
      <c r="J129" s="84" t="inlineStr">
        <is>
          <t>HSL</t>
        </is>
      </c>
      <c r="K129" s="84" t="inlineStr">
        <is>
          <t>NET PI TO HSL SEC A/C 523686-00602340029434</t>
        </is>
      </c>
      <c r="L129" s="84" t="inlineStr">
        <is>
          <t>HDFC Bank</t>
        </is>
      </c>
      <c r="M129" s="84" t="inlineStr"/>
    </row>
    <row r="130">
      <c r="A130" s="83" t="n">
        <v>45428</v>
      </c>
      <c r="B130" s="83" t="n">
        <v>45428</v>
      </c>
      <c r="C130" s="84" t="n">
        <v>81859.92</v>
      </c>
      <c r="D130" s="84" t="n">
        <v>0</v>
      </c>
      <c r="E130" s="84" t="inlineStr"/>
      <c r="F130" s="84" t="inlineStr">
        <is>
          <t>HDFC Securities - Buy</t>
        </is>
      </c>
      <c r="G130" s="32" t="n">
        <v>0.97</v>
      </c>
      <c r="H130" s="84" t="inlineStr">
        <is>
          <t>HDFC Securities</t>
        </is>
      </c>
      <c r="I130" s="84" t="inlineStr">
        <is>
          <t>HDFC 0094</t>
        </is>
      </c>
      <c r="J130" s="84" t="inlineStr">
        <is>
          <t>HSL</t>
        </is>
      </c>
      <c r="K130" s="84" t="inlineStr">
        <is>
          <t>NET PI TO HSL SEC A/C 523686-00602340029434</t>
        </is>
      </c>
      <c r="L130" s="84" t="inlineStr">
        <is>
          <t>HDFC Bank</t>
        </is>
      </c>
      <c r="M130" s="84" t="inlineStr"/>
    </row>
    <row r="131">
      <c r="A131" s="42" t="n">
        <v>45428</v>
      </c>
      <c r="B131" s="42" t="n">
        <v>45428</v>
      </c>
      <c r="C131" s="43" t="n">
        <v>0</v>
      </c>
      <c r="D131" s="43" t="n">
        <v>6480</v>
      </c>
      <c r="E131" s="43" t="inlineStr"/>
      <c r="F131" s="43" t="inlineStr">
        <is>
          <t>Dividend Income</t>
        </is>
      </c>
      <c r="G131" s="32" t="n">
        <v>0.88</v>
      </c>
      <c r="H131" s="43" t="inlineStr">
        <is>
          <t>Dividend Income</t>
        </is>
      </c>
      <c r="I131" s="43" t="inlineStr">
        <is>
          <t>HDFC 0094</t>
        </is>
      </c>
      <c r="J131" s="43" t="inlineStr">
        <is>
          <t>Dividend Income</t>
        </is>
      </c>
      <c r="K131" s="43" t="inlineStr">
        <is>
          <t>ACH C- ORACLEFINANCIALSER-00000000000000</t>
        </is>
      </c>
      <c r="L131" s="43" t="inlineStr">
        <is>
          <t>HDFC Bank</t>
        </is>
      </c>
      <c r="M131" s="43" t="inlineStr"/>
    </row>
    <row r="132">
      <c r="A132" s="116" t="n">
        <v>45428</v>
      </c>
      <c r="B132" s="116" t="n">
        <v>45428</v>
      </c>
      <c r="C132" s="117" t="n">
        <v>0</v>
      </c>
      <c r="D132" s="117" t="n">
        <v>2380</v>
      </c>
      <c r="E132" s="117" t="inlineStr"/>
      <c r="F132" s="117" t="inlineStr">
        <is>
          <t>Received - Sunita Gupta</t>
        </is>
      </c>
      <c r="G132" s="32" t="n">
        <v>0.88</v>
      </c>
      <c r="H132" s="117" t="inlineStr">
        <is>
          <t>Sunita Gupta</t>
        </is>
      </c>
      <c r="I132" s="117" t="inlineStr">
        <is>
          <t>HDFC 0094</t>
        </is>
      </c>
      <c r="J132" s="117" t="inlineStr">
        <is>
          <t>Rental Income</t>
        </is>
      </c>
      <c r="K132" s="117" t="inlineStr">
        <is>
          <t>NEFT CR-SBIN0004266-SBI GENERAL INSURANCE CO LTDSBI GEN-SUNITA GUPTA 0000000002717756-SBIN324137943121</t>
        </is>
      </c>
      <c r="L132" s="117" t="inlineStr">
        <is>
          <t>HDFC Bank</t>
        </is>
      </c>
      <c r="M132" s="117" t="inlineStr"/>
    </row>
    <row r="133">
      <c r="A133" s="83" t="n">
        <v>45428</v>
      </c>
      <c r="B133" s="83" t="n">
        <v>45428</v>
      </c>
      <c r="C133" s="84" t="n">
        <v>262.77</v>
      </c>
      <c r="D133" s="84" t="n">
        <v>0</v>
      </c>
      <c r="E133" s="84" t="inlineStr"/>
      <c r="F133" s="84" t="inlineStr">
        <is>
          <t>HDFC Securities - Buy</t>
        </is>
      </c>
      <c r="G133" s="32" t="n">
        <v>0.97</v>
      </c>
      <c r="H133" s="84" t="inlineStr">
        <is>
          <t>HDFC Securities</t>
        </is>
      </c>
      <c r="I133" s="84" t="inlineStr">
        <is>
          <t>HDFC 0094</t>
        </is>
      </c>
      <c r="J133" s="84" t="inlineStr">
        <is>
          <t>HSL</t>
        </is>
      </c>
      <c r="K133" s="84" t="inlineStr">
        <is>
          <t>NET PI TO HSL SEC A/C 523686-00602340029434</t>
        </is>
      </c>
      <c r="L133" s="84" t="inlineStr">
        <is>
          <t>HDFC Bank</t>
        </is>
      </c>
      <c r="M133" s="84" t="inlineStr"/>
    </row>
    <row r="134">
      <c r="A134" s="85" t="n">
        <v>45428</v>
      </c>
      <c r="B134" s="85" t="n">
        <v>45428</v>
      </c>
      <c r="C134" s="86" t="n">
        <v>0</v>
      </c>
      <c r="D134" s="86" t="n">
        <v>6827.3</v>
      </c>
      <c r="E134" s="86" t="inlineStr"/>
      <c r="F134" s="86" t="inlineStr">
        <is>
          <t>HDFC Securities - Sell</t>
        </is>
      </c>
      <c r="G134" s="32" t="n">
        <v>0.97</v>
      </c>
      <c r="H134" s="86" t="inlineStr">
        <is>
          <t>HDFC Securities</t>
        </is>
      </c>
      <c r="I134" s="86" t="inlineStr">
        <is>
          <t>HDFC 0094</t>
        </is>
      </c>
      <c r="J134" s="86" t="inlineStr">
        <is>
          <t>HSL</t>
        </is>
      </c>
      <c r="K134" s="86" t="inlineStr">
        <is>
          <t>NET PO FROM HSL A/C 523686-50200085415108</t>
        </is>
      </c>
      <c r="L134" s="86" t="inlineStr">
        <is>
          <t>HDFC Bank</t>
        </is>
      </c>
      <c r="M134" s="86" t="inlineStr"/>
    </row>
    <row r="135">
      <c r="A135" s="83" t="n">
        <v>45429</v>
      </c>
      <c r="B135" s="83" t="n">
        <v>45429</v>
      </c>
      <c r="C135" s="84" t="n">
        <v>232.55</v>
      </c>
      <c r="D135" s="84" t="n">
        <v>0</v>
      </c>
      <c r="E135" s="84" t="inlineStr"/>
      <c r="F135" s="84" t="inlineStr">
        <is>
          <t>HDFC Securities - Buy</t>
        </is>
      </c>
      <c r="G135" s="32" t="n">
        <v>0.97</v>
      </c>
      <c r="H135" s="84" t="inlineStr">
        <is>
          <t>HDFC Securities</t>
        </is>
      </c>
      <c r="I135" s="84" t="inlineStr">
        <is>
          <t>HDFC 0094</t>
        </is>
      </c>
      <c r="J135" s="84" t="inlineStr">
        <is>
          <t>HSL</t>
        </is>
      </c>
      <c r="K135" s="84" t="inlineStr">
        <is>
          <t>NET PI TO HSL SEC A/C 523686-00602340029434</t>
        </is>
      </c>
      <c r="L135" s="84" t="inlineStr">
        <is>
          <t>HDFC Bank</t>
        </is>
      </c>
      <c r="M135" s="84" t="inlineStr"/>
    </row>
    <row r="136">
      <c r="A136" s="85" t="n">
        <v>45429</v>
      </c>
      <c r="B136" s="85" t="n">
        <v>45429</v>
      </c>
      <c r="C136" s="86" t="n">
        <v>0</v>
      </c>
      <c r="D136" s="86" t="n">
        <v>42829.41</v>
      </c>
      <c r="E136" s="86" t="inlineStr"/>
      <c r="F136" s="86" t="inlineStr">
        <is>
          <t>HDFC Securities - Sell</t>
        </is>
      </c>
      <c r="G136" s="32" t="n">
        <v>0.97</v>
      </c>
      <c r="H136" s="86" t="inlineStr">
        <is>
          <t>HDFC Securities</t>
        </is>
      </c>
      <c r="I136" s="86" t="inlineStr">
        <is>
          <t>HDFC 0094</t>
        </is>
      </c>
      <c r="J136" s="86" t="inlineStr">
        <is>
          <t>HSL</t>
        </is>
      </c>
      <c r="K136" s="86" t="inlineStr">
        <is>
          <t>NET PO FROM HSL A/C 523686-50200085415108</t>
        </is>
      </c>
      <c r="L136" s="86" t="inlineStr">
        <is>
          <t>HDFC Bank</t>
        </is>
      </c>
      <c r="M136" s="86" t="inlineStr"/>
    </row>
    <row r="137">
      <c r="A137" s="85" t="n">
        <v>45429</v>
      </c>
      <c r="B137" s="85" t="n">
        <v>45429</v>
      </c>
      <c r="C137" s="86" t="n">
        <v>0</v>
      </c>
      <c r="D137" s="86" t="n">
        <v>3449.38</v>
      </c>
      <c r="E137" s="86" t="inlineStr"/>
      <c r="F137" s="86" t="inlineStr">
        <is>
          <t>HDFC Securities - Sell</t>
        </is>
      </c>
      <c r="G137" s="32" t="n">
        <v>0.97</v>
      </c>
      <c r="H137" s="86" t="inlineStr">
        <is>
          <t>HDFC Securities</t>
        </is>
      </c>
      <c r="I137" s="86" t="inlineStr">
        <is>
          <t>HDFC 0094</t>
        </is>
      </c>
      <c r="J137" s="86" t="inlineStr">
        <is>
          <t>HSL</t>
        </is>
      </c>
      <c r="K137" s="86" t="inlineStr">
        <is>
          <t>NET PO FROM HSL A/C 523686-50200085415108</t>
        </is>
      </c>
      <c r="L137" s="86" t="inlineStr">
        <is>
          <t>HDFC Bank</t>
        </is>
      </c>
      <c r="M137" s="86" t="inlineStr"/>
    </row>
    <row r="138">
      <c r="A138" s="83" t="n">
        <v>45429</v>
      </c>
      <c r="B138" s="83" t="n">
        <v>45429</v>
      </c>
      <c r="C138" s="84" t="n">
        <v>9417.32</v>
      </c>
      <c r="D138" s="84" t="n">
        <v>0</v>
      </c>
      <c r="E138" s="84" t="inlineStr"/>
      <c r="F138" s="84" t="inlineStr">
        <is>
          <t>HDFC Securities - Buy</t>
        </is>
      </c>
      <c r="G138" s="32" t="n">
        <v>0.97</v>
      </c>
      <c r="H138" s="84" t="inlineStr">
        <is>
          <t>HDFC Securities</t>
        </is>
      </c>
      <c r="I138" s="84" t="inlineStr">
        <is>
          <t>HDFC 0094</t>
        </is>
      </c>
      <c r="J138" s="84" t="inlineStr">
        <is>
          <t>HSL</t>
        </is>
      </c>
      <c r="K138" s="84" t="inlineStr">
        <is>
          <t>NET PI TO HSL SEC A/C 523686-00602340029434</t>
        </is>
      </c>
      <c r="L138" s="84" t="inlineStr">
        <is>
          <t>HDFC Bank</t>
        </is>
      </c>
      <c r="M138" s="84" t="inlineStr"/>
    </row>
    <row r="139">
      <c r="A139" s="83" t="n">
        <v>45430</v>
      </c>
      <c r="B139" s="83" t="n">
        <v>45430</v>
      </c>
      <c r="C139" s="84" t="n">
        <v>291.09</v>
      </c>
      <c r="D139" s="84" t="n">
        <v>0</v>
      </c>
      <c r="E139" s="84" t="inlineStr"/>
      <c r="F139" s="84" t="inlineStr">
        <is>
          <t>HDFC Securities - Buy</t>
        </is>
      </c>
      <c r="G139" s="32" t="n">
        <v>0.97</v>
      </c>
      <c r="H139" s="84" t="inlineStr">
        <is>
          <t>HDFC Securities</t>
        </is>
      </c>
      <c r="I139" s="84" t="inlineStr">
        <is>
          <t>HDFC 0094</t>
        </is>
      </c>
      <c r="J139" s="84" t="inlineStr">
        <is>
          <t>HSL</t>
        </is>
      </c>
      <c r="K139" s="84" t="inlineStr">
        <is>
          <t>NET PI TO HSL SEC A/C 523686-00602340029434</t>
        </is>
      </c>
      <c r="L139" s="84" t="inlineStr">
        <is>
          <t>HDFC Bank</t>
        </is>
      </c>
      <c r="M139" s="84" t="inlineStr"/>
    </row>
    <row r="140">
      <c r="A140" s="83" t="n">
        <v>45433</v>
      </c>
      <c r="B140" s="83" t="n">
        <v>45433</v>
      </c>
      <c r="C140" s="84" t="n">
        <v>873.27</v>
      </c>
      <c r="D140" s="84" t="n">
        <v>0</v>
      </c>
      <c r="E140" s="84" t="inlineStr"/>
      <c r="F140" s="84" t="inlineStr">
        <is>
          <t>HDFC Securities - Buy</t>
        </is>
      </c>
      <c r="G140" s="32" t="n">
        <v>0.97</v>
      </c>
      <c r="H140" s="84" t="inlineStr">
        <is>
          <t>HDFC Securities</t>
        </is>
      </c>
      <c r="I140" s="84" t="inlineStr">
        <is>
          <t>HDFC 0094</t>
        </is>
      </c>
      <c r="J140" s="84" t="inlineStr">
        <is>
          <t>HSL</t>
        </is>
      </c>
      <c r="K140" s="84" t="inlineStr">
        <is>
          <t>NET PI TO HSL SEC A/C 523686-00602340029434</t>
        </is>
      </c>
      <c r="L140" s="84" t="inlineStr">
        <is>
          <t>HDFC Bank</t>
        </is>
      </c>
      <c r="M140" s="84" t="inlineStr"/>
    </row>
    <row r="141">
      <c r="A141" s="83" t="n">
        <v>45433</v>
      </c>
      <c r="B141" s="83" t="n">
        <v>45433</v>
      </c>
      <c r="C141" s="84" t="n">
        <v>45536.34</v>
      </c>
      <c r="D141" s="84" t="n">
        <v>0</v>
      </c>
      <c r="E141" s="84" t="inlineStr"/>
      <c r="F141" s="84" t="inlineStr">
        <is>
          <t>HDFC Securities - Buy</t>
        </is>
      </c>
      <c r="G141" s="32" t="n">
        <v>0.97</v>
      </c>
      <c r="H141" s="84" t="inlineStr">
        <is>
          <t>HDFC Securities</t>
        </is>
      </c>
      <c r="I141" s="84" t="inlineStr">
        <is>
          <t>HDFC 0094</t>
        </is>
      </c>
      <c r="J141" s="84" t="inlineStr">
        <is>
          <t>HSL</t>
        </is>
      </c>
      <c r="K141" s="84" t="inlineStr">
        <is>
          <t>NET PI TO HSL SEC A/C 523686-00602340029434</t>
        </is>
      </c>
      <c r="L141" s="84" t="inlineStr">
        <is>
          <t>HDFC Bank</t>
        </is>
      </c>
      <c r="M141" s="84" t="inlineStr"/>
    </row>
    <row r="142">
      <c r="A142" s="85" t="n">
        <v>45433</v>
      </c>
      <c r="B142" s="85" t="n">
        <v>45433</v>
      </c>
      <c r="C142" s="86" t="n">
        <v>0</v>
      </c>
      <c r="D142" s="86" t="n">
        <v>23334.72</v>
      </c>
      <c r="E142" s="86" t="inlineStr"/>
      <c r="F142" s="86" t="inlineStr">
        <is>
          <t>HDFC Securities - Sell</t>
        </is>
      </c>
      <c r="G142" s="32" t="n">
        <v>0.97</v>
      </c>
      <c r="H142" s="86" t="inlineStr">
        <is>
          <t>HDFC Securities</t>
        </is>
      </c>
      <c r="I142" s="86" t="inlineStr">
        <is>
          <t>HDFC 0094</t>
        </is>
      </c>
      <c r="J142" s="86" t="inlineStr">
        <is>
          <t>HSL</t>
        </is>
      </c>
      <c r="K142" s="86" t="inlineStr">
        <is>
          <t>NET PO FROM HSL A/C 523686-50200085415108</t>
        </is>
      </c>
      <c r="L142" s="86" t="inlineStr">
        <is>
          <t>HDFC Bank</t>
        </is>
      </c>
      <c r="M142" s="86" t="inlineStr"/>
    </row>
    <row r="143">
      <c r="A143" s="85" t="n">
        <v>45433</v>
      </c>
      <c r="B143" s="85" t="n">
        <v>45433</v>
      </c>
      <c r="C143" s="86" t="n">
        <v>0</v>
      </c>
      <c r="D143" s="86" t="n">
        <v>2558.71</v>
      </c>
      <c r="E143" s="86" t="inlineStr"/>
      <c r="F143" s="86" t="inlineStr">
        <is>
          <t>HDFC Securities - Sell</t>
        </is>
      </c>
      <c r="G143" s="32" t="n">
        <v>0.97</v>
      </c>
      <c r="H143" s="86" t="inlineStr">
        <is>
          <t>HDFC Securities</t>
        </is>
      </c>
      <c r="I143" s="86" t="inlineStr">
        <is>
          <t>HDFC 0094</t>
        </is>
      </c>
      <c r="J143" s="86" t="inlineStr">
        <is>
          <t>HSL</t>
        </is>
      </c>
      <c r="K143" s="86" t="inlineStr">
        <is>
          <t>NET PO FROM HSL A/C 523686-50200085415108</t>
        </is>
      </c>
      <c r="L143" s="86" t="inlineStr">
        <is>
          <t>HDFC Bank</t>
        </is>
      </c>
      <c r="M143" s="86" t="inlineStr"/>
    </row>
    <row r="144">
      <c r="A144" s="85" t="n">
        <v>45434</v>
      </c>
      <c r="B144" s="85" t="n">
        <v>45434</v>
      </c>
      <c r="C144" s="86" t="n">
        <v>0</v>
      </c>
      <c r="D144" s="86" t="n">
        <v>3073.48</v>
      </c>
      <c r="E144" s="86" t="inlineStr"/>
      <c r="F144" s="86" t="inlineStr">
        <is>
          <t>HDFC Securities - Sell</t>
        </is>
      </c>
      <c r="G144" s="32" t="n">
        <v>0.97</v>
      </c>
      <c r="H144" s="86" t="inlineStr">
        <is>
          <t>HDFC Securities</t>
        </is>
      </c>
      <c r="I144" s="86" t="inlineStr">
        <is>
          <t>HDFC 0094</t>
        </is>
      </c>
      <c r="J144" s="86" t="inlineStr">
        <is>
          <t>HSL</t>
        </is>
      </c>
      <c r="K144" s="86" t="inlineStr">
        <is>
          <t>NET PO FROM HSL A/C 523686-50200085415108</t>
        </is>
      </c>
      <c r="L144" s="86" t="inlineStr">
        <is>
          <t>HDFC Bank</t>
        </is>
      </c>
      <c r="M144" s="86" t="inlineStr"/>
    </row>
    <row r="145">
      <c r="A145" s="83" t="n">
        <v>45434</v>
      </c>
      <c r="B145" s="83" t="n">
        <v>45434</v>
      </c>
      <c r="C145" s="84" t="n">
        <v>289.36</v>
      </c>
      <c r="D145" s="84" t="n">
        <v>0</v>
      </c>
      <c r="E145" s="84" t="inlineStr"/>
      <c r="F145" s="84" t="inlineStr">
        <is>
          <t>HDFC Securities - Buy</t>
        </is>
      </c>
      <c r="G145" s="32" t="n">
        <v>0.97</v>
      </c>
      <c r="H145" s="84" t="inlineStr">
        <is>
          <t>HDFC Securities</t>
        </is>
      </c>
      <c r="I145" s="84" t="inlineStr">
        <is>
          <t>HDFC 0094</t>
        </is>
      </c>
      <c r="J145" s="84" t="inlineStr">
        <is>
          <t>HSL</t>
        </is>
      </c>
      <c r="K145" s="84" t="inlineStr">
        <is>
          <t>NET PI TO HSL SEC A/C 523686-00602340029434</t>
        </is>
      </c>
      <c r="L145" s="84" t="inlineStr">
        <is>
          <t>HDFC Bank</t>
        </is>
      </c>
      <c r="M145" s="84" t="inlineStr"/>
    </row>
    <row r="146">
      <c r="A146" s="83" t="n">
        <v>45434</v>
      </c>
      <c r="B146" s="83" t="n">
        <v>45434</v>
      </c>
      <c r="C146" s="84" t="n">
        <v>93700.02</v>
      </c>
      <c r="D146" s="84" t="n">
        <v>0</v>
      </c>
      <c r="E146" s="84" t="inlineStr"/>
      <c r="F146" s="84" t="inlineStr">
        <is>
          <t>HDFC Securities - Buy</t>
        </is>
      </c>
      <c r="G146" s="32" t="n">
        <v>0.97</v>
      </c>
      <c r="H146" s="84" t="inlineStr">
        <is>
          <t>HDFC Securities</t>
        </is>
      </c>
      <c r="I146" s="84" t="inlineStr">
        <is>
          <t>HDFC 0094</t>
        </is>
      </c>
      <c r="J146" s="84" t="inlineStr">
        <is>
          <t>HSL</t>
        </is>
      </c>
      <c r="K146" s="84" t="inlineStr">
        <is>
          <t>NET PI TO HSL SEC A/C 523686-00602340029434</t>
        </is>
      </c>
      <c r="L146" s="84" t="inlineStr">
        <is>
          <t>HDFC Bank</t>
        </is>
      </c>
      <c r="M146" s="84" t="inlineStr"/>
    </row>
    <row r="147">
      <c r="A147" s="38" t="n">
        <v>45435</v>
      </c>
      <c r="B147" s="38" t="n">
        <v>45435</v>
      </c>
      <c r="C147" s="39" t="n">
        <v>17.7</v>
      </c>
      <c r="D147" s="39" t="n">
        <v>0</v>
      </c>
      <c r="E147" s="39" t="inlineStr"/>
      <c r="F147" s="39" t="inlineStr">
        <is>
          <t>Bank Charges</t>
        </is>
      </c>
      <c r="G147" s="32" t="n">
        <v>0.9</v>
      </c>
      <c r="H147" s="39" t="inlineStr">
        <is>
          <t>Bank Charges</t>
        </is>
      </c>
      <c r="I147" s="39" t="inlineStr">
        <is>
          <t>HDFC 0094</t>
        </is>
      </c>
      <c r="J147" s="39" t="inlineStr">
        <is>
          <t>Bank Charges</t>
        </is>
      </c>
      <c r="K147" s="39" t="inlineStr">
        <is>
          <t>JANMAR24 INSTAALERTCHG 75 SMS 140524-MIR2514339549285</t>
        </is>
      </c>
      <c r="L147" s="39" t="inlineStr">
        <is>
          <t>HDFC Bank</t>
        </is>
      </c>
      <c r="M147" s="39" t="inlineStr"/>
    </row>
    <row r="148">
      <c r="A148" s="83" t="n">
        <v>45435</v>
      </c>
      <c r="B148" s="83" t="n">
        <v>45435</v>
      </c>
      <c r="C148" s="84" t="n">
        <v>313.62</v>
      </c>
      <c r="D148" s="84" t="n">
        <v>0</v>
      </c>
      <c r="E148" s="84" t="inlineStr"/>
      <c r="F148" s="84" t="inlineStr">
        <is>
          <t>HDFC Securities - Buy</t>
        </is>
      </c>
      <c r="G148" s="32" t="n">
        <v>0.97</v>
      </c>
      <c r="H148" s="84" t="inlineStr">
        <is>
          <t>HDFC Securities</t>
        </is>
      </c>
      <c r="I148" s="84" t="inlineStr">
        <is>
          <t>HDFC 0094</t>
        </is>
      </c>
      <c r="J148" s="84" t="inlineStr">
        <is>
          <t>HSL</t>
        </is>
      </c>
      <c r="K148" s="84" t="inlineStr">
        <is>
          <t>NET PI TO HSL SEC A/C 523686-00602340029434</t>
        </is>
      </c>
      <c r="L148" s="84" t="inlineStr">
        <is>
          <t>HDFC Bank</t>
        </is>
      </c>
      <c r="M148" s="84" t="inlineStr"/>
    </row>
    <row r="149">
      <c r="A149" s="42" t="n">
        <v>45436</v>
      </c>
      <c r="B149" s="42" t="n">
        <v>45436</v>
      </c>
      <c r="C149" s="43" t="n">
        <v>0</v>
      </c>
      <c r="D149" s="43" t="n">
        <v>418</v>
      </c>
      <c r="E149" s="43" t="inlineStr"/>
      <c r="F149" s="43" t="inlineStr">
        <is>
          <t>Dividend Income</t>
        </is>
      </c>
      <c r="G149" s="32" t="n">
        <v>0.88</v>
      </c>
      <c r="H149" s="43" t="inlineStr">
        <is>
          <t>Dividend Income</t>
        </is>
      </c>
      <c r="I149" s="43" t="inlineStr">
        <is>
          <t>HDFC 0094</t>
        </is>
      </c>
      <c r="J149" s="43" t="inlineStr">
        <is>
          <t>Dividend Income</t>
        </is>
      </c>
      <c r="K149" s="43" t="inlineStr">
        <is>
          <t>ACH C- COFORGE LTD-129002</t>
        </is>
      </c>
      <c r="L149" s="43" t="inlineStr">
        <is>
          <t>HDFC Bank</t>
        </is>
      </c>
      <c r="M149" s="43" t="inlineStr"/>
    </row>
    <row r="150">
      <c r="A150" s="42" t="n">
        <v>45436</v>
      </c>
      <c r="B150" s="42" t="n">
        <v>45436</v>
      </c>
      <c r="C150" s="43" t="n">
        <v>0</v>
      </c>
      <c r="D150" s="43" t="n">
        <v>84.56999999999999</v>
      </c>
      <c r="E150" s="43" t="inlineStr"/>
      <c r="F150" s="43" t="inlineStr">
        <is>
          <t>Dividend Income</t>
        </is>
      </c>
      <c r="G150" s="32" t="n">
        <v>0.85</v>
      </c>
      <c r="H150" s="43" t="inlineStr">
        <is>
          <t>Dividend Income</t>
        </is>
      </c>
      <c r="I150" s="43" t="inlineStr">
        <is>
          <t>HDFC 0094</t>
        </is>
      </c>
      <c r="J150" s="43" t="inlineStr">
        <is>
          <t>MF - Dividend</t>
        </is>
      </c>
      <c r="K150" s="43" t="inlineStr">
        <is>
          <t>NEFT CR-UTIB0000004-AXIS MUTUAL FUND DIVIDEND A/C-SUNITA GUPTA-AXISCN0629722256</t>
        </is>
      </c>
      <c r="L150" s="43" t="inlineStr">
        <is>
          <t>HDFC Bank</t>
        </is>
      </c>
      <c r="M150" s="43" t="inlineStr"/>
    </row>
    <row r="151">
      <c r="A151" s="42" t="n">
        <v>45436</v>
      </c>
      <c r="B151" s="42" t="n">
        <v>45436</v>
      </c>
      <c r="C151" s="43" t="n">
        <v>0</v>
      </c>
      <c r="D151" s="43" t="n">
        <v>2223</v>
      </c>
      <c r="E151" s="43" t="inlineStr"/>
      <c r="F151" s="43" t="inlineStr">
        <is>
          <t>Dividend Income</t>
        </is>
      </c>
      <c r="G151" s="32" t="n">
        <v>0.88</v>
      </c>
      <c r="H151" s="43" t="inlineStr">
        <is>
          <t>Dividend Income</t>
        </is>
      </c>
      <c r="I151" s="43" t="inlineStr">
        <is>
          <t>HDFC 0094</t>
        </is>
      </c>
      <c r="J151" s="43" t="inlineStr">
        <is>
          <t>Dividend Income</t>
        </is>
      </c>
      <c r="K151" s="43" t="inlineStr">
        <is>
          <t>ACH C- SANOFI INDIA DIV PMT-71PR24051801</t>
        </is>
      </c>
      <c r="L151" s="43" t="inlineStr">
        <is>
          <t>HDFC Bank</t>
        </is>
      </c>
      <c r="M151" s="43" t="inlineStr"/>
    </row>
    <row r="152">
      <c r="A152" s="83" t="n">
        <v>45436</v>
      </c>
      <c r="B152" s="83" t="n">
        <v>45436</v>
      </c>
      <c r="C152" s="84" t="n">
        <v>313.62</v>
      </c>
      <c r="D152" s="84" t="n">
        <v>0</v>
      </c>
      <c r="E152" s="84" t="inlineStr"/>
      <c r="F152" s="84" t="inlineStr">
        <is>
          <t>HDFC Securities - Buy</t>
        </is>
      </c>
      <c r="G152" s="32" t="n">
        <v>0.97</v>
      </c>
      <c r="H152" s="84" t="inlineStr">
        <is>
          <t>HDFC Securities</t>
        </is>
      </c>
      <c r="I152" s="84" t="inlineStr">
        <is>
          <t>HDFC 0094</t>
        </is>
      </c>
      <c r="J152" s="84" t="inlineStr">
        <is>
          <t>HSL</t>
        </is>
      </c>
      <c r="K152" s="84" t="inlineStr">
        <is>
          <t>NET PI TO HSL SEC A/C 523686-00602340029434</t>
        </is>
      </c>
      <c r="L152" s="84" t="inlineStr">
        <is>
          <t>HDFC Bank</t>
        </is>
      </c>
      <c r="M152" s="84" t="inlineStr"/>
    </row>
    <row r="153">
      <c r="A153" s="85" t="n">
        <v>45436</v>
      </c>
      <c r="B153" s="85" t="n">
        <v>45436</v>
      </c>
      <c r="C153" s="86" t="n">
        <v>0</v>
      </c>
      <c r="D153" s="86" t="n">
        <v>35498.65</v>
      </c>
      <c r="E153" s="86" t="inlineStr"/>
      <c r="F153" s="86" t="inlineStr">
        <is>
          <t>HDFC Securities - Sell</t>
        </is>
      </c>
      <c r="G153" s="32" t="n">
        <v>0.97</v>
      </c>
      <c r="H153" s="86" t="inlineStr">
        <is>
          <t>HDFC Securities</t>
        </is>
      </c>
      <c r="I153" s="86" t="inlineStr">
        <is>
          <t>HDFC 0094</t>
        </is>
      </c>
      <c r="J153" s="86" t="inlineStr">
        <is>
          <t>HSL</t>
        </is>
      </c>
      <c r="K153" s="86" t="inlineStr">
        <is>
          <t>NET PO FROM HSL A/C 523686-50200085415108</t>
        </is>
      </c>
      <c r="L153" s="86" t="inlineStr">
        <is>
          <t>HDFC Bank</t>
        </is>
      </c>
      <c r="M153" s="86" t="inlineStr"/>
    </row>
    <row r="154">
      <c r="A154" s="85" t="n">
        <v>45436</v>
      </c>
      <c r="B154" s="85" t="n">
        <v>45436</v>
      </c>
      <c r="C154" s="86" t="n">
        <v>0</v>
      </c>
      <c r="D154" s="86" t="n">
        <v>31015.36</v>
      </c>
      <c r="E154" s="86" t="inlineStr"/>
      <c r="F154" s="86" t="inlineStr">
        <is>
          <t>HDFC Securities - Sell</t>
        </is>
      </c>
      <c r="G154" s="32" t="n">
        <v>0.97</v>
      </c>
      <c r="H154" s="86" t="inlineStr">
        <is>
          <t>HDFC Securities</t>
        </is>
      </c>
      <c r="I154" s="86" t="inlineStr">
        <is>
          <t>HDFC 0094</t>
        </is>
      </c>
      <c r="J154" s="86" t="inlineStr">
        <is>
          <t>HSL</t>
        </is>
      </c>
      <c r="K154" s="86" t="inlineStr">
        <is>
          <t>NET PO FROM HSL A/C 523686-50200085415108</t>
        </is>
      </c>
      <c r="L154" s="86" t="inlineStr">
        <is>
          <t>HDFC Bank</t>
        </is>
      </c>
      <c r="M154" s="86" t="inlineStr"/>
    </row>
    <row r="155">
      <c r="A155" s="36" t="n">
        <v>45436</v>
      </c>
      <c r="B155" s="36" t="n">
        <v>45436</v>
      </c>
      <c r="C155" s="37" t="n">
        <v>30000</v>
      </c>
      <c r="D155" s="37" t="n">
        <v>0</v>
      </c>
      <c r="E155" s="37" t="inlineStr"/>
      <c r="F155" s="37" t="inlineStr">
        <is>
          <t>Transfer - Ajay Gupta</t>
        </is>
      </c>
      <c r="G155" s="32" t="n">
        <v>0.88</v>
      </c>
      <c r="H155" s="37" t="inlineStr">
        <is>
          <t>Ajay Gupta</t>
        </is>
      </c>
      <c r="I155" s="37" t="inlineStr">
        <is>
          <t>AXIS 7042</t>
        </is>
      </c>
      <c r="J155" s="37" t="inlineStr">
        <is>
          <t>Transfer from Ajay</t>
        </is>
      </c>
      <c r="K155" s="37" t="inlineStr">
        <is>
          <t>INB/IFT/Ajay Kumar Gupta/TPARTY TRANSFER</t>
        </is>
      </c>
      <c r="L155" s="37" t="inlineStr">
        <is>
          <t>Axis Bank</t>
        </is>
      </c>
      <c r="M155" s="37" t="inlineStr"/>
    </row>
    <row r="156">
      <c r="A156" s="83" t="n">
        <v>45437</v>
      </c>
      <c r="B156" s="83" t="n">
        <v>45437</v>
      </c>
      <c r="C156" s="84" t="n">
        <v>47642.67</v>
      </c>
      <c r="D156" s="84" t="n">
        <v>0</v>
      </c>
      <c r="E156" s="84" t="inlineStr"/>
      <c r="F156" s="84" t="inlineStr">
        <is>
          <t>HDFC Securities - Buy</t>
        </is>
      </c>
      <c r="G156" s="32" t="n">
        <v>0.97</v>
      </c>
      <c r="H156" s="84" t="inlineStr">
        <is>
          <t>HDFC Securities</t>
        </is>
      </c>
      <c r="I156" s="84" t="inlineStr">
        <is>
          <t>HDFC 0094</t>
        </is>
      </c>
      <c r="J156" s="84" t="inlineStr">
        <is>
          <t>HSL</t>
        </is>
      </c>
      <c r="K156" s="84" t="inlineStr">
        <is>
          <t>NET PI TO HSL SEC A/C 523686-00602340029434</t>
        </is>
      </c>
      <c r="L156" s="84" t="inlineStr">
        <is>
          <t>HDFC Bank</t>
        </is>
      </c>
      <c r="M156" s="84" t="inlineStr"/>
    </row>
    <row r="157">
      <c r="A157" s="64" t="n">
        <v>45437</v>
      </c>
      <c r="B157" s="64" t="n">
        <v>45437</v>
      </c>
      <c r="C157" s="65" t="n">
        <v>21011</v>
      </c>
      <c r="D157" s="65" t="n">
        <v>0</v>
      </c>
      <c r="E157" s="65" t="inlineStr"/>
      <c r="F157" s="65" t="inlineStr">
        <is>
          <t>SIP</t>
        </is>
      </c>
      <c r="G157" s="32" t="n">
        <v>0.9</v>
      </c>
      <c r="H157" s="65" t="inlineStr">
        <is>
          <t>SIP</t>
        </is>
      </c>
      <c r="I157" s="65" t="inlineStr">
        <is>
          <t>HDFC 0094</t>
        </is>
      </c>
      <c r="J157" s="65" t="inlineStr">
        <is>
          <t>Electricity Bill</t>
        </is>
      </c>
      <c r="K157" s="65" t="inlineStr">
        <is>
          <t>YHDF2336954200/BILLDKTHECALCUTTAELE</t>
        </is>
      </c>
      <c r="L157" s="65" t="inlineStr">
        <is>
          <t>HDFC Bank</t>
        </is>
      </c>
      <c r="M157" s="65" t="inlineStr"/>
    </row>
    <row r="158">
      <c r="A158" s="64" t="n">
        <v>45439</v>
      </c>
      <c r="B158" s="64" t="n">
        <v>45439</v>
      </c>
      <c r="C158" s="65" t="n">
        <v>10000</v>
      </c>
      <c r="D158" s="65" t="n">
        <v>0</v>
      </c>
      <c r="E158" s="65" t="inlineStr"/>
      <c r="F158" s="65" t="inlineStr">
        <is>
          <t>MF Investment</t>
        </is>
      </c>
      <c r="G158" s="32" t="n">
        <v>0.92</v>
      </c>
      <c r="H158" s="65" t="inlineStr">
        <is>
          <t>Mutual_Fund_Investments</t>
        </is>
      </c>
      <c r="I158" s="65" t="inlineStr">
        <is>
          <t>HDFC 0094</t>
        </is>
      </c>
      <c r="J158" s="65" t="inlineStr">
        <is>
          <t>SIP  - 10000</t>
        </is>
      </c>
      <c r="K158" s="65" t="inlineStr">
        <is>
          <t>ACH D- INDIAN CLEARING CORP-P25847643X05</t>
        </is>
      </c>
      <c r="L158" s="65" t="inlineStr">
        <is>
          <t>HDFC Bank</t>
        </is>
      </c>
      <c r="M158" s="65" t="inlineStr"/>
    </row>
    <row r="159">
      <c r="A159" s="83" t="n">
        <v>45439</v>
      </c>
      <c r="B159" s="83" t="n">
        <v>45439</v>
      </c>
      <c r="C159" s="84" t="n">
        <v>1076.1</v>
      </c>
      <c r="D159" s="84" t="n">
        <v>0</v>
      </c>
      <c r="E159" s="84" t="inlineStr"/>
      <c r="F159" s="84" t="inlineStr">
        <is>
          <t>HDFC Securities - Buy</t>
        </is>
      </c>
      <c r="G159" s="32" t="n">
        <v>0.97</v>
      </c>
      <c r="H159" s="84" t="inlineStr">
        <is>
          <t>HDFC Securities</t>
        </is>
      </c>
      <c r="I159" s="84" t="inlineStr">
        <is>
          <t>HDFC 0094</t>
        </is>
      </c>
      <c r="J159" s="84" t="inlineStr">
        <is>
          <t>HSL</t>
        </is>
      </c>
      <c r="K159" s="84" t="inlineStr">
        <is>
          <t>NET PI TO HSL SEC A/C 523686-00602340029434</t>
        </is>
      </c>
      <c r="L159" s="84" t="inlineStr">
        <is>
          <t>HDFC Bank</t>
        </is>
      </c>
      <c r="M159" s="84" t="inlineStr"/>
    </row>
    <row r="160">
      <c r="A160" s="83" t="n">
        <v>45440</v>
      </c>
      <c r="B160" s="83" t="n">
        <v>45440</v>
      </c>
      <c r="C160" s="84" t="n">
        <v>9647.780000000001</v>
      </c>
      <c r="D160" s="84" t="n">
        <v>0</v>
      </c>
      <c r="E160" s="84" t="inlineStr"/>
      <c r="F160" s="84" t="inlineStr">
        <is>
          <t>HDFC Securities - Buy</t>
        </is>
      </c>
      <c r="G160" s="32" t="n">
        <v>0.97</v>
      </c>
      <c r="H160" s="84" t="inlineStr">
        <is>
          <t>HDFC Securities</t>
        </is>
      </c>
      <c r="I160" s="84" t="inlineStr">
        <is>
          <t>HDFC 0094</t>
        </is>
      </c>
      <c r="J160" s="84" t="inlineStr">
        <is>
          <t>HSL</t>
        </is>
      </c>
      <c r="K160" s="84" t="inlineStr">
        <is>
          <t>NET PI TO HSL SEC A/C 523686-00602340029434</t>
        </is>
      </c>
      <c r="L160" s="84" t="inlineStr">
        <is>
          <t>HDFC Bank</t>
        </is>
      </c>
      <c r="M160" s="84" t="inlineStr"/>
    </row>
    <row r="161">
      <c r="A161" s="85" t="n">
        <v>45440</v>
      </c>
      <c r="B161" s="85" t="n">
        <v>45440</v>
      </c>
      <c r="C161" s="86" t="n">
        <v>0</v>
      </c>
      <c r="D161" s="86" t="n">
        <v>29701.18</v>
      </c>
      <c r="E161" s="86" t="inlineStr"/>
      <c r="F161" s="86" t="inlineStr">
        <is>
          <t>HDFC Securities - Sell</t>
        </is>
      </c>
      <c r="G161" s="32" t="n">
        <v>0.97</v>
      </c>
      <c r="H161" s="86" t="inlineStr">
        <is>
          <t>HDFC Securities</t>
        </is>
      </c>
      <c r="I161" s="86" t="inlineStr">
        <is>
          <t>HDFC 0094</t>
        </is>
      </c>
      <c r="J161" s="86" t="inlineStr">
        <is>
          <t>HSL</t>
        </is>
      </c>
      <c r="K161" s="86" t="inlineStr">
        <is>
          <t>NET PO FROM HSL A/C 523686-50200085415108</t>
        </is>
      </c>
      <c r="L161" s="86" t="inlineStr">
        <is>
          <t>HDFC Bank</t>
        </is>
      </c>
      <c r="M161" s="86" t="inlineStr"/>
    </row>
    <row r="162">
      <c r="A162" s="83" t="n">
        <v>45440</v>
      </c>
      <c r="B162" s="83" t="n">
        <v>45440</v>
      </c>
      <c r="C162" s="84" t="n">
        <v>398.19</v>
      </c>
      <c r="D162" s="84" t="n">
        <v>0</v>
      </c>
      <c r="E162" s="84" t="inlineStr"/>
      <c r="F162" s="84" t="inlineStr">
        <is>
          <t>HDFC Securities - Buy</t>
        </is>
      </c>
      <c r="G162" s="32" t="n">
        <v>0.97</v>
      </c>
      <c r="H162" s="84" t="inlineStr">
        <is>
          <t>HDFC Securities</t>
        </is>
      </c>
      <c r="I162" s="84" t="inlineStr">
        <is>
          <t>HDFC 0094</t>
        </is>
      </c>
      <c r="J162" s="84" t="inlineStr">
        <is>
          <t>HSL</t>
        </is>
      </c>
      <c r="K162" s="84" t="inlineStr">
        <is>
          <t>NET PI TO HSL SEC A/C 523686-00602340029434</t>
        </is>
      </c>
      <c r="L162" s="84" t="inlineStr">
        <is>
          <t>HDFC Bank</t>
        </is>
      </c>
      <c r="M162" s="84" t="inlineStr"/>
    </row>
    <row r="163">
      <c r="A163" s="85" t="n">
        <v>45440</v>
      </c>
      <c r="B163" s="85" t="n">
        <v>45440</v>
      </c>
      <c r="C163" s="86" t="n">
        <v>0</v>
      </c>
      <c r="D163" s="86" t="n">
        <v>4569.77</v>
      </c>
      <c r="E163" s="86" t="inlineStr"/>
      <c r="F163" s="86" t="inlineStr">
        <is>
          <t>HDFC Securities - Sell</t>
        </is>
      </c>
      <c r="G163" s="32" t="n">
        <v>0.97</v>
      </c>
      <c r="H163" s="86" t="inlineStr">
        <is>
          <t>HDFC Securities</t>
        </is>
      </c>
      <c r="I163" s="86" t="inlineStr">
        <is>
          <t>HDFC 0094</t>
        </is>
      </c>
      <c r="J163" s="86" t="inlineStr">
        <is>
          <t>HSL</t>
        </is>
      </c>
      <c r="K163" s="86" t="inlineStr">
        <is>
          <t>NET PO FROM HSL A/C 523686-50200085415108</t>
        </is>
      </c>
      <c r="L163" s="86" t="inlineStr">
        <is>
          <t>HDFC Bank</t>
        </is>
      </c>
      <c r="M163" s="86" t="inlineStr"/>
    </row>
    <row r="164">
      <c r="A164" s="83" t="n">
        <v>45441</v>
      </c>
      <c r="B164" s="83" t="n">
        <v>45441</v>
      </c>
      <c r="C164" s="84" t="n">
        <v>392.56</v>
      </c>
      <c r="D164" s="84" t="n">
        <v>0</v>
      </c>
      <c r="E164" s="84" t="inlineStr"/>
      <c r="F164" s="84" t="inlineStr">
        <is>
          <t>HDFC Securities - Buy</t>
        </is>
      </c>
      <c r="G164" s="32" t="n">
        <v>0.97</v>
      </c>
      <c r="H164" s="84" t="inlineStr">
        <is>
          <t>HDFC Securities</t>
        </is>
      </c>
      <c r="I164" s="84" t="inlineStr">
        <is>
          <t>HDFC 0094</t>
        </is>
      </c>
      <c r="J164" s="84" t="inlineStr">
        <is>
          <t>HSL</t>
        </is>
      </c>
      <c r="K164" s="84" t="inlineStr">
        <is>
          <t>NET PI TO HSL SEC A/C 523686-00602340029434</t>
        </is>
      </c>
      <c r="L164" s="84" t="inlineStr">
        <is>
          <t>HDFC Bank</t>
        </is>
      </c>
      <c r="M164" s="84" t="inlineStr"/>
    </row>
    <row r="165">
      <c r="A165" s="85" t="n">
        <v>45441</v>
      </c>
      <c r="B165" s="85" t="n">
        <v>45441</v>
      </c>
      <c r="C165" s="86" t="n">
        <v>0</v>
      </c>
      <c r="D165" s="86" t="n">
        <v>31189.97</v>
      </c>
      <c r="E165" s="86" t="inlineStr"/>
      <c r="F165" s="86" t="inlineStr">
        <is>
          <t>HDFC Securities - Sell</t>
        </is>
      </c>
      <c r="G165" s="32" t="n">
        <v>0.97</v>
      </c>
      <c r="H165" s="86" t="inlineStr">
        <is>
          <t>HDFC Securities</t>
        </is>
      </c>
      <c r="I165" s="86" t="inlineStr">
        <is>
          <t>HDFC 0094</t>
        </is>
      </c>
      <c r="J165" s="86" t="inlineStr">
        <is>
          <t>HSL</t>
        </is>
      </c>
      <c r="K165" s="86" t="inlineStr">
        <is>
          <t>NET PO FROM HSL A/C 523686-50200085415108</t>
        </is>
      </c>
      <c r="L165" s="86" t="inlineStr">
        <is>
          <t>HDFC Bank</t>
        </is>
      </c>
      <c r="M165" s="86" t="inlineStr"/>
    </row>
    <row r="166">
      <c r="A166" s="66" t="n">
        <v>45441</v>
      </c>
      <c r="B166" s="66" t="n">
        <v>45441</v>
      </c>
      <c r="C166" s="67" t="n">
        <v>30000</v>
      </c>
      <c r="D166" s="67" t="n">
        <v>0</v>
      </c>
      <c r="E166" s="67" t="inlineStr"/>
      <c r="F166" s="67" t="inlineStr">
        <is>
          <t>Transfer - Archit Gupta</t>
        </is>
      </c>
      <c r="G166" s="32" t="n">
        <v>0.85</v>
      </c>
      <c r="H166" s="67" t="inlineStr">
        <is>
          <t>Archit Gupta</t>
        </is>
      </c>
      <c r="I166" s="67" t="inlineStr">
        <is>
          <t>HDFC 0094</t>
        </is>
      </c>
      <c r="J166" s="67" t="inlineStr">
        <is>
          <t>Transfer from Archit</t>
        </is>
      </c>
      <c r="K166" s="67" t="inlineStr">
        <is>
          <t>50100542230922-TPT-BORROW BY ARCHIT-ARCHIT GUPTA</t>
        </is>
      </c>
      <c r="L166" s="67" t="inlineStr">
        <is>
          <t>HDFC Bank</t>
        </is>
      </c>
      <c r="M166" s="67" t="inlineStr"/>
    </row>
    <row r="167">
      <c r="A167" s="83" t="n">
        <v>45442</v>
      </c>
      <c r="B167" s="83" t="n">
        <v>45442</v>
      </c>
      <c r="C167" s="84" t="n">
        <v>392.56</v>
      </c>
      <c r="D167" s="84" t="n">
        <v>0</v>
      </c>
      <c r="E167" s="84" t="inlineStr"/>
      <c r="F167" s="84" t="inlineStr">
        <is>
          <t>HDFC Securities - Buy</t>
        </is>
      </c>
      <c r="G167" s="32" t="n">
        <v>0.97</v>
      </c>
      <c r="H167" s="84" t="inlineStr">
        <is>
          <t>HDFC Securities</t>
        </is>
      </c>
      <c r="I167" s="84" t="inlineStr">
        <is>
          <t>HDFC 0094</t>
        </is>
      </c>
      <c r="J167" s="84" t="inlineStr">
        <is>
          <t>HSL</t>
        </is>
      </c>
      <c r="K167" s="84" t="inlineStr">
        <is>
          <t>NET PI TO HSL SEC A/C 523686-00602340029434</t>
        </is>
      </c>
      <c r="L167" s="84" t="inlineStr">
        <is>
          <t>HDFC Bank</t>
        </is>
      </c>
      <c r="M167" s="84" t="inlineStr"/>
    </row>
    <row r="168">
      <c r="A168" s="83" t="n">
        <v>45442</v>
      </c>
      <c r="B168" s="83" t="n">
        <v>45442</v>
      </c>
      <c r="C168" s="84" t="n">
        <v>18904.07</v>
      </c>
      <c r="D168" s="84" t="n">
        <v>0</v>
      </c>
      <c r="E168" s="84" t="inlineStr"/>
      <c r="F168" s="84" t="inlineStr">
        <is>
          <t>HDFC Securities - Buy</t>
        </is>
      </c>
      <c r="G168" s="32" t="n">
        <v>0.97</v>
      </c>
      <c r="H168" s="84" t="inlineStr">
        <is>
          <t>HDFC Securities</t>
        </is>
      </c>
      <c r="I168" s="84" t="inlineStr">
        <is>
          <t>HDFC 0094</t>
        </is>
      </c>
      <c r="J168" s="84" t="inlineStr">
        <is>
          <t>HSL</t>
        </is>
      </c>
      <c r="K168" s="84" t="inlineStr">
        <is>
          <t>NET PI TO HSL SEC A/C 523686-00602340029434</t>
        </is>
      </c>
      <c r="L168" s="84" t="inlineStr">
        <is>
          <t>HDFC Bank</t>
        </is>
      </c>
      <c r="M168" s="84" t="inlineStr"/>
    </row>
    <row r="169">
      <c r="A169" s="85" t="n">
        <v>45442</v>
      </c>
      <c r="B169" s="85" t="n">
        <v>45442</v>
      </c>
      <c r="C169" s="86" t="n">
        <v>0</v>
      </c>
      <c r="D169" s="86" t="n">
        <v>17962.1</v>
      </c>
      <c r="E169" s="86" t="inlineStr"/>
      <c r="F169" s="86" t="inlineStr">
        <is>
          <t>HDFC Securities - Sell</t>
        </is>
      </c>
      <c r="G169" s="32" t="n">
        <v>0.97</v>
      </c>
      <c r="H169" s="86" t="inlineStr">
        <is>
          <t>HDFC Securities</t>
        </is>
      </c>
      <c r="I169" s="86" t="inlineStr">
        <is>
          <t>HDFC 0094</t>
        </is>
      </c>
      <c r="J169" s="86" t="inlineStr">
        <is>
          <t>HSL</t>
        </is>
      </c>
      <c r="K169" s="86" t="inlineStr">
        <is>
          <t>NET PO FROM HSL A/C 523686-50200085415108</t>
        </is>
      </c>
      <c r="L169" s="86" t="inlineStr">
        <is>
          <t>HDFC Bank</t>
        </is>
      </c>
      <c r="M169" s="86" t="inlineStr"/>
    </row>
    <row r="170">
      <c r="A170" s="83" t="n">
        <v>45443</v>
      </c>
      <c r="B170" s="83" t="n">
        <v>45443</v>
      </c>
      <c r="C170" s="84" t="n">
        <v>380.68</v>
      </c>
      <c r="D170" s="84" t="n">
        <v>0</v>
      </c>
      <c r="E170" s="84" t="inlineStr"/>
      <c r="F170" s="84" t="inlineStr">
        <is>
          <t>HDFC Securities - Buy</t>
        </is>
      </c>
      <c r="G170" s="32" t="n">
        <v>0.97</v>
      </c>
      <c r="H170" s="84" t="inlineStr">
        <is>
          <t>HDFC Securities</t>
        </is>
      </c>
      <c r="I170" s="84" t="inlineStr">
        <is>
          <t>HDFC 0094</t>
        </is>
      </c>
      <c r="J170" s="84" t="inlineStr">
        <is>
          <t>HSL</t>
        </is>
      </c>
      <c r="K170" s="84" t="inlineStr">
        <is>
          <t>NET PI TO HSL SEC A/C 523686-00602340029434</t>
        </is>
      </c>
      <c r="L170" s="84" t="inlineStr">
        <is>
          <t>HDFC Bank</t>
        </is>
      </c>
      <c r="M170" s="84" t="inlineStr"/>
    </row>
    <row r="171">
      <c r="A171" s="83" t="n">
        <v>45443</v>
      </c>
      <c r="B171" s="83" t="n">
        <v>45443</v>
      </c>
      <c r="C171" s="84" t="n">
        <v>39887.86</v>
      </c>
      <c r="D171" s="84" t="n">
        <v>0</v>
      </c>
      <c r="E171" s="84" t="inlineStr"/>
      <c r="F171" s="84" t="inlineStr">
        <is>
          <t>HDFC Securities - Buy</t>
        </is>
      </c>
      <c r="G171" s="32" t="n">
        <v>0.97</v>
      </c>
      <c r="H171" s="84" t="inlineStr">
        <is>
          <t>HDFC Securities</t>
        </is>
      </c>
      <c r="I171" s="84" t="inlineStr">
        <is>
          <t>HDFC 0094</t>
        </is>
      </c>
      <c r="J171" s="84" t="inlineStr">
        <is>
          <t>HSL</t>
        </is>
      </c>
      <c r="K171" s="84" t="inlineStr">
        <is>
          <t>NET PI TO HSL SEC A/C 523686-00602340029434</t>
        </is>
      </c>
      <c r="L171" s="84" t="inlineStr">
        <is>
          <t>HDFC Bank</t>
        </is>
      </c>
      <c r="M171" s="84" t="inlineStr"/>
    </row>
    <row r="172">
      <c r="A172" s="83" t="n">
        <v>45446</v>
      </c>
      <c r="B172" s="83" t="n">
        <v>45446</v>
      </c>
      <c r="C172" s="84" t="n">
        <v>1158.51</v>
      </c>
      <c r="D172" s="84" t="n">
        <v>0</v>
      </c>
      <c r="E172" s="84" t="inlineStr"/>
      <c r="F172" s="84" t="inlineStr">
        <is>
          <t>HDFC Securities - Buy</t>
        </is>
      </c>
      <c r="G172" s="32" t="n">
        <v>0.97</v>
      </c>
      <c r="H172" s="84" t="inlineStr">
        <is>
          <t>HDFC Securities</t>
        </is>
      </c>
      <c r="I172" s="84" t="inlineStr">
        <is>
          <t>HDFC 0094</t>
        </is>
      </c>
      <c r="J172" s="84" t="inlineStr">
        <is>
          <t>HSL</t>
        </is>
      </c>
      <c r="K172" s="84" t="inlineStr">
        <is>
          <t>NET PI TO HSL SEC A/C 523686-00602340029434</t>
        </is>
      </c>
      <c r="L172" s="84" t="inlineStr">
        <is>
          <t>HDFC Bank</t>
        </is>
      </c>
      <c r="M172" s="84" t="inlineStr"/>
    </row>
    <row r="173">
      <c r="A173" s="85" t="n">
        <v>45446</v>
      </c>
      <c r="B173" s="85" t="n">
        <v>45446</v>
      </c>
      <c r="C173" s="86" t="n">
        <v>0</v>
      </c>
      <c r="D173" s="86" t="n">
        <v>19286.45</v>
      </c>
      <c r="E173" s="86" t="inlineStr"/>
      <c r="F173" s="86" t="inlineStr">
        <is>
          <t>HDFC Securities - Sell</t>
        </is>
      </c>
      <c r="G173" s="32" t="n">
        <v>0.97</v>
      </c>
      <c r="H173" s="86" t="inlineStr">
        <is>
          <t>HDFC Securities</t>
        </is>
      </c>
      <c r="I173" s="86" t="inlineStr">
        <is>
          <t>HDFC 0094</t>
        </is>
      </c>
      <c r="J173" s="86" t="inlineStr">
        <is>
          <t>HSL</t>
        </is>
      </c>
      <c r="K173" s="86" t="inlineStr">
        <is>
          <t>NET PO FROM HSL A/C 523686-50200085415108</t>
        </is>
      </c>
      <c r="L173" s="86" t="inlineStr">
        <is>
          <t>HDFC Bank</t>
        </is>
      </c>
      <c r="M173" s="86" t="inlineStr"/>
    </row>
    <row r="174">
      <c r="A174" s="83" t="n">
        <v>45447</v>
      </c>
      <c r="B174" s="83" t="n">
        <v>45447</v>
      </c>
      <c r="C174" s="84" t="n">
        <v>29431.78</v>
      </c>
      <c r="D174" s="84" t="n">
        <v>0</v>
      </c>
      <c r="E174" s="84" t="inlineStr"/>
      <c r="F174" s="84" t="inlineStr">
        <is>
          <t>HDFC Securities - Buy</t>
        </is>
      </c>
      <c r="G174" s="32" t="n">
        <v>0.97</v>
      </c>
      <c r="H174" s="84" t="inlineStr">
        <is>
          <t>HDFC Securities</t>
        </is>
      </c>
      <c r="I174" s="84" t="inlineStr">
        <is>
          <t>HDFC 0094</t>
        </is>
      </c>
      <c r="J174" s="84" t="inlineStr">
        <is>
          <t>HSL</t>
        </is>
      </c>
      <c r="K174" s="84" t="inlineStr">
        <is>
          <t>NET PI TO HSL SEC A/C 523686-00602340029434</t>
        </is>
      </c>
      <c r="L174" s="84" t="inlineStr">
        <is>
          <t>HDFC Bank</t>
        </is>
      </c>
      <c r="M174" s="84" t="inlineStr"/>
    </row>
    <row r="175">
      <c r="A175" s="42" t="n">
        <v>45447</v>
      </c>
      <c r="B175" s="42" t="n">
        <v>45447</v>
      </c>
      <c r="C175" s="43" t="n">
        <v>0</v>
      </c>
      <c r="D175" s="43" t="n">
        <v>448</v>
      </c>
      <c r="E175" s="43" t="inlineStr"/>
      <c r="F175" s="43" t="inlineStr">
        <is>
          <t>Dividend Income</t>
        </is>
      </c>
      <c r="G175" s="32" t="n">
        <v>0.88</v>
      </c>
      <c r="H175" s="43" t="inlineStr">
        <is>
          <t>Dividend Income</t>
        </is>
      </c>
      <c r="I175" s="43" t="inlineStr">
        <is>
          <t>HDFC 0094</t>
        </is>
      </c>
      <c r="J175" s="43" t="inlineStr">
        <is>
          <t>Dividend Income</t>
        </is>
      </c>
      <c r="K175" s="43" t="inlineStr">
        <is>
          <t>ACH C- TCSFINDIV040624-885329</t>
        </is>
      </c>
      <c r="L175" s="43" t="inlineStr">
        <is>
          <t>HDFC Bank</t>
        </is>
      </c>
      <c r="M175" s="43" t="inlineStr"/>
    </row>
    <row r="176">
      <c r="A176" s="83" t="n">
        <v>45447</v>
      </c>
      <c r="B176" s="83" t="n">
        <v>45447</v>
      </c>
      <c r="C176" s="84" t="n">
        <v>380.63</v>
      </c>
      <c r="D176" s="84" t="n">
        <v>0</v>
      </c>
      <c r="E176" s="84" t="inlineStr"/>
      <c r="F176" s="84" t="inlineStr">
        <is>
          <t>HDFC Securities - Buy</t>
        </is>
      </c>
      <c r="G176" s="32" t="n">
        <v>0.97</v>
      </c>
      <c r="H176" s="84" t="inlineStr">
        <is>
          <t>HDFC Securities</t>
        </is>
      </c>
      <c r="I176" s="84" t="inlineStr">
        <is>
          <t>HDFC 0094</t>
        </is>
      </c>
      <c r="J176" s="84" t="inlineStr">
        <is>
          <t>HSL</t>
        </is>
      </c>
      <c r="K176" s="84" t="inlineStr">
        <is>
          <t>NET PI TO HSL SEC A/C 523686-00602340029434</t>
        </is>
      </c>
      <c r="L176" s="84" t="inlineStr">
        <is>
          <t>HDFC Bank</t>
        </is>
      </c>
      <c r="M176" s="84" t="inlineStr"/>
    </row>
    <row r="177">
      <c r="A177" s="85" t="n">
        <v>45447</v>
      </c>
      <c r="B177" s="85" t="n">
        <v>45447</v>
      </c>
      <c r="C177" s="86" t="n">
        <v>0</v>
      </c>
      <c r="D177" s="86" t="n">
        <v>1329.76</v>
      </c>
      <c r="E177" s="86" t="inlineStr"/>
      <c r="F177" s="86" t="inlineStr">
        <is>
          <t>HDFC Securities - Sell</t>
        </is>
      </c>
      <c r="G177" s="32" t="n">
        <v>0.97</v>
      </c>
      <c r="H177" s="86" t="inlineStr">
        <is>
          <t>HDFC Securities</t>
        </is>
      </c>
      <c r="I177" s="86" t="inlineStr">
        <is>
          <t>HDFC 0094</t>
        </is>
      </c>
      <c r="J177" s="86" t="inlineStr">
        <is>
          <t>HSL</t>
        </is>
      </c>
      <c r="K177" s="86" t="inlineStr">
        <is>
          <t>NET PO FROM HSL A/C 523686-50200085415108</t>
        </is>
      </c>
      <c r="L177" s="86" t="inlineStr">
        <is>
          <t>HDFC Bank</t>
        </is>
      </c>
      <c r="M177" s="86" t="inlineStr"/>
    </row>
    <row r="178">
      <c r="A178" s="83" t="n">
        <v>45448</v>
      </c>
      <c r="B178" s="83" t="n">
        <v>45448</v>
      </c>
      <c r="C178" s="84" t="n">
        <v>23134.5</v>
      </c>
      <c r="D178" s="84" t="n">
        <v>0</v>
      </c>
      <c r="E178" s="84" t="inlineStr"/>
      <c r="F178" s="84" t="inlineStr">
        <is>
          <t>HDFC Securities - Buy</t>
        </is>
      </c>
      <c r="G178" s="32" t="n">
        <v>0.97</v>
      </c>
      <c r="H178" s="84" t="inlineStr">
        <is>
          <t>HDFC Securities</t>
        </is>
      </c>
      <c r="I178" s="84" t="inlineStr">
        <is>
          <t>HDFC 0094</t>
        </is>
      </c>
      <c r="J178" s="84" t="inlineStr">
        <is>
          <t>HSL</t>
        </is>
      </c>
      <c r="K178" s="84" t="inlineStr">
        <is>
          <t>NET PI TO HSL SEC A/C 523686-00602340029434</t>
        </is>
      </c>
      <c r="L178" s="84" t="inlineStr">
        <is>
          <t>HDFC Bank</t>
        </is>
      </c>
      <c r="M178" s="84" t="inlineStr"/>
    </row>
    <row r="179">
      <c r="A179" s="116" t="n">
        <v>45448</v>
      </c>
      <c r="B179" s="116" t="n">
        <v>45448</v>
      </c>
      <c r="C179" s="117" t="n">
        <v>0</v>
      </c>
      <c r="D179" s="117" t="n">
        <v>21011</v>
      </c>
      <c r="E179" s="117" t="inlineStr"/>
      <c r="F179" s="117" t="inlineStr">
        <is>
          <t>Received - Sunita Gupta</t>
        </is>
      </c>
      <c r="G179" s="32" t="n">
        <v>0.88</v>
      </c>
      <c r="H179" s="117" t="inlineStr">
        <is>
          <t>Sunita Gupta</t>
        </is>
      </c>
      <c r="I179" s="117" t="inlineStr">
        <is>
          <t>HDFC 0094</t>
        </is>
      </c>
      <c r="J179" s="117" t="inlineStr">
        <is>
          <t>Rental Income</t>
        </is>
      </c>
      <c r="K179" s="117" t="inlineStr">
        <is>
          <t>NEFT CR-SBIN0004266-SBI GENERAL INSURANCE CO LTDSBI GEN-SUNITA GUPTA 0000000002717756-SBIN224157215153</t>
        </is>
      </c>
      <c r="L179" s="117" t="inlineStr">
        <is>
          <t>HDFC Bank</t>
        </is>
      </c>
      <c r="M179" s="117" t="inlineStr"/>
    </row>
    <row r="180">
      <c r="A180" s="42" t="n">
        <v>45448</v>
      </c>
      <c r="B180" s="42" t="n">
        <v>45448</v>
      </c>
      <c r="C180" s="43" t="n">
        <v>0</v>
      </c>
      <c r="D180" s="43" t="n">
        <v>2123.5</v>
      </c>
      <c r="E180" s="43" t="inlineStr"/>
      <c r="F180" s="43" t="inlineStr">
        <is>
          <t>Dividend Income</t>
        </is>
      </c>
      <c r="G180" s="32" t="n">
        <v>0.88</v>
      </c>
      <c r="H180" s="43" t="inlineStr">
        <is>
          <t>Dividend Income</t>
        </is>
      </c>
      <c r="I180" s="43" t="inlineStr">
        <is>
          <t>HDFC 0094</t>
        </is>
      </c>
      <c r="J180" s="43" t="inlineStr">
        <is>
          <t>Dividend Income</t>
        </is>
      </c>
      <c r="K180" s="43" t="inlineStr">
        <is>
          <t>ACH C- STATE BANK OF INDIA-2175022</t>
        </is>
      </c>
      <c r="L180" s="43" t="inlineStr">
        <is>
          <t>HDFC Bank</t>
        </is>
      </c>
      <c r="M180" s="43" t="inlineStr"/>
    </row>
    <row r="181">
      <c r="A181" s="83" t="n">
        <v>45448</v>
      </c>
      <c r="B181" s="83" t="n">
        <v>45448</v>
      </c>
      <c r="C181" s="84" t="n">
        <v>20000</v>
      </c>
      <c r="D181" s="84" t="n">
        <v>0</v>
      </c>
      <c r="E181" s="84" t="inlineStr"/>
      <c r="F181" s="84" t="inlineStr">
        <is>
          <t>HDFC Securities - Buy</t>
        </is>
      </c>
      <c r="G181" s="32" t="n">
        <v>0.97</v>
      </c>
      <c r="H181" s="84" t="inlineStr">
        <is>
          <t>HDFC Securities</t>
        </is>
      </c>
      <c r="I181" s="84" t="inlineStr">
        <is>
          <t>HDFC 0094</t>
        </is>
      </c>
      <c r="J181" s="84" t="inlineStr">
        <is>
          <t>HSL</t>
        </is>
      </c>
      <c r="K181" s="84" t="inlineStr">
        <is>
          <t>NET PI TO HSL SEC A/C 523686-00602340029434</t>
        </is>
      </c>
      <c r="L181" s="84" t="inlineStr">
        <is>
          <t>HDFC Bank</t>
        </is>
      </c>
      <c r="M181" s="84" t="inlineStr"/>
    </row>
    <row r="182">
      <c r="A182" s="36" t="n">
        <v>45448</v>
      </c>
      <c r="B182" s="36" t="n">
        <v>45448</v>
      </c>
      <c r="C182" s="37" t="n">
        <v>0</v>
      </c>
      <c r="D182" s="37" t="n">
        <v>20000</v>
      </c>
      <c r="E182" s="37" t="inlineStr"/>
      <c r="F182" s="37" t="inlineStr">
        <is>
          <t>Received - Ajay Gupta</t>
        </is>
      </c>
      <c r="G182" s="32" t="n">
        <v>0.88</v>
      </c>
      <c r="H182" s="37" t="inlineStr">
        <is>
          <t>Ajay Gupta</t>
        </is>
      </c>
      <c r="I182" s="37" t="inlineStr">
        <is>
          <t>HDFC 0094</t>
        </is>
      </c>
      <c r="J182" s="37" t="inlineStr">
        <is>
          <t>Transfer from Ajay</t>
        </is>
      </c>
      <c r="K182" s="37" t="inlineStr">
        <is>
          <t>UPI-AJAY KUMAR GUPTA-AJAYGUPTANEL@YBL-HDFC0000167-415752435538-PAYMENT FROM PHONE</t>
        </is>
      </c>
      <c r="L182" s="37" t="inlineStr">
        <is>
          <t>HDFC Bank</t>
        </is>
      </c>
      <c r="M182" s="37" t="inlineStr"/>
    </row>
    <row r="183">
      <c r="A183" s="85" t="n">
        <v>45449</v>
      </c>
      <c r="B183" s="85" t="n">
        <v>45449</v>
      </c>
      <c r="C183" s="86" t="n">
        <v>0</v>
      </c>
      <c r="D183" s="86" t="n">
        <v>20604.39</v>
      </c>
      <c r="E183" s="86" t="inlineStr"/>
      <c r="F183" s="86" t="inlineStr">
        <is>
          <t>HDFC Securities - Sell</t>
        </is>
      </c>
      <c r="G183" s="32" t="n">
        <v>0.97</v>
      </c>
      <c r="H183" s="86" t="inlineStr">
        <is>
          <t>HDFC Securities</t>
        </is>
      </c>
      <c r="I183" s="86" t="inlineStr">
        <is>
          <t>HDFC 0094</t>
        </is>
      </c>
      <c r="J183" s="86" t="inlineStr">
        <is>
          <t>HSL</t>
        </is>
      </c>
      <c r="K183" s="86" t="inlineStr">
        <is>
          <t>NET PO FROM HSL A/C 523686-50200085415108</t>
        </is>
      </c>
      <c r="L183" s="86" t="inlineStr">
        <is>
          <t>HDFC Bank</t>
        </is>
      </c>
      <c r="M183" s="86" t="inlineStr"/>
    </row>
    <row r="184">
      <c r="A184" s="83" t="n">
        <v>45449</v>
      </c>
      <c r="B184" s="83" t="n">
        <v>45449</v>
      </c>
      <c r="C184" s="84" t="n">
        <v>374.73</v>
      </c>
      <c r="D184" s="84" t="n">
        <v>0</v>
      </c>
      <c r="E184" s="84" t="inlineStr"/>
      <c r="F184" s="84" t="inlineStr">
        <is>
          <t>HDFC Securities - Buy</t>
        </is>
      </c>
      <c r="G184" s="32" t="n">
        <v>0.97</v>
      </c>
      <c r="H184" s="84" t="inlineStr">
        <is>
          <t>HDFC Securities</t>
        </is>
      </c>
      <c r="I184" s="84" t="inlineStr">
        <is>
          <t>HDFC 0094</t>
        </is>
      </c>
      <c r="J184" s="84" t="inlineStr">
        <is>
          <t>HSL</t>
        </is>
      </c>
      <c r="K184" s="84" t="inlineStr">
        <is>
          <t>NET PI TO HSL SEC A/C 523686-00602340029434</t>
        </is>
      </c>
      <c r="L184" s="84" t="inlineStr">
        <is>
          <t>HDFC Bank</t>
        </is>
      </c>
      <c r="M184" s="84" t="inlineStr"/>
    </row>
    <row r="185">
      <c r="A185" s="85" t="n">
        <v>45450</v>
      </c>
      <c r="B185" s="85" t="n">
        <v>45450</v>
      </c>
      <c r="C185" s="86" t="n">
        <v>0</v>
      </c>
      <c r="D185" s="86" t="n">
        <v>16550.74</v>
      </c>
      <c r="E185" s="86" t="inlineStr"/>
      <c r="F185" s="86" t="inlineStr">
        <is>
          <t>HDFC Securities - Sell</t>
        </is>
      </c>
      <c r="G185" s="32" t="n">
        <v>0.97</v>
      </c>
      <c r="H185" s="86" t="inlineStr">
        <is>
          <t>HDFC Securities</t>
        </is>
      </c>
      <c r="I185" s="86" t="inlineStr">
        <is>
          <t>HDFC 0094</t>
        </is>
      </c>
      <c r="J185" s="86" t="inlineStr">
        <is>
          <t>HSL</t>
        </is>
      </c>
      <c r="K185" s="86" t="inlineStr">
        <is>
          <t>NET PO FROM HSL A/C 523686-50200085415108</t>
        </is>
      </c>
      <c r="L185" s="86" t="inlineStr">
        <is>
          <t>HDFC Bank</t>
        </is>
      </c>
      <c r="M185" s="86" t="inlineStr"/>
    </row>
    <row r="186">
      <c r="A186" s="83" t="n">
        <v>45450</v>
      </c>
      <c r="B186" s="83" t="n">
        <v>45450</v>
      </c>
      <c r="C186" s="84" t="n">
        <v>374.73</v>
      </c>
      <c r="D186" s="84" t="n">
        <v>0</v>
      </c>
      <c r="E186" s="84" t="inlineStr"/>
      <c r="F186" s="84" t="inlineStr">
        <is>
          <t>HDFC Securities - Buy</t>
        </is>
      </c>
      <c r="G186" s="32" t="n">
        <v>0.97</v>
      </c>
      <c r="H186" s="84" t="inlineStr">
        <is>
          <t>HDFC Securities</t>
        </is>
      </c>
      <c r="I186" s="84" t="inlineStr">
        <is>
          <t>HDFC 0094</t>
        </is>
      </c>
      <c r="J186" s="84" t="inlineStr">
        <is>
          <t>HSL</t>
        </is>
      </c>
      <c r="K186" s="84" t="inlineStr">
        <is>
          <t>NET PI TO HSL SEC A/C 523686-00602340029434</t>
        </is>
      </c>
      <c r="L186" s="84" t="inlineStr">
        <is>
          <t>HDFC Bank</t>
        </is>
      </c>
      <c r="M186" s="84" t="inlineStr"/>
    </row>
    <row r="187">
      <c r="A187" s="85" t="n">
        <v>45450</v>
      </c>
      <c r="B187" s="85" t="n">
        <v>45450</v>
      </c>
      <c r="C187" s="86" t="n">
        <v>0</v>
      </c>
      <c r="D187" s="86" t="n">
        <v>6997.46</v>
      </c>
      <c r="E187" s="86" t="inlineStr"/>
      <c r="F187" s="86" t="inlineStr">
        <is>
          <t>HDFC Securities - Sell</t>
        </is>
      </c>
      <c r="G187" s="32" t="n">
        <v>0.97</v>
      </c>
      <c r="H187" s="86" t="inlineStr">
        <is>
          <t>HDFC Securities</t>
        </is>
      </c>
      <c r="I187" s="86" t="inlineStr">
        <is>
          <t>HDFC 0094</t>
        </is>
      </c>
      <c r="J187" s="86" t="inlineStr">
        <is>
          <t>HSL</t>
        </is>
      </c>
      <c r="K187" s="86" t="inlineStr">
        <is>
          <t>NET PO FROM HSL A/C 523686-50200085415108</t>
        </is>
      </c>
      <c r="L187" s="86" t="inlineStr">
        <is>
          <t>HDFC Bank</t>
        </is>
      </c>
      <c r="M187" s="86" t="inlineStr"/>
    </row>
    <row r="188">
      <c r="A188" s="64" t="n">
        <v>45451</v>
      </c>
      <c r="B188" s="64" t="n">
        <v>45451</v>
      </c>
      <c r="C188" s="65" t="n">
        <v>0</v>
      </c>
      <c r="D188" s="65" t="n">
        <v>7726.63</v>
      </c>
      <c r="E188" s="65" t="inlineStr"/>
      <c r="F188" s="65" t="inlineStr">
        <is>
          <t>NEFT Transfer</t>
        </is>
      </c>
      <c r="G188" s="53" t="n">
        <v>0.7</v>
      </c>
      <c r="H188" s="65" t="inlineStr">
        <is>
          <t>Transfer</t>
        </is>
      </c>
      <c r="I188" s="65" t="inlineStr">
        <is>
          <t>AXIS 7042</t>
        </is>
      </c>
      <c r="J188" s="65" t="inlineStr">
        <is>
          <t>Zerodha</t>
        </is>
      </c>
      <c r="K188" s="65" t="inlineStr">
        <is>
          <t>NEFT/YESEB41601792243/ZERODHA BROKING LTD- FOR ZER/YES BANK/12067726cc9f47dca08914 Zerodh</t>
        </is>
      </c>
      <c r="L188" s="65" t="inlineStr">
        <is>
          <t>Axis Bank</t>
        </is>
      </c>
      <c r="M188" s="65" t="inlineStr"/>
    </row>
    <row r="189">
      <c r="A189" s="116" t="n">
        <v>45452</v>
      </c>
      <c r="B189" s="116" t="n">
        <v>45452</v>
      </c>
      <c r="C189" s="117" t="n">
        <v>20000</v>
      </c>
      <c r="D189" s="117" t="n">
        <v>0</v>
      </c>
      <c r="E189" s="117" t="inlineStr"/>
      <c r="F189" s="117" t="inlineStr">
        <is>
          <t>Transfer - Sunita Gupta</t>
        </is>
      </c>
      <c r="G189" s="32" t="n">
        <v>0.88</v>
      </c>
      <c r="H189" s="117" t="inlineStr">
        <is>
          <t>Sunita Gupta</t>
        </is>
      </c>
      <c r="I189" s="117" t="inlineStr">
        <is>
          <t>HDFC 0094</t>
        </is>
      </c>
      <c r="J189" s="117" t="inlineStr">
        <is>
          <t>Transfer from Ajay</t>
        </is>
      </c>
      <c r="K189" s="117" t="inlineStr">
        <is>
          <t>01671000085930-TPT-MNY RTRN FROM SUNITA TO AKG-AJAY KUMAR GUPTA</t>
        </is>
      </c>
      <c r="L189" s="117" t="inlineStr">
        <is>
          <t>HDFC Bank</t>
        </is>
      </c>
      <c r="M189" s="117" t="inlineStr"/>
    </row>
    <row r="190">
      <c r="A190" s="38" t="n">
        <v>45453</v>
      </c>
      <c r="B190" s="38" t="n">
        <v>45453</v>
      </c>
      <c r="C190" s="39" t="n">
        <v>108</v>
      </c>
      <c r="D190" s="39" t="n">
        <v>0</v>
      </c>
      <c r="E190" s="39" t="inlineStr"/>
      <c r="F190" s="39" t="inlineStr">
        <is>
          <t>Bank Charges</t>
        </is>
      </c>
      <c r="G190" s="32" t="n">
        <v>0.88</v>
      </c>
      <c r="H190" s="39" t="inlineStr">
        <is>
          <t>Bank Charges</t>
        </is>
      </c>
      <c r="I190" s="39" t="inlineStr">
        <is>
          <t>AXIS 7042</t>
        </is>
      </c>
      <c r="J190" s="39" t="inlineStr">
        <is>
          <t>Bank Charges</t>
        </is>
      </c>
      <c r="K190" s="39" t="inlineStr">
        <is>
          <t>GST @18% on MAB Charge</t>
        </is>
      </c>
      <c r="L190" s="39" t="inlineStr">
        <is>
          <t>Axis Bank</t>
        </is>
      </c>
      <c r="M190" s="39" t="inlineStr"/>
    </row>
    <row r="191">
      <c r="A191" s="83" t="n">
        <v>45453</v>
      </c>
      <c r="B191" s="83" t="n">
        <v>45453</v>
      </c>
      <c r="C191" s="84" t="n">
        <v>35676.16</v>
      </c>
      <c r="D191" s="84" t="n">
        <v>0</v>
      </c>
      <c r="E191" s="84" t="inlineStr"/>
      <c r="F191" s="84" t="inlineStr">
        <is>
          <t>HDFC Securities - Buy</t>
        </is>
      </c>
      <c r="G191" s="32" t="n">
        <v>0.97</v>
      </c>
      <c r="H191" s="84" t="inlineStr">
        <is>
          <t>HDFC Securities</t>
        </is>
      </c>
      <c r="I191" s="84" t="inlineStr">
        <is>
          <t>HDFC 0094</t>
        </is>
      </c>
      <c r="J191" s="84" t="inlineStr">
        <is>
          <t>HSL</t>
        </is>
      </c>
      <c r="K191" s="84" t="inlineStr">
        <is>
          <t>NET PI TO HSL SEC A/C 523686-00602340029434</t>
        </is>
      </c>
      <c r="L191" s="84" t="inlineStr">
        <is>
          <t>HDFC Bank</t>
        </is>
      </c>
      <c r="M191" s="84" t="inlineStr"/>
    </row>
    <row r="192">
      <c r="A192" s="38" t="n">
        <v>45453</v>
      </c>
      <c r="B192" s="38" t="n">
        <v>45453</v>
      </c>
      <c r="C192" s="39" t="n">
        <v>600</v>
      </c>
      <c r="D192" s="39" t="n">
        <v>0</v>
      </c>
      <c r="E192" s="39" t="inlineStr"/>
      <c r="F192" s="39" t="inlineStr">
        <is>
          <t>Bank Charges</t>
        </is>
      </c>
      <c r="G192" s="32" t="n">
        <v>0.88</v>
      </c>
      <c r="H192" s="39" t="inlineStr">
        <is>
          <t>Bank Charges</t>
        </is>
      </c>
      <c r="I192" s="39" t="inlineStr">
        <is>
          <t>AXIS 7042</t>
        </is>
      </c>
      <c r="J192" s="39" t="inlineStr">
        <is>
          <t>Bank Charges</t>
        </is>
      </c>
      <c r="K192" s="39" t="inlineStr">
        <is>
          <t>Non-Maint Avg bal chgs Apr2024</t>
        </is>
      </c>
      <c r="L192" s="39" t="inlineStr">
        <is>
          <t>Axis Bank</t>
        </is>
      </c>
      <c r="M192" s="39" t="inlineStr"/>
    </row>
    <row r="193">
      <c r="A193" s="83" t="n">
        <v>45453</v>
      </c>
      <c r="B193" s="83" t="n">
        <v>45453</v>
      </c>
      <c r="C193" s="84" t="n">
        <v>1149.33</v>
      </c>
      <c r="D193" s="84" t="n">
        <v>0</v>
      </c>
      <c r="E193" s="84" t="inlineStr"/>
      <c r="F193" s="84" t="inlineStr">
        <is>
          <t>HDFC Securities - Buy</t>
        </is>
      </c>
      <c r="G193" s="32" t="n">
        <v>0.97</v>
      </c>
      <c r="H193" s="84" t="inlineStr">
        <is>
          <t>HDFC Securities</t>
        </is>
      </c>
      <c r="I193" s="84" t="inlineStr">
        <is>
          <t>HDFC 0094</t>
        </is>
      </c>
      <c r="J193" s="84" t="inlineStr">
        <is>
          <t>HSL</t>
        </is>
      </c>
      <c r="K193" s="84" t="inlineStr">
        <is>
          <t>NET PI TO HSL SEC A/C 523686-00602340029434</t>
        </is>
      </c>
      <c r="L193" s="84" t="inlineStr">
        <is>
          <t>HDFC Bank</t>
        </is>
      </c>
      <c r="M193" s="84" t="inlineStr"/>
    </row>
    <row r="194">
      <c r="A194" s="85" t="n">
        <v>45453</v>
      </c>
      <c r="B194" s="85" t="n">
        <v>45453</v>
      </c>
      <c r="C194" s="86" t="n">
        <v>0</v>
      </c>
      <c r="D194" s="86" t="n">
        <v>56230.07</v>
      </c>
      <c r="E194" s="86" t="inlineStr"/>
      <c r="F194" s="86" t="inlineStr">
        <is>
          <t>HDFC Securities - Sell</t>
        </is>
      </c>
      <c r="G194" s="32" t="n">
        <v>0.97</v>
      </c>
      <c r="H194" s="86" t="inlineStr">
        <is>
          <t>HDFC Securities</t>
        </is>
      </c>
      <c r="I194" s="86" t="inlineStr">
        <is>
          <t>HDFC 0094</t>
        </is>
      </c>
      <c r="J194" s="86" t="inlineStr">
        <is>
          <t>HSL</t>
        </is>
      </c>
      <c r="K194" s="86" t="inlineStr">
        <is>
          <t>NET PO FROM HSL A/C 523686-50200085415108</t>
        </is>
      </c>
      <c r="L194" s="86" t="inlineStr">
        <is>
          <t>HDFC Bank</t>
        </is>
      </c>
      <c r="M194" s="86" t="inlineStr"/>
    </row>
    <row r="195">
      <c r="A195" s="116" t="n">
        <v>45453</v>
      </c>
      <c r="B195" s="116" t="n">
        <v>45453</v>
      </c>
      <c r="C195" s="117" t="n">
        <v>0</v>
      </c>
      <c r="D195" s="117" t="n">
        <v>29757</v>
      </c>
      <c r="E195" s="117" t="inlineStr"/>
      <c r="F195" s="117" t="inlineStr">
        <is>
          <t>Received - Sunita Gupta</t>
        </is>
      </c>
      <c r="G195" s="32" t="n">
        <v>0.88</v>
      </c>
      <c r="H195" s="117" t="inlineStr">
        <is>
          <t>Sunita Gupta</t>
        </is>
      </c>
      <c r="I195" s="117" t="inlineStr">
        <is>
          <t>HDFC 0094</t>
        </is>
      </c>
      <c r="J195" s="117" t="inlineStr">
        <is>
          <t>Rental Income</t>
        </is>
      </c>
      <c r="K195" s="117" t="inlineStr">
        <is>
          <t>NEFT CR-SBIN0004266-SBI GENERAL INSURANCE CO LTDSBI GEN-SUNITA GUPTA 0000000002717756-SBIN124162902146</t>
        </is>
      </c>
      <c r="L195" s="117" t="inlineStr">
        <is>
          <t>HDFC Bank</t>
        </is>
      </c>
      <c r="M195" s="117" t="inlineStr"/>
    </row>
    <row r="196">
      <c r="A196" s="85" t="n">
        <v>45454</v>
      </c>
      <c r="B196" s="85" t="n">
        <v>45454</v>
      </c>
      <c r="C196" s="86" t="n">
        <v>0</v>
      </c>
      <c r="D196" s="86" t="n">
        <v>17608.23</v>
      </c>
      <c r="E196" s="86" t="inlineStr"/>
      <c r="F196" s="86" t="inlineStr">
        <is>
          <t>HDFC Securities - Sell</t>
        </is>
      </c>
      <c r="G196" s="32" t="n">
        <v>0.97</v>
      </c>
      <c r="H196" s="86" t="inlineStr">
        <is>
          <t>HDFC Securities</t>
        </is>
      </c>
      <c r="I196" s="86" t="inlineStr">
        <is>
          <t>HDFC 0094</t>
        </is>
      </c>
      <c r="J196" s="86" t="inlineStr">
        <is>
          <t>HSL</t>
        </is>
      </c>
      <c r="K196" s="86" t="inlineStr">
        <is>
          <t>NET PO FROM HSL A/C 523686-50200085415108</t>
        </is>
      </c>
      <c r="L196" s="86" t="inlineStr">
        <is>
          <t>HDFC Bank</t>
        </is>
      </c>
      <c r="M196" s="86" t="inlineStr"/>
    </row>
    <row r="197">
      <c r="A197" s="83" t="n">
        <v>45454</v>
      </c>
      <c r="B197" s="83" t="n">
        <v>45454</v>
      </c>
      <c r="C197" s="84" t="n">
        <v>370.41</v>
      </c>
      <c r="D197" s="84" t="n">
        <v>0</v>
      </c>
      <c r="E197" s="84" t="inlineStr"/>
      <c r="F197" s="84" t="inlineStr">
        <is>
          <t>HDFC Securities - Buy</t>
        </is>
      </c>
      <c r="G197" s="32" t="n">
        <v>0.97</v>
      </c>
      <c r="H197" s="84" t="inlineStr">
        <is>
          <t>HDFC Securities</t>
        </is>
      </c>
      <c r="I197" s="84" t="inlineStr">
        <is>
          <t>HDFC 0094</t>
        </is>
      </c>
      <c r="J197" s="84" t="inlineStr">
        <is>
          <t>HSL</t>
        </is>
      </c>
      <c r="K197" s="84" t="inlineStr">
        <is>
          <t>NET PI TO HSL SEC A/C 523686-00602340029434</t>
        </is>
      </c>
      <c r="L197" s="84" t="inlineStr">
        <is>
          <t>HDFC Bank</t>
        </is>
      </c>
      <c r="M197" s="84" t="inlineStr"/>
    </row>
    <row r="198">
      <c r="A198" s="83" t="n">
        <v>45454</v>
      </c>
      <c r="B198" s="83" t="n">
        <v>45454</v>
      </c>
      <c r="C198" s="84" t="n">
        <v>61786.82</v>
      </c>
      <c r="D198" s="84" t="n">
        <v>0</v>
      </c>
      <c r="E198" s="84" t="inlineStr"/>
      <c r="F198" s="84" t="inlineStr">
        <is>
          <t>HDFC Securities - Buy</t>
        </is>
      </c>
      <c r="G198" s="32" t="n">
        <v>0.97</v>
      </c>
      <c r="H198" s="84" t="inlineStr">
        <is>
          <t>HDFC Securities</t>
        </is>
      </c>
      <c r="I198" s="84" t="inlineStr">
        <is>
          <t>HDFC 0094</t>
        </is>
      </c>
      <c r="J198" s="84" t="inlineStr">
        <is>
          <t>HSL</t>
        </is>
      </c>
      <c r="K198" s="84" t="inlineStr">
        <is>
          <t>NET PI TO HSL SEC A/C 523686-00602340029434</t>
        </is>
      </c>
      <c r="L198" s="84" t="inlineStr">
        <is>
          <t>HDFC Bank</t>
        </is>
      </c>
      <c r="M198" s="84" t="inlineStr"/>
    </row>
    <row r="199">
      <c r="A199" s="83" t="n">
        <v>45455</v>
      </c>
      <c r="B199" s="83" t="n">
        <v>45455</v>
      </c>
      <c r="C199" s="84" t="n">
        <v>387.2</v>
      </c>
      <c r="D199" s="84" t="n">
        <v>0</v>
      </c>
      <c r="E199" s="84" t="inlineStr"/>
      <c r="F199" s="84" t="inlineStr">
        <is>
          <t>HDFC Securities - Buy</t>
        </is>
      </c>
      <c r="G199" s="32" t="n">
        <v>0.97</v>
      </c>
      <c r="H199" s="84" t="inlineStr">
        <is>
          <t>HDFC Securities</t>
        </is>
      </c>
      <c r="I199" s="84" t="inlineStr">
        <is>
          <t>HDFC 0094</t>
        </is>
      </c>
      <c r="J199" s="84" t="inlineStr">
        <is>
          <t>HSL</t>
        </is>
      </c>
      <c r="K199" s="84" t="inlineStr">
        <is>
          <t>NET PI TO HSL SEC A/C 523686-00602340029434</t>
        </is>
      </c>
      <c r="L199" s="84" t="inlineStr">
        <is>
          <t>HDFC Bank</t>
        </is>
      </c>
      <c r="M199" s="84" t="inlineStr"/>
    </row>
    <row r="200">
      <c r="A200" s="83" t="n">
        <v>45456</v>
      </c>
      <c r="B200" s="83" t="n">
        <v>45456</v>
      </c>
      <c r="C200" s="84" t="n">
        <v>26388.21</v>
      </c>
      <c r="D200" s="84" t="n">
        <v>0</v>
      </c>
      <c r="E200" s="84" t="inlineStr"/>
      <c r="F200" s="84" t="inlineStr">
        <is>
          <t>HDFC Securities - Buy</t>
        </is>
      </c>
      <c r="G200" s="32" t="n">
        <v>0.97</v>
      </c>
      <c r="H200" s="84" t="inlineStr">
        <is>
          <t>HDFC Securities</t>
        </is>
      </c>
      <c r="I200" s="84" t="inlineStr">
        <is>
          <t>HDFC 0094</t>
        </is>
      </c>
      <c r="J200" s="84" t="inlineStr">
        <is>
          <t>HSL</t>
        </is>
      </c>
      <c r="K200" s="84" t="inlineStr">
        <is>
          <t>NET PI TO HSL SEC A/C 523686-00602340029434</t>
        </is>
      </c>
      <c r="L200" s="84" t="inlineStr">
        <is>
          <t>HDFC Bank</t>
        </is>
      </c>
      <c r="M200" s="84" t="inlineStr"/>
    </row>
    <row r="201">
      <c r="A201" s="116" t="n">
        <v>45456</v>
      </c>
      <c r="B201" s="116" t="n">
        <v>45456</v>
      </c>
      <c r="C201" s="117" t="n">
        <v>0</v>
      </c>
      <c r="D201" s="117" t="n">
        <v>2380</v>
      </c>
      <c r="E201" s="117" t="inlineStr"/>
      <c r="F201" s="117" t="inlineStr">
        <is>
          <t>Received - Sunita Gupta</t>
        </is>
      </c>
      <c r="G201" s="32" t="n">
        <v>0.88</v>
      </c>
      <c r="H201" s="117" t="inlineStr">
        <is>
          <t>Sunita Gupta</t>
        </is>
      </c>
      <c r="I201" s="117" t="inlineStr">
        <is>
          <t>HDFC 0094</t>
        </is>
      </c>
      <c r="J201" s="117" t="inlineStr">
        <is>
          <t>Rental Income</t>
        </is>
      </c>
      <c r="K201" s="117" t="inlineStr">
        <is>
          <t>NEFT CR-SBIN0004266-SBI GENERAL INSURANCE CO LTDSBI GEN-SUNITA GUPTA 0000000002717756-SBIN524165752954</t>
        </is>
      </c>
      <c r="L201" s="117" t="inlineStr">
        <is>
          <t>HDFC Bank</t>
        </is>
      </c>
      <c r="M201" s="117" t="inlineStr"/>
    </row>
    <row r="202">
      <c r="A202" s="83" t="n">
        <v>45456</v>
      </c>
      <c r="B202" s="83" t="n">
        <v>45456</v>
      </c>
      <c r="C202" s="84" t="n">
        <v>433.51</v>
      </c>
      <c r="D202" s="84" t="n">
        <v>0</v>
      </c>
      <c r="E202" s="84" t="inlineStr"/>
      <c r="F202" s="84" t="inlineStr">
        <is>
          <t>HDFC Securities - Buy</t>
        </is>
      </c>
      <c r="G202" s="32" t="n">
        <v>0.97</v>
      </c>
      <c r="H202" s="84" t="inlineStr">
        <is>
          <t>HDFC Securities</t>
        </is>
      </c>
      <c r="I202" s="84" t="inlineStr">
        <is>
          <t>HDFC 0094</t>
        </is>
      </c>
      <c r="J202" s="84" t="inlineStr">
        <is>
          <t>HSL</t>
        </is>
      </c>
      <c r="K202" s="84" t="inlineStr">
        <is>
          <t>NET PI TO HSL SEC A/C 523686-00602340029434</t>
        </is>
      </c>
      <c r="L202" s="84" t="inlineStr">
        <is>
          <t>HDFC Bank</t>
        </is>
      </c>
      <c r="M202" s="84" t="inlineStr"/>
    </row>
    <row r="203">
      <c r="A203" s="116" t="n">
        <v>45456</v>
      </c>
      <c r="B203" s="116" t="n">
        <v>45456</v>
      </c>
      <c r="C203" s="117" t="n">
        <v>50000</v>
      </c>
      <c r="D203" s="117" t="n">
        <v>0</v>
      </c>
      <c r="E203" s="117" t="inlineStr"/>
      <c r="F203" s="117" t="inlineStr">
        <is>
          <t>Transfer - Sunita Gupta</t>
        </is>
      </c>
      <c r="G203" s="32" t="n">
        <v>0.88</v>
      </c>
      <c r="H203" s="117" t="inlineStr">
        <is>
          <t>Sunita Gupta</t>
        </is>
      </c>
      <c r="I203" s="117" t="inlineStr">
        <is>
          <t>HDFC 0094</t>
        </is>
      </c>
      <c r="J203" s="117" t="inlineStr">
        <is>
          <t>Transfer from Archit</t>
        </is>
      </c>
      <c r="K203" s="117" t="inlineStr">
        <is>
          <t>50100542230922-TPT-TRANS FROM SUNITA TO ARCHIT-ARCHIT GUPTA</t>
        </is>
      </c>
      <c r="L203" s="117" t="inlineStr">
        <is>
          <t>HDFC Bank</t>
        </is>
      </c>
      <c r="M203" s="117" t="inlineStr"/>
    </row>
    <row r="204">
      <c r="A204" s="85" t="n">
        <v>45456</v>
      </c>
      <c r="B204" s="85" t="n">
        <v>45456</v>
      </c>
      <c r="C204" s="86" t="n">
        <v>0</v>
      </c>
      <c r="D204" s="86" t="n">
        <v>48812.56</v>
      </c>
      <c r="E204" s="86" t="inlineStr"/>
      <c r="F204" s="86" t="inlineStr">
        <is>
          <t>HDFC Securities - Sell</t>
        </is>
      </c>
      <c r="G204" s="32" t="n">
        <v>0.97</v>
      </c>
      <c r="H204" s="86" t="inlineStr">
        <is>
          <t>HDFC Securities</t>
        </is>
      </c>
      <c r="I204" s="86" t="inlineStr">
        <is>
          <t>HDFC 0094</t>
        </is>
      </c>
      <c r="J204" s="86" t="inlineStr">
        <is>
          <t>HSL</t>
        </is>
      </c>
      <c r="K204" s="86" t="inlineStr">
        <is>
          <t>NET PO FROM HSL A/C 523686-50200085415108</t>
        </is>
      </c>
      <c r="L204" s="86" t="inlineStr">
        <is>
          <t>HDFC Bank</t>
        </is>
      </c>
      <c r="M204" s="86" t="inlineStr"/>
    </row>
    <row r="205">
      <c r="A205" s="64" t="n">
        <v>45456</v>
      </c>
      <c r="B205" s="64" t="n">
        <v>45456</v>
      </c>
      <c r="C205" s="65" t="n">
        <v>50000</v>
      </c>
      <c r="D205" s="65" t="n">
        <v>0</v>
      </c>
      <c r="E205" s="65" t="inlineStr"/>
      <c r="F205" s="65" t="inlineStr">
        <is>
          <t>SIP</t>
        </is>
      </c>
      <c r="G205" s="32" t="n">
        <v>0.9</v>
      </c>
      <c r="H205" s="65" t="inlineStr">
        <is>
          <t>SIP</t>
        </is>
      </c>
      <c r="I205" s="65" t="inlineStr">
        <is>
          <t>HDFC 0094</t>
        </is>
      </c>
      <c r="J205" s="65" t="inlineStr">
        <is>
          <t>Electricity Bill</t>
        </is>
      </c>
      <c r="K205" s="65" t="inlineStr">
        <is>
          <t>YHDF2352323582/BILLDKINDIANCLEARING</t>
        </is>
      </c>
      <c r="L205" s="65" t="inlineStr">
        <is>
          <t>HDFC Bank</t>
        </is>
      </c>
      <c r="M205" s="65" t="inlineStr"/>
    </row>
    <row r="206">
      <c r="A206" s="85" t="n">
        <v>45456</v>
      </c>
      <c r="B206" s="85" t="n">
        <v>45456</v>
      </c>
      <c r="C206" s="86" t="n">
        <v>0</v>
      </c>
      <c r="D206" s="86" t="n">
        <v>60155.52</v>
      </c>
      <c r="E206" s="86" t="inlineStr"/>
      <c r="F206" s="86" t="inlineStr">
        <is>
          <t>HDFC Securities - Sell</t>
        </is>
      </c>
      <c r="G206" s="32" t="n">
        <v>0.97</v>
      </c>
      <c r="H206" s="86" t="inlineStr">
        <is>
          <t>HDFC Securities</t>
        </is>
      </c>
      <c r="I206" s="86" t="inlineStr">
        <is>
          <t>HDFC 0094</t>
        </is>
      </c>
      <c r="J206" s="86" t="inlineStr">
        <is>
          <t>HSL</t>
        </is>
      </c>
      <c r="K206" s="86" t="inlineStr">
        <is>
          <t>NET PO FROM HSL A/C 523686-50200085415108</t>
        </is>
      </c>
      <c r="L206" s="86" t="inlineStr">
        <is>
          <t>HDFC Bank</t>
        </is>
      </c>
      <c r="M206" s="86" t="inlineStr"/>
    </row>
    <row r="207">
      <c r="A207" s="83" t="n">
        <v>45457</v>
      </c>
      <c r="B207" s="83" t="n">
        <v>45457</v>
      </c>
      <c r="C207" s="84" t="n">
        <v>395.45</v>
      </c>
      <c r="D207" s="84" t="n">
        <v>0</v>
      </c>
      <c r="E207" s="84" t="inlineStr"/>
      <c r="F207" s="84" t="inlineStr">
        <is>
          <t>HDFC Securities - Buy</t>
        </is>
      </c>
      <c r="G207" s="32" t="n">
        <v>0.97</v>
      </c>
      <c r="H207" s="84" t="inlineStr">
        <is>
          <t>HDFC Securities</t>
        </is>
      </c>
      <c r="I207" s="84" t="inlineStr">
        <is>
          <t>HDFC 0094</t>
        </is>
      </c>
      <c r="J207" s="84" t="inlineStr">
        <is>
          <t>HSL</t>
        </is>
      </c>
      <c r="K207" s="84" t="inlineStr">
        <is>
          <t>NET PI TO HSL SEC A/C 523686-00602340029434</t>
        </is>
      </c>
      <c r="L207" s="84" t="inlineStr">
        <is>
          <t>HDFC Bank</t>
        </is>
      </c>
      <c r="M207" s="84" t="inlineStr"/>
    </row>
    <row r="208">
      <c r="A208" s="85" t="n">
        <v>45461</v>
      </c>
      <c r="B208" s="85" t="n">
        <v>45461</v>
      </c>
      <c r="C208" s="86" t="n">
        <v>0</v>
      </c>
      <c r="D208" s="86" t="n">
        <v>42936.66</v>
      </c>
      <c r="E208" s="86" t="inlineStr"/>
      <c r="F208" s="86" t="inlineStr">
        <is>
          <t>HDFC Securities - Sell</t>
        </is>
      </c>
      <c r="G208" s="32" t="n">
        <v>0.97</v>
      </c>
      <c r="H208" s="86" t="inlineStr">
        <is>
          <t>HDFC Securities</t>
        </is>
      </c>
      <c r="I208" s="86" t="inlineStr">
        <is>
          <t>HDFC 0094</t>
        </is>
      </c>
      <c r="J208" s="86" t="inlineStr">
        <is>
          <t>HSL</t>
        </is>
      </c>
      <c r="K208" s="86" t="inlineStr">
        <is>
          <t>NET PO FROM HSL A/C 523686-50200085415108</t>
        </is>
      </c>
      <c r="L208" s="86" t="inlineStr">
        <is>
          <t>HDFC Bank</t>
        </is>
      </c>
      <c r="M208" s="86" t="inlineStr"/>
    </row>
    <row r="209">
      <c r="A209" s="89" t="n">
        <v>45461</v>
      </c>
      <c r="B209" s="89" t="n">
        <v>45461</v>
      </c>
      <c r="C209" s="90" t="n">
        <v>2871.57</v>
      </c>
      <c r="D209" s="90" t="n">
        <v>0</v>
      </c>
      <c r="E209" s="90" t="inlineStr"/>
      <c r="F209" s="90" t="inlineStr">
        <is>
          <t>Depository Charges</t>
        </is>
      </c>
      <c r="G209" s="32" t="n">
        <v>0.93</v>
      </c>
      <c r="H209" s="90" t="inlineStr">
        <is>
          <t>Depository Charges</t>
        </is>
      </c>
      <c r="I209" s="90" t="inlineStr">
        <is>
          <t>HDFC 0094</t>
        </is>
      </c>
      <c r="J209" s="90" t="inlineStr">
        <is>
          <t>Depository Charges</t>
        </is>
      </c>
      <c r="K209" s="90" t="inlineStr">
        <is>
          <t>DEPOSITORY CHARGES MAY24 - 41060499</t>
        </is>
      </c>
      <c r="L209" s="90" t="inlineStr">
        <is>
          <t>HDFC Bank</t>
        </is>
      </c>
      <c r="M209" s="90" t="inlineStr"/>
    </row>
    <row r="210">
      <c r="A210" s="83" t="n">
        <v>45461</v>
      </c>
      <c r="B210" s="83" t="n">
        <v>45461</v>
      </c>
      <c r="C210" s="84" t="n">
        <v>1677.96</v>
      </c>
      <c r="D210" s="84" t="n">
        <v>0</v>
      </c>
      <c r="E210" s="84" t="inlineStr"/>
      <c r="F210" s="84" t="inlineStr">
        <is>
          <t>HDFC Securities - Buy</t>
        </is>
      </c>
      <c r="G210" s="32" t="n">
        <v>0.97</v>
      </c>
      <c r="H210" s="84" t="inlineStr">
        <is>
          <t>HDFC Securities</t>
        </is>
      </c>
      <c r="I210" s="84" t="inlineStr">
        <is>
          <t>HDFC 0094</t>
        </is>
      </c>
      <c r="J210" s="84" t="inlineStr">
        <is>
          <t>HSL</t>
        </is>
      </c>
      <c r="K210" s="84" t="inlineStr">
        <is>
          <t>NET PI TO HSL SEC A/C 523686-00602340029434</t>
        </is>
      </c>
      <c r="L210" s="84" t="inlineStr">
        <is>
          <t>HDFC Bank</t>
        </is>
      </c>
      <c r="M210" s="84" t="inlineStr"/>
    </row>
    <row r="211">
      <c r="A211" s="64" t="n">
        <v>45461</v>
      </c>
      <c r="B211" s="64" t="n">
        <v>45461</v>
      </c>
      <c r="C211" s="65" t="n">
        <v>5000</v>
      </c>
      <c r="D211" s="65" t="n">
        <v>0</v>
      </c>
      <c r="E211" s="65" t="inlineStr"/>
      <c r="F211" s="65" t="inlineStr">
        <is>
          <t>MF Investment</t>
        </is>
      </c>
      <c r="G211" s="32" t="n">
        <v>0.92</v>
      </c>
      <c r="H211" s="65" t="inlineStr">
        <is>
          <t>Mutual_Fund_Investments</t>
        </is>
      </c>
      <c r="I211" s="65" t="inlineStr">
        <is>
          <t>HDFC 0094</t>
        </is>
      </c>
      <c r="J211" s="65" t="inlineStr">
        <is>
          <t>SIP  - 5000</t>
        </is>
      </c>
      <c r="K211" s="65" t="inlineStr">
        <is>
          <t>ACH D- INDIAN CLEARING CORP-P25847643X05</t>
        </is>
      </c>
      <c r="L211" s="65" t="inlineStr">
        <is>
          <t>HDFC Bank</t>
        </is>
      </c>
      <c r="M211" s="65" t="inlineStr"/>
    </row>
    <row r="212">
      <c r="A212" s="85" t="n">
        <v>45462</v>
      </c>
      <c r="B212" s="85" t="n">
        <v>45462</v>
      </c>
      <c r="C212" s="86" t="n">
        <v>0</v>
      </c>
      <c r="D212" s="86" t="n">
        <v>56690.36</v>
      </c>
      <c r="E212" s="86" t="inlineStr"/>
      <c r="F212" s="86" t="inlineStr">
        <is>
          <t>HDFC Securities - Sell</t>
        </is>
      </c>
      <c r="G212" s="32" t="n">
        <v>0.97</v>
      </c>
      <c r="H212" s="86" t="inlineStr">
        <is>
          <t>HDFC Securities</t>
        </is>
      </c>
      <c r="I212" s="86" t="inlineStr">
        <is>
          <t>HDFC 0094</t>
        </is>
      </c>
      <c r="J212" s="86" t="inlineStr">
        <is>
          <t>HSL</t>
        </is>
      </c>
      <c r="K212" s="86" t="inlineStr">
        <is>
          <t>NET PO FROM HSL A/C 523686-50200085415108</t>
        </is>
      </c>
      <c r="L212" s="86" t="inlineStr">
        <is>
          <t>HDFC Bank</t>
        </is>
      </c>
      <c r="M212" s="86" t="inlineStr"/>
    </row>
    <row r="213">
      <c r="A213" s="83" t="n">
        <v>45462</v>
      </c>
      <c r="B213" s="83" t="n">
        <v>45462</v>
      </c>
      <c r="C213" s="84" t="n">
        <v>401.3</v>
      </c>
      <c r="D213" s="84" t="n">
        <v>0</v>
      </c>
      <c r="E213" s="84" t="inlineStr"/>
      <c r="F213" s="84" t="inlineStr">
        <is>
          <t>HDFC Securities - Buy</t>
        </is>
      </c>
      <c r="G213" s="32" t="n">
        <v>0.97</v>
      </c>
      <c r="H213" s="84" t="inlineStr">
        <is>
          <t>HDFC Securities</t>
        </is>
      </c>
      <c r="I213" s="84" t="inlineStr">
        <is>
          <t>HDFC 0094</t>
        </is>
      </c>
      <c r="J213" s="84" t="inlineStr">
        <is>
          <t>HSL</t>
        </is>
      </c>
      <c r="K213" s="84" t="inlineStr">
        <is>
          <t>NET PI TO HSL SEC A/C 523686-00602340029434</t>
        </is>
      </c>
      <c r="L213" s="84" t="inlineStr">
        <is>
          <t>HDFC Bank</t>
        </is>
      </c>
      <c r="M213" s="84" t="inlineStr"/>
    </row>
    <row r="214">
      <c r="A214" s="83" t="n">
        <v>45462</v>
      </c>
      <c r="B214" s="83" t="n">
        <v>45462</v>
      </c>
      <c r="C214" s="84" t="n">
        <v>3814.25</v>
      </c>
      <c r="D214" s="84" t="n">
        <v>0</v>
      </c>
      <c r="E214" s="84" t="inlineStr"/>
      <c r="F214" s="84" t="inlineStr">
        <is>
          <t>HDFC Securities - Buy</t>
        </is>
      </c>
      <c r="G214" s="32" t="n">
        <v>0.97</v>
      </c>
      <c r="H214" s="84" t="inlineStr">
        <is>
          <t>HDFC Securities</t>
        </is>
      </c>
      <c r="I214" s="84" t="inlineStr">
        <is>
          <t>HDFC 0094</t>
        </is>
      </c>
      <c r="J214" s="84" t="inlineStr">
        <is>
          <t>HSL</t>
        </is>
      </c>
      <c r="K214" s="84" t="inlineStr">
        <is>
          <t>NET PI TO HSL SEC A/C 523686-00602340029434</t>
        </is>
      </c>
      <c r="L214" s="84" t="inlineStr">
        <is>
          <t>HDFC Bank</t>
        </is>
      </c>
      <c r="M214" s="84" t="inlineStr"/>
    </row>
    <row r="215">
      <c r="A215" s="85" t="n">
        <v>45462</v>
      </c>
      <c r="B215" s="85" t="n">
        <v>45462</v>
      </c>
      <c r="C215" s="86" t="n">
        <v>0</v>
      </c>
      <c r="D215" s="86" t="n">
        <v>48063.89</v>
      </c>
      <c r="E215" s="86" t="inlineStr"/>
      <c r="F215" s="86" t="inlineStr">
        <is>
          <t>HDFC Securities - Sell</t>
        </is>
      </c>
      <c r="G215" s="32" t="n">
        <v>0.97</v>
      </c>
      <c r="H215" s="86" t="inlineStr">
        <is>
          <t>HDFC Securities</t>
        </is>
      </c>
      <c r="I215" s="86" t="inlineStr">
        <is>
          <t>HDFC 0094</t>
        </is>
      </c>
      <c r="J215" s="86" t="inlineStr">
        <is>
          <t>HSL</t>
        </is>
      </c>
      <c r="K215" s="86" t="inlineStr">
        <is>
          <t>NET PO FROM HSL A/C 523686-50200085415108</t>
        </is>
      </c>
      <c r="L215" s="86" t="inlineStr">
        <is>
          <t>HDFC Bank</t>
        </is>
      </c>
      <c r="M215" s="86" t="inlineStr"/>
    </row>
    <row r="216">
      <c r="A216" s="83" t="n">
        <v>45463</v>
      </c>
      <c r="B216" s="83" t="n">
        <v>45463</v>
      </c>
      <c r="C216" s="84" t="n">
        <v>387.58</v>
      </c>
      <c r="D216" s="84" t="n">
        <v>0</v>
      </c>
      <c r="E216" s="84" t="inlineStr"/>
      <c r="F216" s="84" t="inlineStr">
        <is>
          <t>HDFC Securities - Buy</t>
        </is>
      </c>
      <c r="G216" s="32" t="n">
        <v>0.97</v>
      </c>
      <c r="H216" s="84" t="inlineStr">
        <is>
          <t>HDFC Securities</t>
        </is>
      </c>
      <c r="I216" s="84" t="inlineStr">
        <is>
          <t>HDFC 0094</t>
        </is>
      </c>
      <c r="J216" s="84" t="inlineStr">
        <is>
          <t>HSL</t>
        </is>
      </c>
      <c r="K216" s="84" t="inlineStr">
        <is>
          <t>NET PI TO HSL SEC A/C 523686-00602340029434</t>
        </is>
      </c>
      <c r="L216" s="84" t="inlineStr">
        <is>
          <t>HDFC Bank</t>
        </is>
      </c>
      <c r="M216" s="84" t="inlineStr"/>
    </row>
    <row r="217">
      <c r="A217" s="85" t="n">
        <v>45464</v>
      </c>
      <c r="B217" s="85" t="n">
        <v>45464</v>
      </c>
      <c r="C217" s="86" t="n">
        <v>0</v>
      </c>
      <c r="D217" s="86" t="n">
        <v>28677.57</v>
      </c>
      <c r="E217" s="86" t="inlineStr"/>
      <c r="F217" s="86" t="inlineStr">
        <is>
          <t>HDFC Securities - Sell</t>
        </is>
      </c>
      <c r="G217" s="32" t="n">
        <v>0.97</v>
      </c>
      <c r="H217" s="86" t="inlineStr">
        <is>
          <t>HDFC Securities</t>
        </is>
      </c>
      <c r="I217" s="86" t="inlineStr">
        <is>
          <t>HDFC 0094</t>
        </is>
      </c>
      <c r="J217" s="86" t="inlineStr">
        <is>
          <t>HSL</t>
        </is>
      </c>
      <c r="K217" s="86" t="inlineStr">
        <is>
          <t>NET PO FROM HSL A/C 523686-50200085415108</t>
        </is>
      </c>
      <c r="L217" s="86" t="inlineStr">
        <is>
          <t>HDFC Bank</t>
        </is>
      </c>
      <c r="M217" s="86" t="inlineStr"/>
    </row>
    <row r="218">
      <c r="A218" s="85" t="n">
        <v>45464</v>
      </c>
      <c r="B218" s="85" t="n">
        <v>45464</v>
      </c>
      <c r="C218" s="86" t="n">
        <v>0</v>
      </c>
      <c r="D218" s="86" t="n">
        <v>39997.5</v>
      </c>
      <c r="E218" s="86" t="inlineStr"/>
      <c r="F218" s="86" t="inlineStr">
        <is>
          <t>HDFC Securities - Sell</t>
        </is>
      </c>
      <c r="G218" s="32" t="n">
        <v>0.97</v>
      </c>
      <c r="H218" s="86" t="inlineStr">
        <is>
          <t>HDFC Securities</t>
        </is>
      </c>
      <c r="I218" s="86" t="inlineStr">
        <is>
          <t>HDFC 0094</t>
        </is>
      </c>
      <c r="J218" s="86" t="inlineStr">
        <is>
          <t>HSL</t>
        </is>
      </c>
      <c r="K218" s="86" t="inlineStr">
        <is>
          <t>NET PO FROM HSL A/C 523686-50200085415108</t>
        </is>
      </c>
      <c r="L218" s="86" t="inlineStr">
        <is>
          <t>HDFC Bank</t>
        </is>
      </c>
      <c r="M218" s="86" t="inlineStr"/>
    </row>
    <row r="219">
      <c r="A219" s="83" t="n">
        <v>45464</v>
      </c>
      <c r="B219" s="83" t="n">
        <v>45464</v>
      </c>
      <c r="C219" s="84" t="n">
        <v>387.58</v>
      </c>
      <c r="D219" s="84" t="n">
        <v>0</v>
      </c>
      <c r="E219" s="84" t="inlineStr"/>
      <c r="F219" s="84" t="inlineStr">
        <is>
          <t>HDFC Securities - Buy</t>
        </is>
      </c>
      <c r="G219" s="32" t="n">
        <v>0.97</v>
      </c>
      <c r="H219" s="84" t="inlineStr">
        <is>
          <t>HDFC Securities</t>
        </is>
      </c>
      <c r="I219" s="84" t="inlineStr">
        <is>
          <t>HDFC 0094</t>
        </is>
      </c>
      <c r="J219" s="84" t="inlineStr">
        <is>
          <t>HSL</t>
        </is>
      </c>
      <c r="K219" s="84" t="inlineStr">
        <is>
          <t>NET PI TO HSL SEC A/C 523686-00602340029434</t>
        </is>
      </c>
      <c r="L219" s="84" t="inlineStr">
        <is>
          <t>HDFC Bank</t>
        </is>
      </c>
      <c r="M219" s="84" t="inlineStr"/>
    </row>
    <row r="220">
      <c r="A220" s="64" t="n">
        <v>45464</v>
      </c>
      <c r="B220" s="64" t="n">
        <v>45464</v>
      </c>
      <c r="C220" s="65" t="n">
        <v>25000</v>
      </c>
      <c r="D220" s="65" t="n">
        <v>0</v>
      </c>
      <c r="E220" s="65" t="inlineStr"/>
      <c r="F220" s="65" t="inlineStr">
        <is>
          <t>Zerodha Broking</t>
        </is>
      </c>
      <c r="G220" s="32" t="n">
        <v>0.88</v>
      </c>
      <c r="H220" s="65" t="inlineStr">
        <is>
          <t>Zerodha Broking Limited</t>
        </is>
      </c>
      <c r="I220" s="65" t="inlineStr">
        <is>
          <t>AXIS 7042</t>
        </is>
      </c>
      <c r="J220" s="65" t="inlineStr">
        <is>
          <t>Zerodha</t>
        </is>
      </c>
      <c r="K220" s="65" t="inlineStr">
        <is>
          <t>UPI/P2M/417362340012/ZERODHA BROKING LIMIT/244473/ICICI Bank</t>
        </is>
      </c>
      <c r="L220" s="65" t="inlineStr">
        <is>
          <t>Axis Bank</t>
        </is>
      </c>
      <c r="M220" s="65" t="inlineStr"/>
    </row>
    <row r="221">
      <c r="A221" s="64" t="n">
        <v>45464</v>
      </c>
      <c r="B221" s="64" t="n">
        <v>45464</v>
      </c>
      <c r="C221" s="65" t="n">
        <v>31329</v>
      </c>
      <c r="D221" s="65" t="n">
        <v>0</v>
      </c>
      <c r="E221" s="65" t="inlineStr"/>
      <c r="F221" s="65" t="inlineStr">
        <is>
          <t>SIP</t>
        </is>
      </c>
      <c r="G221" s="32" t="n">
        <v>0.9</v>
      </c>
      <c r="H221" s="65" t="inlineStr">
        <is>
          <t>SIP</t>
        </is>
      </c>
      <c r="I221" s="65" t="inlineStr">
        <is>
          <t>HDFC 0094</t>
        </is>
      </c>
      <c r="J221" s="65" t="inlineStr">
        <is>
          <t>Electricity Bill</t>
        </is>
      </c>
      <c r="K221" s="65" t="inlineStr">
        <is>
          <t>YHDF2359276422/BILLDKTHECALCUTTAELE</t>
        </is>
      </c>
      <c r="L221" s="65" t="inlineStr">
        <is>
          <t>HDFC Bank</t>
        </is>
      </c>
      <c r="M221" s="65" t="inlineStr"/>
    </row>
    <row r="222">
      <c r="A222" s="48" t="n">
        <v>45465</v>
      </c>
      <c r="B222" s="48" t="n">
        <v>45465</v>
      </c>
      <c r="C222" s="49" t="n">
        <v>1000</v>
      </c>
      <c r="D222" s="49" t="n">
        <v>0</v>
      </c>
      <c r="E222" s="49" t="inlineStr">
        <is>
          <t>Prerana Manoj Chandak</t>
        </is>
      </c>
      <c r="F222" s="49" t="inlineStr">
        <is>
          <t>UPI Payment</t>
        </is>
      </c>
      <c r="G222" s="50" t="n">
        <v>0.55</v>
      </c>
      <c r="H222" s="49" t="inlineStr">
        <is>
          <t>Personal</t>
        </is>
      </c>
      <c r="I222" s="49" t="inlineStr">
        <is>
          <t>AXIS 7042</t>
        </is>
      </c>
      <c r="J222" s="49" t="inlineStr">
        <is>
          <t>Kitty</t>
        </is>
      </c>
      <c r="K222" s="49" t="inlineStr">
        <is>
          <t>UPI/P2A/454025238186/PRERANA MANOJ CHANDAK/kitty/Axis Bank Ltd.</t>
        </is>
      </c>
      <c r="L222" s="49" t="inlineStr">
        <is>
          <t>Axis Bank</t>
        </is>
      </c>
      <c r="M222" s="49" t="inlineStr"/>
    </row>
    <row r="223">
      <c r="A223" s="116" t="n">
        <v>45467</v>
      </c>
      <c r="B223" s="116" t="n">
        <v>45467</v>
      </c>
      <c r="C223" s="117" t="n">
        <v>0</v>
      </c>
      <c r="D223" s="117" t="n">
        <v>50000</v>
      </c>
      <c r="E223" s="117" t="inlineStr"/>
      <c r="F223" s="117" t="inlineStr">
        <is>
          <t>Received - Sunita Gupta</t>
        </is>
      </c>
      <c r="G223" s="32" t="n">
        <v>0.88</v>
      </c>
      <c r="H223" s="117" t="inlineStr">
        <is>
          <t>Sunita Gupta</t>
        </is>
      </c>
      <c r="I223" s="117" t="inlineStr">
        <is>
          <t>AXIS 7042</t>
        </is>
      </c>
      <c r="J223" s="117" t="inlineStr">
        <is>
          <t>Contra</t>
        </is>
      </c>
      <c r="K223" s="117" t="inlineStr">
        <is>
          <t>NEFT/N176243108305610/SUNITA GUPTA/HDFC BANK/Trf frm Sunita HDF</t>
        </is>
      </c>
      <c r="L223" s="117" t="inlineStr">
        <is>
          <t>Axis Bank</t>
        </is>
      </c>
      <c r="M223" s="117" t="inlineStr"/>
    </row>
    <row r="224">
      <c r="A224" s="116" t="n">
        <v>45467</v>
      </c>
      <c r="B224" s="116" t="n">
        <v>45467</v>
      </c>
      <c r="C224" s="117" t="n">
        <v>25000</v>
      </c>
      <c r="D224" s="117" t="n">
        <v>0</v>
      </c>
      <c r="E224" s="117" t="inlineStr"/>
      <c r="F224" s="117" t="inlineStr">
        <is>
          <t>Transfer - Sunita Gupta</t>
        </is>
      </c>
      <c r="G224" s="32" t="n">
        <v>0.88</v>
      </c>
      <c r="H224" s="117" t="inlineStr">
        <is>
          <t>Sunita Gupta</t>
        </is>
      </c>
      <c r="I224" s="117" t="inlineStr">
        <is>
          <t>HDFC 0094</t>
        </is>
      </c>
      <c r="J224" s="117" t="inlineStr">
        <is>
          <t>Contra</t>
        </is>
      </c>
      <c r="K224" s="117" t="inlineStr">
        <is>
          <t>NEFT DR-UTIB0002656-SUNITA GUPTA-NETBANK, MUM-N176243109164220-TFR FRM AXIS 2 HFC</t>
        </is>
      </c>
      <c r="L224" s="117" t="inlineStr">
        <is>
          <t>HDFC Bank</t>
        </is>
      </c>
      <c r="M224" s="117" t="inlineStr"/>
    </row>
    <row r="225">
      <c r="A225" s="83" t="n">
        <v>45467</v>
      </c>
      <c r="B225" s="83" t="n">
        <v>45467</v>
      </c>
      <c r="C225" s="84" t="n">
        <v>1135.23</v>
      </c>
      <c r="D225" s="84" t="n">
        <v>0</v>
      </c>
      <c r="E225" s="84" t="inlineStr"/>
      <c r="F225" s="84" t="inlineStr">
        <is>
          <t>HDFC Securities - Buy</t>
        </is>
      </c>
      <c r="G225" s="32" t="n">
        <v>0.97</v>
      </c>
      <c r="H225" s="84" t="inlineStr">
        <is>
          <t>HDFC Securities</t>
        </is>
      </c>
      <c r="I225" s="84" t="inlineStr">
        <is>
          <t>HDFC 0094</t>
        </is>
      </c>
      <c r="J225" s="84" t="inlineStr">
        <is>
          <t>HSL</t>
        </is>
      </c>
      <c r="K225" s="84" t="inlineStr">
        <is>
          <t>NET PI TO HSL SEC A/C 523686-00602340029434</t>
        </is>
      </c>
      <c r="L225" s="84" t="inlineStr">
        <is>
          <t>HDFC Bank</t>
        </is>
      </c>
      <c r="M225" s="84" t="inlineStr"/>
    </row>
    <row r="226">
      <c r="A226" s="116" t="n">
        <v>45467</v>
      </c>
      <c r="B226" s="116" t="n">
        <v>45467</v>
      </c>
      <c r="C226" s="117" t="n">
        <v>50000</v>
      </c>
      <c r="D226" s="117" t="n">
        <v>0</v>
      </c>
      <c r="E226" s="117" t="inlineStr"/>
      <c r="F226" s="117" t="inlineStr">
        <is>
          <t>Transfer - Sunita Gupta</t>
        </is>
      </c>
      <c r="G226" s="32" t="n">
        <v>0.88</v>
      </c>
      <c r="H226" s="117" t="inlineStr">
        <is>
          <t>Sunita Gupta</t>
        </is>
      </c>
      <c r="I226" s="117" t="inlineStr">
        <is>
          <t>HDFC 0094</t>
        </is>
      </c>
      <c r="J226" s="117" t="inlineStr">
        <is>
          <t>Contra</t>
        </is>
      </c>
      <c r="K226" s="117" t="inlineStr">
        <is>
          <t>NEFT DR-UTIB0002656-SUNITA GUPTA-NETBANK, MUM-N176243108305610-TRF FRM SUNITA HDF</t>
        </is>
      </c>
      <c r="L226" s="117" t="inlineStr">
        <is>
          <t>HDFC Bank</t>
        </is>
      </c>
      <c r="M226" s="117" t="inlineStr"/>
    </row>
    <row r="227">
      <c r="A227" s="64" t="n">
        <v>45467</v>
      </c>
      <c r="B227" s="64" t="n">
        <v>45467</v>
      </c>
      <c r="C227" s="65" t="n">
        <v>30000</v>
      </c>
      <c r="D227" s="65" t="n">
        <v>0</v>
      </c>
      <c r="E227" s="65" t="inlineStr"/>
      <c r="F227" s="65" t="inlineStr">
        <is>
          <t>Zerodha Broking</t>
        </is>
      </c>
      <c r="G227" s="32" t="n">
        <v>0.88</v>
      </c>
      <c r="H227" s="65" t="inlineStr">
        <is>
          <t>Zerodha Broking Limited</t>
        </is>
      </c>
      <c r="I227" s="65" t="inlineStr">
        <is>
          <t>AXIS 7042</t>
        </is>
      </c>
      <c r="J227" s="65" t="inlineStr">
        <is>
          <t>Zerodha</t>
        </is>
      </c>
      <c r="K227" s="65" t="inlineStr">
        <is>
          <t>UPI/P2M/417673480863/ZERODHA BROKING LIMIT/102002/ICICI Bank</t>
        </is>
      </c>
      <c r="L227" s="65" t="inlineStr">
        <is>
          <t>Axis Bank</t>
        </is>
      </c>
      <c r="M227" s="65" t="inlineStr">
        <is>
          <t>⚠ Possible Duplicate</t>
        </is>
      </c>
    </row>
    <row r="228">
      <c r="A228" s="85" t="n">
        <v>45467</v>
      </c>
      <c r="B228" s="85" t="n">
        <v>45467</v>
      </c>
      <c r="C228" s="86" t="n">
        <v>0</v>
      </c>
      <c r="D228" s="86" t="n">
        <v>19521.12</v>
      </c>
      <c r="E228" s="86" t="inlineStr"/>
      <c r="F228" s="86" t="inlineStr">
        <is>
          <t>HDFC Securities - Sell</t>
        </is>
      </c>
      <c r="G228" s="32" t="n">
        <v>0.97</v>
      </c>
      <c r="H228" s="86" t="inlineStr">
        <is>
          <t>HDFC Securities</t>
        </is>
      </c>
      <c r="I228" s="86" t="inlineStr">
        <is>
          <t>HDFC 0094</t>
        </is>
      </c>
      <c r="J228" s="86" t="inlineStr">
        <is>
          <t>HSL</t>
        </is>
      </c>
      <c r="K228" s="86" t="inlineStr">
        <is>
          <t>NET PO FROM HSL A/C 523686-50200085415108</t>
        </is>
      </c>
      <c r="L228" s="86" t="inlineStr">
        <is>
          <t>HDFC Bank</t>
        </is>
      </c>
      <c r="M228" s="86" t="inlineStr"/>
    </row>
    <row r="229">
      <c r="A229" s="116" t="n">
        <v>45467</v>
      </c>
      <c r="B229" s="116" t="n">
        <v>45467</v>
      </c>
      <c r="C229" s="117" t="n">
        <v>0</v>
      </c>
      <c r="D229" s="117" t="n">
        <v>25000</v>
      </c>
      <c r="E229" s="117" t="inlineStr"/>
      <c r="F229" s="117" t="inlineStr">
        <is>
          <t>Received - Sunita Gupta</t>
        </is>
      </c>
      <c r="G229" s="32" t="n">
        <v>0.88</v>
      </c>
      <c r="H229" s="117" t="inlineStr">
        <is>
          <t>Sunita Gupta</t>
        </is>
      </c>
      <c r="I229" s="117" t="inlineStr">
        <is>
          <t>AXIS 7042</t>
        </is>
      </c>
      <c r="J229" s="117" t="inlineStr">
        <is>
          <t>Contra</t>
        </is>
      </c>
      <c r="K229" s="117" t="inlineStr">
        <is>
          <t>NEFT/N176243109164220/SUNITA GUPTA/HDFC BANK/tfr frm Axis 2 hfc</t>
        </is>
      </c>
      <c r="L229" s="117" t="inlineStr">
        <is>
          <t>Axis Bank</t>
        </is>
      </c>
      <c r="M229" s="117" t="inlineStr"/>
    </row>
    <row r="230">
      <c r="A230" s="64" t="n">
        <v>45467</v>
      </c>
      <c r="B230" s="64" t="n">
        <v>45467</v>
      </c>
      <c r="C230" s="65" t="n">
        <v>30000</v>
      </c>
      <c r="D230" s="65" t="n">
        <v>0</v>
      </c>
      <c r="E230" s="65" t="inlineStr"/>
      <c r="F230" s="65" t="inlineStr">
        <is>
          <t>Zerodha Broking</t>
        </is>
      </c>
      <c r="G230" s="32" t="n">
        <v>0.88</v>
      </c>
      <c r="H230" s="65" t="inlineStr">
        <is>
          <t>Zerodha Broking Limited</t>
        </is>
      </c>
      <c r="I230" s="65" t="inlineStr">
        <is>
          <t>AXIS 7042</t>
        </is>
      </c>
      <c r="J230" s="65" t="inlineStr">
        <is>
          <t>Zerodha</t>
        </is>
      </c>
      <c r="K230" s="65" t="inlineStr">
        <is>
          <t>UPI/P2M/417673461227/ZERODHA BROKING LIMIT/922743/ICICI Bank</t>
        </is>
      </c>
      <c r="L230" s="65" t="inlineStr">
        <is>
          <t>Axis Bank</t>
        </is>
      </c>
      <c r="M230" s="65" t="inlineStr">
        <is>
          <t>⚠ Possible Duplicate</t>
        </is>
      </c>
    </row>
    <row r="231">
      <c r="A231" s="85" t="n">
        <v>45467</v>
      </c>
      <c r="B231" s="85" t="n">
        <v>45467</v>
      </c>
      <c r="C231" s="86" t="n">
        <v>0</v>
      </c>
      <c r="D231" s="86" t="n">
        <v>25173.36</v>
      </c>
      <c r="E231" s="86" t="inlineStr"/>
      <c r="F231" s="86" t="inlineStr">
        <is>
          <t>HDFC Securities - Sell</t>
        </is>
      </c>
      <c r="G231" s="32" t="n">
        <v>0.97</v>
      </c>
      <c r="H231" s="86" t="inlineStr">
        <is>
          <t>HDFC Securities</t>
        </is>
      </c>
      <c r="I231" s="86" t="inlineStr">
        <is>
          <t>HDFC 0094</t>
        </is>
      </c>
      <c r="J231" s="86" t="inlineStr">
        <is>
          <t>HSL</t>
        </is>
      </c>
      <c r="K231" s="86" t="inlineStr">
        <is>
          <t>NET PO FROM HSL A/C 523686-50200085415108</t>
        </is>
      </c>
      <c r="L231" s="86" t="inlineStr">
        <is>
          <t>HDFC Bank</t>
        </is>
      </c>
      <c r="M231" s="86" t="inlineStr"/>
    </row>
    <row r="232">
      <c r="A232" s="85" t="n">
        <v>45468</v>
      </c>
      <c r="B232" s="85" t="n">
        <v>45468</v>
      </c>
      <c r="C232" s="86" t="n">
        <v>0</v>
      </c>
      <c r="D232" s="86" t="n">
        <v>34583.15</v>
      </c>
      <c r="E232" s="86" t="inlineStr"/>
      <c r="F232" s="86" t="inlineStr">
        <is>
          <t>HDFC Securities - Sell</t>
        </is>
      </c>
      <c r="G232" s="32" t="n">
        <v>0.97</v>
      </c>
      <c r="H232" s="86" t="inlineStr">
        <is>
          <t>HDFC Securities</t>
        </is>
      </c>
      <c r="I232" s="86" t="inlineStr">
        <is>
          <t>HDFC 0094</t>
        </is>
      </c>
      <c r="J232" s="86" t="inlineStr">
        <is>
          <t>HSL</t>
        </is>
      </c>
      <c r="K232" s="86" t="inlineStr">
        <is>
          <t>NET PO FROM HSL A/C 523686-50200085415108</t>
        </is>
      </c>
      <c r="L232" s="86" t="inlineStr">
        <is>
          <t>HDFC Bank</t>
        </is>
      </c>
      <c r="M232" s="86" t="inlineStr"/>
    </row>
    <row r="233">
      <c r="A233" s="85" t="n">
        <v>45468</v>
      </c>
      <c r="B233" s="85" t="n">
        <v>45468</v>
      </c>
      <c r="C233" s="86" t="n">
        <v>0</v>
      </c>
      <c r="D233" s="86" t="n">
        <v>86730.8</v>
      </c>
      <c r="E233" s="86" t="inlineStr"/>
      <c r="F233" s="86" t="inlineStr">
        <is>
          <t>HDFC Securities - Sell</t>
        </is>
      </c>
      <c r="G233" s="32" t="n">
        <v>0.97</v>
      </c>
      <c r="H233" s="86" t="inlineStr">
        <is>
          <t>HDFC Securities</t>
        </is>
      </c>
      <c r="I233" s="86" t="inlineStr">
        <is>
          <t>HDFC 0094</t>
        </is>
      </c>
      <c r="J233" s="86" t="inlineStr">
        <is>
          <t>HSL</t>
        </is>
      </c>
      <c r="K233" s="86" t="inlineStr">
        <is>
          <t>NET PO FROM HSL A/C 523686-50200085415108</t>
        </is>
      </c>
      <c r="L233" s="86" t="inlineStr">
        <is>
          <t>HDFC Bank</t>
        </is>
      </c>
      <c r="M233" s="86" t="inlineStr"/>
    </row>
    <row r="234">
      <c r="A234" s="116" t="n">
        <v>45468</v>
      </c>
      <c r="B234" s="116" t="n">
        <v>45468</v>
      </c>
      <c r="C234" s="117" t="n">
        <v>150000</v>
      </c>
      <c r="D234" s="117" t="n">
        <v>0</v>
      </c>
      <c r="E234" s="117" t="inlineStr"/>
      <c r="F234" s="117" t="inlineStr">
        <is>
          <t>Transfer - Sunita Gupta</t>
        </is>
      </c>
      <c r="G234" s="32" t="n">
        <v>0.88</v>
      </c>
      <c r="H234" s="117" t="inlineStr">
        <is>
          <t>Sunita Gupta</t>
        </is>
      </c>
      <c r="I234" s="117" t="inlineStr">
        <is>
          <t>HDFC 0094</t>
        </is>
      </c>
      <c r="J234" s="117" t="inlineStr">
        <is>
          <t>Transfer from Ajay</t>
        </is>
      </c>
      <c r="K234" s="117" t="inlineStr">
        <is>
          <t>01671000085930-TPT-MARRIAGE EXPENSES FROM SUNITA-AJAY KUMAR GUPTA</t>
        </is>
      </c>
      <c r="L234" s="117" t="inlineStr">
        <is>
          <t>HDFC Bank</t>
        </is>
      </c>
      <c r="M234" s="117" t="inlineStr"/>
    </row>
    <row r="235">
      <c r="A235" s="83" t="n">
        <v>45468</v>
      </c>
      <c r="B235" s="83" t="n">
        <v>45468</v>
      </c>
      <c r="C235" s="84" t="n">
        <v>370.62</v>
      </c>
      <c r="D235" s="84" t="n">
        <v>0</v>
      </c>
      <c r="E235" s="84" t="inlineStr"/>
      <c r="F235" s="84" t="inlineStr">
        <is>
          <t>HDFC Securities - Buy</t>
        </is>
      </c>
      <c r="G235" s="32" t="n">
        <v>0.97</v>
      </c>
      <c r="H235" s="84" t="inlineStr">
        <is>
          <t>HDFC Securities</t>
        </is>
      </c>
      <c r="I235" s="84" t="inlineStr">
        <is>
          <t>HDFC 0094</t>
        </is>
      </c>
      <c r="J235" s="84" t="inlineStr">
        <is>
          <t>HSL</t>
        </is>
      </c>
      <c r="K235" s="84" t="inlineStr">
        <is>
          <t>NET PI TO HSL SEC A/C 523686-00602340029434</t>
        </is>
      </c>
      <c r="L235" s="84" t="inlineStr">
        <is>
          <t>HDFC Bank</t>
        </is>
      </c>
      <c r="M235" s="84" t="inlineStr"/>
    </row>
    <row r="236">
      <c r="A236" s="42" t="n">
        <v>45468</v>
      </c>
      <c r="B236" s="42" t="n">
        <v>45468</v>
      </c>
      <c r="C236" s="43" t="n">
        <v>0</v>
      </c>
      <c r="D236" s="43" t="n">
        <v>720</v>
      </c>
      <c r="E236" s="43" t="inlineStr"/>
      <c r="F236" s="43" t="inlineStr">
        <is>
          <t>Dividend Income</t>
        </is>
      </c>
      <c r="G236" s="32" t="n">
        <v>0.88</v>
      </c>
      <c r="H236" s="43" t="inlineStr">
        <is>
          <t>Dividend Income</t>
        </is>
      </c>
      <c r="I236" s="43" t="inlineStr">
        <is>
          <t>HDFC 0094</t>
        </is>
      </c>
      <c r="J236" s="43" t="inlineStr">
        <is>
          <t>Dividend Income</t>
        </is>
      </c>
      <c r="K236" s="43" t="inlineStr">
        <is>
          <t>ACH C- HINDUSTANUNILEVERL-00000000000030</t>
        </is>
      </c>
      <c r="L236" s="43" t="inlineStr">
        <is>
          <t>HDFC Bank</t>
        </is>
      </c>
      <c r="M236" s="43" t="inlineStr"/>
    </row>
    <row r="237">
      <c r="A237" s="42" t="n">
        <v>45468</v>
      </c>
      <c r="B237" s="42" t="n">
        <v>45468</v>
      </c>
      <c r="C237" s="43" t="n">
        <v>0</v>
      </c>
      <c r="D237" s="43" t="n">
        <v>50</v>
      </c>
      <c r="E237" s="43" t="inlineStr"/>
      <c r="F237" s="43" t="inlineStr">
        <is>
          <t>Dividend Income</t>
        </is>
      </c>
      <c r="G237" s="32" t="n">
        <v>0.88</v>
      </c>
      <c r="H237" s="43" t="inlineStr">
        <is>
          <t>Dividend Income</t>
        </is>
      </c>
      <c r="I237" s="43" t="inlineStr">
        <is>
          <t>HDFC 0094</t>
        </is>
      </c>
      <c r="J237" s="43" t="inlineStr">
        <is>
          <t>Dividend Income</t>
        </is>
      </c>
      <c r="K237" s="43" t="inlineStr">
        <is>
          <t>ACH C- HIMADRI SPECIALITY C-NIN300476410</t>
        </is>
      </c>
      <c r="L237" s="43" t="inlineStr">
        <is>
          <t>HDFC Bank</t>
        </is>
      </c>
      <c r="M237" s="43" t="inlineStr"/>
    </row>
    <row r="238">
      <c r="A238" s="83" t="n">
        <v>45468</v>
      </c>
      <c r="B238" s="83" t="n">
        <v>45468</v>
      </c>
      <c r="C238" s="84" t="n">
        <v>31517.3</v>
      </c>
      <c r="D238" s="84" t="n">
        <v>0</v>
      </c>
      <c r="E238" s="84" t="inlineStr"/>
      <c r="F238" s="84" t="inlineStr">
        <is>
          <t>HDFC Securities - Buy</t>
        </is>
      </c>
      <c r="G238" s="32" t="n">
        <v>0.97</v>
      </c>
      <c r="H238" s="84" t="inlineStr">
        <is>
          <t>HDFC Securities</t>
        </is>
      </c>
      <c r="I238" s="84" t="inlineStr">
        <is>
          <t>HDFC 0094</t>
        </is>
      </c>
      <c r="J238" s="84" t="inlineStr">
        <is>
          <t>HSL</t>
        </is>
      </c>
      <c r="K238" s="84" t="inlineStr">
        <is>
          <t>NET PI TO HSL SEC A/C 523686-00602340029434</t>
        </is>
      </c>
      <c r="L238" s="84" t="inlineStr">
        <is>
          <t>HDFC Bank</t>
        </is>
      </c>
      <c r="M238" s="84" t="inlineStr"/>
    </row>
    <row r="239">
      <c r="A239" s="40" t="n">
        <v>45468</v>
      </c>
      <c r="B239" s="40" t="n">
        <v>45468</v>
      </c>
      <c r="C239" s="41" t="n">
        <v>0</v>
      </c>
      <c r="D239" s="41" t="n">
        <v>169</v>
      </c>
      <c r="E239" s="41" t="inlineStr"/>
      <c r="F239" s="41" t="inlineStr">
        <is>
          <t>Bank Interest</t>
        </is>
      </c>
      <c r="G239" s="32" t="n">
        <v>0.9</v>
      </c>
      <c r="H239" s="41" t="inlineStr">
        <is>
          <t>Bank Interest</t>
        </is>
      </c>
      <c r="I239" s="41" t="inlineStr">
        <is>
          <t>SBI 7685</t>
        </is>
      </c>
      <c r="J239" s="41" t="inlineStr">
        <is>
          <t>Bank Interest</t>
        </is>
      </c>
      <c r="K239" s="41" t="inlineStr">
        <is>
          <t xml:space="preserve">   CREDIT INTEREST---</t>
        </is>
      </c>
      <c r="L239" s="41" t="inlineStr">
        <is>
          <t>State Bank of India</t>
        </is>
      </c>
      <c r="M239" s="41" t="inlineStr"/>
    </row>
    <row r="240">
      <c r="A240" s="64" t="n">
        <v>45468</v>
      </c>
      <c r="B240" s="64" t="n">
        <v>45468</v>
      </c>
      <c r="C240" s="65" t="n">
        <v>10000</v>
      </c>
      <c r="D240" s="65" t="n">
        <v>0</v>
      </c>
      <c r="E240" s="65" t="inlineStr"/>
      <c r="F240" s="65" t="inlineStr">
        <is>
          <t>MF Investment</t>
        </is>
      </c>
      <c r="G240" s="32" t="n">
        <v>0.92</v>
      </c>
      <c r="H240" s="65" t="inlineStr">
        <is>
          <t>Mutual_Fund_Investments</t>
        </is>
      </c>
      <c r="I240" s="65" t="inlineStr">
        <is>
          <t>HDFC 0094</t>
        </is>
      </c>
      <c r="J240" s="65" t="inlineStr">
        <is>
          <t>SIP  - 10000</t>
        </is>
      </c>
      <c r="K240" s="65" t="inlineStr">
        <is>
          <t>ACH D- INDIAN CLEARING CORP-P25847643X05</t>
        </is>
      </c>
      <c r="L240" s="65" t="inlineStr">
        <is>
          <t>HDFC Bank</t>
        </is>
      </c>
      <c r="M240" s="65" t="inlineStr"/>
    </row>
    <row r="241">
      <c r="A241" s="83" t="n">
        <v>45469</v>
      </c>
      <c r="B241" s="83" t="n">
        <v>45469</v>
      </c>
      <c r="C241" s="84" t="n">
        <v>5260.5</v>
      </c>
      <c r="D241" s="84" t="n">
        <v>0</v>
      </c>
      <c r="E241" s="84" t="inlineStr"/>
      <c r="F241" s="84" t="inlineStr">
        <is>
          <t>HDFC Securities - Buy</t>
        </is>
      </c>
      <c r="G241" s="32" t="n">
        <v>0.97</v>
      </c>
      <c r="H241" s="84" t="inlineStr">
        <is>
          <t>HDFC Securities</t>
        </is>
      </c>
      <c r="I241" s="84" t="inlineStr">
        <is>
          <t>HDFC 0094</t>
        </is>
      </c>
      <c r="J241" s="84" t="inlineStr">
        <is>
          <t>HSL</t>
        </is>
      </c>
      <c r="K241" s="84" t="inlineStr">
        <is>
          <t>NET PI TO HSL SEC A/C 523686-00602340029434</t>
        </is>
      </c>
      <c r="L241" s="84" t="inlineStr">
        <is>
          <t>HDFC Bank</t>
        </is>
      </c>
      <c r="M241" s="84" t="inlineStr"/>
    </row>
    <row r="242">
      <c r="A242" s="85" t="n">
        <v>45469</v>
      </c>
      <c r="B242" s="85" t="n">
        <v>45469</v>
      </c>
      <c r="C242" s="86" t="n">
        <v>0</v>
      </c>
      <c r="D242" s="86" t="n">
        <v>7425.28</v>
      </c>
      <c r="E242" s="86" t="inlineStr"/>
      <c r="F242" s="86" t="inlineStr">
        <is>
          <t>HDFC Securities - Sell</t>
        </is>
      </c>
      <c r="G242" s="32" t="n">
        <v>0.97</v>
      </c>
      <c r="H242" s="86" t="inlineStr">
        <is>
          <t>HDFC Securities</t>
        </is>
      </c>
      <c r="I242" s="86" t="inlineStr">
        <is>
          <t>HDFC 0094</t>
        </is>
      </c>
      <c r="J242" s="86" t="inlineStr">
        <is>
          <t>HSL</t>
        </is>
      </c>
      <c r="K242" s="86" t="inlineStr">
        <is>
          <t>NET PO FROM HSL A/C 523686-50200085415108</t>
        </is>
      </c>
      <c r="L242" s="86" t="inlineStr">
        <is>
          <t>HDFC Bank</t>
        </is>
      </c>
      <c r="M242" s="86" t="inlineStr"/>
    </row>
    <row r="243">
      <c r="A243" s="85" t="n">
        <v>45469</v>
      </c>
      <c r="B243" s="85" t="n">
        <v>45469</v>
      </c>
      <c r="C243" s="86" t="n">
        <v>0</v>
      </c>
      <c r="D243" s="86" t="n">
        <v>50389.77</v>
      </c>
      <c r="E243" s="86" t="inlineStr"/>
      <c r="F243" s="86" t="inlineStr">
        <is>
          <t>HDFC Securities - Sell</t>
        </is>
      </c>
      <c r="G243" s="32" t="n">
        <v>0.97</v>
      </c>
      <c r="H243" s="86" t="inlineStr">
        <is>
          <t>HDFC Securities</t>
        </is>
      </c>
      <c r="I243" s="86" t="inlineStr">
        <is>
          <t>HDFC 0094</t>
        </is>
      </c>
      <c r="J243" s="86" t="inlineStr">
        <is>
          <t>HSL</t>
        </is>
      </c>
      <c r="K243" s="86" t="inlineStr">
        <is>
          <t>NET PO FROM HSL A/C 523686-50200085415108</t>
        </is>
      </c>
      <c r="L243" s="86" t="inlineStr">
        <is>
          <t>HDFC Bank</t>
        </is>
      </c>
      <c r="M243" s="86" t="inlineStr"/>
    </row>
    <row r="244">
      <c r="A244" s="83" t="n">
        <v>45469</v>
      </c>
      <c r="B244" s="83" t="n">
        <v>45469</v>
      </c>
      <c r="C244" s="84" t="n">
        <v>340.57</v>
      </c>
      <c r="D244" s="84" t="n">
        <v>0</v>
      </c>
      <c r="E244" s="84" t="inlineStr"/>
      <c r="F244" s="84" t="inlineStr">
        <is>
          <t>HDFC Securities - Buy</t>
        </is>
      </c>
      <c r="G244" s="32" t="n">
        <v>0.97</v>
      </c>
      <c r="H244" s="84" t="inlineStr">
        <is>
          <t>HDFC Securities</t>
        </is>
      </c>
      <c r="I244" s="84" t="inlineStr">
        <is>
          <t>HDFC 0094</t>
        </is>
      </c>
      <c r="J244" s="84" t="inlineStr">
        <is>
          <t>HSL</t>
        </is>
      </c>
      <c r="K244" s="84" t="inlineStr">
        <is>
          <t>NET PI TO HSL SEC A/C 523686-00602340029434</t>
        </is>
      </c>
      <c r="L244" s="84" t="inlineStr">
        <is>
          <t>HDFC Bank</t>
        </is>
      </c>
      <c r="M244" s="84" t="inlineStr"/>
    </row>
    <row r="245">
      <c r="A245" s="42" t="n">
        <v>45470</v>
      </c>
      <c r="B245" s="42" t="n">
        <v>45470</v>
      </c>
      <c r="C245" s="43" t="n">
        <v>0</v>
      </c>
      <c r="D245" s="43" t="n">
        <v>84.56999999999999</v>
      </c>
      <c r="E245" s="43" t="inlineStr"/>
      <c r="F245" s="43" t="inlineStr">
        <is>
          <t>Dividend Income</t>
        </is>
      </c>
      <c r="G245" s="32" t="n">
        <v>0.85</v>
      </c>
      <c r="H245" s="43" t="inlineStr">
        <is>
          <t>Dividend Income</t>
        </is>
      </c>
      <c r="I245" s="43" t="inlineStr">
        <is>
          <t>HDFC 0094</t>
        </is>
      </c>
      <c r="J245" s="43" t="inlineStr">
        <is>
          <t>MF - Dividend</t>
        </is>
      </c>
      <c r="K245" s="43" t="inlineStr">
        <is>
          <t>NEFT CR-UTIB0000004-AXIS MUTUAL FUND DIVIDEND A/C-SUNITA GUPTA-AXISCN0662480411</t>
        </is>
      </c>
      <c r="L245" s="43" t="inlineStr">
        <is>
          <t>HDFC Bank</t>
        </is>
      </c>
      <c r="M245" s="43" t="inlineStr"/>
    </row>
    <row r="246">
      <c r="A246" s="83" t="n">
        <v>45470</v>
      </c>
      <c r="B246" s="83" t="n">
        <v>45470</v>
      </c>
      <c r="C246" s="84" t="n">
        <v>316.84</v>
      </c>
      <c r="D246" s="84" t="n">
        <v>0</v>
      </c>
      <c r="E246" s="84" t="inlineStr"/>
      <c r="F246" s="84" t="inlineStr">
        <is>
          <t>HDFC Securities - Buy</t>
        </is>
      </c>
      <c r="G246" s="32" t="n">
        <v>0.97</v>
      </c>
      <c r="H246" s="84" t="inlineStr">
        <is>
          <t>HDFC Securities</t>
        </is>
      </c>
      <c r="I246" s="84" t="inlineStr">
        <is>
          <t>HDFC 0094</t>
        </is>
      </c>
      <c r="J246" s="84" t="inlineStr">
        <is>
          <t>HSL</t>
        </is>
      </c>
      <c r="K246" s="84" t="inlineStr">
        <is>
          <t>NET PI TO HSL SEC A/C 523686-00602340029434</t>
        </is>
      </c>
      <c r="L246" s="84" t="inlineStr">
        <is>
          <t>HDFC Bank</t>
        </is>
      </c>
      <c r="M246" s="84" t="inlineStr"/>
    </row>
    <row r="247">
      <c r="A247" s="83" t="n">
        <v>45470</v>
      </c>
      <c r="B247" s="83" t="n">
        <v>45470</v>
      </c>
      <c r="C247" s="84" t="n">
        <v>2666.08</v>
      </c>
      <c r="D247" s="84" t="n">
        <v>0</v>
      </c>
      <c r="E247" s="84" t="inlineStr"/>
      <c r="F247" s="84" t="inlineStr">
        <is>
          <t>HDFC Securities - Buy</t>
        </is>
      </c>
      <c r="G247" s="32" t="n">
        <v>0.97</v>
      </c>
      <c r="H247" s="84" t="inlineStr">
        <is>
          <t>HDFC Securities</t>
        </is>
      </c>
      <c r="I247" s="84" t="inlineStr">
        <is>
          <t>HDFC 0094</t>
        </is>
      </c>
      <c r="J247" s="84" t="inlineStr">
        <is>
          <t>HSL</t>
        </is>
      </c>
      <c r="K247" s="84" t="inlineStr">
        <is>
          <t>NET PI TO HSL SEC A/C 523686-00602340029434</t>
        </is>
      </c>
      <c r="L247" s="84" t="inlineStr">
        <is>
          <t>HDFC Bank</t>
        </is>
      </c>
      <c r="M247" s="84" t="inlineStr"/>
    </row>
    <row r="248">
      <c r="A248" s="42" t="n">
        <v>45471</v>
      </c>
      <c r="B248" s="42" t="n">
        <v>45471</v>
      </c>
      <c r="C248" s="43" t="n">
        <v>0</v>
      </c>
      <c r="D248" s="43" t="n">
        <v>1800</v>
      </c>
      <c r="E248" s="43" t="inlineStr"/>
      <c r="F248" s="43" t="inlineStr">
        <is>
          <t>Dividend Income</t>
        </is>
      </c>
      <c r="G248" s="32" t="n">
        <v>0.88</v>
      </c>
      <c r="H248" s="43" t="inlineStr">
        <is>
          <t>Dividend Income</t>
        </is>
      </c>
      <c r="I248" s="43" t="inlineStr">
        <is>
          <t>HDFC 0094</t>
        </is>
      </c>
      <c r="J248" s="43" t="inlineStr">
        <is>
          <t>Dividend Income</t>
        </is>
      </c>
      <c r="K248" s="43" t="inlineStr">
        <is>
          <t>ACH C- LTIMIN FINAL 2023 24-213986</t>
        </is>
      </c>
      <c r="L248" s="43" t="inlineStr">
        <is>
          <t>HDFC Bank</t>
        </is>
      </c>
      <c r="M248" s="43" t="inlineStr"/>
    </row>
    <row r="249">
      <c r="A249" s="83" t="n">
        <v>45471</v>
      </c>
      <c r="B249" s="83" t="n">
        <v>45471</v>
      </c>
      <c r="C249" s="84" t="n">
        <v>315.89</v>
      </c>
      <c r="D249" s="84" t="n">
        <v>0</v>
      </c>
      <c r="E249" s="84" t="inlineStr"/>
      <c r="F249" s="84" t="inlineStr">
        <is>
          <t>HDFC Securities - Buy</t>
        </is>
      </c>
      <c r="G249" s="32" t="n">
        <v>0.97</v>
      </c>
      <c r="H249" s="84" t="inlineStr">
        <is>
          <t>HDFC Securities</t>
        </is>
      </c>
      <c r="I249" s="84" t="inlineStr">
        <is>
          <t>HDFC 0094</t>
        </is>
      </c>
      <c r="J249" s="84" t="inlineStr">
        <is>
          <t>HSL</t>
        </is>
      </c>
      <c r="K249" s="84" t="inlineStr">
        <is>
          <t>NET PI TO HSL SEC A/C 523686-00602340029434</t>
        </is>
      </c>
      <c r="L249" s="84" t="inlineStr">
        <is>
          <t>HDFC Bank</t>
        </is>
      </c>
      <c r="M249" s="84" t="inlineStr"/>
    </row>
    <row r="250">
      <c r="A250" s="48" t="n">
        <v>45472</v>
      </c>
      <c r="B250" s="48" t="n">
        <v>45472</v>
      </c>
      <c r="C250" s="49" t="n">
        <v>770</v>
      </c>
      <c r="D250" s="49" t="n">
        <v>0</v>
      </c>
      <c r="E250" s="49" t="inlineStr">
        <is>
          <t>Bharti Ratan Devnani</t>
        </is>
      </c>
      <c r="F250" s="49" t="inlineStr">
        <is>
          <t>UPI Payment</t>
        </is>
      </c>
      <c r="G250" s="50" t="n">
        <v>0.55</v>
      </c>
      <c r="H250" s="49" t="inlineStr">
        <is>
          <t>Personal</t>
        </is>
      </c>
      <c r="I250" s="49" t="inlineStr">
        <is>
          <t>AXIS 7042</t>
        </is>
      </c>
      <c r="J250" s="49" t="inlineStr">
        <is>
          <t>Household Expenses</t>
        </is>
      </c>
      <c r="K250" s="49" t="inlineStr">
        <is>
          <t>UPI/P2A/418192452596/BHARTI RATAN DEVNANI /tiffin/Union Bank of India</t>
        </is>
      </c>
      <c r="L250" s="49" t="inlineStr">
        <is>
          <t>Axis Bank</t>
        </is>
      </c>
      <c r="M250" s="49" t="inlineStr"/>
    </row>
    <row r="251">
      <c r="A251" s="40" t="n">
        <v>45473</v>
      </c>
      <c r="B251" s="40" t="n">
        <v>45473</v>
      </c>
      <c r="C251" s="41" t="n">
        <v>0</v>
      </c>
      <c r="D251" s="41" t="n">
        <v>567</v>
      </c>
      <c r="E251" s="41" t="inlineStr"/>
      <c r="F251" s="41" t="inlineStr">
        <is>
          <t>Bank Interest</t>
        </is>
      </c>
      <c r="G251" s="32" t="n">
        <v>0.95</v>
      </c>
      <c r="H251" s="41" t="inlineStr">
        <is>
          <t>Bank Interest</t>
        </is>
      </c>
      <c r="I251" s="41" t="inlineStr">
        <is>
          <t>HDFC 0094</t>
        </is>
      </c>
      <c r="J251" s="41" t="inlineStr">
        <is>
          <t>Bank Interest</t>
        </is>
      </c>
      <c r="K251" s="41" t="inlineStr">
        <is>
          <t>INTEREST PAID TILL 30-JUN-2024</t>
        </is>
      </c>
      <c r="L251" s="41" t="inlineStr">
        <is>
          <t>HDFC Bank</t>
        </is>
      </c>
      <c r="M251" s="41" t="inlineStr"/>
    </row>
    <row r="252">
      <c r="A252" s="42" t="n">
        <v>45474</v>
      </c>
      <c r="B252" s="42" t="n">
        <v>45474</v>
      </c>
      <c r="C252" s="43" t="n">
        <v>0</v>
      </c>
      <c r="D252" s="43" t="n">
        <v>805</v>
      </c>
      <c r="E252" s="43" t="inlineStr"/>
      <c r="F252" s="43" t="inlineStr">
        <is>
          <t>Dividend Income</t>
        </is>
      </c>
      <c r="G252" s="32" t="n">
        <v>0.85</v>
      </c>
      <c r="H252" s="43" t="inlineStr">
        <is>
          <t>Dividend Income</t>
        </is>
      </c>
      <c r="I252" s="43" t="inlineStr">
        <is>
          <t>AXIS 7042</t>
        </is>
      </c>
      <c r="J252" s="43" t="inlineStr">
        <is>
          <t>Dividend Income</t>
        </is>
      </c>
      <c r="K252" s="43" t="inlineStr">
        <is>
          <t>ACH-CR-CANBANK DIV 2023-24-NACH-6544153-6544153</t>
        </is>
      </c>
      <c r="L252" s="43" t="inlineStr">
        <is>
          <t>Axis Bank</t>
        </is>
      </c>
      <c r="M252" s="43" t="inlineStr"/>
    </row>
    <row r="253">
      <c r="A253" s="30" t="n">
        <v>45474</v>
      </c>
      <c r="B253" s="30" t="n">
        <v>45474</v>
      </c>
      <c r="C253" s="31" t="n">
        <v>2000</v>
      </c>
      <c r="D253" s="31" t="n">
        <v>0</v>
      </c>
      <c r="E253" s="31" t="inlineStr"/>
      <c r="F253" s="31" t="inlineStr">
        <is>
          <t>Cash Withdrawal</t>
        </is>
      </c>
      <c r="G253" s="32" t="n">
        <v>0.92</v>
      </c>
      <c r="H253" s="31" t="inlineStr">
        <is>
          <t>Cash</t>
        </is>
      </c>
      <c r="I253" s="31" t="inlineStr">
        <is>
          <t>AXIS 7042</t>
        </is>
      </c>
      <c r="J253" s="31" t="inlineStr">
        <is>
          <t>ATM Withdrawal</t>
        </is>
      </c>
      <c r="K253" s="31" t="inlineStr">
        <is>
          <t>ATM-CASH-AXIS/BPRH265601/1591/010724/NASHIK</t>
        </is>
      </c>
      <c r="L253" s="31" t="inlineStr">
        <is>
          <t>Axis Bank</t>
        </is>
      </c>
      <c r="M253" s="31" t="inlineStr"/>
    </row>
    <row r="254">
      <c r="A254" s="40" t="n">
        <v>45474</v>
      </c>
      <c r="B254" s="40" t="n">
        <v>45474</v>
      </c>
      <c r="C254" s="41" t="n">
        <v>0</v>
      </c>
      <c r="D254" s="41" t="n">
        <v>208</v>
      </c>
      <c r="E254" s="41" t="inlineStr"/>
      <c r="F254" s="41" t="inlineStr">
        <is>
          <t>Bank Interest</t>
        </is>
      </c>
      <c r="G254" s="32" t="n">
        <v>0.93</v>
      </c>
      <c r="H254" s="41" t="inlineStr">
        <is>
          <t>Bank Interest</t>
        </is>
      </c>
      <c r="I254" s="41" t="inlineStr">
        <is>
          <t>AXIS 7042</t>
        </is>
      </c>
      <c r="J254" s="41" t="inlineStr">
        <is>
          <t>Bank Interest</t>
        </is>
      </c>
      <c r="K254" s="41" t="inlineStr">
        <is>
          <t>SB:919010088767042:Int.Pd:01-04-2024 to 30-06-2024</t>
        </is>
      </c>
      <c r="L254" s="41" t="inlineStr">
        <is>
          <t>Axis Bank</t>
        </is>
      </c>
      <c r="M254" s="41" t="inlineStr"/>
    </row>
    <row r="255">
      <c r="A255" s="85" t="n">
        <v>45474</v>
      </c>
      <c r="B255" s="85" t="n">
        <v>45474</v>
      </c>
      <c r="C255" s="86" t="n">
        <v>0</v>
      </c>
      <c r="D255" s="86" t="n">
        <v>29030.37</v>
      </c>
      <c r="E255" s="86" t="inlineStr"/>
      <c r="F255" s="86" t="inlineStr">
        <is>
          <t>HDFC Securities - Sell</t>
        </is>
      </c>
      <c r="G255" s="32" t="n">
        <v>0.97</v>
      </c>
      <c r="H255" s="86" t="inlineStr">
        <is>
          <t>HDFC Securities</t>
        </is>
      </c>
      <c r="I255" s="86" t="inlineStr">
        <is>
          <t>HDFC 0094</t>
        </is>
      </c>
      <c r="J255" s="86" t="inlineStr">
        <is>
          <t>HSL</t>
        </is>
      </c>
      <c r="K255" s="86" t="inlineStr">
        <is>
          <t>NET PO FROM HSL A/C 523686-50200085415108</t>
        </is>
      </c>
      <c r="L255" s="86" t="inlineStr">
        <is>
          <t>HDFC Bank</t>
        </is>
      </c>
      <c r="M255" s="86" t="inlineStr"/>
    </row>
    <row r="256">
      <c r="A256" s="30" t="n">
        <v>45474</v>
      </c>
      <c r="B256" s="30" t="n">
        <v>45474</v>
      </c>
      <c r="C256" s="31" t="n">
        <v>5000</v>
      </c>
      <c r="D256" s="31" t="n">
        <v>0</v>
      </c>
      <c r="E256" s="31" t="inlineStr"/>
      <c r="F256" s="31" t="inlineStr">
        <is>
          <t>Cash Withdrawal</t>
        </is>
      </c>
      <c r="G256" s="32" t="n">
        <v>0.92</v>
      </c>
      <c r="H256" s="31" t="inlineStr">
        <is>
          <t>Cash</t>
        </is>
      </c>
      <c r="I256" s="31" t="inlineStr">
        <is>
          <t>HDFC 0094</t>
        </is>
      </c>
      <c r="J256" s="31" t="inlineStr">
        <is>
          <t>ATM Withdrawal</t>
        </is>
      </c>
      <c r="K256" s="31" t="inlineStr">
        <is>
          <t>ATW-498792XXXXXX0500-CHBDL001-NASHIK</t>
        </is>
      </c>
      <c r="L256" s="31" t="inlineStr">
        <is>
          <t>HDFC Bank</t>
        </is>
      </c>
      <c r="M256" s="31" t="inlineStr"/>
    </row>
    <row r="257">
      <c r="A257" s="42" t="n">
        <v>45474</v>
      </c>
      <c r="B257" s="42" t="n">
        <v>45474</v>
      </c>
      <c r="C257" s="43" t="n">
        <v>0</v>
      </c>
      <c r="D257" s="43" t="n">
        <v>2800</v>
      </c>
      <c r="E257" s="43" t="inlineStr"/>
      <c r="F257" s="43" t="inlineStr">
        <is>
          <t>Dividend Income</t>
        </is>
      </c>
      <c r="G257" s="32" t="n">
        <v>0.88</v>
      </c>
      <c r="H257" s="43" t="inlineStr">
        <is>
          <t>Dividend Income</t>
        </is>
      </c>
      <c r="I257" s="43" t="inlineStr">
        <is>
          <t>HDFC 0094</t>
        </is>
      </c>
      <c r="J257" s="43" t="inlineStr">
        <is>
          <t>Dividend Income</t>
        </is>
      </c>
      <c r="K257" s="43" t="inlineStr">
        <is>
          <t>ACH C- INFOSYS LIMITED-40612091</t>
        </is>
      </c>
      <c r="L257" s="43" t="inlineStr">
        <is>
          <t>HDFC Bank</t>
        </is>
      </c>
      <c r="M257" s="43" t="inlineStr"/>
    </row>
    <row r="258">
      <c r="A258" s="42" t="n">
        <v>45474</v>
      </c>
      <c r="B258" s="42" t="n">
        <v>45474</v>
      </c>
      <c r="C258" s="43" t="n">
        <v>0</v>
      </c>
      <c r="D258" s="43" t="n">
        <v>1610</v>
      </c>
      <c r="E258" s="43" t="inlineStr"/>
      <c r="F258" s="43" t="inlineStr">
        <is>
          <t>Dividend Income</t>
        </is>
      </c>
      <c r="G258" s="32" t="n">
        <v>0.88</v>
      </c>
      <c r="H258" s="43" t="inlineStr">
        <is>
          <t>Dividend Income</t>
        </is>
      </c>
      <c r="I258" s="43" t="inlineStr">
        <is>
          <t>HDFC 0094</t>
        </is>
      </c>
      <c r="J258" s="43" t="inlineStr">
        <is>
          <t>Dividend Income</t>
        </is>
      </c>
      <c r="K258" s="43" t="inlineStr">
        <is>
          <t>ACH C- CANBANK DIV 2023-24-6273195</t>
        </is>
      </c>
      <c r="L258" s="43" t="inlineStr">
        <is>
          <t>HDFC Bank</t>
        </is>
      </c>
      <c r="M258" s="43" t="inlineStr"/>
    </row>
    <row r="259">
      <c r="A259" s="30" t="n">
        <v>45474</v>
      </c>
      <c r="B259" s="30" t="n">
        <v>45474</v>
      </c>
      <c r="C259" s="31" t="n">
        <v>2000</v>
      </c>
      <c r="D259" s="31" t="n">
        <v>0</v>
      </c>
      <c r="E259" s="31" t="inlineStr"/>
      <c r="F259" s="31" t="inlineStr">
        <is>
          <t>Cash Withdrawal</t>
        </is>
      </c>
      <c r="G259" s="32" t="n">
        <v>0.92</v>
      </c>
      <c r="H259" s="31" t="inlineStr">
        <is>
          <t>Cash</t>
        </is>
      </c>
      <c r="I259" s="31" t="inlineStr">
        <is>
          <t>SBI 7685</t>
        </is>
      </c>
      <c r="J259" s="31" t="inlineStr">
        <is>
          <t>ATM Withdrawal</t>
        </is>
      </c>
      <c r="K259" s="31" t="inlineStr">
        <is>
          <t xml:space="preserve">   ATM WDL-ATM CASH 2734  SBI SHIVAJI NAGAR ATM NASHIK--</t>
        </is>
      </c>
      <c r="L259" s="31" t="inlineStr">
        <is>
          <t>State Bank of India</t>
        </is>
      </c>
      <c r="M259" s="31" t="inlineStr"/>
    </row>
    <row r="260">
      <c r="A260" s="83" t="n">
        <v>45474</v>
      </c>
      <c r="B260" s="83" t="n">
        <v>45474</v>
      </c>
      <c r="C260" s="84" t="n">
        <v>947.67</v>
      </c>
      <c r="D260" s="84" t="n">
        <v>0</v>
      </c>
      <c r="E260" s="84" t="inlineStr"/>
      <c r="F260" s="84" t="inlineStr">
        <is>
          <t>HDFC Securities - Buy</t>
        </is>
      </c>
      <c r="G260" s="32" t="n">
        <v>0.97</v>
      </c>
      <c r="H260" s="84" t="inlineStr">
        <is>
          <t>HDFC Securities</t>
        </is>
      </c>
      <c r="I260" s="84" t="inlineStr">
        <is>
          <t>HDFC 0094</t>
        </is>
      </c>
      <c r="J260" s="84" t="inlineStr">
        <is>
          <t>HSL</t>
        </is>
      </c>
      <c r="K260" s="84" t="inlineStr">
        <is>
          <t>NET PI TO HSL SEC A/C 523686-00602340029434</t>
        </is>
      </c>
      <c r="L260" s="84" t="inlineStr">
        <is>
          <t>HDFC Bank</t>
        </is>
      </c>
      <c r="M260" s="84" t="inlineStr"/>
    </row>
    <row r="261">
      <c r="A261" s="83" t="n">
        <v>45475</v>
      </c>
      <c r="B261" s="83" t="n">
        <v>45475</v>
      </c>
      <c r="C261" s="84" t="n">
        <v>306</v>
      </c>
      <c r="D261" s="84" t="n">
        <v>0</v>
      </c>
      <c r="E261" s="84" t="inlineStr"/>
      <c r="F261" s="84" t="inlineStr">
        <is>
          <t>HDFC Securities - Buy</t>
        </is>
      </c>
      <c r="G261" s="32" t="n">
        <v>0.97</v>
      </c>
      <c r="H261" s="84" t="inlineStr">
        <is>
          <t>HDFC Securities</t>
        </is>
      </c>
      <c r="I261" s="84" t="inlineStr">
        <is>
          <t>HDFC 0094</t>
        </is>
      </c>
      <c r="J261" s="84" t="inlineStr">
        <is>
          <t>HSL</t>
        </is>
      </c>
      <c r="K261" s="84" t="inlineStr">
        <is>
          <t>NET PI TO HSL SEC A/C 523686-00602340029434</t>
        </is>
      </c>
      <c r="L261" s="84" t="inlineStr">
        <is>
          <t>HDFC Bank</t>
        </is>
      </c>
      <c r="M261" s="84" t="inlineStr"/>
    </row>
    <row r="262">
      <c r="A262" s="85" t="n">
        <v>45475</v>
      </c>
      <c r="B262" s="85" t="n">
        <v>45475</v>
      </c>
      <c r="C262" s="86" t="n">
        <v>0</v>
      </c>
      <c r="D262" s="86" t="n">
        <v>11268.65</v>
      </c>
      <c r="E262" s="86" t="inlineStr"/>
      <c r="F262" s="86" t="inlineStr">
        <is>
          <t>HDFC Securities - Sell</t>
        </is>
      </c>
      <c r="G262" s="32" t="n">
        <v>0.97</v>
      </c>
      <c r="H262" s="86" t="inlineStr">
        <is>
          <t>HDFC Securities</t>
        </is>
      </c>
      <c r="I262" s="86" t="inlineStr">
        <is>
          <t>HDFC 0094</t>
        </is>
      </c>
      <c r="J262" s="86" t="inlineStr">
        <is>
          <t>HSL</t>
        </is>
      </c>
      <c r="K262" s="86" t="inlineStr">
        <is>
          <t>NET PO FROM HSL A/C 523686-50200085415108</t>
        </is>
      </c>
      <c r="L262" s="86" t="inlineStr">
        <is>
          <t>HDFC Bank</t>
        </is>
      </c>
      <c r="M262" s="86" t="inlineStr"/>
    </row>
    <row r="263">
      <c r="A263" s="83" t="n">
        <v>45475</v>
      </c>
      <c r="B263" s="83" t="n">
        <v>45475</v>
      </c>
      <c r="C263" s="84" t="n">
        <v>49494.48</v>
      </c>
      <c r="D263" s="84" t="n">
        <v>0</v>
      </c>
      <c r="E263" s="84" t="inlineStr"/>
      <c r="F263" s="84" t="inlineStr">
        <is>
          <t>HDFC Securities - Buy</t>
        </is>
      </c>
      <c r="G263" s="32" t="n">
        <v>0.97</v>
      </c>
      <c r="H263" s="84" t="inlineStr">
        <is>
          <t>HDFC Securities</t>
        </is>
      </c>
      <c r="I263" s="84" t="inlineStr">
        <is>
          <t>HDFC 0094</t>
        </is>
      </c>
      <c r="J263" s="84" t="inlineStr">
        <is>
          <t>HSL</t>
        </is>
      </c>
      <c r="K263" s="84" t="inlineStr">
        <is>
          <t>NET PI TO HSL SEC A/C 523686-00602340029434</t>
        </is>
      </c>
      <c r="L263" s="84" t="inlineStr">
        <is>
          <t>HDFC Bank</t>
        </is>
      </c>
      <c r="M263" s="84" t="inlineStr"/>
    </row>
    <row r="264">
      <c r="A264" s="83" t="n">
        <v>45476</v>
      </c>
      <c r="B264" s="83" t="n">
        <v>45476</v>
      </c>
      <c r="C264" s="84" t="n">
        <v>283.44</v>
      </c>
      <c r="D264" s="84" t="n">
        <v>0</v>
      </c>
      <c r="E264" s="84" t="inlineStr"/>
      <c r="F264" s="84" t="inlineStr">
        <is>
          <t>HDFC Securities - Buy</t>
        </is>
      </c>
      <c r="G264" s="32" t="n">
        <v>0.97</v>
      </c>
      <c r="H264" s="84" t="inlineStr">
        <is>
          <t>HDFC Securities</t>
        </is>
      </c>
      <c r="I264" s="84" t="inlineStr">
        <is>
          <t>HDFC 0094</t>
        </is>
      </c>
      <c r="J264" s="84" t="inlineStr">
        <is>
          <t>HSL</t>
        </is>
      </c>
      <c r="K264" s="84" t="inlineStr">
        <is>
          <t>NET PI TO HSL SEC A/C 523686-00602340029434</t>
        </is>
      </c>
      <c r="L264" s="84" t="inlineStr">
        <is>
          <t>HDFC Bank</t>
        </is>
      </c>
      <c r="M264" s="84" t="inlineStr"/>
    </row>
    <row r="265">
      <c r="A265" s="64" t="n">
        <v>45476</v>
      </c>
      <c r="B265" s="64" t="n">
        <v>45476</v>
      </c>
      <c r="C265" s="65" t="n">
        <v>0</v>
      </c>
      <c r="D265" s="65" t="n">
        <v>3688.79</v>
      </c>
      <c r="E265" s="65" t="inlineStr"/>
      <c r="F265" s="65" t="inlineStr">
        <is>
          <t>NEFT Transfer</t>
        </is>
      </c>
      <c r="G265" s="53" t="n">
        <v>0.7</v>
      </c>
      <c r="H265" s="65" t="inlineStr">
        <is>
          <t>Transfer</t>
        </is>
      </c>
      <c r="I265" s="65" t="inlineStr">
        <is>
          <t>AXIS 7042</t>
        </is>
      </c>
      <c r="J265" s="65" t="inlineStr">
        <is>
          <t>Zerodha</t>
        </is>
      </c>
      <c r="K265" s="65" t="inlineStr">
        <is>
          <t>NEFT/YESEB41852036982/ZERODHA BROKING LTD- FOR ZER/YES BANK/4565c0180515af30213b5d Zerodh</t>
        </is>
      </c>
      <c r="L265" s="65" t="inlineStr">
        <is>
          <t>Axis Bank</t>
        </is>
      </c>
      <c r="M265" s="65" t="inlineStr"/>
    </row>
    <row r="266">
      <c r="A266" s="83" t="n">
        <v>45477</v>
      </c>
      <c r="B266" s="83" t="n">
        <v>45477</v>
      </c>
      <c r="C266" s="84" t="n">
        <v>322.26</v>
      </c>
      <c r="D266" s="84" t="n">
        <v>0</v>
      </c>
      <c r="E266" s="84" t="inlineStr"/>
      <c r="F266" s="84" t="inlineStr">
        <is>
          <t>HDFC Securities - Buy</t>
        </is>
      </c>
      <c r="G266" s="32" t="n">
        <v>0.97</v>
      </c>
      <c r="H266" s="84" t="inlineStr">
        <is>
          <t>HDFC Securities</t>
        </is>
      </c>
      <c r="I266" s="84" t="inlineStr">
        <is>
          <t>HDFC 0094</t>
        </is>
      </c>
      <c r="J266" s="84" t="inlineStr">
        <is>
          <t>HSL</t>
        </is>
      </c>
      <c r="K266" s="84" t="inlineStr">
        <is>
          <t>NET PI TO HSL SEC A/C 523686-00602340029434</t>
        </is>
      </c>
      <c r="L266" s="84" t="inlineStr">
        <is>
          <t>HDFC Bank</t>
        </is>
      </c>
      <c r="M266" s="84" t="inlineStr"/>
    </row>
    <row r="267">
      <c r="A267" s="83" t="n">
        <v>45477</v>
      </c>
      <c r="B267" s="83" t="n">
        <v>45477</v>
      </c>
      <c r="C267" s="84" t="n">
        <v>3478.18</v>
      </c>
      <c r="D267" s="84" t="n">
        <v>0</v>
      </c>
      <c r="E267" s="84" t="inlineStr"/>
      <c r="F267" s="84" t="inlineStr">
        <is>
          <t>HDFC Securities - Buy</t>
        </is>
      </c>
      <c r="G267" s="32" t="n">
        <v>0.97</v>
      </c>
      <c r="H267" s="84" t="inlineStr">
        <is>
          <t>HDFC Securities</t>
        </is>
      </c>
      <c r="I267" s="84" t="inlineStr">
        <is>
          <t>HDFC 0094</t>
        </is>
      </c>
      <c r="J267" s="84" t="inlineStr">
        <is>
          <t>HSL</t>
        </is>
      </c>
      <c r="K267" s="84" t="inlineStr">
        <is>
          <t>NET PI TO HSL SEC A/C 523686-00602340029434</t>
        </is>
      </c>
      <c r="L267" s="84" t="inlineStr">
        <is>
          <t>HDFC Bank</t>
        </is>
      </c>
      <c r="M267" s="84" t="inlineStr"/>
    </row>
    <row r="268">
      <c r="A268" s="42" t="n">
        <v>45477</v>
      </c>
      <c r="B268" s="42" t="n">
        <v>45477</v>
      </c>
      <c r="C268" s="43" t="n">
        <v>0</v>
      </c>
      <c r="D268" s="43" t="n">
        <v>210</v>
      </c>
      <c r="E268" s="43" t="inlineStr"/>
      <c r="F268" s="43" t="inlineStr">
        <is>
          <t>Dividend Income</t>
        </is>
      </c>
      <c r="G268" s="32" t="n">
        <v>0.85</v>
      </c>
      <c r="H268" s="43" t="inlineStr">
        <is>
          <t>Dividend Income</t>
        </is>
      </c>
      <c r="I268" s="43" t="inlineStr">
        <is>
          <t>HDFC 0094</t>
        </is>
      </c>
      <c r="J268" s="43" t="inlineStr">
        <is>
          <t>Dividend Income</t>
        </is>
      </c>
      <c r="K268" s="43" t="inlineStr">
        <is>
          <t>DR LAL PATH DIV23 2400000000000000009172</t>
        </is>
      </c>
      <c r="L268" s="43" t="inlineStr">
        <is>
          <t>HDFC Bank</t>
        </is>
      </c>
      <c r="M268" s="43" t="inlineStr"/>
    </row>
    <row r="269">
      <c r="A269" s="85" t="n">
        <v>45477</v>
      </c>
      <c r="B269" s="85" t="n">
        <v>45477</v>
      </c>
      <c r="C269" s="86" t="n">
        <v>0</v>
      </c>
      <c r="D269" s="86" t="n">
        <v>4094.42</v>
      </c>
      <c r="E269" s="86" t="inlineStr"/>
      <c r="F269" s="86" t="inlineStr">
        <is>
          <t>HDFC Securities - Sell</t>
        </is>
      </c>
      <c r="G269" s="32" t="n">
        <v>0.97</v>
      </c>
      <c r="H269" s="86" t="inlineStr">
        <is>
          <t>HDFC Securities</t>
        </is>
      </c>
      <c r="I269" s="86" t="inlineStr">
        <is>
          <t>HDFC 0094</t>
        </is>
      </c>
      <c r="J269" s="86" t="inlineStr">
        <is>
          <t>HSL</t>
        </is>
      </c>
      <c r="K269" s="86" t="inlineStr">
        <is>
          <t>NET PO FROM HSL A/C 523686-50200085415108</t>
        </is>
      </c>
      <c r="L269" s="86" t="inlineStr">
        <is>
          <t>HDFC Bank</t>
        </is>
      </c>
      <c r="M269" s="86" t="inlineStr"/>
    </row>
    <row r="270">
      <c r="A270" s="83" t="n">
        <v>45478</v>
      </c>
      <c r="B270" s="83" t="n">
        <v>45478</v>
      </c>
      <c r="C270" s="84" t="n">
        <v>77779.53999999999</v>
      </c>
      <c r="D270" s="84" t="n">
        <v>0</v>
      </c>
      <c r="E270" s="84" t="inlineStr"/>
      <c r="F270" s="84" t="inlineStr">
        <is>
          <t>HDFC Securities - Buy</t>
        </is>
      </c>
      <c r="G270" s="32" t="n">
        <v>0.97</v>
      </c>
      <c r="H270" s="84" t="inlineStr">
        <is>
          <t>HDFC Securities</t>
        </is>
      </c>
      <c r="I270" s="84" t="inlineStr">
        <is>
          <t>HDFC 0094</t>
        </is>
      </c>
      <c r="J270" s="84" t="inlineStr">
        <is>
          <t>HSL</t>
        </is>
      </c>
      <c r="K270" s="84" t="inlineStr">
        <is>
          <t>NET PI TO HSL SEC A/C 523686-00602340029434</t>
        </is>
      </c>
      <c r="L270" s="84" t="inlineStr">
        <is>
          <t>HDFC Bank</t>
        </is>
      </c>
      <c r="M270" s="84" t="inlineStr"/>
    </row>
    <row r="271">
      <c r="A271" s="116" t="n">
        <v>45478</v>
      </c>
      <c r="B271" s="116" t="n">
        <v>45478</v>
      </c>
      <c r="C271" s="117" t="n">
        <v>0</v>
      </c>
      <c r="D271" s="117" t="n">
        <v>31329</v>
      </c>
      <c r="E271" s="117" t="inlineStr"/>
      <c r="F271" s="117" t="inlineStr">
        <is>
          <t>Received - Sunita Gupta</t>
        </is>
      </c>
      <c r="G271" s="32" t="n">
        <v>0.88</v>
      </c>
      <c r="H271" s="117" t="inlineStr">
        <is>
          <t>Sunita Gupta</t>
        </is>
      </c>
      <c r="I271" s="117" t="inlineStr">
        <is>
          <t>HDFC 0094</t>
        </is>
      </c>
      <c r="J271" s="117" t="inlineStr">
        <is>
          <t>Rental Income</t>
        </is>
      </c>
      <c r="K271" s="117" t="inlineStr">
        <is>
          <t>NEFT CR-SBIN0004266-SBI GENERAL INSURANCE CO LTDSBI GEN-SUNITA GUPTA 0000000002717756-SBIN224187636782</t>
        </is>
      </c>
      <c r="L271" s="117" t="inlineStr">
        <is>
          <t>HDFC Bank</t>
        </is>
      </c>
      <c r="M271" s="117" t="inlineStr"/>
    </row>
    <row r="272">
      <c r="A272" s="116" t="n">
        <v>45478</v>
      </c>
      <c r="B272" s="116" t="n">
        <v>45478</v>
      </c>
      <c r="C272" s="117" t="n">
        <v>0</v>
      </c>
      <c r="D272" s="117" t="n">
        <v>29757</v>
      </c>
      <c r="E272" s="117" t="inlineStr"/>
      <c r="F272" s="117" t="inlineStr">
        <is>
          <t>Received - Sunita Gupta</t>
        </is>
      </c>
      <c r="G272" s="32" t="n">
        <v>0.88</v>
      </c>
      <c r="H272" s="117" t="inlineStr">
        <is>
          <t>Sunita Gupta</t>
        </is>
      </c>
      <c r="I272" s="117" t="inlineStr">
        <is>
          <t>HDFC 0094</t>
        </is>
      </c>
      <c r="J272" s="117" t="inlineStr">
        <is>
          <t>Rental Income</t>
        </is>
      </c>
      <c r="K272" s="117" t="inlineStr">
        <is>
          <t>NEFT CR-SBIN0004266-SBI GENERAL INSURANCE CO LTDSBI GEN-SUNITA GUPTA 0000000002717756-SBIN224187615721</t>
        </is>
      </c>
      <c r="L272" s="117" t="inlineStr">
        <is>
          <t>HDFC Bank</t>
        </is>
      </c>
      <c r="M272" s="117" t="inlineStr"/>
    </row>
    <row r="273">
      <c r="A273" s="83" t="n">
        <v>45478</v>
      </c>
      <c r="B273" s="83" t="n">
        <v>45478</v>
      </c>
      <c r="C273" s="84" t="n">
        <v>322.48</v>
      </c>
      <c r="D273" s="84" t="n">
        <v>0</v>
      </c>
      <c r="E273" s="84" t="inlineStr"/>
      <c r="F273" s="84" t="inlineStr">
        <is>
          <t>HDFC Securities - Buy</t>
        </is>
      </c>
      <c r="G273" s="32" t="n">
        <v>0.97</v>
      </c>
      <c r="H273" s="84" t="inlineStr">
        <is>
          <t>HDFC Securities</t>
        </is>
      </c>
      <c r="I273" s="84" t="inlineStr">
        <is>
          <t>HDFC 0094</t>
        </is>
      </c>
      <c r="J273" s="84" t="inlineStr">
        <is>
          <t>HSL</t>
        </is>
      </c>
      <c r="K273" s="84" t="inlineStr">
        <is>
          <t>NET PI TO HSL SEC A/C 523686-00602340029434</t>
        </is>
      </c>
      <c r="L273" s="84" t="inlineStr">
        <is>
          <t>HDFC Bank</t>
        </is>
      </c>
      <c r="M273" s="84" t="inlineStr"/>
    </row>
    <row r="274">
      <c r="A274" s="118" t="n">
        <v>45478</v>
      </c>
      <c r="B274" s="118" t="n">
        <v>45478</v>
      </c>
      <c r="C274" s="119" t="n">
        <v>0</v>
      </c>
      <c r="D274" s="119" t="n">
        <v>1000</v>
      </c>
      <c r="E274" s="119" t="inlineStr"/>
      <c r="F274" s="119" t="inlineStr">
        <is>
          <t>Received - Rakhi Vin</t>
        </is>
      </c>
      <c r="G274" s="50" t="n">
        <v>0.55</v>
      </c>
      <c r="H274" s="119" t="inlineStr">
        <is>
          <t>Personal</t>
        </is>
      </c>
      <c r="I274" s="119" t="inlineStr">
        <is>
          <t>AXIS 7042</t>
        </is>
      </c>
      <c r="J274" s="119" t="inlineStr">
        <is>
          <t>UPI</t>
        </is>
      </c>
      <c r="K274" s="119" t="inlineStr">
        <is>
          <t>UPI/P2A/455392699359/RAKHI VIN/ICICI Ban/UPI/</t>
        </is>
      </c>
      <c r="L274" s="119" t="inlineStr">
        <is>
          <t>Axis Bank</t>
        </is>
      </c>
      <c r="M274" s="119" t="inlineStr"/>
    </row>
    <row r="275">
      <c r="A275" s="44" t="n">
        <v>45478</v>
      </c>
      <c r="B275" s="44" t="n">
        <v>45478</v>
      </c>
      <c r="C275" s="45" t="n">
        <v>22</v>
      </c>
      <c r="D275" s="45" t="n">
        <v>0</v>
      </c>
      <c r="E275" s="45" t="inlineStr"/>
      <c r="F275" s="45" t="inlineStr">
        <is>
          <t>UPI - Pharmacy</t>
        </is>
      </c>
      <c r="G275" s="32" t="n">
        <v>0.85</v>
      </c>
      <c r="H275" s="45" t="inlineStr">
        <is>
          <t>Healthcare</t>
        </is>
      </c>
      <c r="I275" s="45" t="inlineStr">
        <is>
          <t>AXIS 7042</t>
        </is>
      </c>
      <c r="J275" s="45" t="inlineStr">
        <is>
          <t>UPI</t>
        </is>
      </c>
      <c r="K275" s="45" t="inlineStr">
        <is>
          <t>UPI/P2M/455345663321/JEET PHARMACY AND MIN/medici/Axis Bank Ltd.</t>
        </is>
      </c>
      <c r="L275" s="45" t="inlineStr">
        <is>
          <t>Axis Bank</t>
        </is>
      </c>
      <c r="M275" s="45" t="inlineStr"/>
    </row>
    <row r="276">
      <c r="A276" s="118" t="n">
        <v>45479</v>
      </c>
      <c r="B276" s="118" t="n">
        <v>45479</v>
      </c>
      <c r="C276" s="119" t="n">
        <v>0</v>
      </c>
      <c r="D276" s="119" t="n">
        <v>1000</v>
      </c>
      <c r="E276" s="119" t="inlineStr"/>
      <c r="F276" s="119" t="inlineStr">
        <is>
          <t>Received - Deepika U</t>
        </is>
      </c>
      <c r="G276" s="50" t="n">
        <v>0.55</v>
      </c>
      <c r="H276" s="119" t="inlineStr">
        <is>
          <t>Personal</t>
        </is>
      </c>
      <c r="I276" s="119" t="inlineStr">
        <is>
          <t>AXIS 7042</t>
        </is>
      </c>
      <c r="J276" s="119" t="inlineStr">
        <is>
          <t>UPI</t>
        </is>
      </c>
      <c r="K276" s="119" t="inlineStr">
        <is>
          <t>UPI/P2A/418872101808/DEEPIKA U/State Ban/UPI/</t>
        </is>
      </c>
      <c r="L276" s="119" t="inlineStr">
        <is>
          <t>Axis Bank</t>
        </is>
      </c>
      <c r="M276" s="119" t="inlineStr"/>
    </row>
    <row r="277">
      <c r="A277" s="48" t="n">
        <v>45481</v>
      </c>
      <c r="B277" s="48" t="n">
        <v>45481</v>
      </c>
      <c r="C277" s="49" t="n">
        <v>650</v>
      </c>
      <c r="D277" s="49" t="n">
        <v>0</v>
      </c>
      <c r="E277" s="49" t="inlineStr">
        <is>
          <t>Kamini  Mihani  95279</t>
        </is>
      </c>
      <c r="F277" s="49" t="inlineStr">
        <is>
          <t>UPI Payment</t>
        </is>
      </c>
      <c r="G277" s="50" t="n">
        <v>0.55</v>
      </c>
      <c r="H277" s="49" t="inlineStr">
        <is>
          <t>Personal</t>
        </is>
      </c>
      <c r="I277" s="49" t="inlineStr">
        <is>
          <t>AXIS 7042</t>
        </is>
      </c>
      <c r="J277" s="49" t="inlineStr">
        <is>
          <t>UPI</t>
        </is>
      </c>
      <c r="K277" s="49" t="inlineStr">
        <is>
          <t>UPI/P2A/419032821898/KAMINI  MIHANI  95279/cream/State Bank Of India</t>
        </is>
      </c>
      <c r="L277" s="49" t="inlineStr">
        <is>
          <t>Axis Bank</t>
        </is>
      </c>
      <c r="M277" s="49" t="inlineStr"/>
    </row>
    <row r="278">
      <c r="A278" s="83" t="n">
        <v>45481</v>
      </c>
      <c r="B278" s="83" t="n">
        <v>45481</v>
      </c>
      <c r="C278" s="84" t="n">
        <v>884.3099999999999</v>
      </c>
      <c r="D278" s="84" t="n">
        <v>0</v>
      </c>
      <c r="E278" s="84" t="inlineStr"/>
      <c r="F278" s="84" t="inlineStr">
        <is>
          <t>HDFC Securities - Buy</t>
        </is>
      </c>
      <c r="G278" s="32" t="n">
        <v>0.97</v>
      </c>
      <c r="H278" s="84" t="inlineStr">
        <is>
          <t>HDFC Securities</t>
        </is>
      </c>
      <c r="I278" s="84" t="inlineStr">
        <is>
          <t>HDFC 0094</t>
        </is>
      </c>
      <c r="J278" s="84" t="inlineStr">
        <is>
          <t>HSL</t>
        </is>
      </c>
      <c r="K278" s="84" t="inlineStr">
        <is>
          <t>NET PI TO HSL SEC A/C 523686-00602340029434</t>
        </is>
      </c>
      <c r="L278" s="84" t="inlineStr">
        <is>
          <t>HDFC Bank</t>
        </is>
      </c>
      <c r="M278" s="84" t="inlineStr"/>
    </row>
    <row r="279">
      <c r="A279" s="85" t="n">
        <v>45482</v>
      </c>
      <c r="B279" s="85" t="n">
        <v>45482</v>
      </c>
      <c r="C279" s="86" t="n">
        <v>0</v>
      </c>
      <c r="D279" s="86" t="n">
        <v>105064.81</v>
      </c>
      <c r="E279" s="86" t="inlineStr"/>
      <c r="F279" s="86" t="inlineStr">
        <is>
          <t>HDFC Securities - Sell</t>
        </is>
      </c>
      <c r="G279" s="32" t="n">
        <v>0.97</v>
      </c>
      <c r="H279" s="86" t="inlineStr">
        <is>
          <t>HDFC Securities</t>
        </is>
      </c>
      <c r="I279" s="86" t="inlineStr">
        <is>
          <t>HDFC 0094</t>
        </is>
      </c>
      <c r="J279" s="86" t="inlineStr">
        <is>
          <t>HSL</t>
        </is>
      </c>
      <c r="K279" s="86" t="inlineStr">
        <is>
          <t>NET PO FROM HSL A/C 523686-50200085415108</t>
        </is>
      </c>
      <c r="L279" s="86" t="inlineStr">
        <is>
          <t>HDFC Bank</t>
        </is>
      </c>
      <c r="M279" s="86" t="inlineStr"/>
    </row>
    <row r="280">
      <c r="A280" s="83" t="n">
        <v>45482</v>
      </c>
      <c r="B280" s="83" t="n">
        <v>45482</v>
      </c>
      <c r="C280" s="84" t="n">
        <v>366.05</v>
      </c>
      <c r="D280" s="84" t="n">
        <v>0</v>
      </c>
      <c r="E280" s="84" t="inlineStr"/>
      <c r="F280" s="84" t="inlineStr">
        <is>
          <t>HDFC Securities - Buy</t>
        </is>
      </c>
      <c r="G280" s="32" t="n">
        <v>0.97</v>
      </c>
      <c r="H280" s="84" t="inlineStr">
        <is>
          <t>HDFC Securities</t>
        </is>
      </c>
      <c r="I280" s="84" t="inlineStr">
        <is>
          <t>HDFC 0094</t>
        </is>
      </c>
      <c r="J280" s="84" t="inlineStr">
        <is>
          <t>HSL</t>
        </is>
      </c>
      <c r="K280" s="84" t="inlineStr">
        <is>
          <t>NET PI TO HSL SEC A/C 523686-00602340029434</t>
        </is>
      </c>
      <c r="L280" s="84" t="inlineStr">
        <is>
          <t>HDFC Bank</t>
        </is>
      </c>
      <c r="M280" s="84" t="inlineStr"/>
    </row>
    <row r="281">
      <c r="A281" s="83" t="n">
        <v>45482</v>
      </c>
      <c r="B281" s="83" t="n">
        <v>45482</v>
      </c>
      <c r="C281" s="84" t="n">
        <v>26096.89</v>
      </c>
      <c r="D281" s="84" t="n">
        <v>0</v>
      </c>
      <c r="E281" s="84" t="inlineStr"/>
      <c r="F281" s="84" t="inlineStr">
        <is>
          <t>HDFC Securities - Buy</t>
        </is>
      </c>
      <c r="G281" s="32" t="n">
        <v>0.97</v>
      </c>
      <c r="H281" s="84" t="inlineStr">
        <is>
          <t>HDFC Securities</t>
        </is>
      </c>
      <c r="I281" s="84" t="inlineStr">
        <is>
          <t>HDFC 0094</t>
        </is>
      </c>
      <c r="J281" s="84" t="inlineStr">
        <is>
          <t>HSL</t>
        </is>
      </c>
      <c r="K281" s="84" t="inlineStr">
        <is>
          <t>NET PI TO HSL SEC A/C 523686-00602340029434</t>
        </is>
      </c>
      <c r="L281" s="84" t="inlineStr">
        <is>
          <t>HDFC Bank</t>
        </is>
      </c>
      <c r="M281" s="84" t="inlineStr"/>
    </row>
    <row r="282">
      <c r="A282" s="83" t="n">
        <v>45483</v>
      </c>
      <c r="B282" s="83" t="n">
        <v>45483</v>
      </c>
      <c r="C282" s="84" t="n">
        <v>314.46</v>
      </c>
      <c r="D282" s="84" t="n">
        <v>0</v>
      </c>
      <c r="E282" s="84" t="inlineStr"/>
      <c r="F282" s="84" t="inlineStr">
        <is>
          <t>HDFC Securities - Buy</t>
        </is>
      </c>
      <c r="G282" s="32" t="n">
        <v>0.97</v>
      </c>
      <c r="H282" s="84" t="inlineStr">
        <is>
          <t>HDFC Securities</t>
        </is>
      </c>
      <c r="I282" s="84" t="inlineStr">
        <is>
          <t>HDFC 0094</t>
        </is>
      </c>
      <c r="J282" s="84" t="inlineStr">
        <is>
          <t>HSL</t>
        </is>
      </c>
      <c r="K282" s="84" t="inlineStr">
        <is>
          <t>NET PI TO HSL SEC A/C 523686-00602340029434</t>
        </is>
      </c>
      <c r="L282" s="84" t="inlineStr">
        <is>
          <t>HDFC Bank</t>
        </is>
      </c>
      <c r="M282" s="84" t="inlineStr"/>
    </row>
    <row r="283">
      <c r="A283" s="116" t="n">
        <v>45483</v>
      </c>
      <c r="B283" s="116" t="n">
        <v>45483</v>
      </c>
      <c r="C283" s="117" t="n">
        <v>849</v>
      </c>
      <c r="D283" s="117" t="n">
        <v>0</v>
      </c>
      <c r="E283" s="117" t="inlineStr"/>
      <c r="F283" s="117" t="inlineStr">
        <is>
          <t>Transfer - Sunita Gupta</t>
        </is>
      </c>
      <c r="G283" s="32" t="n">
        <v>0.88</v>
      </c>
      <c r="H283" s="117" t="inlineStr">
        <is>
          <t>Sunita Gupta</t>
        </is>
      </c>
      <c r="I283" s="117" t="inlineStr">
        <is>
          <t>HDFC 0094</t>
        </is>
      </c>
      <c r="J283" s="117" t="inlineStr">
        <is>
          <t>Insurance</t>
        </is>
      </c>
      <c r="K283" s="117" t="inlineStr">
        <is>
          <t>NEFT DR-CBIN0281016-THE ORIENTAL INSURANACE COMPANY LTD-NETBANK, MUM-N192243146013226-BLD SUNITA INSURAN</t>
        </is>
      </c>
      <c r="L283" s="117" t="inlineStr">
        <is>
          <t>HDFC Bank</t>
        </is>
      </c>
      <c r="M283" s="117" t="inlineStr"/>
    </row>
    <row r="284">
      <c r="A284" s="118" t="n">
        <v>45484</v>
      </c>
      <c r="B284" s="118" t="n">
        <v>45484</v>
      </c>
      <c r="C284" s="119" t="n">
        <v>0</v>
      </c>
      <c r="D284" s="119" t="n">
        <v>1000</v>
      </c>
      <c r="E284" s="119" t="inlineStr"/>
      <c r="F284" s="119" t="inlineStr">
        <is>
          <t>Received - Bhutada S</t>
        </is>
      </c>
      <c r="G284" s="50" t="n">
        <v>0.55</v>
      </c>
      <c r="H284" s="119" t="inlineStr">
        <is>
          <t>Personal</t>
        </is>
      </c>
      <c r="I284" s="119" t="inlineStr">
        <is>
          <t>AXIS 7042</t>
        </is>
      </c>
      <c r="J284" s="119" t="inlineStr">
        <is>
          <t>UPI</t>
        </is>
      </c>
      <c r="K284" s="119" t="inlineStr">
        <is>
          <t>UPI/P2A/419395681329/BHUTADA S/Bank of B/Payment/</t>
        </is>
      </c>
      <c r="L284" s="119" t="inlineStr">
        <is>
          <t>Axis Bank</t>
        </is>
      </c>
      <c r="M284" s="119" t="inlineStr"/>
    </row>
    <row r="285">
      <c r="A285" s="83" t="n">
        <v>45484</v>
      </c>
      <c r="B285" s="83" t="n">
        <v>45484</v>
      </c>
      <c r="C285" s="84" t="n">
        <v>226741.8</v>
      </c>
      <c r="D285" s="84" t="n">
        <v>0</v>
      </c>
      <c r="E285" s="84" t="inlineStr"/>
      <c r="F285" s="84" t="inlineStr">
        <is>
          <t>HDFC Securities - Buy</t>
        </is>
      </c>
      <c r="G285" s="32" t="n">
        <v>0.97</v>
      </c>
      <c r="H285" s="84" t="inlineStr">
        <is>
          <t>HDFC Securities</t>
        </is>
      </c>
      <c r="I285" s="84" t="inlineStr">
        <is>
          <t>HDFC 0094</t>
        </is>
      </c>
      <c r="J285" s="84" t="inlineStr">
        <is>
          <t>HSL</t>
        </is>
      </c>
      <c r="K285" s="84" t="inlineStr">
        <is>
          <t>NET PI TO HSL SEC A/C 523686-00602340029434</t>
        </is>
      </c>
      <c r="L285" s="84" t="inlineStr">
        <is>
          <t>HDFC Bank</t>
        </is>
      </c>
      <c r="M285" s="84" t="inlineStr"/>
    </row>
    <row r="286">
      <c r="A286" s="83" t="n">
        <v>45484</v>
      </c>
      <c r="B286" s="83" t="n">
        <v>45484</v>
      </c>
      <c r="C286" s="84" t="n">
        <v>347.36</v>
      </c>
      <c r="D286" s="84" t="n">
        <v>0</v>
      </c>
      <c r="E286" s="84" t="inlineStr"/>
      <c r="F286" s="84" t="inlineStr">
        <is>
          <t>HDFC Securities - Buy</t>
        </is>
      </c>
      <c r="G286" s="32" t="n">
        <v>0.97</v>
      </c>
      <c r="H286" s="84" t="inlineStr">
        <is>
          <t>HDFC Securities</t>
        </is>
      </c>
      <c r="I286" s="84" t="inlineStr">
        <is>
          <t>HDFC 0094</t>
        </is>
      </c>
      <c r="J286" s="84" t="inlineStr">
        <is>
          <t>HSL</t>
        </is>
      </c>
      <c r="K286" s="84" t="inlineStr">
        <is>
          <t>NET PI TO HSL SEC A/C 523686-00602340029434</t>
        </is>
      </c>
      <c r="L286" s="84" t="inlineStr">
        <is>
          <t>HDFC Bank</t>
        </is>
      </c>
      <c r="M286" s="84" t="inlineStr"/>
    </row>
    <row r="287">
      <c r="A287" s="85" t="n">
        <v>45484</v>
      </c>
      <c r="B287" s="85" t="n">
        <v>45484</v>
      </c>
      <c r="C287" s="86" t="n">
        <v>0</v>
      </c>
      <c r="D287" s="86" t="n">
        <v>42358.74</v>
      </c>
      <c r="E287" s="86" t="inlineStr"/>
      <c r="F287" s="86" t="inlineStr">
        <is>
          <t>HDFC Securities - Sell</t>
        </is>
      </c>
      <c r="G287" s="32" t="n">
        <v>0.97</v>
      </c>
      <c r="H287" s="86" t="inlineStr">
        <is>
          <t>HDFC Securities</t>
        </is>
      </c>
      <c r="I287" s="86" t="inlineStr">
        <is>
          <t>HDFC 0094</t>
        </is>
      </c>
      <c r="J287" s="86" t="inlineStr">
        <is>
          <t>HSL</t>
        </is>
      </c>
      <c r="K287" s="86" t="inlineStr">
        <is>
          <t>NET PO FROM HSL A/C 523686-50200085415108</t>
        </is>
      </c>
      <c r="L287" s="86" t="inlineStr">
        <is>
          <t>HDFC Bank</t>
        </is>
      </c>
      <c r="M287" s="86" t="inlineStr"/>
    </row>
    <row r="288">
      <c r="A288" s="85" t="n">
        <v>45484</v>
      </c>
      <c r="B288" s="85" t="n">
        <v>45484</v>
      </c>
      <c r="C288" s="86" t="n">
        <v>0</v>
      </c>
      <c r="D288" s="86" t="n">
        <v>32435.39</v>
      </c>
      <c r="E288" s="86" t="inlineStr"/>
      <c r="F288" s="86" t="inlineStr">
        <is>
          <t>HDFC Securities - Sell</t>
        </is>
      </c>
      <c r="G288" s="32" t="n">
        <v>0.97</v>
      </c>
      <c r="H288" s="86" t="inlineStr">
        <is>
          <t>HDFC Securities</t>
        </is>
      </c>
      <c r="I288" s="86" t="inlineStr">
        <is>
          <t>HDFC 0094</t>
        </is>
      </c>
      <c r="J288" s="86" t="inlineStr">
        <is>
          <t>HSL</t>
        </is>
      </c>
      <c r="K288" s="86" t="inlineStr">
        <is>
          <t>NET PO FROM HSL A/C 523686-50200085415108</t>
        </is>
      </c>
      <c r="L288" s="86" t="inlineStr">
        <is>
          <t>HDFC Bank</t>
        </is>
      </c>
      <c r="M288" s="86" t="inlineStr"/>
    </row>
    <row r="289">
      <c r="A289" s="118" t="n">
        <v>45484</v>
      </c>
      <c r="B289" s="118" t="n">
        <v>45484</v>
      </c>
      <c r="C289" s="119" t="n">
        <v>0</v>
      </c>
      <c r="D289" s="119" t="n">
        <v>1000</v>
      </c>
      <c r="E289" s="119" t="inlineStr"/>
      <c r="F289" s="119" t="inlineStr">
        <is>
          <t>Received - Aditya Dh</t>
        </is>
      </c>
      <c r="G289" s="50" t="n">
        <v>0.55</v>
      </c>
      <c r="H289" s="119" t="inlineStr">
        <is>
          <t>Personal</t>
        </is>
      </c>
      <c r="I289" s="119" t="inlineStr">
        <is>
          <t>AXIS 7042</t>
        </is>
      </c>
      <c r="J289" s="119" t="inlineStr">
        <is>
          <t>UPI</t>
        </is>
      </c>
      <c r="K289" s="119" t="inlineStr">
        <is>
          <t>UPI/P2A/419342818267/ADITYA DH/Axis Bank/Payment/</t>
        </is>
      </c>
      <c r="L289" s="119" t="inlineStr">
        <is>
          <t>Axis Bank</t>
        </is>
      </c>
      <c r="M289" s="119" t="inlineStr"/>
    </row>
    <row r="290">
      <c r="A290" s="51" t="n">
        <v>45484</v>
      </c>
      <c r="B290" s="51" t="n">
        <v>45484</v>
      </c>
      <c r="C290" s="52" t="n">
        <v>25</v>
      </c>
      <c r="D290" s="52" t="n">
        <v>0</v>
      </c>
      <c r="E290" s="52" t="inlineStr"/>
      <c r="F290" s="52" t="inlineStr">
        <is>
          <t>UPI - Fresh Produce</t>
        </is>
      </c>
      <c r="G290" s="53" t="n">
        <v>0.82</v>
      </c>
      <c r="H290" s="52" t="inlineStr">
        <is>
          <t>Groceries</t>
        </is>
      </c>
      <c r="I290" s="52" t="inlineStr">
        <is>
          <t>AXIS 7042</t>
        </is>
      </c>
      <c r="J290" s="52" t="inlineStr">
        <is>
          <t>UPI</t>
        </is>
      </c>
      <c r="K290" s="52" t="inlineStr">
        <is>
          <t>UPI/P2M/419362096628/SHIVBHOLA VEGETABLE E/vegeta/Yes Bank Ltd</t>
        </is>
      </c>
      <c r="L290" s="52" t="inlineStr">
        <is>
          <t>Axis Bank</t>
        </is>
      </c>
      <c r="M290" s="52" t="inlineStr"/>
    </row>
    <row r="291">
      <c r="A291" s="83" t="n">
        <v>45485</v>
      </c>
      <c r="B291" s="83" t="n">
        <v>45485</v>
      </c>
      <c r="C291" s="84" t="n">
        <v>258.48</v>
      </c>
      <c r="D291" s="84" t="n">
        <v>0</v>
      </c>
      <c r="E291" s="84" t="inlineStr"/>
      <c r="F291" s="84" t="inlineStr">
        <is>
          <t>HDFC Securities - Buy</t>
        </is>
      </c>
      <c r="G291" s="32" t="n">
        <v>0.97</v>
      </c>
      <c r="H291" s="84" t="inlineStr">
        <is>
          <t>HDFC Securities</t>
        </is>
      </c>
      <c r="I291" s="84" t="inlineStr">
        <is>
          <t>HDFC 0094</t>
        </is>
      </c>
      <c r="J291" s="84" t="inlineStr">
        <is>
          <t>HSL</t>
        </is>
      </c>
      <c r="K291" s="84" t="inlineStr">
        <is>
          <t>NET PI TO HSL SEC A/C 523686-00602340029434</t>
        </is>
      </c>
      <c r="L291" s="84" t="inlineStr">
        <is>
          <t>HDFC Bank</t>
        </is>
      </c>
      <c r="M291" s="84" t="inlineStr"/>
    </row>
    <row r="292">
      <c r="A292" s="85" t="n">
        <v>45488</v>
      </c>
      <c r="B292" s="85" t="n">
        <v>45488</v>
      </c>
      <c r="C292" s="86" t="n">
        <v>0</v>
      </c>
      <c r="D292" s="86" t="n">
        <v>70547.13</v>
      </c>
      <c r="E292" s="86" t="inlineStr"/>
      <c r="F292" s="86" t="inlineStr">
        <is>
          <t>HDFC Securities - Sell</t>
        </is>
      </c>
      <c r="G292" s="32" t="n">
        <v>0.97</v>
      </c>
      <c r="H292" s="86" t="inlineStr">
        <is>
          <t>HDFC Securities</t>
        </is>
      </c>
      <c r="I292" s="86" t="inlineStr">
        <is>
          <t>HDFC 0094</t>
        </is>
      </c>
      <c r="J292" s="86" t="inlineStr">
        <is>
          <t>HSL</t>
        </is>
      </c>
      <c r="K292" s="86" t="inlineStr">
        <is>
          <t>NET PO FROM HSL A/C 523686-50200085415108</t>
        </is>
      </c>
      <c r="L292" s="86" t="inlineStr">
        <is>
          <t>HDFC Bank</t>
        </is>
      </c>
      <c r="M292" s="86" t="inlineStr"/>
    </row>
    <row r="293">
      <c r="A293" s="64" t="n">
        <v>45488</v>
      </c>
      <c r="B293" s="64" t="n">
        <v>45488</v>
      </c>
      <c r="C293" s="65" t="n">
        <v>5000</v>
      </c>
      <c r="D293" s="65" t="n">
        <v>0</v>
      </c>
      <c r="E293" s="65" t="inlineStr"/>
      <c r="F293" s="65" t="inlineStr">
        <is>
          <t>MF Investment</t>
        </is>
      </c>
      <c r="G293" s="32" t="n">
        <v>0.92</v>
      </c>
      <c r="H293" s="65" t="inlineStr">
        <is>
          <t>Mutual_Fund_Investments</t>
        </is>
      </c>
      <c r="I293" s="65" t="inlineStr">
        <is>
          <t>HDFC 0094</t>
        </is>
      </c>
      <c r="J293" s="65" t="inlineStr">
        <is>
          <t>SIP  - 5000</t>
        </is>
      </c>
      <c r="K293" s="65" t="inlineStr">
        <is>
          <t>ACH D- INDIAN CLEARING CORP-P25847643X05</t>
        </is>
      </c>
      <c r="L293" s="65" t="inlineStr">
        <is>
          <t>HDFC Bank</t>
        </is>
      </c>
      <c r="M293" s="65" t="inlineStr"/>
    </row>
    <row r="294">
      <c r="A294" s="83" t="n">
        <v>45488</v>
      </c>
      <c r="B294" s="83" t="n">
        <v>45488</v>
      </c>
      <c r="C294" s="84" t="n">
        <v>1146.24</v>
      </c>
      <c r="D294" s="84" t="n">
        <v>0</v>
      </c>
      <c r="E294" s="84" t="inlineStr"/>
      <c r="F294" s="84" t="inlineStr">
        <is>
          <t>HDFC Securities - Buy</t>
        </is>
      </c>
      <c r="G294" s="32" t="n">
        <v>0.97</v>
      </c>
      <c r="H294" s="84" t="inlineStr">
        <is>
          <t>HDFC Securities</t>
        </is>
      </c>
      <c r="I294" s="84" t="inlineStr">
        <is>
          <t>HDFC 0094</t>
        </is>
      </c>
      <c r="J294" s="84" t="inlineStr">
        <is>
          <t>HSL</t>
        </is>
      </c>
      <c r="K294" s="84" t="inlineStr">
        <is>
          <t>NET PI TO HSL SEC A/C 523686-00602340029434</t>
        </is>
      </c>
      <c r="L294" s="84" t="inlineStr">
        <is>
          <t>HDFC Bank</t>
        </is>
      </c>
      <c r="M294" s="84" t="inlineStr"/>
    </row>
    <row r="295">
      <c r="A295" s="83" t="n">
        <v>45488</v>
      </c>
      <c r="B295" s="83" t="n">
        <v>45488</v>
      </c>
      <c r="C295" s="84" t="n">
        <v>4746.73</v>
      </c>
      <c r="D295" s="84" t="n">
        <v>0</v>
      </c>
      <c r="E295" s="84" t="inlineStr"/>
      <c r="F295" s="84" t="inlineStr">
        <is>
          <t>HDFC Securities - Buy</t>
        </is>
      </c>
      <c r="G295" s="32" t="n">
        <v>0.97</v>
      </c>
      <c r="H295" s="84" t="inlineStr">
        <is>
          <t>HDFC Securities</t>
        </is>
      </c>
      <c r="I295" s="84" t="inlineStr">
        <is>
          <t>HDFC 0094</t>
        </is>
      </c>
      <c r="J295" s="84" t="inlineStr">
        <is>
          <t>HSL</t>
        </is>
      </c>
      <c r="K295" s="84" t="inlineStr">
        <is>
          <t>NET PI TO HSL SEC A/C 523686-00602340029434</t>
        </is>
      </c>
      <c r="L295" s="84" t="inlineStr">
        <is>
          <t>HDFC Bank</t>
        </is>
      </c>
      <c r="M295" s="84" t="inlineStr"/>
    </row>
    <row r="296">
      <c r="A296" s="48" t="n">
        <v>45489</v>
      </c>
      <c r="B296" s="48" t="n">
        <v>45489</v>
      </c>
      <c r="C296" s="49" t="n">
        <v>320</v>
      </c>
      <c r="D296" s="49" t="n">
        <v>0</v>
      </c>
      <c r="E296" s="49" t="inlineStr">
        <is>
          <t>Bharti Ratan Devnani</t>
        </is>
      </c>
      <c r="F296" s="49" t="inlineStr">
        <is>
          <t>UPI Payment</t>
        </is>
      </c>
      <c r="G296" s="50" t="n">
        <v>0.55</v>
      </c>
      <c r="H296" s="49" t="inlineStr">
        <is>
          <t>Personal</t>
        </is>
      </c>
      <c r="I296" s="49" t="inlineStr">
        <is>
          <t>AXIS 7042</t>
        </is>
      </c>
      <c r="J296" s="49" t="inlineStr">
        <is>
          <t>UPI</t>
        </is>
      </c>
      <c r="K296" s="49" t="inlineStr">
        <is>
          <t>UPI/P2A/419895360581/BHARTI RATAN DEVNANI /UPI/Union Bank of India</t>
        </is>
      </c>
      <c r="L296" s="49" t="inlineStr">
        <is>
          <t>Axis Bank</t>
        </is>
      </c>
      <c r="M296" s="49" t="inlineStr"/>
    </row>
    <row r="297">
      <c r="A297" s="85" t="n">
        <v>45489</v>
      </c>
      <c r="B297" s="85" t="n">
        <v>45489</v>
      </c>
      <c r="C297" s="86" t="n">
        <v>0</v>
      </c>
      <c r="D297" s="86" t="n">
        <v>37095.78</v>
      </c>
      <c r="E297" s="86" t="inlineStr"/>
      <c r="F297" s="86" t="inlineStr">
        <is>
          <t>HDFC Securities - Sell</t>
        </is>
      </c>
      <c r="G297" s="32" t="n">
        <v>0.97</v>
      </c>
      <c r="H297" s="86" t="inlineStr">
        <is>
          <t>HDFC Securities</t>
        </is>
      </c>
      <c r="I297" s="86" t="inlineStr">
        <is>
          <t>HDFC 0094</t>
        </is>
      </c>
      <c r="J297" s="86" t="inlineStr">
        <is>
          <t>HSL</t>
        </is>
      </c>
      <c r="K297" s="86" t="inlineStr">
        <is>
          <t>NET PO FROM HSL A/C 523686-50200085415108</t>
        </is>
      </c>
      <c r="L297" s="86" t="inlineStr">
        <is>
          <t>HDFC Bank</t>
        </is>
      </c>
      <c r="M297" s="86" t="inlineStr"/>
    </row>
    <row r="298">
      <c r="A298" s="83" t="n">
        <v>45489</v>
      </c>
      <c r="B298" s="83" t="n">
        <v>45489</v>
      </c>
      <c r="C298" s="84" t="n">
        <v>353.43</v>
      </c>
      <c r="D298" s="84" t="n">
        <v>0</v>
      </c>
      <c r="E298" s="84" t="inlineStr"/>
      <c r="F298" s="84" t="inlineStr">
        <is>
          <t>HDFC Securities - Buy</t>
        </is>
      </c>
      <c r="G298" s="32" t="n">
        <v>0.97</v>
      </c>
      <c r="H298" s="84" t="inlineStr">
        <is>
          <t>HDFC Securities</t>
        </is>
      </c>
      <c r="I298" s="84" t="inlineStr">
        <is>
          <t>HDFC 0094</t>
        </is>
      </c>
      <c r="J298" s="84" t="inlineStr">
        <is>
          <t>HSL</t>
        </is>
      </c>
      <c r="K298" s="84" t="inlineStr">
        <is>
          <t>NET PI TO HSL SEC A/C 523686-00602340029434</t>
        </is>
      </c>
      <c r="L298" s="84" t="inlineStr">
        <is>
          <t>HDFC Bank</t>
        </is>
      </c>
      <c r="M298" s="84" t="inlineStr"/>
    </row>
    <row r="299">
      <c r="A299" s="83" t="n">
        <v>45489</v>
      </c>
      <c r="B299" s="83" t="n">
        <v>45489</v>
      </c>
      <c r="C299" s="84" t="n">
        <v>64797.19</v>
      </c>
      <c r="D299" s="84" t="n">
        <v>0</v>
      </c>
      <c r="E299" s="84" t="inlineStr"/>
      <c r="F299" s="84" t="inlineStr">
        <is>
          <t>HDFC Securities - Buy</t>
        </is>
      </c>
      <c r="G299" s="32" t="n">
        <v>0.97</v>
      </c>
      <c r="H299" s="84" t="inlineStr">
        <is>
          <t>HDFC Securities</t>
        </is>
      </c>
      <c r="I299" s="84" t="inlineStr">
        <is>
          <t>HDFC 0094</t>
        </is>
      </c>
      <c r="J299" s="84" t="inlineStr">
        <is>
          <t>HSL</t>
        </is>
      </c>
      <c r="K299" s="84" t="inlineStr">
        <is>
          <t>NET PI TO HSL SEC A/C 523686-00602340029434</t>
        </is>
      </c>
      <c r="L299" s="84" t="inlineStr">
        <is>
          <t>HDFC Bank</t>
        </is>
      </c>
      <c r="M299" s="84" t="inlineStr"/>
    </row>
    <row r="300">
      <c r="A300" s="89" t="n">
        <v>45489</v>
      </c>
      <c r="B300" s="89" t="n">
        <v>45489</v>
      </c>
      <c r="C300" s="90" t="n">
        <v>2017.8</v>
      </c>
      <c r="D300" s="90" t="n">
        <v>0</v>
      </c>
      <c r="E300" s="90" t="inlineStr"/>
      <c r="F300" s="90" t="inlineStr">
        <is>
          <t>Depository Charges</t>
        </is>
      </c>
      <c r="G300" s="32" t="n">
        <v>0.93</v>
      </c>
      <c r="H300" s="90" t="inlineStr">
        <is>
          <t>Depository Charges</t>
        </is>
      </c>
      <c r="I300" s="90" t="inlineStr">
        <is>
          <t>HDFC 0094</t>
        </is>
      </c>
      <c r="J300" s="90" t="inlineStr">
        <is>
          <t>Depository Charges</t>
        </is>
      </c>
      <c r="K300" s="90" t="inlineStr">
        <is>
          <t>DEPOSITORY CHARGES JUN24 - 41060499</t>
        </is>
      </c>
      <c r="L300" s="90" t="inlineStr">
        <is>
          <t>HDFC Bank</t>
        </is>
      </c>
      <c r="M300" s="90" t="inlineStr"/>
    </row>
    <row r="301">
      <c r="A301" s="38" t="n">
        <v>45490</v>
      </c>
      <c r="B301" s="38" t="n">
        <v>45490</v>
      </c>
      <c r="C301" s="39" t="n">
        <v>600</v>
      </c>
      <c r="D301" s="39" t="n">
        <v>0</v>
      </c>
      <c r="E301" s="39" t="inlineStr"/>
      <c r="F301" s="39" t="inlineStr">
        <is>
          <t>Bank Charges</t>
        </is>
      </c>
      <c r="G301" s="32" t="n">
        <v>0.88</v>
      </c>
      <c r="H301" s="39" t="inlineStr">
        <is>
          <t>Bank Charges</t>
        </is>
      </c>
      <c r="I301" s="39" t="inlineStr">
        <is>
          <t>AXIS 7042</t>
        </is>
      </c>
      <c r="J301" s="39" t="inlineStr">
        <is>
          <t>Bank Charges</t>
        </is>
      </c>
      <c r="K301" s="39" t="inlineStr">
        <is>
          <t>Non-Maint Avg bal chgs May2024</t>
        </is>
      </c>
      <c r="L301" s="39" t="inlineStr">
        <is>
          <t>Axis Bank</t>
        </is>
      </c>
      <c r="M301" s="39" t="inlineStr"/>
    </row>
    <row r="302">
      <c r="A302" s="38" t="n">
        <v>45490</v>
      </c>
      <c r="B302" s="38" t="n">
        <v>45490</v>
      </c>
      <c r="C302" s="39" t="n">
        <v>108</v>
      </c>
      <c r="D302" s="39" t="n">
        <v>0</v>
      </c>
      <c r="E302" s="39" t="inlineStr"/>
      <c r="F302" s="39" t="inlineStr">
        <is>
          <t>Bank Charges</t>
        </is>
      </c>
      <c r="G302" s="32" t="n">
        <v>0.88</v>
      </c>
      <c r="H302" s="39" t="inlineStr">
        <is>
          <t>Bank Charges</t>
        </is>
      </c>
      <c r="I302" s="39" t="inlineStr">
        <is>
          <t>AXIS 7042</t>
        </is>
      </c>
      <c r="J302" s="39" t="inlineStr">
        <is>
          <t>Bank Charges</t>
        </is>
      </c>
      <c r="K302" s="39" t="inlineStr">
        <is>
          <t>GST @18% on MAB Charge</t>
        </is>
      </c>
      <c r="L302" s="39" t="inlineStr">
        <is>
          <t>Axis Bank</t>
        </is>
      </c>
      <c r="M302" s="39" t="inlineStr"/>
    </row>
    <row r="303">
      <c r="A303" s="83" t="n">
        <v>45491</v>
      </c>
      <c r="B303" s="83" t="n">
        <v>45491</v>
      </c>
      <c r="C303" s="84" t="n">
        <v>11607.97</v>
      </c>
      <c r="D303" s="84" t="n">
        <v>0</v>
      </c>
      <c r="E303" s="84" t="inlineStr"/>
      <c r="F303" s="84" t="inlineStr">
        <is>
          <t>HDFC Securities - Buy</t>
        </is>
      </c>
      <c r="G303" s="32" t="n">
        <v>0.97</v>
      </c>
      <c r="H303" s="84" t="inlineStr">
        <is>
          <t>HDFC Securities</t>
        </is>
      </c>
      <c r="I303" s="84" t="inlineStr">
        <is>
          <t>HDFC 0094</t>
        </is>
      </c>
      <c r="J303" s="84" t="inlineStr">
        <is>
          <t>HSL</t>
        </is>
      </c>
      <c r="K303" s="84" t="inlineStr">
        <is>
          <t>NET PI TO HSL SEC A/C 523686-00602340029434</t>
        </is>
      </c>
      <c r="L303" s="84" t="inlineStr">
        <is>
          <t>HDFC Bank</t>
        </is>
      </c>
      <c r="M303" s="84" t="inlineStr"/>
    </row>
    <row r="304">
      <c r="A304" s="83" t="n">
        <v>45491</v>
      </c>
      <c r="B304" s="83" t="n">
        <v>45491</v>
      </c>
      <c r="C304" s="84" t="n">
        <v>660.7</v>
      </c>
      <c r="D304" s="84" t="n">
        <v>0</v>
      </c>
      <c r="E304" s="84" t="inlineStr"/>
      <c r="F304" s="84" t="inlineStr">
        <is>
          <t>HDFC Securities - Buy</t>
        </is>
      </c>
      <c r="G304" s="32" t="n">
        <v>0.97</v>
      </c>
      <c r="H304" s="84" t="inlineStr">
        <is>
          <t>HDFC Securities</t>
        </is>
      </c>
      <c r="I304" s="84" t="inlineStr">
        <is>
          <t>HDFC 0094</t>
        </is>
      </c>
      <c r="J304" s="84" t="inlineStr">
        <is>
          <t>HSL</t>
        </is>
      </c>
      <c r="K304" s="84" t="inlineStr">
        <is>
          <t>NET PI TO HSL SEC A/C 523686-00602340029434</t>
        </is>
      </c>
      <c r="L304" s="84" t="inlineStr">
        <is>
          <t>HDFC Bank</t>
        </is>
      </c>
      <c r="M304" s="84" t="inlineStr"/>
    </row>
    <row r="305">
      <c r="A305" s="85" t="n">
        <v>45491</v>
      </c>
      <c r="B305" s="85" t="n">
        <v>45491</v>
      </c>
      <c r="C305" s="86" t="n">
        <v>0</v>
      </c>
      <c r="D305" s="86" t="n">
        <v>103150.07</v>
      </c>
      <c r="E305" s="86" t="inlineStr"/>
      <c r="F305" s="86" t="inlineStr">
        <is>
          <t>HDFC Securities - Sell</t>
        </is>
      </c>
      <c r="G305" s="32" t="n">
        <v>0.97</v>
      </c>
      <c r="H305" s="86" t="inlineStr">
        <is>
          <t>HDFC Securities</t>
        </is>
      </c>
      <c r="I305" s="86" t="inlineStr">
        <is>
          <t>HDFC 0094</t>
        </is>
      </c>
      <c r="J305" s="86" t="inlineStr">
        <is>
          <t>HSL</t>
        </is>
      </c>
      <c r="K305" s="86" t="inlineStr">
        <is>
          <t>NET PO FROM HSL A/C 523686-50200085415108</t>
        </is>
      </c>
      <c r="L305" s="86" t="inlineStr">
        <is>
          <t>HDFC Bank</t>
        </is>
      </c>
      <c r="M305" s="86" t="inlineStr"/>
    </row>
    <row r="306">
      <c r="A306" s="85" t="n">
        <v>45491</v>
      </c>
      <c r="B306" s="85" t="n">
        <v>45491</v>
      </c>
      <c r="C306" s="86" t="n">
        <v>0</v>
      </c>
      <c r="D306" s="86" t="n">
        <v>2706.67</v>
      </c>
      <c r="E306" s="86" t="inlineStr"/>
      <c r="F306" s="86" t="inlineStr">
        <is>
          <t>HDFC Securities - Sell</t>
        </is>
      </c>
      <c r="G306" s="32" t="n">
        <v>0.97</v>
      </c>
      <c r="H306" s="86" t="inlineStr">
        <is>
          <t>HDFC Securities</t>
        </is>
      </c>
      <c r="I306" s="86" t="inlineStr">
        <is>
          <t>HDFC 0094</t>
        </is>
      </c>
      <c r="J306" s="86" t="inlineStr">
        <is>
          <t>HSL</t>
        </is>
      </c>
      <c r="K306" s="86" t="inlineStr">
        <is>
          <t>NET PO FROM HSL A/C 523686-50200085415108</t>
        </is>
      </c>
      <c r="L306" s="86" t="inlineStr">
        <is>
          <t>HDFC Bank</t>
        </is>
      </c>
      <c r="M306" s="86" t="inlineStr"/>
    </row>
    <row r="307">
      <c r="A307" s="42" t="n">
        <v>45491</v>
      </c>
      <c r="B307" s="42" t="n">
        <v>45491</v>
      </c>
      <c r="C307" s="43" t="n">
        <v>0</v>
      </c>
      <c r="D307" s="43" t="n">
        <v>50</v>
      </c>
      <c r="E307" s="43" t="inlineStr"/>
      <c r="F307" s="43" t="inlineStr">
        <is>
          <t>Dividend Income</t>
        </is>
      </c>
      <c r="G307" s="32" t="n">
        <v>0.85</v>
      </c>
      <c r="H307" s="43" t="inlineStr">
        <is>
          <t>Dividend Income</t>
        </is>
      </c>
      <c r="I307" s="43" t="inlineStr">
        <is>
          <t>AXIS 7042</t>
        </is>
      </c>
      <c r="J307" s="43" t="inlineStr">
        <is>
          <t>Dividend Income</t>
        </is>
      </c>
      <c r="K307" s="43" t="inlineStr">
        <is>
          <t>ACH-CR-HDFC LIFE INSURANCE-NACH-00000000000005531</t>
        </is>
      </c>
      <c r="L307" s="43" t="inlineStr">
        <is>
          <t>Axis Bank</t>
        </is>
      </c>
      <c r="M307" s="43" t="inlineStr"/>
    </row>
    <row r="308">
      <c r="A308" s="48" t="n">
        <v>45492</v>
      </c>
      <c r="B308" s="48" t="n">
        <v>45492</v>
      </c>
      <c r="C308" s="49" t="n">
        <v>1000</v>
      </c>
      <c r="D308" s="49" t="n">
        <v>0</v>
      </c>
      <c r="E308" s="49" t="inlineStr">
        <is>
          <t>Madhuri Sen</t>
        </is>
      </c>
      <c r="F308" s="49" t="inlineStr">
        <is>
          <t>UPI Payment</t>
        </is>
      </c>
      <c r="G308" s="50" t="n">
        <v>0.55</v>
      </c>
      <c r="H308" s="49" t="inlineStr">
        <is>
          <t>Personal</t>
        </is>
      </c>
      <c r="I308" s="49" t="inlineStr">
        <is>
          <t>AXIS 7042</t>
        </is>
      </c>
      <c r="J308" s="49" t="inlineStr">
        <is>
          <t>UPI</t>
        </is>
      </c>
      <c r="K308" s="49" t="inlineStr">
        <is>
          <t>UPI/P2M/420154995267/MADHURI SEN          /parlou/Axis Bank Ltd.</t>
        </is>
      </c>
      <c r="L308" s="49" t="inlineStr">
        <is>
          <t>Axis Bank</t>
        </is>
      </c>
      <c r="M308" s="49" t="inlineStr"/>
    </row>
    <row r="309">
      <c r="A309" s="42" t="n">
        <v>45492</v>
      </c>
      <c r="B309" s="42" t="n">
        <v>45492</v>
      </c>
      <c r="C309" s="43" t="n">
        <v>0</v>
      </c>
      <c r="D309" s="43" t="n">
        <v>330</v>
      </c>
      <c r="E309" s="43" t="inlineStr"/>
      <c r="F309" s="43" t="inlineStr">
        <is>
          <t>Dividend Income</t>
        </is>
      </c>
      <c r="G309" s="32" t="n">
        <v>0.88</v>
      </c>
      <c r="H309" s="43" t="inlineStr">
        <is>
          <t>Dividend Income</t>
        </is>
      </c>
      <c r="I309" s="43" t="inlineStr">
        <is>
          <t>HDFC 0094</t>
        </is>
      </c>
      <c r="J309" s="43" t="inlineStr">
        <is>
          <t>Dividend Income</t>
        </is>
      </c>
      <c r="K309" s="43" t="inlineStr">
        <is>
          <t>ACH C- CAMSL FINALDIV23 24-148614</t>
        </is>
      </c>
      <c r="L309" s="43" t="inlineStr">
        <is>
          <t>HDFC Bank</t>
        </is>
      </c>
      <c r="M309" s="43" t="inlineStr"/>
    </row>
    <row r="310">
      <c r="A310" s="83" t="n">
        <v>45492</v>
      </c>
      <c r="B310" s="83" t="n">
        <v>45492</v>
      </c>
      <c r="C310" s="84" t="n">
        <v>307.65</v>
      </c>
      <c r="D310" s="84" t="n">
        <v>0</v>
      </c>
      <c r="E310" s="84" t="inlineStr"/>
      <c r="F310" s="84" t="inlineStr">
        <is>
          <t>HDFC Securities - Buy</t>
        </is>
      </c>
      <c r="G310" s="32" t="n">
        <v>0.97</v>
      </c>
      <c r="H310" s="84" t="inlineStr">
        <is>
          <t>HDFC Securities</t>
        </is>
      </c>
      <c r="I310" s="84" t="inlineStr">
        <is>
          <t>HDFC 0094</t>
        </is>
      </c>
      <c r="J310" s="84" t="inlineStr">
        <is>
          <t>HSL</t>
        </is>
      </c>
      <c r="K310" s="84" t="inlineStr">
        <is>
          <t>NET PI TO HSL SEC A/C 523686-00602340029434</t>
        </is>
      </c>
      <c r="L310" s="84" t="inlineStr">
        <is>
          <t>HDFC Bank</t>
        </is>
      </c>
      <c r="M310" s="84" t="inlineStr"/>
    </row>
    <row r="311">
      <c r="A311" s="83" t="n">
        <v>45493</v>
      </c>
      <c r="B311" s="83" t="n">
        <v>45493</v>
      </c>
      <c r="C311" s="84" t="n">
        <v>23844.72</v>
      </c>
      <c r="D311" s="84" t="n">
        <v>0</v>
      </c>
      <c r="E311" s="84" t="inlineStr"/>
      <c r="F311" s="84" t="inlineStr">
        <is>
          <t>HDFC Securities - Buy</t>
        </is>
      </c>
      <c r="G311" s="32" t="n">
        <v>0.97</v>
      </c>
      <c r="H311" s="84" t="inlineStr">
        <is>
          <t>HDFC Securities</t>
        </is>
      </c>
      <c r="I311" s="84" t="inlineStr">
        <is>
          <t>HDFC 0094</t>
        </is>
      </c>
      <c r="J311" s="84" t="inlineStr">
        <is>
          <t>HSL</t>
        </is>
      </c>
      <c r="K311" s="84" t="inlineStr">
        <is>
          <t>NET PI TO HSL SEC A/C 523686-00602340029434</t>
        </is>
      </c>
      <c r="L311" s="84" t="inlineStr">
        <is>
          <t>HDFC Bank</t>
        </is>
      </c>
      <c r="M311" s="84" t="inlineStr"/>
    </row>
    <row r="312">
      <c r="A312" s="118" t="n">
        <v>45494</v>
      </c>
      <c r="B312" s="118" t="n">
        <v>45494</v>
      </c>
      <c r="C312" s="119" t="n">
        <v>0</v>
      </c>
      <c r="D312" s="119" t="n">
        <v>150</v>
      </c>
      <c r="E312" s="119" t="inlineStr"/>
      <c r="F312" s="119" t="inlineStr">
        <is>
          <t>Received - Priti Muk</t>
        </is>
      </c>
      <c r="G312" s="50" t="n">
        <v>0.55</v>
      </c>
      <c r="H312" s="119" t="inlineStr">
        <is>
          <t>Personal</t>
        </is>
      </c>
      <c r="I312" s="119" t="inlineStr">
        <is>
          <t>AXIS 7042</t>
        </is>
      </c>
      <c r="J312" s="119" t="inlineStr">
        <is>
          <t>UPI</t>
        </is>
      </c>
      <c r="K312" s="119" t="inlineStr">
        <is>
          <t>UPI/P2A/420322676433/PRITI MUK/HDFC BANK/Payment/</t>
        </is>
      </c>
      <c r="L312" s="119" t="inlineStr">
        <is>
          <t>Axis Bank</t>
        </is>
      </c>
      <c r="M312" s="119" t="inlineStr"/>
    </row>
    <row r="313">
      <c r="A313" s="48" t="n">
        <v>45494</v>
      </c>
      <c r="B313" s="48" t="n">
        <v>45494</v>
      </c>
      <c r="C313" s="49" t="n">
        <v>600</v>
      </c>
      <c r="D313" s="49" t="n">
        <v>0</v>
      </c>
      <c r="E313" s="49" t="inlineStr">
        <is>
          <t>Kamini  Mihani  95279</t>
        </is>
      </c>
      <c r="F313" s="49" t="inlineStr">
        <is>
          <t>UPI Payment</t>
        </is>
      </c>
      <c r="G313" s="50" t="n">
        <v>0.55</v>
      </c>
      <c r="H313" s="49" t="inlineStr">
        <is>
          <t>Personal</t>
        </is>
      </c>
      <c r="I313" s="49" t="inlineStr">
        <is>
          <t>AXIS 7042</t>
        </is>
      </c>
      <c r="J313" s="49" t="inlineStr">
        <is>
          <t>UPI</t>
        </is>
      </c>
      <c r="K313" s="49" t="inlineStr">
        <is>
          <t>UPI/P2A/420369431939/KAMINI  MIHANI  95279/parlou/State Bank Of India</t>
        </is>
      </c>
      <c r="L313" s="49" t="inlineStr">
        <is>
          <t>Axis Bank</t>
        </is>
      </c>
      <c r="M313" s="49" t="inlineStr"/>
    </row>
    <row r="314">
      <c r="A314" s="48" t="n">
        <v>45494</v>
      </c>
      <c r="B314" s="48" t="n">
        <v>45494</v>
      </c>
      <c r="C314" s="49" t="n">
        <v>420</v>
      </c>
      <c r="D314" s="49" t="n">
        <v>0</v>
      </c>
      <c r="E314" s="49" t="inlineStr">
        <is>
          <t>Aditi  Gupta</t>
        </is>
      </c>
      <c r="F314" s="49" t="inlineStr">
        <is>
          <t>UPI Payment</t>
        </is>
      </c>
      <c r="G314" s="50" t="n">
        <v>0.55</v>
      </c>
      <c r="H314" s="49" t="inlineStr">
        <is>
          <t>Personal</t>
        </is>
      </c>
      <c r="I314" s="49" t="inlineStr">
        <is>
          <t>AXIS 7042</t>
        </is>
      </c>
      <c r="J314" s="49" t="inlineStr">
        <is>
          <t>UPI</t>
        </is>
      </c>
      <c r="K314" s="49" t="inlineStr">
        <is>
          <t>UPI/P2A/456924153221/ADITI  GUPTA         /rumal/State Bank Of India</t>
        </is>
      </c>
      <c r="L314" s="49" t="inlineStr">
        <is>
          <t>Axis Bank</t>
        </is>
      </c>
      <c r="M314" s="49" t="inlineStr"/>
    </row>
    <row r="315">
      <c r="A315" s="64" t="n">
        <v>45495</v>
      </c>
      <c r="B315" s="64" t="n">
        <v>45495</v>
      </c>
      <c r="C315" s="65" t="n">
        <v>10000</v>
      </c>
      <c r="D315" s="65" t="n">
        <v>0</v>
      </c>
      <c r="E315" s="65" t="inlineStr"/>
      <c r="F315" s="65" t="inlineStr">
        <is>
          <t>SIP</t>
        </is>
      </c>
      <c r="G315" s="32" t="n">
        <v>0.9</v>
      </c>
      <c r="H315" s="65" t="inlineStr">
        <is>
          <t>SIP</t>
        </is>
      </c>
      <c r="I315" s="65" t="inlineStr">
        <is>
          <t>HDFC 0094</t>
        </is>
      </c>
      <c r="J315" s="65" t="inlineStr">
        <is>
          <t>SIP - 10000</t>
        </is>
      </c>
      <c r="K315" s="65" t="inlineStr">
        <is>
          <t>YHDF2391587417/BILLDKINDIANCLEARING</t>
        </is>
      </c>
      <c r="L315" s="65" t="inlineStr">
        <is>
          <t>HDFC Bank</t>
        </is>
      </c>
      <c r="M315" s="65" t="inlineStr"/>
    </row>
    <row r="316">
      <c r="A316" s="83" t="n">
        <v>45495</v>
      </c>
      <c r="B316" s="83" t="n">
        <v>45495</v>
      </c>
      <c r="C316" s="84" t="n">
        <v>897.45</v>
      </c>
      <c r="D316" s="84" t="n">
        <v>0</v>
      </c>
      <c r="E316" s="84" t="inlineStr"/>
      <c r="F316" s="84" t="inlineStr">
        <is>
          <t>HDFC Securities - Buy</t>
        </is>
      </c>
      <c r="G316" s="32" t="n">
        <v>0.97</v>
      </c>
      <c r="H316" s="84" t="inlineStr">
        <is>
          <t>HDFC Securities</t>
        </is>
      </c>
      <c r="I316" s="84" t="inlineStr">
        <is>
          <t>HDFC 0094</t>
        </is>
      </c>
      <c r="J316" s="84" t="inlineStr">
        <is>
          <t>HSL</t>
        </is>
      </c>
      <c r="K316" s="84" t="inlineStr">
        <is>
          <t>NET PI TO HSL SEC A/C 523686-00602340029434</t>
        </is>
      </c>
      <c r="L316" s="84" t="inlineStr">
        <is>
          <t>HDFC Bank</t>
        </is>
      </c>
      <c r="M316" s="84" t="inlineStr"/>
    </row>
    <row r="317">
      <c r="A317" s="83" t="n">
        <v>45496</v>
      </c>
      <c r="B317" s="83" t="n">
        <v>45496</v>
      </c>
      <c r="C317" s="84" t="n">
        <v>9363.379999999999</v>
      </c>
      <c r="D317" s="84" t="n">
        <v>0</v>
      </c>
      <c r="E317" s="84" t="inlineStr"/>
      <c r="F317" s="84" t="inlineStr">
        <is>
          <t>HDFC Securities - Buy</t>
        </is>
      </c>
      <c r="G317" s="32" t="n">
        <v>0.97</v>
      </c>
      <c r="H317" s="84" t="inlineStr">
        <is>
          <t>HDFC Securities</t>
        </is>
      </c>
      <c r="I317" s="84" t="inlineStr">
        <is>
          <t>HDFC 0094</t>
        </is>
      </c>
      <c r="J317" s="84" t="inlineStr">
        <is>
          <t>HSL</t>
        </is>
      </c>
      <c r="K317" s="84" t="inlineStr">
        <is>
          <t>NET PI TO HSL SEC A/C 523686-00602340029434</t>
        </is>
      </c>
      <c r="L317" s="84" t="inlineStr">
        <is>
          <t>HDFC Bank</t>
        </is>
      </c>
      <c r="M317" s="84" t="inlineStr"/>
    </row>
    <row r="318">
      <c r="A318" s="85" t="n">
        <v>45496</v>
      </c>
      <c r="B318" s="85" t="n">
        <v>45496</v>
      </c>
      <c r="C318" s="86" t="n">
        <v>0</v>
      </c>
      <c r="D318" s="86" t="n">
        <v>14093.07</v>
      </c>
      <c r="E318" s="86" t="inlineStr"/>
      <c r="F318" s="86" t="inlineStr">
        <is>
          <t>HDFC Securities - Sell</t>
        </is>
      </c>
      <c r="G318" s="32" t="n">
        <v>0.97</v>
      </c>
      <c r="H318" s="86" t="inlineStr">
        <is>
          <t>HDFC Securities</t>
        </is>
      </c>
      <c r="I318" s="86" t="inlineStr">
        <is>
          <t>HDFC 0094</t>
        </is>
      </c>
      <c r="J318" s="86" t="inlineStr">
        <is>
          <t>HSL</t>
        </is>
      </c>
      <c r="K318" s="86" t="inlineStr">
        <is>
          <t>NET PO FROM HSL A/C 523686-50200085415108</t>
        </is>
      </c>
      <c r="L318" s="86" t="inlineStr">
        <is>
          <t>HDFC Bank</t>
        </is>
      </c>
      <c r="M318" s="86" t="inlineStr"/>
    </row>
    <row r="319">
      <c r="A319" s="83" t="n">
        <v>45496</v>
      </c>
      <c r="B319" s="83" t="n">
        <v>45496</v>
      </c>
      <c r="C319" s="84" t="n">
        <v>299.15</v>
      </c>
      <c r="D319" s="84" t="n">
        <v>0</v>
      </c>
      <c r="E319" s="84" t="inlineStr"/>
      <c r="F319" s="84" t="inlineStr">
        <is>
          <t>HDFC Securities - Buy</t>
        </is>
      </c>
      <c r="G319" s="32" t="n">
        <v>0.97</v>
      </c>
      <c r="H319" s="84" t="inlineStr">
        <is>
          <t>HDFC Securities</t>
        </is>
      </c>
      <c r="I319" s="84" t="inlineStr">
        <is>
          <t>HDFC 0094</t>
        </is>
      </c>
      <c r="J319" s="84" t="inlineStr">
        <is>
          <t>HSL</t>
        </is>
      </c>
      <c r="K319" s="84" t="inlineStr">
        <is>
          <t>NET PI TO HSL SEC A/C 523686-00602340029434</t>
        </is>
      </c>
      <c r="L319" s="84" t="inlineStr">
        <is>
          <t>HDFC Bank</t>
        </is>
      </c>
      <c r="M319" s="84" t="inlineStr"/>
    </row>
    <row r="320">
      <c r="A320" s="83" t="n">
        <v>45497</v>
      </c>
      <c r="B320" s="83" t="n">
        <v>45497</v>
      </c>
      <c r="C320" s="84" t="n">
        <v>300.84</v>
      </c>
      <c r="D320" s="84" t="n">
        <v>0</v>
      </c>
      <c r="E320" s="84" t="inlineStr"/>
      <c r="F320" s="84" t="inlineStr">
        <is>
          <t>HDFC Securities - Buy</t>
        </is>
      </c>
      <c r="G320" s="32" t="n">
        <v>0.97</v>
      </c>
      <c r="H320" s="84" t="inlineStr">
        <is>
          <t>HDFC Securities</t>
        </is>
      </c>
      <c r="I320" s="84" t="inlineStr">
        <is>
          <t>HDFC 0094</t>
        </is>
      </c>
      <c r="J320" s="84" t="inlineStr">
        <is>
          <t>HSL</t>
        </is>
      </c>
      <c r="K320" s="84" t="inlineStr">
        <is>
          <t>NET PI TO HSL SEC A/C 523686-00602340029434</t>
        </is>
      </c>
      <c r="L320" s="84" t="inlineStr">
        <is>
          <t>HDFC Bank</t>
        </is>
      </c>
      <c r="M320" s="84" t="inlineStr"/>
    </row>
    <row r="321">
      <c r="A321" s="116" t="n">
        <v>45497</v>
      </c>
      <c r="B321" s="116" t="n">
        <v>45497</v>
      </c>
      <c r="C321" s="117" t="n">
        <v>0</v>
      </c>
      <c r="D321" s="117" t="n">
        <v>2380</v>
      </c>
      <c r="E321" s="117" t="inlineStr"/>
      <c r="F321" s="117" t="inlineStr">
        <is>
          <t>Received - Sunita Gupta</t>
        </is>
      </c>
      <c r="G321" s="32" t="n">
        <v>0.88</v>
      </c>
      <c r="H321" s="117" t="inlineStr">
        <is>
          <t>Sunita Gupta</t>
        </is>
      </c>
      <c r="I321" s="117" t="inlineStr">
        <is>
          <t>HDFC 0094</t>
        </is>
      </c>
      <c r="J321" s="117" t="inlineStr">
        <is>
          <t>Rental Income</t>
        </is>
      </c>
      <c r="K321" s="117" t="inlineStr">
        <is>
          <t>NEFT CR-SBIN0004266-SBI GENERAL INSURANCE CO LTDSBI GEN-SUNITA GUPTA 0000000002717756-SBIN224206827961</t>
        </is>
      </c>
      <c r="L321" s="117" t="inlineStr">
        <is>
          <t>HDFC Bank</t>
        </is>
      </c>
      <c r="M321" s="117" t="inlineStr"/>
    </row>
    <row r="322">
      <c r="A322" s="42" t="n">
        <v>45497</v>
      </c>
      <c r="B322" s="42" t="n">
        <v>45497</v>
      </c>
      <c r="C322" s="43" t="n">
        <v>0</v>
      </c>
      <c r="D322" s="43" t="n">
        <v>828</v>
      </c>
      <c r="E322" s="43" t="inlineStr"/>
      <c r="F322" s="43" t="inlineStr">
        <is>
          <t>Dividend Income</t>
        </is>
      </c>
      <c r="G322" s="32" t="n">
        <v>0.88</v>
      </c>
      <c r="H322" s="43" t="inlineStr">
        <is>
          <t>Dividend Income</t>
        </is>
      </c>
      <c r="I322" s="43" t="inlineStr">
        <is>
          <t>HDFC 0094</t>
        </is>
      </c>
      <c r="J322" s="43" t="inlineStr">
        <is>
          <t>Dividend Income</t>
        </is>
      </c>
      <c r="K322" s="43" t="inlineStr">
        <is>
          <t>ACH C- BAJAJ FINANCE LIMITE-5697403</t>
        </is>
      </c>
      <c r="L322" s="43" t="inlineStr">
        <is>
          <t>HDFC Bank</t>
        </is>
      </c>
      <c r="M322" s="43" t="inlineStr"/>
    </row>
    <row r="323">
      <c r="A323" s="118" t="n">
        <v>45498</v>
      </c>
      <c r="B323" s="118" t="n">
        <v>45498</v>
      </c>
      <c r="C323" s="119" t="n">
        <v>0</v>
      </c>
      <c r="D323" s="119" t="n">
        <v>1000</v>
      </c>
      <c r="E323" s="119" t="inlineStr"/>
      <c r="F323" s="119" t="inlineStr">
        <is>
          <t>Received - Deepali A</t>
        </is>
      </c>
      <c r="G323" s="50" t="n">
        <v>0.55</v>
      </c>
      <c r="H323" s="119" t="inlineStr">
        <is>
          <t>Personal</t>
        </is>
      </c>
      <c r="I323" s="119" t="inlineStr">
        <is>
          <t>AXIS 7042</t>
        </is>
      </c>
      <c r="J323" s="119" t="inlineStr">
        <is>
          <t>UPI</t>
        </is>
      </c>
      <c r="K323" s="119" t="inlineStr">
        <is>
          <t>UPI/P2A/420791199151/DEEPALI A/HDFC BANK/Payment/</t>
        </is>
      </c>
      <c r="L323" s="119" t="inlineStr">
        <is>
          <t>Axis Bank</t>
        </is>
      </c>
      <c r="M323" s="119" t="inlineStr"/>
    </row>
    <row r="324">
      <c r="A324" s="54" t="n">
        <v>45498</v>
      </c>
      <c r="B324" s="54" t="n">
        <v>45498</v>
      </c>
      <c r="C324" s="55" t="n">
        <v>407.25</v>
      </c>
      <c r="D324" s="55" t="n">
        <v>0</v>
      </c>
      <c r="E324" s="55" t="inlineStr"/>
      <c r="F324" s="55" t="inlineStr">
        <is>
          <t>UPI - IRCTC</t>
        </is>
      </c>
      <c r="G324" s="53" t="n">
        <v>0.68</v>
      </c>
      <c r="H324" s="55" t="inlineStr">
        <is>
          <t>Travel</t>
        </is>
      </c>
      <c r="I324" s="55" t="inlineStr">
        <is>
          <t>AXIS 7042</t>
        </is>
      </c>
      <c r="J324" s="55" t="inlineStr">
        <is>
          <t>UPI</t>
        </is>
      </c>
      <c r="K324" s="55" t="inlineStr">
        <is>
          <t>UPI/P2M/420734844951/IRCTC CF             /IRCTC/HDFC BANK LTD</t>
        </is>
      </c>
      <c r="L324" s="55" t="inlineStr">
        <is>
          <t>Axis Bank</t>
        </is>
      </c>
      <c r="M324" s="55" t="inlineStr"/>
    </row>
    <row r="325">
      <c r="A325" s="42" t="n">
        <v>45498</v>
      </c>
      <c r="B325" s="42" t="n">
        <v>45498</v>
      </c>
      <c r="C325" s="43" t="n">
        <v>0</v>
      </c>
      <c r="D325" s="43" t="n">
        <v>35</v>
      </c>
      <c r="E325" s="43" t="inlineStr"/>
      <c r="F325" s="43" t="inlineStr">
        <is>
          <t>Dividend Income</t>
        </is>
      </c>
      <c r="G325" s="32" t="n">
        <v>0.88</v>
      </c>
      <c r="H325" s="43" t="inlineStr">
        <is>
          <t>Dividend Income</t>
        </is>
      </c>
      <c r="I325" s="43" t="inlineStr">
        <is>
          <t>HDFC 0094</t>
        </is>
      </c>
      <c r="J325" s="43" t="inlineStr">
        <is>
          <t>Dividend Income</t>
        </is>
      </c>
      <c r="K325" s="43" t="inlineStr">
        <is>
          <t>ACH C- BAJAJ FINSERV LIMITE-5166374</t>
        </is>
      </c>
      <c r="L325" s="43" t="inlineStr">
        <is>
          <t>HDFC Bank</t>
        </is>
      </c>
      <c r="M325" s="43" t="inlineStr"/>
    </row>
    <row r="326">
      <c r="A326" s="83" t="n">
        <v>45498</v>
      </c>
      <c r="B326" s="83" t="n">
        <v>45498</v>
      </c>
      <c r="C326" s="84" t="n">
        <v>9542.030000000001</v>
      </c>
      <c r="D326" s="84" t="n">
        <v>0</v>
      </c>
      <c r="E326" s="84" t="inlineStr"/>
      <c r="F326" s="84" t="inlineStr">
        <is>
          <t>HDFC Securities - Buy</t>
        </is>
      </c>
      <c r="G326" s="32" t="n">
        <v>0.97</v>
      </c>
      <c r="H326" s="84" t="inlineStr">
        <is>
          <t>HDFC Securities</t>
        </is>
      </c>
      <c r="I326" s="84" t="inlineStr">
        <is>
          <t>HDFC 0094</t>
        </is>
      </c>
      <c r="J326" s="84" t="inlineStr">
        <is>
          <t>HSL</t>
        </is>
      </c>
      <c r="K326" s="84" t="inlineStr">
        <is>
          <t>NET PI TO HSL SEC A/C 523686-00602340029434</t>
        </is>
      </c>
      <c r="L326" s="84" t="inlineStr">
        <is>
          <t>HDFC Bank</t>
        </is>
      </c>
      <c r="M326" s="84" t="inlineStr"/>
    </row>
    <row r="327">
      <c r="A327" s="64" t="n">
        <v>45498</v>
      </c>
      <c r="B327" s="64" t="n">
        <v>45498</v>
      </c>
      <c r="C327" s="65" t="n">
        <v>21546</v>
      </c>
      <c r="D327" s="65" t="n">
        <v>0</v>
      </c>
      <c r="E327" s="65" t="inlineStr"/>
      <c r="F327" s="65" t="inlineStr">
        <is>
          <t>SIP</t>
        </is>
      </c>
      <c r="G327" s="32" t="n">
        <v>0.9</v>
      </c>
      <c r="H327" s="65" t="inlineStr">
        <is>
          <t>SIP</t>
        </is>
      </c>
      <c r="I327" s="65" t="inlineStr">
        <is>
          <t>HDFC 0094</t>
        </is>
      </c>
      <c r="J327" s="65" t="inlineStr">
        <is>
          <t>Electricity Bill</t>
        </is>
      </c>
      <c r="K327" s="65" t="inlineStr">
        <is>
          <t>YHDF2395191501/BILLDKTHECALCUTTAELE</t>
        </is>
      </c>
      <c r="L327" s="65" t="inlineStr">
        <is>
          <t>HDFC Bank</t>
        </is>
      </c>
      <c r="M327" s="65" t="inlineStr"/>
    </row>
    <row r="328">
      <c r="A328" s="42" t="n">
        <v>45498</v>
      </c>
      <c r="B328" s="42" t="n">
        <v>45498</v>
      </c>
      <c r="C328" s="43" t="n">
        <v>0</v>
      </c>
      <c r="D328" s="43" t="n">
        <v>550</v>
      </c>
      <c r="E328" s="43" t="inlineStr"/>
      <c r="F328" s="43" t="inlineStr">
        <is>
          <t>Dividend Income</t>
        </is>
      </c>
      <c r="G328" s="32" t="n">
        <v>0.85</v>
      </c>
      <c r="H328" s="43" t="inlineStr">
        <is>
          <t>Dividend Income</t>
        </is>
      </c>
      <c r="I328" s="43" t="inlineStr">
        <is>
          <t>HDFC 0094</t>
        </is>
      </c>
      <c r="J328" s="43" t="inlineStr">
        <is>
          <t>Dividend Income</t>
        </is>
      </c>
      <c r="K328" s="43" t="inlineStr">
        <is>
          <t>ALEMBIC PHAR DIV232400000000000000006995</t>
        </is>
      </c>
      <c r="L328" s="43" t="inlineStr">
        <is>
          <t>HDFC Bank</t>
        </is>
      </c>
      <c r="M328" s="43" t="inlineStr"/>
    </row>
    <row r="329">
      <c r="A329" s="83" t="n">
        <v>45498</v>
      </c>
      <c r="B329" s="83" t="n">
        <v>45498</v>
      </c>
      <c r="C329" s="84" t="n">
        <v>300.84</v>
      </c>
      <c r="D329" s="84" t="n">
        <v>0</v>
      </c>
      <c r="E329" s="84" t="inlineStr"/>
      <c r="F329" s="84" t="inlineStr">
        <is>
          <t>HDFC Securities - Buy</t>
        </is>
      </c>
      <c r="G329" s="32" t="n">
        <v>0.97</v>
      </c>
      <c r="H329" s="84" t="inlineStr">
        <is>
          <t>HDFC Securities</t>
        </is>
      </c>
      <c r="I329" s="84" t="inlineStr">
        <is>
          <t>HDFC 0094</t>
        </is>
      </c>
      <c r="J329" s="84" t="inlineStr">
        <is>
          <t>HSL</t>
        </is>
      </c>
      <c r="K329" s="84" t="inlineStr">
        <is>
          <t>NET PI TO HSL SEC A/C 523686-00602340029434</t>
        </is>
      </c>
      <c r="L329" s="84" t="inlineStr">
        <is>
          <t>HDFC Bank</t>
        </is>
      </c>
      <c r="M329" s="84" t="inlineStr"/>
    </row>
    <row r="330">
      <c r="A330" s="64" t="n">
        <v>45498</v>
      </c>
      <c r="B330" s="64" t="n">
        <v>45498</v>
      </c>
      <c r="C330" s="65" t="n">
        <v>10000</v>
      </c>
      <c r="D330" s="65" t="n">
        <v>0</v>
      </c>
      <c r="E330" s="65" t="inlineStr"/>
      <c r="F330" s="65" t="inlineStr">
        <is>
          <t>MF Investment</t>
        </is>
      </c>
      <c r="G330" s="32" t="n">
        <v>0.92</v>
      </c>
      <c r="H330" s="65" t="inlineStr">
        <is>
          <t>Mutual_Fund_Investments</t>
        </is>
      </c>
      <c r="I330" s="65" t="inlineStr">
        <is>
          <t>HDFC 0094</t>
        </is>
      </c>
      <c r="J330" s="65" t="inlineStr">
        <is>
          <t>SIP  - 10000</t>
        </is>
      </c>
      <c r="K330" s="65" t="inlineStr">
        <is>
          <t>ACH D- INDIAN CLEARING CORP-P25847643X05</t>
        </is>
      </c>
      <c r="L330" s="65" t="inlineStr">
        <is>
          <t>HDFC Bank</t>
        </is>
      </c>
      <c r="M330" s="65" t="inlineStr"/>
    </row>
    <row r="331">
      <c r="A331" s="85" t="n">
        <v>45498</v>
      </c>
      <c r="B331" s="85" t="n">
        <v>45498</v>
      </c>
      <c r="C331" s="86" t="n">
        <v>0</v>
      </c>
      <c r="D331" s="86" t="n">
        <v>1781.86</v>
      </c>
      <c r="E331" s="86" t="inlineStr"/>
      <c r="F331" s="86" t="inlineStr">
        <is>
          <t>HDFC Securities - Sell</t>
        </is>
      </c>
      <c r="G331" s="32" t="n">
        <v>0.97</v>
      </c>
      <c r="H331" s="86" t="inlineStr">
        <is>
          <t>HDFC Securities</t>
        </is>
      </c>
      <c r="I331" s="86" t="inlineStr">
        <is>
          <t>HDFC 0094</t>
        </is>
      </c>
      <c r="J331" s="86" t="inlineStr">
        <is>
          <t>HSL</t>
        </is>
      </c>
      <c r="K331" s="86" t="inlineStr">
        <is>
          <t>NET PO FROM HSL A/C 523686-50200085415108</t>
        </is>
      </c>
      <c r="L331" s="86" t="inlineStr">
        <is>
          <t>HDFC Bank</t>
        </is>
      </c>
      <c r="M331" s="86" t="inlineStr"/>
    </row>
    <row r="332">
      <c r="A332" s="83" t="n">
        <v>45499</v>
      </c>
      <c r="B332" s="83" t="n">
        <v>45499</v>
      </c>
      <c r="C332" s="84" t="n">
        <v>298.07</v>
      </c>
      <c r="D332" s="84" t="n">
        <v>0</v>
      </c>
      <c r="E332" s="84" t="inlineStr"/>
      <c r="F332" s="84" t="inlineStr">
        <is>
          <t>HDFC Securities - Buy</t>
        </is>
      </c>
      <c r="G332" s="32" t="n">
        <v>0.97</v>
      </c>
      <c r="H332" s="84" t="inlineStr">
        <is>
          <t>HDFC Securities</t>
        </is>
      </c>
      <c r="I332" s="84" t="inlineStr">
        <is>
          <t>HDFC 0094</t>
        </is>
      </c>
      <c r="J332" s="84" t="inlineStr">
        <is>
          <t>HSL</t>
        </is>
      </c>
      <c r="K332" s="84" t="inlineStr">
        <is>
          <t>NET PI TO HSL SEC A/C 523686-00602340029434</t>
        </is>
      </c>
      <c r="L332" s="84" t="inlineStr">
        <is>
          <t>HDFC Bank</t>
        </is>
      </c>
      <c r="M332" s="84" t="inlineStr"/>
    </row>
    <row r="333">
      <c r="A333" s="85" t="n">
        <v>45502</v>
      </c>
      <c r="B333" s="85" t="n">
        <v>45502</v>
      </c>
      <c r="C333" s="86" t="n">
        <v>0</v>
      </c>
      <c r="D333" s="86" t="n">
        <v>6065.09</v>
      </c>
      <c r="E333" s="86" t="inlineStr"/>
      <c r="F333" s="86" t="inlineStr">
        <is>
          <t>HDFC Securities - Sell</t>
        </is>
      </c>
      <c r="G333" s="32" t="n">
        <v>0.97</v>
      </c>
      <c r="H333" s="86" t="inlineStr">
        <is>
          <t>HDFC Securities</t>
        </is>
      </c>
      <c r="I333" s="86" t="inlineStr">
        <is>
          <t>HDFC 0094</t>
        </is>
      </c>
      <c r="J333" s="86" t="inlineStr">
        <is>
          <t>HSL</t>
        </is>
      </c>
      <c r="K333" s="86" t="inlineStr">
        <is>
          <t>NET PO FROM HSL A/C 523686-50200085415108</t>
        </is>
      </c>
      <c r="L333" s="86" t="inlineStr">
        <is>
          <t>HDFC Bank</t>
        </is>
      </c>
      <c r="M333" s="86" t="inlineStr"/>
    </row>
    <row r="334">
      <c r="A334" s="42" t="n">
        <v>45502</v>
      </c>
      <c r="B334" s="42" t="n">
        <v>45502</v>
      </c>
      <c r="C334" s="43" t="n">
        <v>0</v>
      </c>
      <c r="D334" s="43" t="n">
        <v>84.56999999999999</v>
      </c>
      <c r="E334" s="43" t="inlineStr"/>
      <c r="F334" s="43" t="inlineStr">
        <is>
          <t>Dividend Income</t>
        </is>
      </c>
      <c r="G334" s="32" t="n">
        <v>0.85</v>
      </c>
      <c r="H334" s="43" t="inlineStr">
        <is>
          <t>Dividend Income</t>
        </is>
      </c>
      <c r="I334" s="43" t="inlineStr">
        <is>
          <t>HDFC 0094</t>
        </is>
      </c>
      <c r="J334" s="43" t="inlineStr">
        <is>
          <t>Dividend Income</t>
        </is>
      </c>
      <c r="K334" s="43" t="inlineStr">
        <is>
          <t>NEFT CR-UTIB0000004-AXIS MUTUAL FUND DIVIDEND A/C-SUNITA GUPTA-AXISCN0694049003</t>
        </is>
      </c>
      <c r="L334" s="43" t="inlineStr">
        <is>
          <t>HDFC Bank</t>
        </is>
      </c>
      <c r="M334" s="43" t="inlineStr"/>
    </row>
    <row r="335">
      <c r="A335" s="83" t="n">
        <v>45502</v>
      </c>
      <c r="B335" s="83" t="n">
        <v>45502</v>
      </c>
      <c r="C335" s="84" t="n">
        <v>29487.13</v>
      </c>
      <c r="D335" s="84" t="n">
        <v>0</v>
      </c>
      <c r="E335" s="84" t="inlineStr"/>
      <c r="F335" s="84" t="inlineStr">
        <is>
          <t>HDFC Securities - Buy</t>
        </is>
      </c>
      <c r="G335" s="32" t="n">
        <v>0.97</v>
      </c>
      <c r="H335" s="84" t="inlineStr">
        <is>
          <t>HDFC Securities</t>
        </is>
      </c>
      <c r="I335" s="84" t="inlineStr">
        <is>
          <t>HDFC 0094</t>
        </is>
      </c>
      <c r="J335" s="84" t="inlineStr">
        <is>
          <t>HSL</t>
        </is>
      </c>
      <c r="K335" s="84" t="inlineStr">
        <is>
          <t>NET PI TO HSL SEC A/C 523686-00602340029434</t>
        </is>
      </c>
      <c r="L335" s="84" t="inlineStr">
        <is>
          <t>HDFC Bank</t>
        </is>
      </c>
      <c r="M335" s="84" t="inlineStr"/>
    </row>
    <row r="336">
      <c r="A336" s="83" t="n">
        <v>45502</v>
      </c>
      <c r="B336" s="83" t="n">
        <v>45502</v>
      </c>
      <c r="C336" s="84" t="n">
        <v>27304.28</v>
      </c>
      <c r="D336" s="84" t="n">
        <v>0</v>
      </c>
      <c r="E336" s="84" t="inlineStr"/>
      <c r="F336" s="84" t="inlineStr">
        <is>
          <t>HDFC Securities - Buy</t>
        </is>
      </c>
      <c r="G336" s="32" t="n">
        <v>0.97</v>
      </c>
      <c r="H336" s="84" t="inlineStr">
        <is>
          <t>HDFC Securities</t>
        </is>
      </c>
      <c r="I336" s="84" t="inlineStr">
        <is>
          <t>HDFC 0094</t>
        </is>
      </c>
      <c r="J336" s="84" t="inlineStr">
        <is>
          <t>HSL</t>
        </is>
      </c>
      <c r="K336" s="84" t="inlineStr">
        <is>
          <t>NET PI TO HSL SEC A/C 523686-00602340029434</t>
        </is>
      </c>
      <c r="L336" s="84" t="inlineStr">
        <is>
          <t>HDFC Bank</t>
        </is>
      </c>
      <c r="M336" s="84" t="inlineStr"/>
    </row>
    <row r="337">
      <c r="A337" s="42" t="n">
        <v>45502</v>
      </c>
      <c r="B337" s="42" t="n">
        <v>45502</v>
      </c>
      <c r="C337" s="43" t="n">
        <v>0</v>
      </c>
      <c r="D337" s="43" t="n">
        <v>825</v>
      </c>
      <c r="E337" s="43" t="inlineStr"/>
      <c r="F337" s="43" t="inlineStr">
        <is>
          <t>Dividend Income</t>
        </is>
      </c>
      <c r="G337" s="32" t="n">
        <v>0.88</v>
      </c>
      <c r="H337" s="43" t="inlineStr">
        <is>
          <t>Dividend Income</t>
        </is>
      </c>
      <c r="I337" s="43" t="inlineStr">
        <is>
          <t>HDFC 0094</t>
        </is>
      </c>
      <c r="J337" s="43" t="inlineStr">
        <is>
          <t>Dividend Income</t>
        </is>
      </c>
      <c r="K337" s="43" t="inlineStr">
        <is>
          <t>ACH C- MPH FIN DIV 2023-24-0000IN3004764</t>
        </is>
      </c>
      <c r="L337" s="43" t="inlineStr">
        <is>
          <t>HDFC Bank</t>
        </is>
      </c>
      <c r="M337" s="43" t="inlineStr"/>
    </row>
    <row r="338">
      <c r="A338" s="83" t="n">
        <v>45502</v>
      </c>
      <c r="B338" s="83" t="n">
        <v>45502</v>
      </c>
      <c r="C338" s="84" t="n">
        <v>894.21</v>
      </c>
      <c r="D338" s="84" t="n">
        <v>0</v>
      </c>
      <c r="E338" s="84" t="inlineStr"/>
      <c r="F338" s="84" t="inlineStr">
        <is>
          <t>HDFC Securities - Buy</t>
        </is>
      </c>
      <c r="G338" s="32" t="n">
        <v>0.97</v>
      </c>
      <c r="H338" s="84" t="inlineStr">
        <is>
          <t>HDFC Securities</t>
        </is>
      </c>
      <c r="I338" s="84" t="inlineStr">
        <is>
          <t>HDFC 0094</t>
        </is>
      </c>
      <c r="J338" s="84" t="inlineStr">
        <is>
          <t>HSL</t>
        </is>
      </c>
      <c r="K338" s="84" t="inlineStr">
        <is>
          <t>NET PI TO HSL SEC A/C 523686-00602340029434</t>
        </is>
      </c>
      <c r="L338" s="84" t="inlineStr">
        <is>
          <t>HDFC Bank</t>
        </is>
      </c>
      <c r="M338" s="84" t="inlineStr"/>
    </row>
    <row r="339">
      <c r="A339" s="83" t="n">
        <v>45503</v>
      </c>
      <c r="B339" s="83" t="n">
        <v>45503</v>
      </c>
      <c r="C339" s="84" t="n">
        <v>290.51</v>
      </c>
      <c r="D339" s="84" t="n">
        <v>0</v>
      </c>
      <c r="E339" s="84" t="inlineStr"/>
      <c r="F339" s="84" t="inlineStr">
        <is>
          <t>HDFC Securities - Buy</t>
        </is>
      </c>
      <c r="G339" s="32" t="n">
        <v>0.97</v>
      </c>
      <c r="H339" s="84" t="inlineStr">
        <is>
          <t>HDFC Securities</t>
        </is>
      </c>
      <c r="I339" s="84" t="inlineStr">
        <is>
          <t>HDFC 0094</t>
        </is>
      </c>
      <c r="J339" s="84" t="inlineStr">
        <is>
          <t>HSL</t>
        </is>
      </c>
      <c r="K339" s="84" t="inlineStr">
        <is>
          <t>NET PI TO HSL SEC A/C 523686-00602340029434</t>
        </is>
      </c>
      <c r="L339" s="84" t="inlineStr">
        <is>
          <t>HDFC Bank</t>
        </is>
      </c>
      <c r="M339" s="84" t="inlineStr"/>
    </row>
    <row r="340">
      <c r="A340" s="42" t="n">
        <v>45503</v>
      </c>
      <c r="B340" s="42" t="n">
        <v>45503</v>
      </c>
      <c r="C340" s="43" t="n">
        <v>0</v>
      </c>
      <c r="D340" s="43" t="n">
        <v>949</v>
      </c>
      <c r="E340" s="43" t="inlineStr"/>
      <c r="F340" s="43" t="inlineStr">
        <is>
          <t>Dividend Income</t>
        </is>
      </c>
      <c r="G340" s="32" t="n">
        <v>0.88</v>
      </c>
      <c r="H340" s="43" t="inlineStr">
        <is>
          <t>Dividend Income</t>
        </is>
      </c>
      <c r="I340" s="43" t="inlineStr">
        <is>
          <t>HDFC 0094</t>
        </is>
      </c>
      <c r="J340" s="43" t="inlineStr">
        <is>
          <t>Dividend Income</t>
        </is>
      </c>
      <c r="K340" s="43" t="inlineStr">
        <is>
          <t>ACH C- JSW STEEL LIMITED-21931557</t>
        </is>
      </c>
      <c r="L340" s="43" t="inlineStr">
        <is>
          <t>HDFC Bank</t>
        </is>
      </c>
      <c r="M340" s="43" t="inlineStr"/>
    </row>
    <row r="341">
      <c r="A341" s="85" t="n">
        <v>45503</v>
      </c>
      <c r="B341" s="85" t="n">
        <v>45503</v>
      </c>
      <c r="C341" s="86" t="n">
        <v>0</v>
      </c>
      <c r="D341" s="86" t="n">
        <v>10280.34</v>
      </c>
      <c r="E341" s="86" t="inlineStr"/>
      <c r="F341" s="86" t="inlineStr">
        <is>
          <t>HDFC Securities - Sell</t>
        </is>
      </c>
      <c r="G341" s="32" t="n">
        <v>0.97</v>
      </c>
      <c r="H341" s="86" t="inlineStr">
        <is>
          <t>HDFC Securities</t>
        </is>
      </c>
      <c r="I341" s="86" t="inlineStr">
        <is>
          <t>HDFC 0094</t>
        </is>
      </c>
      <c r="J341" s="86" t="inlineStr">
        <is>
          <t>HSL</t>
        </is>
      </c>
      <c r="K341" s="86" t="inlineStr">
        <is>
          <t>NET PO FROM HSL A/C 523686-50200085415108</t>
        </is>
      </c>
      <c r="L341" s="86" t="inlineStr">
        <is>
          <t>HDFC Bank</t>
        </is>
      </c>
      <c r="M341" s="86" t="inlineStr"/>
    </row>
    <row r="342">
      <c r="A342" s="85" t="n">
        <v>45504</v>
      </c>
      <c r="B342" s="85" t="n">
        <v>45504</v>
      </c>
      <c r="C342" s="86" t="n">
        <v>0</v>
      </c>
      <c r="D342" s="86" t="n">
        <v>6906.74</v>
      </c>
      <c r="E342" s="86" t="inlineStr"/>
      <c r="F342" s="86" t="inlineStr">
        <is>
          <t>HDFC Securities - Sell</t>
        </is>
      </c>
      <c r="G342" s="32" t="n">
        <v>0.97</v>
      </c>
      <c r="H342" s="86" t="inlineStr">
        <is>
          <t>HDFC Securities</t>
        </is>
      </c>
      <c r="I342" s="86" t="inlineStr">
        <is>
          <t>HDFC 0094</t>
        </is>
      </c>
      <c r="J342" s="86" t="inlineStr">
        <is>
          <t>HSL</t>
        </is>
      </c>
      <c r="K342" s="86" t="inlineStr">
        <is>
          <t>NET PO FROM HSL A/C 523686-50200085415108</t>
        </is>
      </c>
      <c r="L342" s="86" t="inlineStr">
        <is>
          <t>HDFC Bank</t>
        </is>
      </c>
      <c r="M342" s="86" t="inlineStr"/>
    </row>
    <row r="343">
      <c r="A343" s="42" t="n">
        <v>45504</v>
      </c>
      <c r="B343" s="42" t="n">
        <v>45504</v>
      </c>
      <c r="C343" s="43" t="n">
        <v>0</v>
      </c>
      <c r="D343" s="43" t="n">
        <v>900</v>
      </c>
      <c r="E343" s="43" t="inlineStr"/>
      <c r="F343" s="43" t="inlineStr">
        <is>
          <t>Dividend Income</t>
        </is>
      </c>
      <c r="G343" s="32" t="n">
        <v>0.85</v>
      </c>
      <c r="H343" s="43" t="inlineStr">
        <is>
          <t>Dividend Income</t>
        </is>
      </c>
      <c r="I343" s="43" t="inlineStr">
        <is>
          <t>AXIS 7042</t>
        </is>
      </c>
      <c r="J343" s="43" t="inlineStr">
        <is>
          <t>Dividend Income</t>
        </is>
      </c>
      <c r="K343" s="43" t="inlineStr">
        <is>
          <t>ACH-CR-SHRDCCLFnl202324-NACH-00000000000000067267</t>
        </is>
      </c>
      <c r="L343" s="43" t="inlineStr">
        <is>
          <t>Axis Bank</t>
        </is>
      </c>
      <c r="M343" s="43" t="inlineStr"/>
    </row>
    <row r="344">
      <c r="A344" s="83" t="n">
        <v>45504</v>
      </c>
      <c r="B344" s="83" t="n">
        <v>45504</v>
      </c>
      <c r="C344" s="84" t="n">
        <v>3412.52</v>
      </c>
      <c r="D344" s="84" t="n">
        <v>0</v>
      </c>
      <c r="E344" s="84" t="inlineStr"/>
      <c r="F344" s="84" t="inlineStr">
        <is>
          <t>HDFC Securities - Buy</t>
        </is>
      </c>
      <c r="G344" s="32" t="n">
        <v>0.97</v>
      </c>
      <c r="H344" s="84" t="inlineStr">
        <is>
          <t>HDFC Securities</t>
        </is>
      </c>
      <c r="I344" s="84" t="inlineStr">
        <is>
          <t>HDFC 0094</t>
        </is>
      </c>
      <c r="J344" s="84" t="inlineStr">
        <is>
          <t>HSL</t>
        </is>
      </c>
      <c r="K344" s="84" t="inlineStr">
        <is>
          <t>NET PI TO HSL SEC A/C 523686-00602340029434</t>
        </is>
      </c>
      <c r="L344" s="84" t="inlineStr">
        <is>
          <t>HDFC Bank</t>
        </is>
      </c>
      <c r="M344" s="84" t="inlineStr"/>
    </row>
    <row r="345">
      <c r="A345" s="42" t="n">
        <v>45504</v>
      </c>
      <c r="B345" s="42" t="n">
        <v>45504</v>
      </c>
      <c r="C345" s="43" t="n">
        <v>0</v>
      </c>
      <c r="D345" s="43" t="n">
        <v>380</v>
      </c>
      <c r="E345" s="43" t="inlineStr"/>
      <c r="F345" s="43" t="inlineStr">
        <is>
          <t>Dividend Income</t>
        </is>
      </c>
      <c r="G345" s="32" t="n">
        <v>0.88</v>
      </c>
      <c r="H345" s="43" t="inlineStr">
        <is>
          <t>Dividend Income</t>
        </is>
      </c>
      <c r="I345" s="43" t="inlineStr">
        <is>
          <t>HDFC 0094</t>
        </is>
      </c>
      <c r="J345" s="43" t="inlineStr">
        <is>
          <t>Dividend Income</t>
        </is>
      </c>
      <c r="K345" s="43" t="inlineStr">
        <is>
          <t>ACH C- ATUL LTDFNLDIV 23 24-19440</t>
        </is>
      </c>
      <c r="L345" s="43" t="inlineStr">
        <is>
          <t>HDFC Bank</t>
        </is>
      </c>
      <c r="M345" s="43" t="inlineStr"/>
    </row>
    <row r="346">
      <c r="A346" s="83" t="n">
        <v>45504</v>
      </c>
      <c r="B346" s="83" t="n">
        <v>45504</v>
      </c>
      <c r="C346" s="84" t="n">
        <v>336.24</v>
      </c>
      <c r="D346" s="84" t="n">
        <v>0</v>
      </c>
      <c r="E346" s="84" t="inlineStr"/>
      <c r="F346" s="84" t="inlineStr">
        <is>
          <t>HDFC Securities - Buy</t>
        </is>
      </c>
      <c r="G346" s="32" t="n">
        <v>0.97</v>
      </c>
      <c r="H346" s="84" t="inlineStr">
        <is>
          <t>HDFC Securities</t>
        </is>
      </c>
      <c r="I346" s="84" t="inlineStr">
        <is>
          <t>HDFC 0094</t>
        </is>
      </c>
      <c r="J346" s="84" t="inlineStr">
        <is>
          <t>HSL</t>
        </is>
      </c>
      <c r="K346" s="84" t="inlineStr">
        <is>
          <t>NET PI TO HSL SEC A/C 523686-00602340029434</t>
        </is>
      </c>
      <c r="L346" s="84" t="inlineStr">
        <is>
          <t>HDFC Bank</t>
        </is>
      </c>
      <c r="M346" s="84" t="inlineStr"/>
    </row>
    <row r="347">
      <c r="A347" s="83" t="n">
        <v>45505</v>
      </c>
      <c r="B347" s="83" t="n">
        <v>45505</v>
      </c>
      <c r="C347" s="84" t="n">
        <v>1376.77</v>
      </c>
      <c r="D347" s="84" t="n">
        <v>0</v>
      </c>
      <c r="E347" s="84" t="inlineStr"/>
      <c r="F347" s="84" t="inlineStr">
        <is>
          <t>HDFC Securities - Buy</t>
        </is>
      </c>
      <c r="G347" s="32" t="n">
        <v>0.97</v>
      </c>
      <c r="H347" s="84" t="inlineStr">
        <is>
          <t>HDFC Securities</t>
        </is>
      </c>
      <c r="I347" s="84" t="inlineStr">
        <is>
          <t>HDFC 0094</t>
        </is>
      </c>
      <c r="J347" s="84" t="inlineStr">
        <is>
          <t>HSL</t>
        </is>
      </c>
      <c r="K347" s="84" t="inlineStr">
        <is>
          <t>NET PI TO HSL SEC A/C 523686-00602340029434</t>
        </is>
      </c>
      <c r="L347" s="84" t="inlineStr">
        <is>
          <t>HDFC Bank</t>
        </is>
      </c>
      <c r="M347" s="84" t="inlineStr"/>
    </row>
    <row r="348">
      <c r="A348" s="83" t="n">
        <v>45505</v>
      </c>
      <c r="B348" s="83" t="n">
        <v>45505</v>
      </c>
      <c r="C348" s="84" t="n">
        <v>337.49</v>
      </c>
      <c r="D348" s="84" t="n">
        <v>0</v>
      </c>
      <c r="E348" s="84" t="inlineStr"/>
      <c r="F348" s="84" t="inlineStr">
        <is>
          <t>HDFC Securities - Buy</t>
        </is>
      </c>
      <c r="G348" s="32" t="n">
        <v>0.97</v>
      </c>
      <c r="H348" s="84" t="inlineStr">
        <is>
          <t>HDFC Securities</t>
        </is>
      </c>
      <c r="I348" s="84" t="inlineStr">
        <is>
          <t>HDFC 0094</t>
        </is>
      </c>
      <c r="J348" s="84" t="inlineStr">
        <is>
          <t>HSL</t>
        </is>
      </c>
      <c r="K348" s="84" t="inlineStr">
        <is>
          <t>NET PI TO HSL SEC A/C 523686-00602340029434</t>
        </is>
      </c>
      <c r="L348" s="84" t="inlineStr">
        <is>
          <t>HDFC Bank</t>
        </is>
      </c>
      <c r="M348" s="84" t="inlineStr"/>
    </row>
    <row r="349">
      <c r="A349" s="85" t="n">
        <v>45505</v>
      </c>
      <c r="B349" s="85" t="n">
        <v>45505</v>
      </c>
      <c r="C349" s="86" t="n">
        <v>0</v>
      </c>
      <c r="D349" s="86" t="n">
        <v>39882.72</v>
      </c>
      <c r="E349" s="86" t="inlineStr"/>
      <c r="F349" s="86" t="inlineStr">
        <is>
          <t>HDFC Securities - Sell</t>
        </is>
      </c>
      <c r="G349" s="32" t="n">
        <v>0.97</v>
      </c>
      <c r="H349" s="86" t="inlineStr">
        <is>
          <t>HDFC Securities</t>
        </is>
      </c>
      <c r="I349" s="86" t="inlineStr">
        <is>
          <t>HDFC 0094</t>
        </is>
      </c>
      <c r="J349" s="86" t="inlineStr">
        <is>
          <t>HSL</t>
        </is>
      </c>
      <c r="K349" s="86" t="inlineStr">
        <is>
          <t>NET PO FROM HSL A/C 523686-50200085415108</t>
        </is>
      </c>
      <c r="L349" s="86" t="inlineStr">
        <is>
          <t>HDFC Bank</t>
        </is>
      </c>
      <c r="M349" s="86" t="inlineStr"/>
    </row>
    <row r="350">
      <c r="A350" s="83" t="n">
        <v>45506</v>
      </c>
      <c r="B350" s="83" t="n">
        <v>45506</v>
      </c>
      <c r="C350" s="84" t="n">
        <v>337</v>
      </c>
      <c r="D350" s="84" t="n">
        <v>0</v>
      </c>
      <c r="E350" s="84" t="inlineStr"/>
      <c r="F350" s="84" t="inlineStr">
        <is>
          <t>HDFC Securities - Buy</t>
        </is>
      </c>
      <c r="G350" s="32" t="n">
        <v>0.97</v>
      </c>
      <c r="H350" s="84" t="inlineStr">
        <is>
          <t>HDFC Securities</t>
        </is>
      </c>
      <c r="I350" s="84" t="inlineStr">
        <is>
          <t>HDFC 0094</t>
        </is>
      </c>
      <c r="J350" s="84" t="inlineStr">
        <is>
          <t>HSL</t>
        </is>
      </c>
      <c r="K350" s="84" t="inlineStr">
        <is>
          <t>NET PI TO HSL SEC A/C 523686-00602340029434</t>
        </is>
      </c>
      <c r="L350" s="84" t="inlineStr">
        <is>
          <t>HDFC Bank</t>
        </is>
      </c>
      <c r="M350" s="84" t="inlineStr"/>
    </row>
    <row r="351">
      <c r="A351" s="64" t="n">
        <v>45507</v>
      </c>
      <c r="B351" s="64" t="n">
        <v>45507</v>
      </c>
      <c r="C351" s="65" t="n">
        <v>0</v>
      </c>
      <c r="D351" s="65" t="n">
        <v>25000</v>
      </c>
      <c r="E351" s="65" t="inlineStr"/>
      <c r="F351" s="65" t="inlineStr">
        <is>
          <t>NEFT Transfer</t>
        </is>
      </c>
      <c r="G351" s="53" t="n">
        <v>0.7</v>
      </c>
      <c r="H351" s="65" t="inlineStr">
        <is>
          <t>Transfer</t>
        </is>
      </c>
      <c r="I351" s="65" t="inlineStr">
        <is>
          <t>AXIS 7042</t>
        </is>
      </c>
      <c r="J351" s="65" t="inlineStr">
        <is>
          <t>Zerodha</t>
        </is>
      </c>
      <c r="K351" s="65" t="inlineStr">
        <is>
          <t>NEFT/YESF342160112723/ZERODHA BROKING LTD-DSCNB A//YES BANK/ae4b1fbf69 Zerodha payout</t>
        </is>
      </c>
      <c r="L351" s="65" t="inlineStr">
        <is>
          <t>Axis Bank</t>
        </is>
      </c>
      <c r="M351" s="65" t="inlineStr"/>
    </row>
    <row r="352">
      <c r="A352" s="83" t="n">
        <v>45507</v>
      </c>
      <c r="B352" s="83" t="n">
        <v>45507</v>
      </c>
      <c r="C352" s="84" t="n">
        <v>9965.549999999999</v>
      </c>
      <c r="D352" s="84" t="n">
        <v>0</v>
      </c>
      <c r="E352" s="84" t="inlineStr"/>
      <c r="F352" s="84" t="inlineStr">
        <is>
          <t>HDFC Securities - Buy</t>
        </is>
      </c>
      <c r="G352" s="32" t="n">
        <v>0.97</v>
      </c>
      <c r="H352" s="84" t="inlineStr">
        <is>
          <t>HDFC Securities</t>
        </is>
      </c>
      <c r="I352" s="84" t="inlineStr">
        <is>
          <t>HDFC 0094</t>
        </is>
      </c>
      <c r="J352" s="84" t="inlineStr">
        <is>
          <t>HSL</t>
        </is>
      </c>
      <c r="K352" s="84" t="inlineStr">
        <is>
          <t>NET PI TO HSL SEC A/C 523686-00602340029434</t>
        </is>
      </c>
      <c r="L352" s="84" t="inlineStr">
        <is>
          <t>HDFC Bank</t>
        </is>
      </c>
      <c r="M352" s="84" t="inlineStr"/>
    </row>
    <row r="353">
      <c r="A353" s="83" t="n">
        <v>45509</v>
      </c>
      <c r="B353" s="83" t="n">
        <v>45509</v>
      </c>
      <c r="C353" s="84" t="n">
        <v>1000.35</v>
      </c>
      <c r="D353" s="84" t="n">
        <v>0</v>
      </c>
      <c r="E353" s="84" t="inlineStr"/>
      <c r="F353" s="84" t="inlineStr">
        <is>
          <t>HDFC Securities - Buy</t>
        </is>
      </c>
      <c r="G353" s="32" t="n">
        <v>0.97</v>
      </c>
      <c r="H353" s="84" t="inlineStr">
        <is>
          <t>HDFC Securities</t>
        </is>
      </c>
      <c r="I353" s="84" t="inlineStr">
        <is>
          <t>HDFC 0094</t>
        </is>
      </c>
      <c r="J353" s="84" t="inlineStr">
        <is>
          <t>HSL</t>
        </is>
      </c>
      <c r="K353" s="84" t="inlineStr">
        <is>
          <t>NET PI TO HSL SEC A/C 523686-00602340029434</t>
        </is>
      </c>
      <c r="L353" s="84" t="inlineStr">
        <is>
          <t>HDFC Bank</t>
        </is>
      </c>
      <c r="M353" s="84" t="inlineStr"/>
    </row>
    <row r="354">
      <c r="A354" s="42" t="n">
        <v>45509</v>
      </c>
      <c r="B354" s="42" t="n">
        <v>45509</v>
      </c>
      <c r="C354" s="43" t="n">
        <v>0</v>
      </c>
      <c r="D354" s="43" t="n">
        <v>310</v>
      </c>
      <c r="E354" s="43" t="inlineStr"/>
      <c r="F354" s="43" t="inlineStr">
        <is>
          <t>Dividend Income</t>
        </is>
      </c>
      <c r="G354" s="32" t="n">
        <v>0.88</v>
      </c>
      <c r="H354" s="43" t="inlineStr">
        <is>
          <t>Dividend Income</t>
        </is>
      </c>
      <c r="I354" s="43" t="inlineStr">
        <is>
          <t>HDFC 0094</t>
        </is>
      </c>
      <c r="J354" s="43" t="inlineStr">
        <is>
          <t>Dividend Income</t>
        </is>
      </c>
      <c r="K354" s="43" t="inlineStr">
        <is>
          <t>ACH C- TCS1STINTDIV050824-803726</t>
        </is>
      </c>
      <c r="L354" s="43" t="inlineStr">
        <is>
          <t>HDFC Bank</t>
        </is>
      </c>
      <c r="M354" s="43" t="inlineStr"/>
    </row>
    <row r="355">
      <c r="A355" s="83" t="n">
        <v>45509</v>
      </c>
      <c r="B355" s="83" t="n">
        <v>45509</v>
      </c>
      <c r="C355" s="84" t="n">
        <v>12167.78</v>
      </c>
      <c r="D355" s="84" t="n">
        <v>0</v>
      </c>
      <c r="E355" s="84" t="inlineStr"/>
      <c r="F355" s="84" t="inlineStr">
        <is>
          <t>HDFC Securities - Buy</t>
        </is>
      </c>
      <c r="G355" s="32" t="n">
        <v>0.97</v>
      </c>
      <c r="H355" s="84" t="inlineStr">
        <is>
          <t>HDFC Securities</t>
        </is>
      </c>
      <c r="I355" s="84" t="inlineStr">
        <is>
          <t>HDFC 0094</t>
        </is>
      </c>
      <c r="J355" s="84" t="inlineStr">
        <is>
          <t>HSL</t>
        </is>
      </c>
      <c r="K355" s="84" t="inlineStr">
        <is>
          <t>NET PI TO HSL SEC A/C 523686-00602340029434</t>
        </is>
      </c>
      <c r="L355" s="84" t="inlineStr">
        <is>
          <t>HDFC Bank</t>
        </is>
      </c>
      <c r="M355" s="84" t="inlineStr"/>
    </row>
    <row r="356">
      <c r="A356" s="93" t="n">
        <v>45510</v>
      </c>
      <c r="B356" s="93" t="n">
        <v>45510</v>
      </c>
      <c r="C356" s="94" t="n">
        <v>0</v>
      </c>
      <c r="D356" s="94" t="n">
        <v>45810</v>
      </c>
      <c r="E356" s="94" t="inlineStr"/>
      <c r="F356" s="94" t="inlineStr">
        <is>
          <t>Income Tax Refund</t>
        </is>
      </c>
      <c r="G356" s="32" t="n">
        <v>0.95</v>
      </c>
      <c r="H356" s="94" t="inlineStr">
        <is>
          <t>Income Tax</t>
        </is>
      </c>
      <c r="I356" s="94" t="inlineStr">
        <is>
          <t>HDFC 0094</t>
        </is>
      </c>
      <c r="J356" s="94" t="inlineStr">
        <is>
          <t>Income Tax Refund</t>
        </is>
      </c>
      <c r="K356" s="94" t="inlineStr">
        <is>
          <t>NEFT CR-SBIN0000TBU-ITDTAX REFUND 2024-25 AKDPG7463Q-SUNITA GUPTA-SBIN524219475023</t>
        </is>
      </c>
      <c r="L356" s="94" t="inlineStr">
        <is>
          <t>HDFC Bank</t>
        </is>
      </c>
      <c r="M356" s="94" t="inlineStr"/>
    </row>
    <row r="357">
      <c r="A357" s="56" t="n">
        <v>45510</v>
      </c>
      <c r="B357" s="56" t="n">
        <v>45510</v>
      </c>
      <c r="C357" s="57" t="n">
        <v>1519</v>
      </c>
      <c r="D357" s="57" t="n">
        <v>0</v>
      </c>
      <c r="E357" s="57" t="inlineStr"/>
      <c r="F357" s="57" t="inlineStr">
        <is>
          <t>UPI - Flipkart</t>
        </is>
      </c>
      <c r="G357" s="53" t="n">
        <v>0.68</v>
      </c>
      <c r="H357" s="57" t="inlineStr">
        <is>
          <t>Shopping</t>
        </is>
      </c>
      <c r="I357" s="57" t="inlineStr">
        <is>
          <t>AXIS 7042</t>
        </is>
      </c>
      <c r="J357" s="57" t="inlineStr">
        <is>
          <t>UPI</t>
        </is>
      </c>
      <c r="K357" s="57" t="inlineStr">
        <is>
          <t>UPI/P2M/458538155643/Flipkart Payments    /UPI/Yes Bank Ltd</t>
        </is>
      </c>
      <c r="L357" s="57" t="inlineStr">
        <is>
          <t>Axis Bank</t>
        </is>
      </c>
      <c r="M357" s="57" t="inlineStr"/>
    </row>
    <row r="358">
      <c r="A358" s="85" t="n">
        <v>45510</v>
      </c>
      <c r="B358" s="85" t="n">
        <v>45510</v>
      </c>
      <c r="C358" s="86" t="n">
        <v>0</v>
      </c>
      <c r="D358" s="86" t="n">
        <v>56809.92</v>
      </c>
      <c r="E358" s="86" t="inlineStr"/>
      <c r="F358" s="86" t="inlineStr">
        <is>
          <t>HDFC Securities - Sell</t>
        </is>
      </c>
      <c r="G358" s="32" t="n">
        <v>0.97</v>
      </c>
      <c r="H358" s="86" t="inlineStr">
        <is>
          <t>HDFC Securities</t>
        </is>
      </c>
      <c r="I358" s="86" t="inlineStr">
        <is>
          <t>HDFC 0094</t>
        </is>
      </c>
      <c r="J358" s="86" t="inlineStr">
        <is>
          <t>HSL</t>
        </is>
      </c>
      <c r="K358" s="86" t="inlineStr">
        <is>
          <t>NET PO FROM HSL A/C 523686-50200085415108</t>
        </is>
      </c>
      <c r="L358" s="86" t="inlineStr">
        <is>
          <t>HDFC Bank</t>
        </is>
      </c>
      <c r="M358" s="86" t="inlineStr"/>
    </row>
    <row r="359">
      <c r="A359" s="83" t="n">
        <v>45510</v>
      </c>
      <c r="B359" s="83" t="n">
        <v>45510</v>
      </c>
      <c r="C359" s="84" t="n">
        <v>329.12</v>
      </c>
      <c r="D359" s="84" t="n">
        <v>0</v>
      </c>
      <c r="E359" s="84" t="inlineStr"/>
      <c r="F359" s="84" t="inlineStr">
        <is>
          <t>HDFC Securities - Buy</t>
        </is>
      </c>
      <c r="G359" s="32" t="n">
        <v>0.97</v>
      </c>
      <c r="H359" s="84" t="inlineStr">
        <is>
          <t>HDFC Securities</t>
        </is>
      </c>
      <c r="I359" s="84" t="inlineStr">
        <is>
          <t>HDFC 0094</t>
        </is>
      </c>
      <c r="J359" s="84" t="inlineStr">
        <is>
          <t>HSL</t>
        </is>
      </c>
      <c r="K359" s="84" t="inlineStr">
        <is>
          <t>NET PI TO HSL SEC A/C 523686-00602340029434</t>
        </is>
      </c>
      <c r="L359" s="84" t="inlineStr">
        <is>
          <t>HDFC Bank</t>
        </is>
      </c>
      <c r="M359" s="84" t="inlineStr"/>
    </row>
    <row r="360">
      <c r="A360" s="83" t="n">
        <v>45510</v>
      </c>
      <c r="B360" s="83" t="n">
        <v>45510</v>
      </c>
      <c r="C360" s="84" t="n">
        <v>28428.92</v>
      </c>
      <c r="D360" s="84" t="n">
        <v>0</v>
      </c>
      <c r="E360" s="84" t="inlineStr"/>
      <c r="F360" s="84" t="inlineStr">
        <is>
          <t>HDFC Securities - Buy</t>
        </is>
      </c>
      <c r="G360" s="32" t="n">
        <v>0.97</v>
      </c>
      <c r="H360" s="84" t="inlineStr">
        <is>
          <t>HDFC Securities</t>
        </is>
      </c>
      <c r="I360" s="84" t="inlineStr">
        <is>
          <t>HDFC 0094</t>
        </is>
      </c>
      <c r="J360" s="84" t="inlineStr">
        <is>
          <t>HSL</t>
        </is>
      </c>
      <c r="K360" s="84" t="inlineStr">
        <is>
          <t>NET PI TO HSL SEC A/C 523686-00602340029434</t>
        </is>
      </c>
      <c r="L360" s="84" t="inlineStr">
        <is>
          <t>HDFC Bank</t>
        </is>
      </c>
      <c r="M360" s="84" t="inlineStr"/>
    </row>
    <row r="361">
      <c r="A361" s="83" t="n">
        <v>45511</v>
      </c>
      <c r="B361" s="83" t="n">
        <v>45511</v>
      </c>
      <c r="C361" s="84" t="n">
        <v>302.48</v>
      </c>
      <c r="D361" s="84" t="n">
        <v>0</v>
      </c>
      <c r="E361" s="84" t="inlineStr"/>
      <c r="F361" s="84" t="inlineStr">
        <is>
          <t>HDFC Securities - Buy</t>
        </is>
      </c>
      <c r="G361" s="32" t="n">
        <v>0.97</v>
      </c>
      <c r="H361" s="84" t="inlineStr">
        <is>
          <t>HDFC Securities</t>
        </is>
      </c>
      <c r="I361" s="84" t="inlineStr">
        <is>
          <t>HDFC 0094</t>
        </is>
      </c>
      <c r="J361" s="84" t="inlineStr">
        <is>
          <t>HSL</t>
        </is>
      </c>
      <c r="K361" s="84" t="inlineStr">
        <is>
          <t>NET PI TO HSL SEC A/C 523686-00602340029434</t>
        </is>
      </c>
      <c r="L361" s="84" t="inlineStr">
        <is>
          <t>HDFC Bank</t>
        </is>
      </c>
      <c r="M361" s="84" t="inlineStr"/>
    </row>
    <row r="362">
      <c r="A362" s="42" t="n">
        <v>45511</v>
      </c>
      <c r="B362" s="42" t="n">
        <v>45511</v>
      </c>
      <c r="C362" s="43" t="n">
        <v>0</v>
      </c>
      <c r="D362" s="43" t="n">
        <v>175</v>
      </c>
      <c r="E362" s="43" t="inlineStr"/>
      <c r="F362" s="43" t="inlineStr">
        <is>
          <t>Dividend Income</t>
        </is>
      </c>
      <c r="G362" s="32" t="n">
        <v>0.88</v>
      </c>
      <c r="H362" s="43" t="inlineStr">
        <is>
          <t>Dividend Income</t>
        </is>
      </c>
      <c r="I362" s="43" t="inlineStr">
        <is>
          <t>HDFC 0094</t>
        </is>
      </c>
      <c r="J362" s="43" t="inlineStr">
        <is>
          <t>Dividend Income</t>
        </is>
      </c>
      <c r="K362" s="43" t="inlineStr">
        <is>
          <t>ACH C- NFIL-00000000000003531754</t>
        </is>
      </c>
      <c r="L362" s="43" t="inlineStr">
        <is>
          <t>HDFC Bank</t>
        </is>
      </c>
      <c r="M362" s="43" t="inlineStr"/>
    </row>
    <row r="363">
      <c r="A363" s="83" t="n">
        <v>45511</v>
      </c>
      <c r="B363" s="83" t="n">
        <v>45511</v>
      </c>
      <c r="C363" s="84" t="n">
        <v>57623.28</v>
      </c>
      <c r="D363" s="84" t="n">
        <v>0</v>
      </c>
      <c r="E363" s="84" t="inlineStr"/>
      <c r="F363" s="84" t="inlineStr">
        <is>
          <t>HDFC Securities - Buy</t>
        </is>
      </c>
      <c r="G363" s="32" t="n">
        <v>0.97</v>
      </c>
      <c r="H363" s="84" t="inlineStr">
        <is>
          <t>HDFC Securities</t>
        </is>
      </c>
      <c r="I363" s="84" t="inlineStr">
        <is>
          <t>HDFC 0094</t>
        </is>
      </c>
      <c r="J363" s="84" t="inlineStr">
        <is>
          <t>HSL</t>
        </is>
      </c>
      <c r="K363" s="84" t="inlineStr">
        <is>
          <t>NET PI TO HSL SEC A/C 523686-00602340029434</t>
        </is>
      </c>
      <c r="L363" s="84" t="inlineStr">
        <is>
          <t>HDFC Bank</t>
        </is>
      </c>
      <c r="M363" s="84" t="inlineStr"/>
    </row>
    <row r="364">
      <c r="A364" s="85" t="n">
        <v>45512</v>
      </c>
      <c r="B364" s="85" t="n">
        <v>45512</v>
      </c>
      <c r="C364" s="86" t="n">
        <v>0</v>
      </c>
      <c r="D364" s="86" t="n">
        <v>11098.7</v>
      </c>
      <c r="E364" s="86" t="inlineStr"/>
      <c r="F364" s="86" t="inlineStr">
        <is>
          <t>HDFC Securities - Sell</t>
        </is>
      </c>
      <c r="G364" s="32" t="n">
        <v>0.97</v>
      </c>
      <c r="H364" s="86" t="inlineStr">
        <is>
          <t>HDFC Securities</t>
        </is>
      </c>
      <c r="I364" s="86" t="inlineStr">
        <is>
          <t>HDFC 0094</t>
        </is>
      </c>
      <c r="J364" s="86" t="inlineStr">
        <is>
          <t>HSL</t>
        </is>
      </c>
      <c r="K364" s="86" t="inlineStr">
        <is>
          <t>NET PO FROM HSL A/C 523686-50200085415108</t>
        </is>
      </c>
      <c r="L364" s="86" t="inlineStr">
        <is>
          <t>HDFC Bank</t>
        </is>
      </c>
      <c r="M364" s="86" t="inlineStr"/>
    </row>
    <row r="365">
      <c r="A365" s="83" t="n">
        <v>45512</v>
      </c>
      <c r="B365" s="83" t="n">
        <v>45512</v>
      </c>
      <c r="C365" s="84" t="n">
        <v>304.04</v>
      </c>
      <c r="D365" s="84" t="n">
        <v>0</v>
      </c>
      <c r="E365" s="84" t="inlineStr"/>
      <c r="F365" s="84" t="inlineStr">
        <is>
          <t>HDFC Securities - Buy</t>
        </is>
      </c>
      <c r="G365" s="32" t="n">
        <v>0.97</v>
      </c>
      <c r="H365" s="84" t="inlineStr">
        <is>
          <t>HDFC Securities</t>
        </is>
      </c>
      <c r="I365" s="84" t="inlineStr">
        <is>
          <t>HDFC 0094</t>
        </is>
      </c>
      <c r="J365" s="84" t="inlineStr">
        <is>
          <t>HSL</t>
        </is>
      </c>
      <c r="K365" s="84" t="inlineStr">
        <is>
          <t>NET PI TO HSL SEC A/C 523686-00602340029434</t>
        </is>
      </c>
      <c r="L365" s="84" t="inlineStr">
        <is>
          <t>HDFC Bank</t>
        </is>
      </c>
      <c r="M365" s="84" t="inlineStr"/>
    </row>
    <row r="366">
      <c r="A366" s="83" t="n">
        <v>45512</v>
      </c>
      <c r="B366" s="83" t="n">
        <v>45512</v>
      </c>
      <c r="C366" s="84" t="n">
        <v>7344.01</v>
      </c>
      <c r="D366" s="84" t="n">
        <v>0</v>
      </c>
      <c r="E366" s="84" t="inlineStr"/>
      <c r="F366" s="84" t="inlineStr">
        <is>
          <t>HDFC Securities - Buy</t>
        </is>
      </c>
      <c r="G366" s="32" t="n">
        <v>0.97</v>
      </c>
      <c r="H366" s="84" t="inlineStr">
        <is>
          <t>HDFC Securities</t>
        </is>
      </c>
      <c r="I366" s="84" t="inlineStr">
        <is>
          <t>HDFC 0094</t>
        </is>
      </c>
      <c r="J366" s="84" t="inlineStr">
        <is>
          <t>HSL</t>
        </is>
      </c>
      <c r="K366" s="84" t="inlineStr">
        <is>
          <t>NET PI TO HSL SEC A/C 523686-00602340029434</t>
        </is>
      </c>
      <c r="L366" s="84" t="inlineStr">
        <is>
          <t>HDFC Bank</t>
        </is>
      </c>
      <c r="M366" s="84" t="inlineStr"/>
    </row>
    <row r="367">
      <c r="A367" s="116" t="n">
        <v>45513</v>
      </c>
      <c r="B367" s="116" t="n">
        <v>45513</v>
      </c>
      <c r="C367" s="117" t="n">
        <v>0</v>
      </c>
      <c r="D367" s="117" t="n">
        <v>29757</v>
      </c>
      <c r="E367" s="117" t="inlineStr"/>
      <c r="F367" s="117" t="inlineStr">
        <is>
          <t>Received - Sunita Gupta</t>
        </is>
      </c>
      <c r="G367" s="32" t="n">
        <v>0.88</v>
      </c>
      <c r="H367" s="117" t="inlineStr">
        <is>
          <t>Sunita Gupta</t>
        </is>
      </c>
      <c r="I367" s="117" t="inlineStr">
        <is>
          <t>HDFC 0094</t>
        </is>
      </c>
      <c r="J367" s="117" t="inlineStr">
        <is>
          <t>Rental Income</t>
        </is>
      </c>
      <c r="K367" s="117" t="inlineStr">
        <is>
          <t>NEFT CR-SBIN0004266-SBI GENERAL INSURANCE CO LTDSBI GEN-SUNITA GUPTA 0000000002717756-SBIN124222221223</t>
        </is>
      </c>
      <c r="L367" s="117" t="inlineStr">
        <is>
          <t>HDFC Bank</t>
        </is>
      </c>
      <c r="M367" s="117" t="inlineStr"/>
    </row>
    <row r="368">
      <c r="A368" s="116" t="n">
        <v>45513</v>
      </c>
      <c r="B368" s="116" t="n">
        <v>45513</v>
      </c>
      <c r="C368" s="117" t="n">
        <v>0</v>
      </c>
      <c r="D368" s="117" t="n">
        <v>21546</v>
      </c>
      <c r="E368" s="117" t="inlineStr"/>
      <c r="F368" s="117" t="inlineStr">
        <is>
          <t>Received - Sunita Gupta</t>
        </is>
      </c>
      <c r="G368" s="32" t="n">
        <v>0.88</v>
      </c>
      <c r="H368" s="117" t="inlineStr">
        <is>
          <t>Sunita Gupta</t>
        </is>
      </c>
      <c r="I368" s="117" t="inlineStr">
        <is>
          <t>HDFC 0094</t>
        </is>
      </c>
      <c r="J368" s="117" t="inlineStr">
        <is>
          <t>Rental Income</t>
        </is>
      </c>
      <c r="K368" s="117" t="inlineStr">
        <is>
          <t>NEFT CR-SBIN0004266-SBI GENERAL INSURANCE CO LTDSBI GEN-SUNITA GUPTA 0000000002717756-SBIN524222218819</t>
        </is>
      </c>
      <c r="L368" s="117" t="inlineStr">
        <is>
          <t>HDFC Bank</t>
        </is>
      </c>
      <c r="M368" s="117" t="inlineStr"/>
    </row>
    <row r="369">
      <c r="A369" s="83" t="n">
        <v>45513</v>
      </c>
      <c r="B369" s="83" t="n">
        <v>45513</v>
      </c>
      <c r="C369" s="84" t="n">
        <v>305.46</v>
      </c>
      <c r="D369" s="84" t="n">
        <v>0</v>
      </c>
      <c r="E369" s="84" t="inlineStr"/>
      <c r="F369" s="84" t="inlineStr">
        <is>
          <t>HDFC Securities - Buy</t>
        </is>
      </c>
      <c r="G369" s="32" t="n">
        <v>0.97</v>
      </c>
      <c r="H369" s="84" t="inlineStr">
        <is>
          <t>HDFC Securities</t>
        </is>
      </c>
      <c r="I369" s="84" t="inlineStr">
        <is>
          <t>HDFC 0094</t>
        </is>
      </c>
      <c r="J369" s="84" t="inlineStr">
        <is>
          <t>HSL</t>
        </is>
      </c>
      <c r="K369" s="84" t="inlineStr">
        <is>
          <t>NET PI TO HSL SEC A/C 523686-00602340029434</t>
        </is>
      </c>
      <c r="L369" s="84" t="inlineStr">
        <is>
          <t>HDFC Bank</t>
        </is>
      </c>
      <c r="M369" s="84" t="inlineStr"/>
    </row>
    <row r="370">
      <c r="A370" s="48" t="n">
        <v>45516</v>
      </c>
      <c r="B370" s="48" t="n">
        <v>45516</v>
      </c>
      <c r="C370" s="49" t="n">
        <v>400</v>
      </c>
      <c r="D370" s="49" t="n">
        <v>0</v>
      </c>
      <c r="E370" s="49" t="inlineStr">
        <is>
          <t>Bharti Ratan Devnani</t>
        </is>
      </c>
      <c r="F370" s="49" t="inlineStr">
        <is>
          <t>UPI Payment</t>
        </is>
      </c>
      <c r="G370" s="50" t="n">
        <v>0.55</v>
      </c>
      <c r="H370" s="49" t="inlineStr">
        <is>
          <t>Personal</t>
        </is>
      </c>
      <c r="I370" s="49" t="inlineStr">
        <is>
          <t>AXIS 7042</t>
        </is>
      </c>
      <c r="J370" s="49" t="inlineStr">
        <is>
          <t>UPI</t>
        </is>
      </c>
      <c r="K370" s="49" t="inlineStr">
        <is>
          <t>UPI/P2A/422527945475/BHARTI RATAN DEVNANI /tiffin/Union Bank of India</t>
        </is>
      </c>
      <c r="L370" s="49" t="inlineStr">
        <is>
          <t>Axis Bank</t>
        </is>
      </c>
      <c r="M370" s="49" t="inlineStr"/>
    </row>
    <row r="371">
      <c r="A371" s="83" t="n">
        <v>45516</v>
      </c>
      <c r="B371" s="83" t="n">
        <v>45516</v>
      </c>
      <c r="C371" s="84" t="n">
        <v>10959.09</v>
      </c>
      <c r="D371" s="84" t="n">
        <v>0</v>
      </c>
      <c r="E371" s="84" t="inlineStr"/>
      <c r="F371" s="84" t="inlineStr">
        <is>
          <t>HDFC Securities - Buy</t>
        </is>
      </c>
      <c r="G371" s="32" t="n">
        <v>0.97</v>
      </c>
      <c r="H371" s="84" t="inlineStr">
        <is>
          <t>HDFC Securities</t>
        </is>
      </c>
      <c r="I371" s="84" t="inlineStr">
        <is>
          <t>HDFC 0094</t>
        </is>
      </c>
      <c r="J371" s="84" t="inlineStr">
        <is>
          <t>HSL</t>
        </is>
      </c>
      <c r="K371" s="84" t="inlineStr">
        <is>
          <t>NET PI TO HSL SEC A/C 523686-00602340029434</t>
        </is>
      </c>
      <c r="L371" s="84" t="inlineStr">
        <is>
          <t>HDFC Bank</t>
        </is>
      </c>
      <c r="M371" s="84" t="inlineStr"/>
    </row>
    <row r="372">
      <c r="A372" s="83" t="n">
        <v>45516</v>
      </c>
      <c r="B372" s="83" t="n">
        <v>45516</v>
      </c>
      <c r="C372" s="84" t="n">
        <v>15357.07</v>
      </c>
      <c r="D372" s="84" t="n">
        <v>0</v>
      </c>
      <c r="E372" s="84" t="inlineStr"/>
      <c r="F372" s="84" t="inlineStr">
        <is>
          <t>HDFC Securities - Buy</t>
        </is>
      </c>
      <c r="G372" s="32" t="n">
        <v>0.97</v>
      </c>
      <c r="H372" s="84" t="inlineStr">
        <is>
          <t>HDFC Securities</t>
        </is>
      </c>
      <c r="I372" s="84" t="inlineStr">
        <is>
          <t>HDFC 0094</t>
        </is>
      </c>
      <c r="J372" s="84" t="inlineStr">
        <is>
          <t>HSL</t>
        </is>
      </c>
      <c r="K372" s="84" t="inlineStr">
        <is>
          <t>NET PI TO HSL SEC A/C 523686-00602340029434</t>
        </is>
      </c>
      <c r="L372" s="84" t="inlineStr">
        <is>
          <t>HDFC Bank</t>
        </is>
      </c>
      <c r="M372" s="84" t="inlineStr"/>
    </row>
    <row r="373">
      <c r="A373" s="83" t="n">
        <v>45516</v>
      </c>
      <c r="B373" s="83" t="n">
        <v>45516</v>
      </c>
      <c r="C373" s="84" t="n">
        <v>916.38</v>
      </c>
      <c r="D373" s="84" t="n">
        <v>0</v>
      </c>
      <c r="E373" s="84" t="inlineStr"/>
      <c r="F373" s="84" t="inlineStr">
        <is>
          <t>HDFC Securities - Buy</t>
        </is>
      </c>
      <c r="G373" s="32" t="n">
        <v>0.97</v>
      </c>
      <c r="H373" s="84" t="inlineStr">
        <is>
          <t>HDFC Securities</t>
        </is>
      </c>
      <c r="I373" s="84" t="inlineStr">
        <is>
          <t>HDFC 0094</t>
        </is>
      </c>
      <c r="J373" s="84" t="inlineStr">
        <is>
          <t>HSL</t>
        </is>
      </c>
      <c r="K373" s="84" t="inlineStr">
        <is>
          <t>NET PI TO HSL SEC A/C 523686-00602340029434</t>
        </is>
      </c>
      <c r="L373" s="84" t="inlineStr">
        <is>
          <t>HDFC Bank</t>
        </is>
      </c>
      <c r="M373" s="84" t="inlineStr"/>
    </row>
    <row r="374">
      <c r="A374" s="42" t="n">
        <v>45516</v>
      </c>
      <c r="B374" s="42" t="n">
        <v>45516</v>
      </c>
      <c r="C374" s="43" t="n">
        <v>0</v>
      </c>
      <c r="D374" s="43" t="n">
        <v>206.25</v>
      </c>
      <c r="E374" s="43" t="inlineStr"/>
      <c r="F374" s="43" t="inlineStr">
        <is>
          <t>Dividend Income</t>
        </is>
      </c>
      <c r="G374" s="32" t="n">
        <v>0.88</v>
      </c>
      <c r="H374" s="43" t="inlineStr">
        <is>
          <t>Dividend Income</t>
        </is>
      </c>
      <c r="I374" s="43" t="inlineStr">
        <is>
          <t>HDFC 0094</t>
        </is>
      </c>
      <c r="J374" s="43" t="inlineStr">
        <is>
          <t>Dividend Income</t>
        </is>
      </c>
      <c r="K374" s="43" t="inlineStr">
        <is>
          <t>ACH C- DABUR INDIA LIMITED-8600449</t>
        </is>
      </c>
      <c r="L374" s="43" t="inlineStr">
        <is>
          <t>HDFC Bank</t>
        </is>
      </c>
      <c r="M374" s="43" t="inlineStr"/>
    </row>
    <row r="375">
      <c r="A375" s="89" t="n">
        <v>45516</v>
      </c>
      <c r="B375" s="89" t="n">
        <v>45516</v>
      </c>
      <c r="C375" s="90" t="n">
        <v>1085.6</v>
      </c>
      <c r="D375" s="90" t="n">
        <v>0</v>
      </c>
      <c r="E375" s="90" t="inlineStr"/>
      <c r="F375" s="90" t="inlineStr">
        <is>
          <t>Depository Charges</t>
        </is>
      </c>
      <c r="G375" s="32" t="n">
        <v>0.93</v>
      </c>
      <c r="H375" s="90" t="inlineStr">
        <is>
          <t>Depository Charges</t>
        </is>
      </c>
      <c r="I375" s="90" t="inlineStr">
        <is>
          <t>HDFC 0094</t>
        </is>
      </c>
      <c r="J375" s="90" t="inlineStr">
        <is>
          <t>Depository Charges</t>
        </is>
      </c>
      <c r="K375" s="90" t="inlineStr">
        <is>
          <t>DEPOSITORY CHARGES JUL24 - 41060499</t>
        </is>
      </c>
      <c r="L375" s="90" t="inlineStr">
        <is>
          <t>HDFC Bank</t>
        </is>
      </c>
      <c r="M375" s="90" t="inlineStr"/>
    </row>
    <row r="376">
      <c r="A376" s="85" t="n">
        <v>45516</v>
      </c>
      <c r="B376" s="85" t="n">
        <v>45516</v>
      </c>
      <c r="C376" s="86" t="n">
        <v>0</v>
      </c>
      <c r="D376" s="86" t="n">
        <v>2383.87</v>
      </c>
      <c r="E376" s="86" t="inlineStr"/>
      <c r="F376" s="86" t="inlineStr">
        <is>
          <t>HDFC Securities - Sell</t>
        </is>
      </c>
      <c r="G376" s="32" t="n">
        <v>0.97</v>
      </c>
      <c r="H376" s="86" t="inlineStr">
        <is>
          <t>HDFC Securities</t>
        </is>
      </c>
      <c r="I376" s="86" t="inlineStr">
        <is>
          <t>HDFC 0094</t>
        </is>
      </c>
      <c r="J376" s="86" t="inlineStr">
        <is>
          <t>HSL</t>
        </is>
      </c>
      <c r="K376" s="86" t="inlineStr">
        <is>
          <t>NET PO FROM HSL A/C 523686-50200085415108</t>
        </is>
      </c>
      <c r="L376" s="86" t="inlineStr">
        <is>
          <t>HDFC Bank</t>
        </is>
      </c>
      <c r="M376" s="86" t="inlineStr"/>
    </row>
    <row r="377">
      <c r="A377" s="83" t="n">
        <v>45517</v>
      </c>
      <c r="B377" s="83" t="n">
        <v>45517</v>
      </c>
      <c r="C377" s="84" t="n">
        <v>302.4</v>
      </c>
      <c r="D377" s="84" t="n">
        <v>0</v>
      </c>
      <c r="E377" s="84" t="inlineStr"/>
      <c r="F377" s="84" t="inlineStr">
        <is>
          <t>HDFC Securities - Buy</t>
        </is>
      </c>
      <c r="G377" s="32" t="n">
        <v>0.97</v>
      </c>
      <c r="H377" s="84" t="inlineStr">
        <is>
          <t>HDFC Securities</t>
        </is>
      </c>
      <c r="I377" s="84" t="inlineStr">
        <is>
          <t>HDFC 0094</t>
        </is>
      </c>
      <c r="J377" s="84" t="inlineStr">
        <is>
          <t>HSL</t>
        </is>
      </c>
      <c r="K377" s="84" t="inlineStr">
        <is>
          <t>NET PI TO HSL SEC A/C 523686-00602340029434</t>
        </is>
      </c>
      <c r="L377" s="84" t="inlineStr">
        <is>
          <t>HDFC Bank</t>
        </is>
      </c>
      <c r="M377" s="84" t="inlineStr"/>
    </row>
    <row r="378">
      <c r="A378" s="83" t="n">
        <v>45517</v>
      </c>
      <c r="B378" s="83" t="n">
        <v>45517</v>
      </c>
      <c r="C378" s="84" t="n">
        <v>15948.05</v>
      </c>
      <c r="D378" s="84" t="n">
        <v>0</v>
      </c>
      <c r="E378" s="84" t="inlineStr"/>
      <c r="F378" s="84" t="inlineStr">
        <is>
          <t>HDFC Securities - Buy</t>
        </is>
      </c>
      <c r="G378" s="32" t="n">
        <v>0.97</v>
      </c>
      <c r="H378" s="84" t="inlineStr">
        <is>
          <t>HDFC Securities</t>
        </is>
      </c>
      <c r="I378" s="84" t="inlineStr">
        <is>
          <t>HDFC 0094</t>
        </is>
      </c>
      <c r="J378" s="84" t="inlineStr">
        <is>
          <t>HSL</t>
        </is>
      </c>
      <c r="K378" s="84" t="inlineStr">
        <is>
          <t>NET PI TO HSL SEC A/C 523686-00602340029434</t>
        </is>
      </c>
      <c r="L378" s="84" t="inlineStr">
        <is>
          <t>HDFC Bank</t>
        </is>
      </c>
      <c r="M378" s="84" t="inlineStr"/>
    </row>
    <row r="379">
      <c r="A379" s="83" t="n">
        <v>45518</v>
      </c>
      <c r="B379" s="83" t="n">
        <v>45518</v>
      </c>
      <c r="C379" s="84" t="n">
        <v>7437.78</v>
      </c>
      <c r="D379" s="84" t="n">
        <v>0</v>
      </c>
      <c r="E379" s="84" t="inlineStr"/>
      <c r="F379" s="84" t="inlineStr">
        <is>
          <t>HDFC Securities - Buy</t>
        </is>
      </c>
      <c r="G379" s="32" t="n">
        <v>0.97</v>
      </c>
      <c r="H379" s="84" t="inlineStr">
        <is>
          <t>HDFC Securities</t>
        </is>
      </c>
      <c r="I379" s="84" t="inlineStr">
        <is>
          <t>HDFC 0094</t>
        </is>
      </c>
      <c r="J379" s="84" t="inlineStr">
        <is>
          <t>HSL</t>
        </is>
      </c>
      <c r="K379" s="84" t="inlineStr">
        <is>
          <t>NET PI TO HSL SEC A/C 523686-00602340029434</t>
        </is>
      </c>
      <c r="L379" s="84" t="inlineStr">
        <is>
          <t>HDFC Bank</t>
        </is>
      </c>
      <c r="M379" s="84" t="inlineStr"/>
    </row>
    <row r="380">
      <c r="A380" s="83" t="n">
        <v>45518</v>
      </c>
      <c r="B380" s="83" t="n">
        <v>45518</v>
      </c>
      <c r="C380" s="84" t="n">
        <v>296.72</v>
      </c>
      <c r="D380" s="84" t="n">
        <v>0</v>
      </c>
      <c r="E380" s="84" t="inlineStr"/>
      <c r="F380" s="84" t="inlineStr">
        <is>
          <t>HDFC Securities - Buy</t>
        </is>
      </c>
      <c r="G380" s="32" t="n">
        <v>0.97</v>
      </c>
      <c r="H380" s="84" t="inlineStr">
        <is>
          <t>HDFC Securities</t>
        </is>
      </c>
      <c r="I380" s="84" t="inlineStr">
        <is>
          <t>HDFC 0094</t>
        </is>
      </c>
      <c r="J380" s="84" t="inlineStr">
        <is>
          <t>HSL</t>
        </is>
      </c>
      <c r="K380" s="84" t="inlineStr">
        <is>
          <t>NET PI TO HSL SEC A/C 523686-00602340029434</t>
        </is>
      </c>
      <c r="L380" s="84" t="inlineStr">
        <is>
          <t>HDFC Bank</t>
        </is>
      </c>
      <c r="M380" s="84" t="inlineStr"/>
    </row>
    <row r="381">
      <c r="A381" s="83" t="n">
        <v>45518</v>
      </c>
      <c r="B381" s="83" t="n">
        <v>45518</v>
      </c>
      <c r="C381" s="84" t="n">
        <v>11570.08</v>
      </c>
      <c r="D381" s="84" t="n">
        <v>0</v>
      </c>
      <c r="E381" s="84" t="inlineStr"/>
      <c r="F381" s="84" t="inlineStr">
        <is>
          <t>HDFC Securities - Buy</t>
        </is>
      </c>
      <c r="G381" s="32" t="n">
        <v>0.97</v>
      </c>
      <c r="H381" s="84" t="inlineStr">
        <is>
          <t>HDFC Securities</t>
        </is>
      </c>
      <c r="I381" s="84" t="inlineStr">
        <is>
          <t>HDFC 0094</t>
        </is>
      </c>
      <c r="J381" s="84" t="inlineStr">
        <is>
          <t>HSL</t>
        </is>
      </c>
      <c r="K381" s="84" t="inlineStr">
        <is>
          <t>NET PI TO HSL SEC A/C 523686-00602340029434</t>
        </is>
      </c>
      <c r="L381" s="84" t="inlineStr">
        <is>
          <t>HDFC Bank</t>
        </is>
      </c>
      <c r="M381" s="84" t="inlineStr"/>
    </row>
    <row r="382">
      <c r="A382" s="38" t="n">
        <v>45518</v>
      </c>
      <c r="B382" s="38" t="n">
        <v>45518</v>
      </c>
      <c r="C382" s="39" t="n">
        <v>600</v>
      </c>
      <c r="D382" s="39" t="n">
        <v>0</v>
      </c>
      <c r="E382" s="39" t="inlineStr"/>
      <c r="F382" s="39" t="inlineStr">
        <is>
          <t>Bank Charges</t>
        </is>
      </c>
      <c r="G382" s="32" t="n">
        <v>0.88</v>
      </c>
      <c r="H382" s="39" t="inlineStr">
        <is>
          <t>Bank Charges</t>
        </is>
      </c>
      <c r="I382" s="39" t="inlineStr">
        <is>
          <t>AXIS 7042</t>
        </is>
      </c>
      <c r="J382" s="39" t="inlineStr">
        <is>
          <t>Bank Charges</t>
        </is>
      </c>
      <c r="K382" s="39" t="inlineStr">
        <is>
          <t>Non-Maint Avg bal chgs Jun2024</t>
        </is>
      </c>
      <c r="L382" s="39" t="inlineStr">
        <is>
          <t>Axis Bank</t>
        </is>
      </c>
      <c r="M382" s="39" t="inlineStr"/>
    </row>
    <row r="383">
      <c r="A383" s="38" t="n">
        <v>45518</v>
      </c>
      <c r="B383" s="38" t="n">
        <v>45518</v>
      </c>
      <c r="C383" s="39" t="n">
        <v>108</v>
      </c>
      <c r="D383" s="39" t="n">
        <v>0</v>
      </c>
      <c r="E383" s="39" t="inlineStr"/>
      <c r="F383" s="39" t="inlineStr">
        <is>
          <t>Bank Charges</t>
        </is>
      </c>
      <c r="G383" s="32" t="n">
        <v>0.88</v>
      </c>
      <c r="H383" s="39" t="inlineStr">
        <is>
          <t>Bank Charges</t>
        </is>
      </c>
      <c r="I383" s="39" t="inlineStr">
        <is>
          <t>AXIS 7042</t>
        </is>
      </c>
      <c r="J383" s="39" t="inlineStr">
        <is>
          <t>Bank Charges</t>
        </is>
      </c>
      <c r="K383" s="39" t="inlineStr">
        <is>
          <t>GST @18% on MAB Charge</t>
        </is>
      </c>
      <c r="L383" s="39" t="inlineStr">
        <is>
          <t>Axis Bank</t>
        </is>
      </c>
      <c r="M383" s="39" t="inlineStr"/>
    </row>
    <row r="384">
      <c r="A384" s="64" t="n">
        <v>45520</v>
      </c>
      <c r="B384" s="64" t="n">
        <v>45520</v>
      </c>
      <c r="C384" s="65" t="n">
        <v>5000</v>
      </c>
      <c r="D384" s="65" t="n">
        <v>0</v>
      </c>
      <c r="E384" s="65" t="inlineStr"/>
      <c r="F384" s="65" t="inlineStr">
        <is>
          <t>MF Investment</t>
        </is>
      </c>
      <c r="G384" s="32" t="n">
        <v>0.92</v>
      </c>
      <c r="H384" s="65" t="inlineStr">
        <is>
          <t>Mutual_Fund_Investments</t>
        </is>
      </c>
      <c r="I384" s="65" t="inlineStr">
        <is>
          <t>HDFC 0094</t>
        </is>
      </c>
      <c r="J384" s="65" t="inlineStr">
        <is>
          <t>SIP  - 5000</t>
        </is>
      </c>
      <c r="K384" s="65" t="inlineStr">
        <is>
          <t>ACH D- INDIAN CLEARING CORP-P25847643X05</t>
        </is>
      </c>
      <c r="L384" s="65" t="inlineStr">
        <is>
          <t>HDFC Bank</t>
        </is>
      </c>
      <c r="M384" s="65" t="inlineStr"/>
    </row>
    <row r="385">
      <c r="A385" s="83" t="n">
        <v>45520</v>
      </c>
      <c r="B385" s="83" t="n">
        <v>45520</v>
      </c>
      <c r="C385" s="84" t="n">
        <v>594.5599999999999</v>
      </c>
      <c r="D385" s="84" t="n">
        <v>0</v>
      </c>
      <c r="E385" s="84" t="inlineStr"/>
      <c r="F385" s="84" t="inlineStr">
        <is>
          <t>HDFC Securities - Buy</t>
        </is>
      </c>
      <c r="G385" s="32" t="n">
        <v>0.97</v>
      </c>
      <c r="H385" s="84" t="inlineStr">
        <is>
          <t>HDFC Securities</t>
        </is>
      </c>
      <c r="I385" s="84" t="inlineStr">
        <is>
          <t>HDFC 0094</t>
        </is>
      </c>
      <c r="J385" s="84" t="inlineStr">
        <is>
          <t>HSL</t>
        </is>
      </c>
      <c r="K385" s="84" t="inlineStr">
        <is>
          <t>NET PI TO HSL SEC A/C 523686-00602340029434</t>
        </is>
      </c>
      <c r="L385" s="84" t="inlineStr">
        <is>
          <t>HDFC Bank</t>
        </is>
      </c>
      <c r="M385" s="84" t="inlineStr"/>
    </row>
    <row r="386">
      <c r="A386" s="42" t="n">
        <v>45520</v>
      </c>
      <c r="B386" s="42" t="n">
        <v>45520</v>
      </c>
      <c r="C386" s="43" t="n">
        <v>0</v>
      </c>
      <c r="D386" s="43" t="n">
        <v>627</v>
      </c>
      <c r="E386" s="43" t="inlineStr"/>
      <c r="F386" s="43" t="inlineStr">
        <is>
          <t>Dividend Income</t>
        </is>
      </c>
      <c r="G386" s="32" t="n">
        <v>0.88</v>
      </c>
      <c r="H386" s="43" t="inlineStr">
        <is>
          <t>Dividend Income</t>
        </is>
      </c>
      <c r="I386" s="43" t="inlineStr">
        <is>
          <t>HDFC 0094</t>
        </is>
      </c>
      <c r="J386" s="43" t="inlineStr">
        <is>
          <t>Dividend Income</t>
        </is>
      </c>
      <c r="K386" s="43" t="inlineStr">
        <is>
          <t>ACH C- COFORGE LTD-100452</t>
        </is>
      </c>
      <c r="L386" s="43" t="inlineStr">
        <is>
          <t>HDFC Bank</t>
        </is>
      </c>
      <c r="M386" s="43" t="inlineStr"/>
    </row>
    <row r="387">
      <c r="A387" s="48" t="n">
        <v>45520</v>
      </c>
      <c r="B387" s="48" t="n">
        <v>45520</v>
      </c>
      <c r="C387" s="49" t="n">
        <v>1300</v>
      </c>
      <c r="D387" s="49" t="n">
        <v>0</v>
      </c>
      <c r="E387" s="49" t="inlineStr">
        <is>
          <t>Kriti  Gupta</t>
        </is>
      </c>
      <c r="F387" s="49" t="inlineStr">
        <is>
          <t>UPI Payment</t>
        </is>
      </c>
      <c r="G387" s="50" t="n">
        <v>0.55</v>
      </c>
      <c r="H387" s="49" t="inlineStr">
        <is>
          <t>Personal</t>
        </is>
      </c>
      <c r="I387" s="49" t="inlineStr">
        <is>
          <t>AXIS 7042</t>
        </is>
      </c>
      <c r="J387" s="49" t="inlineStr">
        <is>
          <t>UPI</t>
        </is>
      </c>
      <c r="K387" s="49" t="inlineStr">
        <is>
          <t>UPI/P2A/459516048244/Kriti  Gupta         /rakhi/State Bank Of India</t>
        </is>
      </c>
      <c r="L387" s="49" t="inlineStr">
        <is>
          <t>Axis Bank</t>
        </is>
      </c>
      <c r="M387" s="49" t="inlineStr"/>
    </row>
    <row r="388">
      <c r="A388" s="42" t="n">
        <v>45520</v>
      </c>
      <c r="B388" s="42" t="n">
        <v>45520</v>
      </c>
      <c r="C388" s="43" t="n">
        <v>0</v>
      </c>
      <c r="D388" s="43" t="n">
        <v>330</v>
      </c>
      <c r="E388" s="43" t="inlineStr"/>
      <c r="F388" s="43" t="inlineStr">
        <is>
          <t>Dividend Income</t>
        </is>
      </c>
      <c r="G388" s="32" t="n">
        <v>0.88</v>
      </c>
      <c r="H388" s="43" t="inlineStr">
        <is>
          <t>Dividend Income</t>
        </is>
      </c>
      <c r="I388" s="43" t="inlineStr">
        <is>
          <t>HDFC 0094</t>
        </is>
      </c>
      <c r="J388" s="43" t="inlineStr">
        <is>
          <t>Dividend Income</t>
        </is>
      </c>
      <c r="K388" s="43" t="inlineStr">
        <is>
          <t>ACH C- DIVISLABORATORIES-000000000000033</t>
        </is>
      </c>
      <c r="L388" s="43" t="inlineStr">
        <is>
          <t>HDFC Bank</t>
        </is>
      </c>
      <c r="M388" s="43" t="inlineStr"/>
    </row>
    <row r="389">
      <c r="A389" s="85" t="n">
        <v>45520</v>
      </c>
      <c r="B389" s="85" t="n">
        <v>45520</v>
      </c>
      <c r="C389" s="86" t="n">
        <v>0</v>
      </c>
      <c r="D389" s="86" t="n">
        <v>237.12</v>
      </c>
      <c r="E389" s="86" t="inlineStr"/>
      <c r="F389" s="86" t="inlineStr">
        <is>
          <t>HDFC Securities - Sell</t>
        </is>
      </c>
      <c r="G389" s="32" t="n">
        <v>0.97</v>
      </c>
      <c r="H389" s="86" t="inlineStr">
        <is>
          <t>HDFC Securities</t>
        </is>
      </c>
      <c r="I389" s="86" t="inlineStr">
        <is>
          <t>HDFC 0094</t>
        </is>
      </c>
      <c r="J389" s="86" t="inlineStr">
        <is>
          <t>HSL</t>
        </is>
      </c>
      <c r="K389" s="86" t="inlineStr">
        <is>
          <t>NET PO FROM HSL A/C 523686-50200085415108</t>
        </is>
      </c>
      <c r="L389" s="86" t="inlineStr">
        <is>
          <t>HDFC Bank</t>
        </is>
      </c>
      <c r="M389" s="86" t="inlineStr"/>
    </row>
    <row r="390">
      <c r="A390" s="42" t="n">
        <v>45520</v>
      </c>
      <c r="B390" s="42" t="n">
        <v>45520</v>
      </c>
      <c r="C390" s="43" t="n">
        <v>0</v>
      </c>
      <c r="D390" s="43" t="n">
        <v>1190</v>
      </c>
      <c r="E390" s="43" t="inlineStr"/>
      <c r="F390" s="43" t="inlineStr">
        <is>
          <t>Dividend Income</t>
        </is>
      </c>
      <c r="G390" s="32" t="n">
        <v>0.88</v>
      </c>
      <c r="H390" s="43" t="inlineStr">
        <is>
          <t>Dividend Income</t>
        </is>
      </c>
      <c r="I390" s="43" t="inlineStr">
        <is>
          <t>HDFC 0094</t>
        </is>
      </c>
      <c r="J390" s="43" t="inlineStr">
        <is>
          <t>Dividend Income</t>
        </is>
      </c>
      <c r="K390" s="43" t="inlineStr">
        <is>
          <t>ACH C- ULTRATECHCEMENTLTD-00000000000004</t>
        </is>
      </c>
      <c r="L390" s="43" t="inlineStr">
        <is>
          <t>HDFC Bank</t>
        </is>
      </c>
      <c r="M390" s="43" t="inlineStr"/>
    </row>
    <row r="391">
      <c r="A391" s="38" t="n">
        <v>45521</v>
      </c>
      <c r="B391" s="38" t="n">
        <v>45521</v>
      </c>
      <c r="C391" s="39" t="n">
        <v>295</v>
      </c>
      <c r="D391" s="39" t="n">
        <v>0</v>
      </c>
      <c r="E391" s="39" t="inlineStr"/>
      <c r="F391" s="39" t="inlineStr">
        <is>
          <t>Bank Charges</t>
        </is>
      </c>
      <c r="G391" s="32" t="n">
        <v>0.9</v>
      </c>
      <c r="H391" s="39" t="inlineStr">
        <is>
          <t>Bank Charges</t>
        </is>
      </c>
      <c r="I391" s="39" t="inlineStr">
        <is>
          <t>HDFC 0094</t>
        </is>
      </c>
      <c r="J391" s="39" t="inlineStr">
        <is>
          <t>Bank Charges</t>
        </is>
      </c>
      <c r="K391" s="39" t="inlineStr">
        <is>
          <t>ISAQMC-APR-JUN24-323600 230724-MIR2522961261616</t>
        </is>
      </c>
      <c r="L391" s="39" t="inlineStr">
        <is>
          <t>HDFC Bank</t>
        </is>
      </c>
      <c r="M391" s="39" t="inlineStr"/>
    </row>
    <row r="392">
      <c r="A392" s="64" t="n">
        <v>45523</v>
      </c>
      <c r="B392" s="64" t="n">
        <v>45523</v>
      </c>
      <c r="C392" s="65" t="n">
        <v>17805</v>
      </c>
      <c r="D392" s="65" t="n">
        <v>0</v>
      </c>
      <c r="E392" s="65" t="inlineStr"/>
      <c r="F392" s="65" t="inlineStr">
        <is>
          <t>SIP</t>
        </is>
      </c>
      <c r="G392" s="32" t="n">
        <v>0.9</v>
      </c>
      <c r="H392" s="65" t="inlineStr">
        <is>
          <t>SIP</t>
        </is>
      </c>
      <c r="I392" s="65" t="inlineStr">
        <is>
          <t>HDFC 0094</t>
        </is>
      </c>
      <c r="J392" s="65" t="inlineStr">
        <is>
          <t>Electricity Bill</t>
        </is>
      </c>
      <c r="K392" s="65" t="inlineStr">
        <is>
          <t>YHDF2417946248/BILLDKTHECALCUTTAELE</t>
        </is>
      </c>
      <c r="L392" s="65" t="inlineStr">
        <is>
          <t>HDFC Bank</t>
        </is>
      </c>
      <c r="M392" s="65" t="inlineStr"/>
    </row>
    <row r="393">
      <c r="A393" s="85" t="n">
        <v>45523</v>
      </c>
      <c r="B393" s="85" t="n">
        <v>45523</v>
      </c>
      <c r="C393" s="86" t="n">
        <v>0</v>
      </c>
      <c r="D393" s="86" t="n">
        <v>13649.2</v>
      </c>
      <c r="E393" s="86" t="inlineStr"/>
      <c r="F393" s="86" t="inlineStr">
        <is>
          <t>HDFC Securities - Sell</t>
        </is>
      </c>
      <c r="G393" s="32" t="n">
        <v>0.97</v>
      </c>
      <c r="H393" s="86" t="inlineStr">
        <is>
          <t>HDFC Securities</t>
        </is>
      </c>
      <c r="I393" s="86" t="inlineStr">
        <is>
          <t>HDFC 0094</t>
        </is>
      </c>
      <c r="J393" s="86" t="inlineStr">
        <is>
          <t>HSL</t>
        </is>
      </c>
      <c r="K393" s="86" t="inlineStr">
        <is>
          <t>NET PO FROM HSL A/C 523686-50200085415108</t>
        </is>
      </c>
      <c r="L393" s="86" t="inlineStr">
        <is>
          <t>HDFC Bank</t>
        </is>
      </c>
      <c r="M393" s="86" t="inlineStr"/>
    </row>
    <row r="394">
      <c r="A394" s="83" t="n">
        <v>45523</v>
      </c>
      <c r="B394" s="83" t="n">
        <v>45523</v>
      </c>
      <c r="C394" s="84" t="n">
        <v>1362.77</v>
      </c>
      <c r="D394" s="84" t="n">
        <v>0</v>
      </c>
      <c r="E394" s="84" t="inlineStr"/>
      <c r="F394" s="84" t="inlineStr">
        <is>
          <t>HDFC Securities - Buy</t>
        </is>
      </c>
      <c r="G394" s="32" t="n">
        <v>0.97</v>
      </c>
      <c r="H394" s="84" t="inlineStr">
        <is>
          <t>HDFC Securities</t>
        </is>
      </c>
      <c r="I394" s="84" t="inlineStr">
        <is>
          <t>HDFC 0094</t>
        </is>
      </c>
      <c r="J394" s="84" t="inlineStr">
        <is>
          <t>HSL</t>
        </is>
      </c>
      <c r="K394" s="84" t="inlineStr">
        <is>
          <t>NET PI TO HSL SEC A/C 523686-00602340029434</t>
        </is>
      </c>
      <c r="L394" s="84" t="inlineStr">
        <is>
          <t>HDFC Bank</t>
        </is>
      </c>
      <c r="M394" s="84" t="inlineStr"/>
    </row>
    <row r="395">
      <c r="A395" s="48" t="n">
        <v>45523</v>
      </c>
      <c r="B395" s="48" t="n">
        <v>45523</v>
      </c>
      <c r="C395" s="49" t="n">
        <v>290</v>
      </c>
      <c r="D395" s="49" t="n">
        <v>0</v>
      </c>
      <c r="E395" s="49" t="inlineStr">
        <is>
          <t>Bharat Shivaji Salve</t>
        </is>
      </c>
      <c r="F395" s="49" t="inlineStr">
        <is>
          <t>UPI Payment</t>
        </is>
      </c>
      <c r="G395" s="50" t="n">
        <v>0.55</v>
      </c>
      <c r="H395" s="49" t="inlineStr">
        <is>
          <t>Personal</t>
        </is>
      </c>
      <c r="I395" s="49" t="inlineStr">
        <is>
          <t>HDFC 0094</t>
        </is>
      </c>
      <c r="J395" s="49" t="inlineStr">
        <is>
          <t>UPI</t>
        </is>
      </c>
      <c r="K395" s="49" t="inlineStr">
        <is>
          <t>UPI-BHARAT SHIVAJI SALVE-Q693795930@YBL-YESB0YBLUPI-459804001805-VEGITABLE</t>
        </is>
      </c>
      <c r="L395" s="49" t="inlineStr">
        <is>
          <t>HDFC Bank</t>
        </is>
      </c>
      <c r="M395" s="49" t="inlineStr"/>
    </row>
    <row r="396">
      <c r="A396" s="83" t="n">
        <v>45523</v>
      </c>
      <c r="B396" s="83" t="n">
        <v>45523</v>
      </c>
      <c r="C396" s="84" t="n">
        <v>891.84</v>
      </c>
      <c r="D396" s="84" t="n">
        <v>0</v>
      </c>
      <c r="E396" s="84" t="inlineStr"/>
      <c r="F396" s="84" t="inlineStr">
        <is>
          <t>HDFC Securities - Buy</t>
        </is>
      </c>
      <c r="G396" s="32" t="n">
        <v>0.97</v>
      </c>
      <c r="H396" s="84" t="inlineStr">
        <is>
          <t>HDFC Securities</t>
        </is>
      </c>
      <c r="I396" s="84" t="inlineStr">
        <is>
          <t>HDFC 0094</t>
        </is>
      </c>
      <c r="J396" s="84" t="inlineStr">
        <is>
          <t>HSL</t>
        </is>
      </c>
      <c r="K396" s="84" t="inlineStr">
        <is>
          <t>NET PI TO HSL SEC A/C 523686-00602340029434</t>
        </is>
      </c>
      <c r="L396" s="84" t="inlineStr">
        <is>
          <t>HDFC Bank</t>
        </is>
      </c>
      <c r="M396" s="84" t="inlineStr"/>
    </row>
    <row r="397">
      <c r="A397" s="85" t="n">
        <v>45524</v>
      </c>
      <c r="B397" s="85" t="n">
        <v>45524</v>
      </c>
      <c r="C397" s="86" t="n">
        <v>0</v>
      </c>
      <c r="D397" s="86" t="n">
        <v>87679.60000000001</v>
      </c>
      <c r="E397" s="86" t="inlineStr"/>
      <c r="F397" s="86" t="inlineStr">
        <is>
          <t>HDFC Securities - Sell</t>
        </is>
      </c>
      <c r="G397" s="32" t="n">
        <v>0.97</v>
      </c>
      <c r="H397" s="86" t="inlineStr">
        <is>
          <t>HDFC Securities</t>
        </is>
      </c>
      <c r="I397" s="86" t="inlineStr">
        <is>
          <t>HDFC 0094</t>
        </is>
      </c>
      <c r="J397" s="86" t="inlineStr">
        <is>
          <t>HSL</t>
        </is>
      </c>
      <c r="K397" s="86" t="inlineStr">
        <is>
          <t>NET PO FROM HSL A/C 523686-50200085415108</t>
        </is>
      </c>
      <c r="L397" s="86" t="inlineStr">
        <is>
          <t>HDFC Bank</t>
        </is>
      </c>
      <c r="M397" s="86" t="inlineStr"/>
    </row>
    <row r="398">
      <c r="A398" s="95" t="n">
        <v>45524</v>
      </c>
      <c r="B398" s="95" t="n">
        <v>45524</v>
      </c>
      <c r="C398" s="96" t="n">
        <v>18</v>
      </c>
      <c r="D398" s="96" t="n">
        <v>0</v>
      </c>
      <c r="E398" s="96" t="inlineStr"/>
      <c r="F398" s="96" t="inlineStr">
        <is>
          <t>UPI - Paytm</t>
        </is>
      </c>
      <c r="G398" s="53" t="n">
        <v>0.65</v>
      </c>
      <c r="H398" s="96" t="inlineStr">
        <is>
          <t>Personal</t>
        </is>
      </c>
      <c r="I398" s="96" t="inlineStr">
        <is>
          <t>HDFC 0094</t>
        </is>
      </c>
      <c r="J398" s="96" t="inlineStr">
        <is>
          <t>UPI</t>
        </is>
      </c>
      <c r="K398" s="96" t="inlineStr">
        <is>
          <t>UPI-OM SUPAR SHOPI-PAYTMQR1BM2V0ZITY@PAYTM-YESB0PTMUPI-423376646504-CHACH</t>
        </is>
      </c>
      <c r="L398" s="96" t="inlineStr">
        <is>
          <t>HDFC Bank</t>
        </is>
      </c>
      <c r="M398" s="96" t="inlineStr"/>
    </row>
    <row r="399">
      <c r="A399" s="51" t="n">
        <v>45524</v>
      </c>
      <c r="B399" s="51" t="n">
        <v>45524</v>
      </c>
      <c r="C399" s="52" t="n">
        <v>300</v>
      </c>
      <c r="D399" s="52" t="n">
        <v>0</v>
      </c>
      <c r="E399" s="52" t="inlineStr"/>
      <c r="F399" s="52" t="inlineStr">
        <is>
          <t>UPI - Fresh Produce</t>
        </is>
      </c>
      <c r="G399" s="53" t="n">
        <v>0.82</v>
      </c>
      <c r="H399" s="52" t="inlineStr">
        <is>
          <t>Groceries</t>
        </is>
      </c>
      <c r="I399" s="52" t="inlineStr">
        <is>
          <t>HDFC 0094</t>
        </is>
      </c>
      <c r="J399" s="52" t="inlineStr">
        <is>
          <t>UPI</t>
        </is>
      </c>
      <c r="K399" s="52" t="inlineStr">
        <is>
          <t>UPI-BHARAT SHIVAJI SALVE-Q275219389@YBL-YESB0YBLUPI-459917741143-FRUIT</t>
        </is>
      </c>
      <c r="L399" s="52" t="inlineStr">
        <is>
          <t>HDFC Bank</t>
        </is>
      </c>
      <c r="M399" s="52" t="inlineStr"/>
    </row>
    <row r="400">
      <c r="A400" s="83" t="n">
        <v>45524</v>
      </c>
      <c r="B400" s="83" t="n">
        <v>45524</v>
      </c>
      <c r="C400" s="84" t="n">
        <v>279.69</v>
      </c>
      <c r="D400" s="84" t="n">
        <v>0</v>
      </c>
      <c r="E400" s="84" t="inlineStr"/>
      <c r="F400" s="84" t="inlineStr">
        <is>
          <t>HDFC Securities - Buy</t>
        </is>
      </c>
      <c r="G400" s="32" t="n">
        <v>0.97</v>
      </c>
      <c r="H400" s="84" t="inlineStr">
        <is>
          <t>HDFC Securities</t>
        </is>
      </c>
      <c r="I400" s="84" t="inlineStr">
        <is>
          <t>HDFC 0094</t>
        </is>
      </c>
      <c r="J400" s="84" t="inlineStr">
        <is>
          <t>HSL</t>
        </is>
      </c>
      <c r="K400" s="84" t="inlineStr">
        <is>
          <t>NET PI TO HSL SEC A/C 523686-00602340029434</t>
        </is>
      </c>
      <c r="L400" s="84" t="inlineStr">
        <is>
          <t>HDFC Bank</t>
        </is>
      </c>
      <c r="M400" s="84" t="inlineStr"/>
    </row>
    <row r="401">
      <c r="A401" s="48" t="n">
        <v>45524</v>
      </c>
      <c r="B401" s="48" t="n">
        <v>45524</v>
      </c>
      <c r="C401" s="49" t="n">
        <v>130</v>
      </c>
      <c r="D401" s="49" t="n">
        <v>0</v>
      </c>
      <c r="E401" s="49" t="inlineStr">
        <is>
          <t>Kunal Ramesh Jadhav</t>
        </is>
      </c>
      <c r="F401" s="49" t="inlineStr">
        <is>
          <t>UPI Payment</t>
        </is>
      </c>
      <c r="G401" s="50" t="n">
        <v>0.55</v>
      </c>
      <c r="H401" s="49" t="inlineStr">
        <is>
          <t>Personal</t>
        </is>
      </c>
      <c r="I401" s="49" t="inlineStr">
        <is>
          <t>HDFC 0094</t>
        </is>
      </c>
      <c r="J401" s="49" t="inlineStr">
        <is>
          <t>UPI</t>
        </is>
      </c>
      <c r="K401" s="49" t="inlineStr">
        <is>
          <t>UPI-KUNAL RAMESH JADHAV-Q579080630@YBL-YESB0YBLUPI-459947687018-BUKE</t>
        </is>
      </c>
      <c r="L401" s="49" t="inlineStr">
        <is>
          <t>HDFC Bank</t>
        </is>
      </c>
      <c r="M401" s="49" t="inlineStr"/>
    </row>
    <row r="402">
      <c r="A402" s="116" t="n">
        <v>45525</v>
      </c>
      <c r="B402" s="116" t="n">
        <v>45525</v>
      </c>
      <c r="C402" s="117" t="n">
        <v>200000</v>
      </c>
      <c r="D402" s="117" t="n">
        <v>0</v>
      </c>
      <c r="E402" s="117" t="inlineStr"/>
      <c r="F402" s="117" t="inlineStr">
        <is>
          <t>Transfer - Sunita Gupta</t>
        </is>
      </c>
      <c r="G402" s="32" t="n">
        <v>0.88</v>
      </c>
      <c r="H402" s="117" t="inlineStr">
        <is>
          <t>Sunita Gupta</t>
        </is>
      </c>
      <c r="I402" s="117" t="inlineStr">
        <is>
          <t>HDFC 0094</t>
        </is>
      </c>
      <c r="J402" s="117" t="inlineStr">
        <is>
          <t>Transfer to Ajay</t>
        </is>
      </c>
      <c r="K402" s="117" t="inlineStr">
        <is>
          <t>01671000085930-TPT-BORROW FROM SUNITA-AJAY KUMAR GUPTA</t>
        </is>
      </c>
      <c r="L402" s="117" t="inlineStr">
        <is>
          <t>HDFC Bank</t>
        </is>
      </c>
      <c r="M402" s="117" t="inlineStr"/>
    </row>
    <row r="403">
      <c r="A403" s="107" t="n">
        <v>45525</v>
      </c>
      <c r="B403" s="107" t="n">
        <v>45525</v>
      </c>
      <c r="C403" s="108" t="n">
        <v>0</v>
      </c>
      <c r="D403" s="108" t="n">
        <v>600</v>
      </c>
      <c r="E403" s="108" t="inlineStr"/>
      <c r="F403" s="108" t="inlineStr">
        <is>
          <t>Misc Income</t>
        </is>
      </c>
      <c r="G403" s="53" t="n">
        <v>0.7</v>
      </c>
      <c r="H403" s="108" t="inlineStr">
        <is>
          <t>Misc Income</t>
        </is>
      </c>
      <c r="I403" s="108" t="inlineStr">
        <is>
          <t>AXIS 7042</t>
        </is>
      </c>
      <c r="J403" s="108" t="inlineStr">
        <is>
          <t>Bank Charges</t>
        </is>
      </c>
      <c r="K403" s="108" t="inlineStr">
        <is>
          <t>Charge Refund: MABPR</t>
        </is>
      </c>
      <c r="L403" s="108" t="inlineStr">
        <is>
          <t>Axis Bank</t>
        </is>
      </c>
      <c r="M403" s="108" t="inlineStr"/>
    </row>
    <row r="404">
      <c r="A404" s="85" t="n">
        <v>45525</v>
      </c>
      <c r="B404" s="85" t="n">
        <v>45525</v>
      </c>
      <c r="C404" s="86" t="n">
        <v>0</v>
      </c>
      <c r="D404" s="86" t="n">
        <v>87035.28</v>
      </c>
      <c r="E404" s="86" t="inlineStr"/>
      <c r="F404" s="86" t="inlineStr">
        <is>
          <t>HDFC Securities - Sell</t>
        </is>
      </c>
      <c r="G404" s="32" t="n">
        <v>0.97</v>
      </c>
      <c r="H404" s="86" t="inlineStr">
        <is>
          <t>HDFC Securities</t>
        </is>
      </c>
      <c r="I404" s="86" t="inlineStr">
        <is>
          <t>HDFC 0094</t>
        </is>
      </c>
      <c r="J404" s="86" t="inlineStr">
        <is>
          <t>HSL</t>
        </is>
      </c>
      <c r="K404" s="86" t="inlineStr">
        <is>
          <t>NET PO FROM HSL A/C 523686-50200085415108</t>
        </is>
      </c>
      <c r="L404" s="86" t="inlineStr">
        <is>
          <t>HDFC Bank</t>
        </is>
      </c>
      <c r="M404" s="86" t="inlineStr"/>
    </row>
    <row r="405">
      <c r="A405" s="95" t="n">
        <v>45525</v>
      </c>
      <c r="B405" s="95" t="n">
        <v>45525</v>
      </c>
      <c r="C405" s="96" t="n">
        <v>55</v>
      </c>
      <c r="D405" s="96" t="n">
        <v>0</v>
      </c>
      <c r="E405" s="96" t="inlineStr"/>
      <c r="F405" s="96" t="inlineStr">
        <is>
          <t>UPI - Paytm</t>
        </is>
      </c>
      <c r="G405" s="53" t="n">
        <v>0.65</v>
      </c>
      <c r="H405" s="96" t="inlineStr">
        <is>
          <t>Personal</t>
        </is>
      </c>
      <c r="I405" s="96" t="inlineStr">
        <is>
          <t>HDFC 0094</t>
        </is>
      </c>
      <c r="J405" s="96" t="inlineStr">
        <is>
          <t>UPI</t>
        </is>
      </c>
      <c r="K405" s="96" t="inlineStr">
        <is>
          <t>UPI-KRUSHNASAGAR MITHAI-PAYTMQR596DKQ@PAYTM-YESB0PTMUPI-423452847251-NAMKIN</t>
        </is>
      </c>
      <c r="L405" s="96" t="inlineStr">
        <is>
          <t>HDFC Bank</t>
        </is>
      </c>
      <c r="M405" s="96" t="inlineStr"/>
    </row>
    <row r="406">
      <c r="A406" s="42" t="n">
        <v>45525</v>
      </c>
      <c r="B406" s="42" t="n">
        <v>45525</v>
      </c>
      <c r="C406" s="43" t="n">
        <v>0</v>
      </c>
      <c r="D406" s="43" t="n">
        <v>1980</v>
      </c>
      <c r="E406" s="43" t="inlineStr"/>
      <c r="F406" s="43" t="inlineStr">
        <is>
          <t>Dividend Income</t>
        </is>
      </c>
      <c r="G406" s="32" t="n">
        <v>0.88</v>
      </c>
      <c r="H406" s="43" t="inlineStr">
        <is>
          <t>Dividend Income</t>
        </is>
      </c>
      <c r="I406" s="43" t="inlineStr">
        <is>
          <t>HDFC 0094</t>
        </is>
      </c>
      <c r="J406" s="43" t="inlineStr">
        <is>
          <t>Dividend Income</t>
        </is>
      </c>
      <c r="K406" s="43" t="inlineStr">
        <is>
          <t>ACH C- CDSL FNLDIV 2023 24-345199</t>
        </is>
      </c>
      <c r="L406" s="43" t="inlineStr">
        <is>
          <t>HDFC Bank</t>
        </is>
      </c>
      <c r="M406" s="43" t="inlineStr"/>
    </row>
    <row r="407">
      <c r="A407" s="83" t="n">
        <v>45525</v>
      </c>
      <c r="B407" s="83" t="n">
        <v>45525</v>
      </c>
      <c r="C407" s="84" t="n">
        <v>280.7</v>
      </c>
      <c r="D407" s="84" t="n">
        <v>0</v>
      </c>
      <c r="E407" s="84" t="inlineStr"/>
      <c r="F407" s="84" t="inlineStr">
        <is>
          <t>HDFC Securities - Buy</t>
        </is>
      </c>
      <c r="G407" s="32" t="n">
        <v>0.97</v>
      </c>
      <c r="H407" s="84" t="inlineStr">
        <is>
          <t>HDFC Securities</t>
        </is>
      </c>
      <c r="I407" s="84" t="inlineStr">
        <is>
          <t>HDFC 0094</t>
        </is>
      </c>
      <c r="J407" s="84" t="inlineStr">
        <is>
          <t>HSL</t>
        </is>
      </c>
      <c r="K407" s="84" t="inlineStr">
        <is>
          <t>NET PI TO HSL SEC A/C 523686-00602340029434</t>
        </is>
      </c>
      <c r="L407" s="84" t="inlineStr">
        <is>
          <t>HDFC Bank</t>
        </is>
      </c>
      <c r="M407" s="84" t="inlineStr"/>
    </row>
    <row r="408">
      <c r="A408" s="85" t="n">
        <v>45526</v>
      </c>
      <c r="B408" s="85" t="n">
        <v>45526</v>
      </c>
      <c r="C408" s="86" t="n">
        <v>0</v>
      </c>
      <c r="D408" s="86" t="n">
        <v>13652.52</v>
      </c>
      <c r="E408" s="86" t="inlineStr"/>
      <c r="F408" s="86" t="inlineStr">
        <is>
          <t>HDFC Securities - Sell</t>
        </is>
      </c>
      <c r="G408" s="32" t="n">
        <v>0.97</v>
      </c>
      <c r="H408" s="86" t="inlineStr">
        <is>
          <t>HDFC Securities</t>
        </is>
      </c>
      <c r="I408" s="86" t="inlineStr">
        <is>
          <t>HDFC 0094</t>
        </is>
      </c>
      <c r="J408" s="86" t="inlineStr">
        <is>
          <t>HSL</t>
        </is>
      </c>
      <c r="K408" s="86" t="inlineStr">
        <is>
          <t>NET PO FROM HSL A/C 523686-50200085415108</t>
        </is>
      </c>
      <c r="L408" s="86" t="inlineStr">
        <is>
          <t>HDFC Bank</t>
        </is>
      </c>
      <c r="M408" s="86" t="inlineStr"/>
    </row>
    <row r="409">
      <c r="A409" s="83" t="n">
        <v>45526</v>
      </c>
      <c r="B409" s="83" t="n">
        <v>45526</v>
      </c>
      <c r="C409" s="84" t="n">
        <v>254.07</v>
      </c>
      <c r="D409" s="84" t="n">
        <v>0</v>
      </c>
      <c r="E409" s="84" t="inlineStr"/>
      <c r="F409" s="84" t="inlineStr">
        <is>
          <t>HDFC Securities - Buy</t>
        </is>
      </c>
      <c r="G409" s="32" t="n">
        <v>0.97</v>
      </c>
      <c r="H409" s="84" t="inlineStr">
        <is>
          <t>HDFC Securities</t>
        </is>
      </c>
      <c r="I409" s="84" t="inlineStr">
        <is>
          <t>HDFC 0094</t>
        </is>
      </c>
      <c r="J409" s="84" t="inlineStr">
        <is>
          <t>HSL</t>
        </is>
      </c>
      <c r="K409" s="84" t="inlineStr">
        <is>
          <t>NET PI TO HSL SEC A/C 523686-00602340029434</t>
        </is>
      </c>
      <c r="L409" s="84" t="inlineStr">
        <is>
          <t>HDFC Bank</t>
        </is>
      </c>
      <c r="M409" s="84" t="inlineStr"/>
    </row>
    <row r="410">
      <c r="A410" s="36" t="n">
        <v>45526</v>
      </c>
      <c r="B410" s="36" t="n">
        <v>45526</v>
      </c>
      <c r="C410" s="37" t="n">
        <v>0</v>
      </c>
      <c r="D410" s="37" t="n">
        <v>200000</v>
      </c>
      <c r="E410" s="37" t="inlineStr"/>
      <c r="F410" s="37" t="inlineStr">
        <is>
          <t>Received - Ajay Gupta</t>
        </is>
      </c>
      <c r="G410" s="32" t="n">
        <v>0.88</v>
      </c>
      <c r="H410" s="37" t="inlineStr">
        <is>
          <t>Ajay Gupta</t>
        </is>
      </c>
      <c r="I410" s="37" t="inlineStr">
        <is>
          <t>HDFC 0094</t>
        </is>
      </c>
      <c r="J410" s="37" t="inlineStr">
        <is>
          <t>Transfer by Ajay</t>
        </is>
      </c>
      <c r="K410" s="37" t="inlineStr">
        <is>
          <t>01671000085930-TPT-MONEY RETURNED-AJAY KUMAR GUPTA</t>
        </is>
      </c>
      <c r="L410" s="37" t="inlineStr">
        <is>
          <t>HDFC Bank</t>
        </is>
      </c>
      <c r="M410" s="37" t="inlineStr"/>
    </row>
    <row r="411">
      <c r="A411" s="85" t="n">
        <v>45527</v>
      </c>
      <c r="B411" s="85" t="n">
        <v>45527</v>
      </c>
      <c r="C411" s="86" t="n">
        <v>0</v>
      </c>
      <c r="D411" s="86" t="n">
        <v>41057.08</v>
      </c>
      <c r="E411" s="86" t="inlineStr"/>
      <c r="F411" s="86" t="inlineStr">
        <is>
          <t>HDFC Securities - Sell</t>
        </is>
      </c>
      <c r="G411" s="32" t="n">
        <v>0.97</v>
      </c>
      <c r="H411" s="86" t="inlineStr">
        <is>
          <t>HDFC Securities</t>
        </is>
      </c>
      <c r="I411" s="86" t="inlineStr">
        <is>
          <t>HDFC 0094</t>
        </is>
      </c>
      <c r="J411" s="86" t="inlineStr">
        <is>
          <t>HSL</t>
        </is>
      </c>
      <c r="K411" s="86" t="inlineStr">
        <is>
          <t>NET PO FROM HSL A/C 523686-50200085415108</t>
        </is>
      </c>
      <c r="L411" s="86" t="inlineStr">
        <is>
          <t>HDFC Bank</t>
        </is>
      </c>
      <c r="M411" s="86" t="inlineStr"/>
    </row>
    <row r="412">
      <c r="A412" s="116" t="n">
        <v>45527</v>
      </c>
      <c r="B412" s="116" t="n">
        <v>45527</v>
      </c>
      <c r="C412" s="117" t="n">
        <v>0</v>
      </c>
      <c r="D412" s="117" t="n">
        <v>17805</v>
      </c>
      <c r="E412" s="117" t="inlineStr"/>
      <c r="F412" s="117" t="inlineStr">
        <is>
          <t>Received - Sunita Gupta</t>
        </is>
      </c>
      <c r="G412" s="32" t="n">
        <v>0.88</v>
      </c>
      <c r="H412" s="117" t="inlineStr">
        <is>
          <t>Sunita Gupta</t>
        </is>
      </c>
      <c r="I412" s="117" t="inlineStr">
        <is>
          <t>HDFC 0094</t>
        </is>
      </c>
      <c r="J412" s="117" t="inlineStr">
        <is>
          <t>Rental Income</t>
        </is>
      </c>
      <c r="K412" s="117" t="inlineStr">
        <is>
          <t>NEFT CR-SBIN0004266-SBI GENERAL INSURANCE CO LTDSBI GEN-SUNITA GUPTA 0000000002717756-SBIN424236896638</t>
        </is>
      </c>
      <c r="L412" s="117" t="inlineStr">
        <is>
          <t>HDFC Bank</t>
        </is>
      </c>
      <c r="M412" s="117" t="inlineStr"/>
    </row>
    <row r="413">
      <c r="A413" s="83" t="n">
        <v>45527</v>
      </c>
      <c r="B413" s="83" t="n">
        <v>45527</v>
      </c>
      <c r="C413" s="84" t="n">
        <v>258.93</v>
      </c>
      <c r="D413" s="84" t="n">
        <v>0</v>
      </c>
      <c r="E413" s="84" t="inlineStr"/>
      <c r="F413" s="84" t="inlineStr">
        <is>
          <t>HDFC Securities - Buy</t>
        </is>
      </c>
      <c r="G413" s="32" t="n">
        <v>0.97</v>
      </c>
      <c r="H413" s="84" t="inlineStr">
        <is>
          <t>HDFC Securities</t>
        </is>
      </c>
      <c r="I413" s="84" t="inlineStr">
        <is>
          <t>HDFC 0094</t>
        </is>
      </c>
      <c r="J413" s="84" t="inlineStr">
        <is>
          <t>HSL</t>
        </is>
      </c>
      <c r="K413" s="84" t="inlineStr">
        <is>
          <t>NET PI TO HSL SEC A/C 523686-00602340029434</t>
        </is>
      </c>
      <c r="L413" s="84" t="inlineStr">
        <is>
          <t>HDFC Bank</t>
        </is>
      </c>
      <c r="M413" s="84" t="inlineStr"/>
    </row>
    <row r="414">
      <c r="A414" s="85" t="n">
        <v>45527</v>
      </c>
      <c r="B414" s="85" t="n">
        <v>45527</v>
      </c>
      <c r="C414" s="86" t="n">
        <v>0</v>
      </c>
      <c r="D414" s="86" t="n">
        <v>1025.02</v>
      </c>
      <c r="E414" s="86" t="inlineStr"/>
      <c r="F414" s="86" t="inlineStr">
        <is>
          <t>HDFC Securities - Sell</t>
        </is>
      </c>
      <c r="G414" s="32" t="n">
        <v>0.97</v>
      </c>
      <c r="H414" s="86" t="inlineStr">
        <is>
          <t>HDFC Securities</t>
        </is>
      </c>
      <c r="I414" s="86" t="inlineStr">
        <is>
          <t>HDFC 0094</t>
        </is>
      </c>
      <c r="J414" s="86" t="inlineStr">
        <is>
          <t>HSL</t>
        </is>
      </c>
      <c r="K414" s="86" t="inlineStr">
        <is>
          <t>NET PO FROM HSL A/C 523686-50200085415108</t>
        </is>
      </c>
      <c r="L414" s="86" t="inlineStr">
        <is>
          <t>HDFC Bank</t>
        </is>
      </c>
      <c r="M414" s="86" t="inlineStr"/>
    </row>
    <row r="415">
      <c r="A415" s="42" t="n">
        <v>45527</v>
      </c>
      <c r="B415" s="42" t="n">
        <v>45527</v>
      </c>
      <c r="C415" s="43" t="n">
        <v>0</v>
      </c>
      <c r="D415" s="43" t="n">
        <v>220</v>
      </c>
      <c r="E415" s="43" t="inlineStr"/>
      <c r="F415" s="43" t="inlineStr">
        <is>
          <t>Dividend Income</t>
        </is>
      </c>
      <c r="G415" s="32" t="n">
        <v>0.88</v>
      </c>
      <c r="H415" s="43" t="inlineStr">
        <is>
          <t>Dividend Income</t>
        </is>
      </c>
      <c r="I415" s="43" t="inlineStr">
        <is>
          <t>HDFC 0094</t>
        </is>
      </c>
      <c r="J415" s="43" t="inlineStr">
        <is>
          <t>Dividend Income</t>
        </is>
      </c>
      <c r="K415" s="43" t="inlineStr">
        <is>
          <t>ACH C- CAMS INT DIV 2024 25-154890</t>
        </is>
      </c>
      <c r="L415" s="43" t="inlineStr">
        <is>
          <t>HDFC Bank</t>
        </is>
      </c>
      <c r="M415" s="43" t="inlineStr"/>
    </row>
    <row r="416">
      <c r="A416" s="83" t="n">
        <v>45527</v>
      </c>
      <c r="B416" s="83" t="n">
        <v>45527</v>
      </c>
      <c r="C416" s="84" t="n">
        <v>2481.05</v>
      </c>
      <c r="D416" s="84" t="n">
        <v>0</v>
      </c>
      <c r="E416" s="84" t="inlineStr"/>
      <c r="F416" s="84" t="inlineStr">
        <is>
          <t>HDFC Securities - Buy</t>
        </is>
      </c>
      <c r="G416" s="32" t="n">
        <v>0.97</v>
      </c>
      <c r="H416" s="84" t="inlineStr">
        <is>
          <t>HDFC Securities</t>
        </is>
      </c>
      <c r="I416" s="84" t="inlineStr">
        <is>
          <t>HDFC 0094</t>
        </is>
      </c>
      <c r="J416" s="84" t="inlineStr">
        <is>
          <t>HSL</t>
        </is>
      </c>
      <c r="K416" s="84" t="inlineStr">
        <is>
          <t>NET PI TO HSL SEC A/C 523686-00602340029434</t>
        </is>
      </c>
      <c r="L416" s="84" t="inlineStr">
        <is>
          <t>HDFC Bank</t>
        </is>
      </c>
      <c r="M416" s="84" t="inlineStr"/>
    </row>
    <row r="417">
      <c r="A417" s="116" t="n">
        <v>45527</v>
      </c>
      <c r="B417" s="116" t="n">
        <v>45527</v>
      </c>
      <c r="C417" s="117" t="n">
        <v>0</v>
      </c>
      <c r="D417" s="117" t="n">
        <v>2380</v>
      </c>
      <c r="E417" s="117" t="inlineStr"/>
      <c r="F417" s="117" t="inlineStr">
        <is>
          <t>Received - Sunita Gupta</t>
        </is>
      </c>
      <c r="G417" s="32" t="n">
        <v>0.88</v>
      </c>
      <c r="H417" s="117" t="inlineStr">
        <is>
          <t>Sunita Gupta</t>
        </is>
      </c>
      <c r="I417" s="117" t="inlineStr">
        <is>
          <t>HDFC 0094</t>
        </is>
      </c>
      <c r="J417" s="117" t="inlineStr">
        <is>
          <t>Rental Income</t>
        </is>
      </c>
      <c r="K417" s="117" t="inlineStr">
        <is>
          <t>NEFT CR-SBIN0004266-SBI GENERAL INSURANCE CO LTDSBI GEN-SUNITA GUPTA 0000000002717756-SBIN524236319092</t>
        </is>
      </c>
      <c r="L417" s="117" t="inlineStr">
        <is>
          <t>HDFC Bank</t>
        </is>
      </c>
      <c r="M417" s="117" t="inlineStr"/>
    </row>
    <row r="418">
      <c r="A418" s="116" t="n">
        <v>45529</v>
      </c>
      <c r="B418" s="116" t="n">
        <v>45529</v>
      </c>
      <c r="C418" s="117" t="n">
        <v>0</v>
      </c>
      <c r="D418" s="117" t="n">
        <v>150000</v>
      </c>
      <c r="E418" s="117" t="inlineStr"/>
      <c r="F418" s="117" t="inlineStr">
        <is>
          <t>Received - Sunita Gupta</t>
        </is>
      </c>
      <c r="G418" s="32" t="n">
        <v>0.88</v>
      </c>
      <c r="H418" s="117" t="inlineStr">
        <is>
          <t>Sunita Gupta</t>
        </is>
      </c>
      <c r="I418" s="117" t="inlineStr">
        <is>
          <t>AXIS 7042</t>
        </is>
      </c>
      <c r="J418" s="117" t="inlineStr">
        <is>
          <t>Contra</t>
        </is>
      </c>
      <c r="K418" s="117" t="inlineStr">
        <is>
          <t>NEFT/N238243225110515/SUNITA GUPTA/HDFC BANK/Trf frm HDFC Sunit</t>
        </is>
      </c>
      <c r="L418" s="117" t="inlineStr">
        <is>
          <t>Axis Bank</t>
        </is>
      </c>
      <c r="M418" s="117" t="inlineStr"/>
    </row>
    <row r="419">
      <c r="A419" s="60" t="n">
        <v>45529</v>
      </c>
      <c r="B419" s="60" t="n">
        <v>45529</v>
      </c>
      <c r="C419" s="61" t="n">
        <v>127</v>
      </c>
      <c r="D419" s="61" t="n">
        <v>0</v>
      </c>
      <c r="E419" s="61" t="inlineStr"/>
      <c r="F419" s="61" t="inlineStr">
        <is>
          <t>UPI - Meesho</t>
        </is>
      </c>
      <c r="G419" s="53" t="n">
        <v>0.68</v>
      </c>
      <c r="H419" s="61" t="inlineStr">
        <is>
          <t>Shopping</t>
        </is>
      </c>
      <c r="I419" s="61" t="inlineStr">
        <is>
          <t>AXIS 7042</t>
        </is>
      </c>
      <c r="J419" s="61" t="inlineStr">
        <is>
          <t>UPI</t>
        </is>
      </c>
      <c r="K419" s="61" t="inlineStr">
        <is>
          <t>UPI/P2M/423838369708/Meesho               /UPI In/Yes Bank Ltd</t>
        </is>
      </c>
      <c r="L419" s="61" t="inlineStr">
        <is>
          <t>Axis Bank</t>
        </is>
      </c>
      <c r="M419" s="61" t="inlineStr"/>
    </row>
    <row r="420">
      <c r="A420" s="116" t="n">
        <v>45529</v>
      </c>
      <c r="B420" s="116" t="n">
        <v>45529</v>
      </c>
      <c r="C420" s="117" t="n">
        <v>150000</v>
      </c>
      <c r="D420" s="117" t="n">
        <v>0</v>
      </c>
      <c r="E420" s="117" t="inlineStr"/>
      <c r="F420" s="117" t="inlineStr">
        <is>
          <t>Transfer - Sunita Gupta</t>
        </is>
      </c>
      <c r="G420" s="32" t="n">
        <v>0.88</v>
      </c>
      <c r="H420" s="117" t="inlineStr">
        <is>
          <t>Sunita Gupta</t>
        </is>
      </c>
      <c r="I420" s="117" t="inlineStr">
        <is>
          <t>HDFC 0094</t>
        </is>
      </c>
      <c r="J420" s="117" t="inlineStr">
        <is>
          <t>Contra</t>
        </is>
      </c>
      <c r="K420" s="117" t="inlineStr">
        <is>
          <t>NEFT DR-UTIB0002656-SUNITA GUPTA-NETBANK, MUM-N238243225110515-TRF FRM HDFC SUNIT</t>
        </is>
      </c>
      <c r="L420" s="117" t="inlineStr">
        <is>
          <t>HDFC Bank</t>
        </is>
      </c>
      <c r="M420" s="117" t="inlineStr"/>
    </row>
    <row r="421">
      <c r="A421" s="83" t="n">
        <v>45530</v>
      </c>
      <c r="B421" s="83" t="n">
        <v>45530</v>
      </c>
      <c r="C421" s="84" t="n">
        <v>54974.79</v>
      </c>
      <c r="D421" s="84" t="n">
        <v>0</v>
      </c>
      <c r="E421" s="84" t="inlineStr"/>
      <c r="F421" s="84" t="inlineStr">
        <is>
          <t>HDFC Securities - Buy</t>
        </is>
      </c>
      <c r="G421" s="32" t="n">
        <v>0.97</v>
      </c>
      <c r="H421" s="84" t="inlineStr">
        <is>
          <t>HDFC Securities</t>
        </is>
      </c>
      <c r="I421" s="84" t="inlineStr">
        <is>
          <t>HDFC 0094</t>
        </is>
      </c>
      <c r="J421" s="84" t="inlineStr">
        <is>
          <t>HSL</t>
        </is>
      </c>
      <c r="K421" s="84" t="inlineStr">
        <is>
          <t>NET PI TO HSL SEC A/C 523686-00602340029434</t>
        </is>
      </c>
      <c r="L421" s="84" t="inlineStr">
        <is>
          <t>HDFC Bank</t>
        </is>
      </c>
      <c r="M421" s="84" t="inlineStr"/>
    </row>
    <row r="422">
      <c r="A422" s="64" t="n">
        <v>45530</v>
      </c>
      <c r="B422" s="64" t="n">
        <v>45530</v>
      </c>
      <c r="C422" s="65" t="n">
        <v>0</v>
      </c>
      <c r="D422" s="65" t="n">
        <v>11206.33</v>
      </c>
      <c r="E422" s="65" t="inlineStr"/>
      <c r="F422" s="65" t="inlineStr">
        <is>
          <t>NEFT Transfer</t>
        </is>
      </c>
      <c r="G422" s="53" t="n">
        <v>0.7</v>
      </c>
      <c r="H422" s="65" t="inlineStr">
        <is>
          <t>Transfer</t>
        </is>
      </c>
      <c r="I422" s="65" t="inlineStr">
        <is>
          <t>AXIS 7042</t>
        </is>
      </c>
      <c r="J422" s="65" t="inlineStr">
        <is>
          <t>Zerodha</t>
        </is>
      </c>
      <c r="K422" s="65" t="inlineStr">
        <is>
          <t>NEFT/YESF342390240804/ZERODHA BROKING LTD-DSCNB A//YES BANK/f940673c85 Zerodha payout</t>
        </is>
      </c>
      <c r="L422" s="65" t="inlineStr">
        <is>
          <t>Axis Bank</t>
        </is>
      </c>
      <c r="M422" s="65" t="inlineStr"/>
    </row>
    <row r="423">
      <c r="A423" s="64" t="n">
        <v>45530</v>
      </c>
      <c r="B423" s="64" t="n">
        <v>45530</v>
      </c>
      <c r="C423" s="65" t="n">
        <v>10000</v>
      </c>
      <c r="D423" s="65" t="n">
        <v>0</v>
      </c>
      <c r="E423" s="65" t="inlineStr"/>
      <c r="F423" s="65" t="inlineStr">
        <is>
          <t>MF Investment</t>
        </is>
      </c>
      <c r="G423" s="32" t="n">
        <v>0.92</v>
      </c>
      <c r="H423" s="65" t="inlineStr">
        <is>
          <t>Mutual_Fund_Investments</t>
        </is>
      </c>
      <c r="I423" s="65" t="inlineStr">
        <is>
          <t>HDFC 0094</t>
        </is>
      </c>
      <c r="J423" s="65" t="inlineStr">
        <is>
          <t>SIP  - 10000</t>
        </is>
      </c>
      <c r="K423" s="65" t="inlineStr">
        <is>
          <t>ACH D- INDIAN CLEARING CORP-P25847643X05</t>
        </is>
      </c>
      <c r="L423" s="65" t="inlineStr">
        <is>
          <t>HDFC Bank</t>
        </is>
      </c>
      <c r="M423" s="65" t="inlineStr"/>
    </row>
    <row r="424">
      <c r="A424" s="85" t="n">
        <v>45530</v>
      </c>
      <c r="B424" s="85" t="n">
        <v>45530</v>
      </c>
      <c r="C424" s="86" t="n">
        <v>0</v>
      </c>
      <c r="D424" s="86" t="n">
        <v>77978.2</v>
      </c>
      <c r="E424" s="86" t="inlineStr"/>
      <c r="F424" s="86" t="inlineStr">
        <is>
          <t>HDFC Securities - Sell</t>
        </is>
      </c>
      <c r="G424" s="32" t="n">
        <v>0.97</v>
      </c>
      <c r="H424" s="86" t="inlineStr">
        <is>
          <t>HDFC Securities</t>
        </is>
      </c>
      <c r="I424" s="86" t="inlineStr">
        <is>
          <t>HDFC 0094</t>
        </is>
      </c>
      <c r="J424" s="86" t="inlineStr">
        <is>
          <t>HSL</t>
        </is>
      </c>
      <c r="K424" s="86" t="inlineStr">
        <is>
          <t>NET PO FROM HSL A/C 523686-50200085415108</t>
        </is>
      </c>
      <c r="L424" s="86" t="inlineStr">
        <is>
          <t>HDFC Bank</t>
        </is>
      </c>
      <c r="M424" s="86" t="inlineStr"/>
    </row>
    <row r="425">
      <c r="A425" s="83" t="n">
        <v>45530</v>
      </c>
      <c r="B425" s="83" t="n">
        <v>45530</v>
      </c>
      <c r="C425" s="84" t="n">
        <v>775.23</v>
      </c>
      <c r="D425" s="84" t="n">
        <v>0</v>
      </c>
      <c r="E425" s="84" t="inlineStr"/>
      <c r="F425" s="84" t="inlineStr">
        <is>
          <t>HDFC Securities - Buy</t>
        </is>
      </c>
      <c r="G425" s="32" t="n">
        <v>0.97</v>
      </c>
      <c r="H425" s="84" t="inlineStr">
        <is>
          <t>HDFC Securities</t>
        </is>
      </c>
      <c r="I425" s="84" t="inlineStr">
        <is>
          <t>HDFC 0094</t>
        </is>
      </c>
      <c r="J425" s="84" t="inlineStr">
        <is>
          <t>HSL</t>
        </is>
      </c>
      <c r="K425" s="84" t="inlineStr">
        <is>
          <t>NET PI TO HSL SEC A/C 523686-00602340029434</t>
        </is>
      </c>
      <c r="L425" s="84" t="inlineStr">
        <is>
          <t>HDFC Bank</t>
        </is>
      </c>
      <c r="M425" s="84" t="inlineStr"/>
    </row>
    <row r="426">
      <c r="A426" s="85" t="n">
        <v>45531</v>
      </c>
      <c r="B426" s="85" t="n">
        <v>45531</v>
      </c>
      <c r="C426" s="86" t="n">
        <v>0</v>
      </c>
      <c r="D426" s="86" t="n">
        <v>7078.49</v>
      </c>
      <c r="E426" s="86" t="inlineStr"/>
      <c r="F426" s="86" t="inlineStr">
        <is>
          <t>HDFC Securities - Sell</t>
        </is>
      </c>
      <c r="G426" s="32" t="n">
        <v>0.97</v>
      </c>
      <c r="H426" s="86" t="inlineStr">
        <is>
          <t>HDFC Securities</t>
        </is>
      </c>
      <c r="I426" s="86" t="inlineStr">
        <is>
          <t>HDFC 0094</t>
        </is>
      </c>
      <c r="J426" s="86" t="inlineStr">
        <is>
          <t>HSL</t>
        </is>
      </c>
      <c r="K426" s="86" t="inlineStr">
        <is>
          <t>NET PO FROM HSL A/C 523686-50200085415108</t>
        </is>
      </c>
      <c r="L426" s="86" t="inlineStr">
        <is>
          <t>HDFC Bank</t>
        </is>
      </c>
      <c r="M426" s="86" t="inlineStr"/>
    </row>
    <row r="427">
      <c r="A427" s="85" t="n">
        <v>45531</v>
      </c>
      <c r="B427" s="85" t="n">
        <v>45531</v>
      </c>
      <c r="C427" s="86" t="n">
        <v>0</v>
      </c>
      <c r="D427" s="86" t="n">
        <v>51065.7</v>
      </c>
      <c r="E427" s="86" t="inlineStr"/>
      <c r="F427" s="86" t="inlineStr">
        <is>
          <t>HDFC Securities - Sell</t>
        </is>
      </c>
      <c r="G427" s="32" t="n">
        <v>0.97</v>
      </c>
      <c r="H427" s="86" t="inlineStr">
        <is>
          <t>HDFC Securities</t>
        </is>
      </c>
      <c r="I427" s="86" t="inlineStr">
        <is>
          <t>HDFC 0094</t>
        </is>
      </c>
      <c r="J427" s="86" t="inlineStr">
        <is>
          <t>HSL</t>
        </is>
      </c>
      <c r="K427" s="86" t="inlineStr">
        <is>
          <t>NET PO FROM HSL A/C 523686-50200085415108</t>
        </is>
      </c>
      <c r="L427" s="86" t="inlineStr">
        <is>
          <t>HDFC Bank</t>
        </is>
      </c>
      <c r="M427" s="86" t="inlineStr"/>
    </row>
    <row r="428">
      <c r="A428" s="83" t="n">
        <v>45531</v>
      </c>
      <c r="B428" s="83" t="n">
        <v>45531</v>
      </c>
      <c r="C428" s="84" t="n">
        <v>238.83</v>
      </c>
      <c r="D428" s="84" t="n">
        <v>0</v>
      </c>
      <c r="E428" s="84" t="inlineStr"/>
      <c r="F428" s="84" t="inlineStr">
        <is>
          <t>HDFC Securities - Buy</t>
        </is>
      </c>
      <c r="G428" s="32" t="n">
        <v>0.97</v>
      </c>
      <c r="H428" s="84" t="inlineStr">
        <is>
          <t>HDFC Securities</t>
        </is>
      </c>
      <c r="I428" s="84" t="inlineStr">
        <is>
          <t>HDFC 0094</t>
        </is>
      </c>
      <c r="J428" s="84" t="inlineStr">
        <is>
          <t>HSL</t>
        </is>
      </c>
      <c r="K428" s="84" t="inlineStr">
        <is>
          <t>NET PI TO HSL SEC A/C 523686-00602340029434</t>
        </is>
      </c>
      <c r="L428" s="84" t="inlineStr">
        <is>
          <t>HDFC Bank</t>
        </is>
      </c>
      <c r="M428" s="84" t="inlineStr"/>
    </row>
    <row r="429">
      <c r="A429" s="42" t="n">
        <v>45531</v>
      </c>
      <c r="B429" s="42" t="n">
        <v>45531</v>
      </c>
      <c r="C429" s="43" t="n">
        <v>0</v>
      </c>
      <c r="D429" s="43" t="n">
        <v>175</v>
      </c>
      <c r="E429" s="43" t="inlineStr"/>
      <c r="F429" s="43" t="inlineStr">
        <is>
          <t>Dividend Income</t>
        </is>
      </c>
      <c r="G429" s="32" t="n">
        <v>0.88</v>
      </c>
      <c r="H429" s="43" t="inlineStr">
        <is>
          <t>Dividend Income</t>
        </is>
      </c>
      <c r="I429" s="43" t="inlineStr">
        <is>
          <t>HDFC 0094</t>
        </is>
      </c>
      <c r="J429" s="43" t="inlineStr">
        <is>
          <t>Dividend Income</t>
        </is>
      </c>
      <c r="K429" s="43" t="inlineStr">
        <is>
          <t>ACH C- HINDALCO FIN DIV 24-288092</t>
        </is>
      </c>
      <c r="L429" s="43" t="inlineStr">
        <is>
          <t>HDFC Bank</t>
        </is>
      </c>
      <c r="M429" s="43" t="inlineStr"/>
    </row>
    <row r="430">
      <c r="A430" s="85" t="n">
        <v>45532</v>
      </c>
      <c r="B430" s="85" t="n">
        <v>45532</v>
      </c>
      <c r="C430" s="86" t="n">
        <v>0</v>
      </c>
      <c r="D430" s="86" t="n">
        <v>45543.92</v>
      </c>
      <c r="E430" s="86" t="inlineStr"/>
      <c r="F430" s="86" t="inlineStr">
        <is>
          <t>HDFC Securities - Sell</t>
        </is>
      </c>
      <c r="G430" s="32" t="n">
        <v>0.97</v>
      </c>
      <c r="H430" s="86" t="inlineStr">
        <is>
          <t>HDFC Securities</t>
        </is>
      </c>
      <c r="I430" s="86" t="inlineStr">
        <is>
          <t>HDFC 0094</t>
        </is>
      </c>
      <c r="J430" s="86" t="inlineStr">
        <is>
          <t>HSL</t>
        </is>
      </c>
      <c r="K430" s="86" t="inlineStr">
        <is>
          <t>NET PO FROM HSL A/C 523686-50200085415108</t>
        </is>
      </c>
      <c r="L430" s="86" t="inlineStr">
        <is>
          <t>HDFC Bank</t>
        </is>
      </c>
      <c r="M430" s="86" t="inlineStr"/>
    </row>
    <row r="431">
      <c r="A431" s="83" t="n">
        <v>45532</v>
      </c>
      <c r="B431" s="83" t="n">
        <v>45532</v>
      </c>
      <c r="C431" s="84" t="n">
        <v>214.73</v>
      </c>
      <c r="D431" s="84" t="n">
        <v>0</v>
      </c>
      <c r="E431" s="84" t="inlineStr"/>
      <c r="F431" s="84" t="inlineStr">
        <is>
          <t>HDFC Securities - Buy</t>
        </is>
      </c>
      <c r="G431" s="32" t="n">
        <v>0.97</v>
      </c>
      <c r="H431" s="84" t="inlineStr">
        <is>
          <t>HDFC Securities</t>
        </is>
      </c>
      <c r="I431" s="84" t="inlineStr">
        <is>
          <t>HDFC 0094</t>
        </is>
      </c>
      <c r="J431" s="84" t="inlineStr">
        <is>
          <t>HSL</t>
        </is>
      </c>
      <c r="K431" s="84" t="inlineStr">
        <is>
          <t>NET PI TO HSL SEC A/C 523686-00602340029434</t>
        </is>
      </c>
      <c r="L431" s="84" t="inlineStr">
        <is>
          <t>HDFC Bank</t>
        </is>
      </c>
      <c r="M431" s="84" t="inlineStr"/>
    </row>
    <row r="432">
      <c r="A432" s="42" t="n">
        <v>45532</v>
      </c>
      <c r="B432" s="42" t="n">
        <v>45532</v>
      </c>
      <c r="C432" s="43" t="n">
        <v>0</v>
      </c>
      <c r="D432" s="43" t="n">
        <v>1386</v>
      </c>
      <c r="E432" s="43" t="inlineStr"/>
      <c r="F432" s="43" t="inlineStr">
        <is>
          <t>Dividend Income</t>
        </is>
      </c>
      <c r="G432" s="32" t="n">
        <v>0.88</v>
      </c>
      <c r="H432" s="43" t="inlineStr">
        <is>
          <t>Dividend Income</t>
        </is>
      </c>
      <c r="I432" s="43" t="inlineStr">
        <is>
          <t>HDFC 0094</t>
        </is>
      </c>
      <c r="J432" s="43" t="inlineStr">
        <is>
          <t>Dividend Income</t>
        </is>
      </c>
      <c r="K432" s="43" t="inlineStr">
        <is>
          <t>ACH C- IBL FINL DIV 2023 24-114432</t>
        </is>
      </c>
      <c r="L432" s="43" t="inlineStr">
        <is>
          <t>HDFC Bank</t>
        </is>
      </c>
      <c r="M432" s="43" t="inlineStr"/>
    </row>
    <row r="433">
      <c r="A433" s="42" t="n">
        <v>45532</v>
      </c>
      <c r="B433" s="42" t="n">
        <v>45532</v>
      </c>
      <c r="C433" s="43" t="n">
        <v>0</v>
      </c>
      <c r="D433" s="43" t="n">
        <v>84.56999999999999</v>
      </c>
      <c r="E433" s="43" t="inlineStr"/>
      <c r="F433" s="43" t="inlineStr">
        <is>
          <t>Dividend Income</t>
        </is>
      </c>
      <c r="G433" s="32" t="n">
        <v>0.85</v>
      </c>
      <c r="H433" s="43" t="inlineStr">
        <is>
          <t>Dividend Income</t>
        </is>
      </c>
      <c r="I433" s="43" t="inlineStr">
        <is>
          <t>HDFC 0094</t>
        </is>
      </c>
      <c r="J433" s="43" t="inlineStr">
        <is>
          <t>Dividend Income</t>
        </is>
      </c>
      <c r="K433" s="43" t="inlineStr">
        <is>
          <t>NEFT CR-UTIB0000004-AXIS MUTUAL FUND DIVIDEND A/C-SUNITA GUPTA-AXISCN0725504131</t>
        </is>
      </c>
      <c r="L433" s="43" t="inlineStr">
        <is>
          <t>HDFC Bank</t>
        </is>
      </c>
      <c r="M433" s="43" t="inlineStr"/>
    </row>
    <row r="434">
      <c r="A434" s="83" t="n">
        <v>45533</v>
      </c>
      <c r="B434" s="83" t="n">
        <v>45533</v>
      </c>
      <c r="C434" s="84" t="n">
        <v>16093.87</v>
      </c>
      <c r="D434" s="84" t="n">
        <v>0</v>
      </c>
      <c r="E434" s="84" t="inlineStr"/>
      <c r="F434" s="84" t="inlineStr">
        <is>
          <t>HDFC Securities - Buy</t>
        </is>
      </c>
      <c r="G434" s="32" t="n">
        <v>0.97</v>
      </c>
      <c r="H434" s="84" t="inlineStr">
        <is>
          <t>HDFC Securities</t>
        </is>
      </c>
      <c r="I434" s="84" t="inlineStr">
        <is>
          <t>HDFC 0094</t>
        </is>
      </c>
      <c r="J434" s="84" t="inlineStr">
        <is>
          <t>HSL</t>
        </is>
      </c>
      <c r="K434" s="84" t="inlineStr">
        <is>
          <t>NET PI TO HSL SEC A/C 523686-00602340029434</t>
        </is>
      </c>
      <c r="L434" s="84" t="inlineStr">
        <is>
          <t>HDFC Bank</t>
        </is>
      </c>
      <c r="M434" s="84" t="inlineStr"/>
    </row>
    <row r="435">
      <c r="A435" s="42" t="n">
        <v>45533</v>
      </c>
      <c r="B435" s="42" t="n">
        <v>45533</v>
      </c>
      <c r="C435" s="43" t="n">
        <v>0</v>
      </c>
      <c r="D435" s="43" t="n">
        <v>144</v>
      </c>
      <c r="E435" s="43" t="inlineStr"/>
      <c r="F435" s="43" t="inlineStr">
        <is>
          <t>Dividend Income</t>
        </is>
      </c>
      <c r="G435" s="32" t="n">
        <v>0.88</v>
      </c>
      <c r="H435" s="43" t="inlineStr">
        <is>
          <t>Dividend Income</t>
        </is>
      </c>
      <c r="I435" s="43" t="inlineStr">
        <is>
          <t>HDFC 0094</t>
        </is>
      </c>
      <c r="J435" s="43" t="inlineStr">
        <is>
          <t>Dividend Income</t>
        </is>
      </c>
      <c r="K435" s="43" t="inlineStr">
        <is>
          <t>ACH C- PI INDUSTRIES LTD-3534031</t>
        </is>
      </c>
      <c r="L435" s="43" t="inlineStr">
        <is>
          <t>HDFC Bank</t>
        </is>
      </c>
      <c r="M435" s="43" t="inlineStr"/>
    </row>
    <row r="436">
      <c r="A436" s="42" t="n">
        <v>45533</v>
      </c>
      <c r="B436" s="42" t="n">
        <v>45533</v>
      </c>
      <c r="C436" s="43" t="n">
        <v>0</v>
      </c>
      <c r="D436" s="43" t="n">
        <v>210</v>
      </c>
      <c r="E436" s="43" t="inlineStr"/>
      <c r="F436" s="43" t="inlineStr">
        <is>
          <t>Dividend Income</t>
        </is>
      </c>
      <c r="G436" s="32" t="n">
        <v>0.85</v>
      </c>
      <c r="H436" s="43" t="inlineStr">
        <is>
          <t>Dividend Income</t>
        </is>
      </c>
      <c r="I436" s="43" t="inlineStr">
        <is>
          <t>HDFC 0094</t>
        </is>
      </c>
      <c r="J436" s="43" t="inlineStr">
        <is>
          <t>Dividend Income</t>
        </is>
      </c>
      <c r="K436" s="43" t="inlineStr">
        <is>
          <t>DR LAL PATH DIV24 2500000000000000008450</t>
        </is>
      </c>
      <c r="L436" s="43" t="inlineStr">
        <is>
          <t>HDFC Bank</t>
        </is>
      </c>
      <c r="M436" s="43" t="inlineStr"/>
    </row>
    <row r="437">
      <c r="A437" s="42" t="n">
        <v>45533</v>
      </c>
      <c r="B437" s="42" t="n">
        <v>45533</v>
      </c>
      <c r="C437" s="43" t="n">
        <v>0</v>
      </c>
      <c r="D437" s="43" t="n">
        <v>370</v>
      </c>
      <c r="E437" s="43" t="inlineStr"/>
      <c r="F437" s="43" t="inlineStr">
        <is>
          <t>Dividend Income</t>
        </is>
      </c>
      <c r="G437" s="32" t="n">
        <v>0.88</v>
      </c>
      <c r="H437" s="43" t="inlineStr">
        <is>
          <t>Dividend Income</t>
        </is>
      </c>
      <c r="I437" s="43" t="inlineStr">
        <is>
          <t>HDFC 0094</t>
        </is>
      </c>
      <c r="J437" s="43" t="inlineStr">
        <is>
          <t>Dividend Income</t>
        </is>
      </c>
      <c r="K437" s="43" t="inlineStr">
        <is>
          <t>ACH C- RELIANCE INDUSTRIES-241361424</t>
        </is>
      </c>
      <c r="L437" s="43" t="inlineStr">
        <is>
          <t>HDFC Bank</t>
        </is>
      </c>
      <c r="M437" s="43" t="inlineStr"/>
    </row>
    <row r="438">
      <c r="A438" s="83" t="n">
        <v>45533</v>
      </c>
      <c r="B438" s="83" t="n">
        <v>45533</v>
      </c>
      <c r="C438" s="84" t="n">
        <v>189.07</v>
      </c>
      <c r="D438" s="84" t="n">
        <v>0</v>
      </c>
      <c r="E438" s="84" t="inlineStr"/>
      <c r="F438" s="84" t="inlineStr">
        <is>
          <t>HDFC Securities - Buy</t>
        </is>
      </c>
      <c r="G438" s="32" t="n">
        <v>0.97</v>
      </c>
      <c r="H438" s="84" t="inlineStr">
        <is>
          <t>HDFC Securities</t>
        </is>
      </c>
      <c r="I438" s="84" t="inlineStr">
        <is>
          <t>HDFC 0094</t>
        </is>
      </c>
      <c r="J438" s="84" t="inlineStr">
        <is>
          <t>HSL</t>
        </is>
      </c>
      <c r="K438" s="84" t="inlineStr">
        <is>
          <t>NET PI TO HSL SEC A/C 523686-00602340029434</t>
        </is>
      </c>
      <c r="L438" s="84" t="inlineStr">
        <is>
          <t>HDFC Bank</t>
        </is>
      </c>
      <c r="M438" s="84" t="inlineStr"/>
    </row>
    <row r="439">
      <c r="A439" s="83" t="n">
        <v>45534</v>
      </c>
      <c r="B439" s="83" t="n">
        <v>45534</v>
      </c>
      <c r="C439" s="84" t="n">
        <v>2395.65</v>
      </c>
      <c r="D439" s="84" t="n">
        <v>0</v>
      </c>
      <c r="E439" s="84" t="inlineStr"/>
      <c r="F439" s="84" t="inlineStr">
        <is>
          <t>HDFC Securities - Buy</t>
        </is>
      </c>
      <c r="G439" s="32" t="n">
        <v>0.97</v>
      </c>
      <c r="H439" s="84" t="inlineStr">
        <is>
          <t>HDFC Securities</t>
        </is>
      </c>
      <c r="I439" s="84" t="inlineStr">
        <is>
          <t>HDFC 0094</t>
        </is>
      </c>
      <c r="J439" s="84" t="inlineStr">
        <is>
          <t>HSL</t>
        </is>
      </c>
      <c r="K439" s="84" t="inlineStr">
        <is>
          <t>NET PI TO HSL SEC A/C 523686-00602340029434</t>
        </is>
      </c>
      <c r="L439" s="84" t="inlineStr">
        <is>
          <t>HDFC Bank</t>
        </is>
      </c>
      <c r="M439" s="84" t="inlineStr"/>
    </row>
    <row r="440">
      <c r="A440" s="83" t="n">
        <v>45534</v>
      </c>
      <c r="B440" s="83" t="n">
        <v>45534</v>
      </c>
      <c r="C440" s="84" t="n">
        <v>260581.19</v>
      </c>
      <c r="D440" s="84" t="n">
        <v>0</v>
      </c>
      <c r="E440" s="84" t="inlineStr"/>
      <c r="F440" s="84" t="inlineStr">
        <is>
          <t>HDFC Securities - Buy</t>
        </is>
      </c>
      <c r="G440" s="32" t="n">
        <v>0.97</v>
      </c>
      <c r="H440" s="84" t="inlineStr">
        <is>
          <t>HDFC Securities</t>
        </is>
      </c>
      <c r="I440" s="84" t="inlineStr">
        <is>
          <t>HDFC 0094</t>
        </is>
      </c>
      <c r="J440" s="84" t="inlineStr">
        <is>
          <t>HSL</t>
        </is>
      </c>
      <c r="K440" s="84" t="inlineStr">
        <is>
          <t>NET PI TO HSL SEC A/C 523686-00602340029434</t>
        </is>
      </c>
      <c r="L440" s="84" t="inlineStr">
        <is>
          <t>HDFC Bank</t>
        </is>
      </c>
      <c r="M440" s="84" t="inlineStr"/>
    </row>
    <row r="441">
      <c r="A441" s="83" t="n">
        <v>45534</v>
      </c>
      <c r="B441" s="83" t="n">
        <v>45534</v>
      </c>
      <c r="C441" s="84" t="n">
        <v>205.17</v>
      </c>
      <c r="D441" s="84" t="n">
        <v>0</v>
      </c>
      <c r="E441" s="84" t="inlineStr"/>
      <c r="F441" s="84" t="inlineStr">
        <is>
          <t>HDFC Securities - Buy</t>
        </is>
      </c>
      <c r="G441" s="32" t="n">
        <v>0.97</v>
      </c>
      <c r="H441" s="84" t="inlineStr">
        <is>
          <t>HDFC Securities</t>
        </is>
      </c>
      <c r="I441" s="84" t="inlineStr">
        <is>
          <t>HDFC 0094</t>
        </is>
      </c>
      <c r="J441" s="84" t="inlineStr">
        <is>
          <t>HSL</t>
        </is>
      </c>
      <c r="K441" s="84" t="inlineStr">
        <is>
          <t>NET PI TO HSL SEC A/C 523686-00602340029434</t>
        </is>
      </c>
      <c r="L441" s="84" t="inlineStr">
        <is>
          <t>HDFC Bank</t>
        </is>
      </c>
      <c r="M441" s="84" t="inlineStr"/>
    </row>
    <row r="442">
      <c r="A442" s="83" t="n">
        <v>45537</v>
      </c>
      <c r="B442" s="83" t="n">
        <v>45537</v>
      </c>
      <c r="C442" s="84" t="n">
        <v>1620</v>
      </c>
      <c r="D442" s="84" t="n">
        <v>0</v>
      </c>
      <c r="E442" s="84" t="inlineStr"/>
      <c r="F442" s="84" t="inlineStr">
        <is>
          <t>HDFC Securities - Buy</t>
        </is>
      </c>
      <c r="G442" s="32" t="n">
        <v>0.97</v>
      </c>
      <c r="H442" s="84" t="inlineStr">
        <is>
          <t>HDFC Securities</t>
        </is>
      </c>
      <c r="I442" s="84" t="inlineStr">
        <is>
          <t>HDFC 0094</t>
        </is>
      </c>
      <c r="J442" s="84" t="inlineStr">
        <is>
          <t>HSL</t>
        </is>
      </c>
      <c r="K442" s="84" t="inlineStr">
        <is>
          <t>NET PI TO HSL SEC A/C 523686-00602340029434</t>
        </is>
      </c>
      <c r="L442" s="84" t="inlineStr">
        <is>
          <t>HDFC Bank</t>
        </is>
      </c>
      <c r="M442" s="84" t="inlineStr"/>
    </row>
    <row r="443">
      <c r="A443" s="42" t="n">
        <v>45537</v>
      </c>
      <c r="B443" s="42" t="n">
        <v>45537</v>
      </c>
      <c r="C443" s="43" t="n">
        <v>0</v>
      </c>
      <c r="D443" s="43" t="n">
        <v>1350</v>
      </c>
      <c r="E443" s="43" t="inlineStr"/>
      <c r="F443" s="43" t="inlineStr">
        <is>
          <t>Dividend Income</t>
        </is>
      </c>
      <c r="G443" s="32" t="n">
        <v>0.88</v>
      </c>
      <c r="H443" s="43" t="inlineStr">
        <is>
          <t>Dividend Income</t>
        </is>
      </c>
      <c r="I443" s="43" t="inlineStr">
        <is>
          <t>HDFC 0094</t>
        </is>
      </c>
      <c r="J443" s="43" t="inlineStr">
        <is>
          <t>Dividend Income</t>
        </is>
      </c>
      <c r="K443" s="43" t="inlineStr">
        <is>
          <t>ACH C- ICICI BANK LTD.-7312296</t>
        </is>
      </c>
      <c r="L443" s="43" t="inlineStr">
        <is>
          <t>HDFC Bank</t>
        </is>
      </c>
      <c r="M443" s="43" t="inlineStr"/>
    </row>
    <row r="444">
      <c r="A444" s="42" t="n">
        <v>45537</v>
      </c>
      <c r="B444" s="42" t="n">
        <v>45537</v>
      </c>
      <c r="C444" s="43" t="n">
        <v>0</v>
      </c>
      <c r="D444" s="43" t="n">
        <v>270</v>
      </c>
      <c r="E444" s="43" t="inlineStr"/>
      <c r="F444" s="43" t="inlineStr">
        <is>
          <t>Dividend Income</t>
        </is>
      </c>
      <c r="G444" s="32" t="n">
        <v>0.88</v>
      </c>
      <c r="H444" s="43" t="inlineStr">
        <is>
          <t>Dividend Income</t>
        </is>
      </c>
      <c r="I444" s="43" t="inlineStr">
        <is>
          <t>HDFC 0094</t>
        </is>
      </c>
      <c r="J444" s="43" t="inlineStr">
        <is>
          <t>Dividend Income</t>
        </is>
      </c>
      <c r="K444" s="43" t="inlineStr">
        <is>
          <t>ACH C- CONCOR INTDIV 202425-CN1708240048</t>
        </is>
      </c>
      <c r="L444" s="43" t="inlineStr">
        <is>
          <t>HDFC Bank</t>
        </is>
      </c>
      <c r="M444" s="43" t="inlineStr"/>
    </row>
    <row r="445">
      <c r="A445" s="48" t="n">
        <v>45538</v>
      </c>
      <c r="B445" s="48" t="n">
        <v>45538</v>
      </c>
      <c r="C445" s="49" t="n">
        <v>14696</v>
      </c>
      <c r="D445" s="49" t="n">
        <v>0</v>
      </c>
      <c r="E445" s="49" t="inlineStr">
        <is>
          <t>P2M</t>
        </is>
      </c>
      <c r="F445" s="49" t="inlineStr">
        <is>
          <t>UPI Payment</t>
        </is>
      </c>
      <c r="G445" s="50" t="n">
        <v>0.55</v>
      </c>
      <c r="H445" s="49" t="inlineStr">
        <is>
          <t>Personal</t>
        </is>
      </c>
      <c r="I445" s="49" t="inlineStr">
        <is>
          <t>AXIS 7042</t>
        </is>
      </c>
      <c r="J445" s="49" t="inlineStr">
        <is>
          <t>UPI</t>
        </is>
      </c>
      <c r="K445" s="49" t="inlineStr">
        <is>
          <t>UPI/P2M/424703060377/064101250/Kotak Mah/CHANNEL/TEZ</t>
        </is>
      </c>
      <c r="L445" s="49" t="inlineStr">
        <is>
          <t>Axis Bank</t>
        </is>
      </c>
      <c r="M445" s="49" t="inlineStr"/>
    </row>
    <row r="446">
      <c r="A446" s="118" t="n">
        <v>45538</v>
      </c>
      <c r="B446" s="118" t="n">
        <v>45538</v>
      </c>
      <c r="C446" s="119" t="n">
        <v>0</v>
      </c>
      <c r="D446" s="119" t="n">
        <v>230</v>
      </c>
      <c r="E446" s="119" t="inlineStr"/>
      <c r="F446" s="119" t="inlineStr">
        <is>
          <t>Received - Sharda Ar</t>
        </is>
      </c>
      <c r="G446" s="50" t="n">
        <v>0.55</v>
      </c>
      <c r="H446" s="119" t="inlineStr">
        <is>
          <t>Personal</t>
        </is>
      </c>
      <c r="I446" s="119" t="inlineStr">
        <is>
          <t>AXIS 7042</t>
        </is>
      </c>
      <c r="J446" s="119" t="inlineStr">
        <is>
          <t>UPI</t>
        </is>
      </c>
      <c r="K446" s="119" t="inlineStr">
        <is>
          <t>UPI/P2A/424719830314/SHARDA AR/Federal B/UPI/</t>
        </is>
      </c>
      <c r="L446" s="119" t="inlineStr">
        <is>
          <t>Axis Bank</t>
        </is>
      </c>
      <c r="M446" s="119" t="inlineStr"/>
    </row>
    <row r="447">
      <c r="A447" s="83" t="n">
        <v>45538</v>
      </c>
      <c r="B447" s="83" t="n">
        <v>45538</v>
      </c>
      <c r="C447" s="84" t="n">
        <v>75000</v>
      </c>
      <c r="D447" s="84" t="n">
        <v>0</v>
      </c>
      <c r="E447" s="84" t="inlineStr"/>
      <c r="F447" s="84" t="inlineStr">
        <is>
          <t>HDFC Securities - Buy</t>
        </is>
      </c>
      <c r="G447" s="32" t="n">
        <v>0.97</v>
      </c>
      <c r="H447" s="84" t="inlineStr">
        <is>
          <t>HDFC Securities</t>
        </is>
      </c>
      <c r="I447" s="84" t="inlineStr">
        <is>
          <t>HDFC 0094</t>
        </is>
      </c>
      <c r="J447" s="84" t="inlineStr">
        <is>
          <t>HSL</t>
        </is>
      </c>
      <c r="K447" s="84" t="inlineStr">
        <is>
          <t>NET PI TO HSL SEC A/C 523686-00602340029434</t>
        </is>
      </c>
      <c r="L447" s="84" t="inlineStr">
        <is>
          <t>HDFC Bank</t>
        </is>
      </c>
      <c r="M447" s="84" t="inlineStr"/>
    </row>
    <row r="448">
      <c r="A448" s="114" t="n">
        <v>45538</v>
      </c>
      <c r="B448" s="114" t="n">
        <v>45538</v>
      </c>
      <c r="C448" s="115" t="n">
        <v>0</v>
      </c>
      <c r="D448" s="115" t="n">
        <v>75000</v>
      </c>
      <c r="E448" s="115" t="inlineStr"/>
      <c r="F448" s="115" t="inlineStr">
        <is>
          <t>Internal Transfer</t>
        </is>
      </c>
      <c r="G448" s="53" t="n">
        <v>0.8</v>
      </c>
      <c r="H448" s="115" t="inlineStr">
        <is>
          <t>Transfer</t>
        </is>
      </c>
      <c r="I448" s="115" t="inlineStr">
        <is>
          <t>HDFC 0094</t>
        </is>
      </c>
      <c r="J448" s="115" t="inlineStr">
        <is>
          <t>Transfer from Aayush</t>
        </is>
      </c>
      <c r="K448" s="115" t="inlineStr">
        <is>
          <t>50100128155413-TPT-FROM AAYUSH-AAYUSH KUMAR GUPTA</t>
        </is>
      </c>
      <c r="L448" s="115" t="inlineStr">
        <is>
          <t>HDFC Bank</t>
        </is>
      </c>
      <c r="M448" s="115" t="inlineStr"/>
    </row>
    <row r="449">
      <c r="A449" s="83" t="n">
        <v>45540</v>
      </c>
      <c r="B449" s="83" t="n">
        <v>45540</v>
      </c>
      <c r="C449" s="84" t="n">
        <v>314.37</v>
      </c>
      <c r="D449" s="84" t="n">
        <v>0</v>
      </c>
      <c r="E449" s="84" t="inlineStr"/>
      <c r="F449" s="84" t="inlineStr">
        <is>
          <t>HDFC Securities - Buy</t>
        </is>
      </c>
      <c r="G449" s="32" t="n">
        <v>0.97</v>
      </c>
      <c r="H449" s="84" t="inlineStr">
        <is>
          <t>HDFC Securities</t>
        </is>
      </c>
      <c r="I449" s="84" t="inlineStr">
        <is>
          <t>HDFC 0094</t>
        </is>
      </c>
      <c r="J449" s="84" t="inlineStr">
        <is>
          <t>HSL</t>
        </is>
      </c>
      <c r="K449" s="84" t="inlineStr">
        <is>
          <t>NET PI TO HSL SEC A/C 523686-00602340029434</t>
        </is>
      </c>
      <c r="L449" s="84" t="inlineStr">
        <is>
          <t>HDFC Bank</t>
        </is>
      </c>
      <c r="M449" s="84" t="inlineStr"/>
    </row>
    <row r="450">
      <c r="A450" s="36" t="n">
        <v>45540</v>
      </c>
      <c r="B450" s="36" t="n">
        <v>45540</v>
      </c>
      <c r="C450" s="37" t="n">
        <v>0</v>
      </c>
      <c r="D450" s="37" t="n">
        <v>10000</v>
      </c>
      <c r="E450" s="37" t="inlineStr"/>
      <c r="F450" s="37" t="inlineStr">
        <is>
          <t>Received - Ajay Gupta</t>
        </is>
      </c>
      <c r="G450" s="32" t="n">
        <v>0.88</v>
      </c>
      <c r="H450" s="37" t="inlineStr">
        <is>
          <t>Ajay Gupta</t>
        </is>
      </c>
      <c r="I450" s="37" t="inlineStr">
        <is>
          <t>HDFC 0094</t>
        </is>
      </c>
      <c r="J450" s="37" t="inlineStr">
        <is>
          <t>UPI</t>
        </is>
      </c>
      <c r="K450" s="37" t="inlineStr">
        <is>
          <t>UPI-AJAY KUMAR GUPTA-AJAYGUPTANEL@YBL-HDFC0000167-424930662852-PAYMENT FROM PHONE</t>
        </is>
      </c>
      <c r="L450" s="37" t="inlineStr">
        <is>
          <t>HDFC Bank</t>
        </is>
      </c>
      <c r="M450" s="37" t="inlineStr"/>
    </row>
    <row r="451">
      <c r="A451" s="85" t="n">
        <v>45540</v>
      </c>
      <c r="B451" s="85" t="n">
        <v>45540</v>
      </c>
      <c r="C451" s="86" t="n">
        <v>0</v>
      </c>
      <c r="D451" s="86" t="n">
        <v>2267.51</v>
      </c>
      <c r="E451" s="86" t="inlineStr"/>
      <c r="F451" s="86" t="inlineStr">
        <is>
          <t>HDFC Securities - Sell</t>
        </is>
      </c>
      <c r="G451" s="32" t="n">
        <v>0.97</v>
      </c>
      <c r="H451" s="86" t="inlineStr">
        <is>
          <t>HDFC Securities</t>
        </is>
      </c>
      <c r="I451" s="86" t="inlineStr">
        <is>
          <t>HDFC 0094</t>
        </is>
      </c>
      <c r="J451" s="86" t="inlineStr">
        <is>
          <t>HSL</t>
        </is>
      </c>
      <c r="K451" s="86" t="inlineStr">
        <is>
          <t>NET PO FROM HSL A/C 523686-50200085415108</t>
        </is>
      </c>
      <c r="L451" s="86" t="inlineStr">
        <is>
          <t>HDFC Bank</t>
        </is>
      </c>
      <c r="M451" s="86" t="inlineStr"/>
    </row>
    <row r="452">
      <c r="A452" s="118" t="n">
        <v>45540</v>
      </c>
      <c r="B452" s="118" t="n">
        <v>45540</v>
      </c>
      <c r="C452" s="119" t="n">
        <v>0</v>
      </c>
      <c r="D452" s="119" t="n">
        <v>40</v>
      </c>
      <c r="E452" s="119" t="inlineStr"/>
      <c r="F452" s="119" t="inlineStr">
        <is>
          <t>Received - Manjoosha</t>
        </is>
      </c>
      <c r="G452" s="50" t="n">
        <v>0.55</v>
      </c>
      <c r="H452" s="119" t="inlineStr">
        <is>
          <t>Personal</t>
        </is>
      </c>
      <c r="I452" s="119" t="inlineStr">
        <is>
          <t>AXIS 7042</t>
        </is>
      </c>
      <c r="J452" s="119" t="inlineStr">
        <is>
          <t>UPI</t>
        </is>
      </c>
      <c r="K452" s="119" t="inlineStr">
        <is>
          <t>UPI/P2A/424911534092/MANJOOSHA/HDFC BANK/UPI/</t>
        </is>
      </c>
      <c r="L452" s="119" t="inlineStr">
        <is>
          <t>Axis Bank</t>
        </is>
      </c>
      <c r="M452" s="119" t="inlineStr"/>
    </row>
    <row r="453">
      <c r="A453" s="83" t="n">
        <v>45541</v>
      </c>
      <c r="B453" s="83" t="n">
        <v>45541</v>
      </c>
      <c r="C453" s="84" t="n">
        <v>307.99</v>
      </c>
      <c r="D453" s="84" t="n">
        <v>0</v>
      </c>
      <c r="E453" s="84" t="inlineStr"/>
      <c r="F453" s="84" t="inlineStr">
        <is>
          <t>HDFC Securities - Buy</t>
        </is>
      </c>
      <c r="G453" s="32" t="n">
        <v>0.97</v>
      </c>
      <c r="H453" s="84" t="inlineStr">
        <is>
          <t>HDFC Securities</t>
        </is>
      </c>
      <c r="I453" s="84" t="inlineStr">
        <is>
          <t>HDFC 0094</t>
        </is>
      </c>
      <c r="J453" s="84" t="inlineStr">
        <is>
          <t>HSL</t>
        </is>
      </c>
      <c r="K453" s="84" t="inlineStr">
        <is>
          <t>NET PI TO HSL SEC A/C 523686-00602340029434</t>
        </is>
      </c>
      <c r="L453" s="84" t="inlineStr">
        <is>
          <t>HDFC Bank</t>
        </is>
      </c>
      <c r="M453" s="84" t="inlineStr"/>
    </row>
    <row r="454">
      <c r="A454" s="64" t="n">
        <v>45541</v>
      </c>
      <c r="B454" s="64" t="n">
        <v>45541</v>
      </c>
      <c r="C454" s="65" t="n">
        <v>0</v>
      </c>
      <c r="D454" s="65" t="n">
        <v>19000</v>
      </c>
      <c r="E454" s="65" t="inlineStr"/>
      <c r="F454" s="65" t="inlineStr">
        <is>
          <t>NEFT Transfer</t>
        </is>
      </c>
      <c r="G454" s="53" t="n">
        <v>0.7</v>
      </c>
      <c r="H454" s="65" t="inlineStr">
        <is>
          <t>Transfer</t>
        </is>
      </c>
      <c r="I454" s="65" t="inlineStr">
        <is>
          <t>AXIS 7042</t>
        </is>
      </c>
      <c r="J454" s="65" t="inlineStr">
        <is>
          <t>Zerodha</t>
        </is>
      </c>
      <c r="K454" s="65" t="inlineStr">
        <is>
          <t>NEFT/YESF342500035924/ZERODHA BROKING LTD-DSCNB A//YES BANK/845c06dd7a Zerodha payout</t>
        </is>
      </c>
      <c r="L454" s="65" t="inlineStr">
        <is>
          <t>Axis Bank</t>
        </is>
      </c>
      <c r="M454" s="65" t="inlineStr"/>
    </row>
    <row r="455">
      <c r="A455" s="85" t="n">
        <v>45541</v>
      </c>
      <c r="B455" s="85" t="n">
        <v>45541</v>
      </c>
      <c r="C455" s="86" t="n">
        <v>0</v>
      </c>
      <c r="D455" s="86" t="n">
        <v>839.73</v>
      </c>
      <c r="E455" s="86" t="inlineStr"/>
      <c r="F455" s="86" t="inlineStr">
        <is>
          <t>HDFC Securities - Sell</t>
        </is>
      </c>
      <c r="G455" s="32" t="n">
        <v>0.97</v>
      </c>
      <c r="H455" s="86" t="inlineStr">
        <is>
          <t>HDFC Securities</t>
        </is>
      </c>
      <c r="I455" s="86" t="inlineStr">
        <is>
          <t>HDFC 0094</t>
        </is>
      </c>
      <c r="J455" s="86" t="inlineStr">
        <is>
          <t>HSL</t>
        </is>
      </c>
      <c r="K455" s="86" t="inlineStr">
        <is>
          <t>NET PO FROM HSL A/C 523686-50200085415108</t>
        </is>
      </c>
      <c r="L455" s="86" t="inlineStr">
        <is>
          <t>HDFC Bank</t>
        </is>
      </c>
      <c r="M455" s="86" t="inlineStr"/>
    </row>
    <row r="456">
      <c r="A456" s="85" t="n">
        <v>45541</v>
      </c>
      <c r="B456" s="85" t="n">
        <v>45541</v>
      </c>
      <c r="C456" s="86" t="n">
        <v>0</v>
      </c>
      <c r="D456" s="86" t="n">
        <v>30658.41</v>
      </c>
      <c r="E456" s="86" t="inlineStr"/>
      <c r="F456" s="86" t="inlineStr">
        <is>
          <t>HDFC Securities - Sell</t>
        </is>
      </c>
      <c r="G456" s="32" t="n">
        <v>0.97</v>
      </c>
      <c r="H456" s="86" t="inlineStr">
        <is>
          <t>HDFC Securities</t>
        </is>
      </c>
      <c r="I456" s="86" t="inlineStr">
        <is>
          <t>HDFC 0094</t>
        </is>
      </c>
      <c r="J456" s="86" t="inlineStr">
        <is>
          <t>HSL</t>
        </is>
      </c>
      <c r="K456" s="86" t="inlineStr">
        <is>
          <t>NET PO FROM HSL A/C 523686-50200085415108</t>
        </is>
      </c>
      <c r="L456" s="86" t="inlineStr">
        <is>
          <t>HDFC Bank</t>
        </is>
      </c>
      <c r="M456" s="86" t="inlineStr"/>
    </row>
    <row r="457">
      <c r="A457" s="36" t="n">
        <v>45541</v>
      </c>
      <c r="B457" s="36" t="n">
        <v>45541</v>
      </c>
      <c r="C457" s="37" t="n">
        <v>10000</v>
      </c>
      <c r="D457" s="37" t="n">
        <v>0</v>
      </c>
      <c r="E457" s="37" t="inlineStr"/>
      <c r="F457" s="37" t="inlineStr">
        <is>
          <t>Transfer - Ajay Gupta</t>
        </is>
      </c>
      <c r="G457" s="32" t="n">
        <v>0.88</v>
      </c>
      <c r="H457" s="37" t="inlineStr">
        <is>
          <t>Ajay Gupta</t>
        </is>
      </c>
      <c r="I457" s="37" t="inlineStr">
        <is>
          <t>HDFC 0094</t>
        </is>
      </c>
      <c r="J457" s="37" t="inlineStr">
        <is>
          <t>UPI</t>
        </is>
      </c>
      <c r="K457" s="37" t="inlineStr">
        <is>
          <t>UPI-AJAY KUMAR GUPTA-AJAYGUPTANEL@AXL-HDFC0000167-074263747998-MONEY RETURNED FRO</t>
        </is>
      </c>
      <c r="L457" s="37" t="inlineStr">
        <is>
          <t>HDFC Bank</t>
        </is>
      </c>
      <c r="M457" s="37" t="inlineStr"/>
    </row>
    <row r="458">
      <c r="A458" s="85" t="n">
        <v>45541</v>
      </c>
      <c r="B458" s="85" t="n">
        <v>45541</v>
      </c>
      <c r="C458" s="86" t="n">
        <v>0</v>
      </c>
      <c r="D458" s="86" t="n">
        <v>67576.46000000001</v>
      </c>
      <c r="E458" s="86" t="inlineStr"/>
      <c r="F458" s="86" t="inlineStr">
        <is>
          <t>HDFC Securities - Sell</t>
        </is>
      </c>
      <c r="G458" s="32" t="n">
        <v>0.97</v>
      </c>
      <c r="H458" s="86" t="inlineStr">
        <is>
          <t>HDFC Securities</t>
        </is>
      </c>
      <c r="I458" s="86" t="inlineStr">
        <is>
          <t>HDFC 0094</t>
        </is>
      </c>
      <c r="J458" s="86" t="inlineStr">
        <is>
          <t>HSL</t>
        </is>
      </c>
      <c r="K458" s="86" t="inlineStr">
        <is>
          <t>NET PO FROM HSL A/C 523686-50200085415108</t>
        </is>
      </c>
      <c r="L458" s="86" t="inlineStr">
        <is>
          <t>HDFC Bank</t>
        </is>
      </c>
      <c r="M458" s="86" t="inlineStr"/>
    </row>
    <row r="459">
      <c r="A459" s="116" t="n">
        <v>45544</v>
      </c>
      <c r="B459" s="116" t="n">
        <v>45544</v>
      </c>
      <c r="C459" s="117" t="n">
        <v>0</v>
      </c>
      <c r="D459" s="117" t="n">
        <v>29757</v>
      </c>
      <c r="E459" s="117" t="inlineStr"/>
      <c r="F459" s="117" t="inlineStr">
        <is>
          <t>Received - Sunita Gupta</t>
        </is>
      </c>
      <c r="G459" s="32" t="n">
        <v>0.88</v>
      </c>
      <c r="H459" s="117" t="inlineStr">
        <is>
          <t>Sunita Gupta</t>
        </is>
      </c>
      <c r="I459" s="117" t="inlineStr">
        <is>
          <t>HDFC 0094</t>
        </is>
      </c>
      <c r="J459" s="117" t="inlineStr">
        <is>
          <t>Rental Income</t>
        </is>
      </c>
      <c r="K459" s="117" t="inlineStr">
        <is>
          <t>NEFT CR-SBIN0004266-SBI GENERAL INSURANCE CO LTDSBI GEN-SUNITA GUPTA 0000000002717756-SBIN424253641625</t>
        </is>
      </c>
      <c r="L459" s="117" t="inlineStr">
        <is>
          <t>HDFC Bank</t>
        </is>
      </c>
      <c r="M459" s="117" t="inlineStr"/>
    </row>
    <row r="460">
      <c r="A460" s="83" t="n">
        <v>45544</v>
      </c>
      <c r="B460" s="83" t="n">
        <v>45544</v>
      </c>
      <c r="C460" s="84" t="n">
        <v>997.08</v>
      </c>
      <c r="D460" s="84" t="n">
        <v>0</v>
      </c>
      <c r="E460" s="84" t="inlineStr"/>
      <c r="F460" s="84" t="inlineStr">
        <is>
          <t>HDFC Securities - Buy</t>
        </is>
      </c>
      <c r="G460" s="32" t="n">
        <v>0.97</v>
      </c>
      <c r="H460" s="84" t="inlineStr">
        <is>
          <t>HDFC Securities</t>
        </is>
      </c>
      <c r="I460" s="84" t="inlineStr">
        <is>
          <t>HDFC 0094</t>
        </is>
      </c>
      <c r="J460" s="84" t="inlineStr">
        <is>
          <t>HSL</t>
        </is>
      </c>
      <c r="K460" s="84" t="inlineStr">
        <is>
          <t>NET PI TO HSL SEC A/C 523686-00602340029434</t>
        </is>
      </c>
      <c r="L460" s="84" t="inlineStr">
        <is>
          <t>HDFC Bank</t>
        </is>
      </c>
      <c r="M460" s="84" t="inlineStr"/>
    </row>
    <row r="461">
      <c r="A461" s="42" t="n">
        <v>45545</v>
      </c>
      <c r="B461" s="42" t="n">
        <v>45545</v>
      </c>
      <c r="C461" s="43" t="n">
        <v>0</v>
      </c>
      <c r="D461" s="43" t="n">
        <v>15</v>
      </c>
      <c r="E461" s="43" t="inlineStr"/>
      <c r="F461" s="43" t="inlineStr">
        <is>
          <t>Dividend Income</t>
        </is>
      </c>
      <c r="G461" s="32" t="n">
        <v>0.88</v>
      </c>
      <c r="H461" s="43" t="inlineStr">
        <is>
          <t>Dividend Income</t>
        </is>
      </c>
      <c r="I461" s="43" t="inlineStr">
        <is>
          <t>HDFC 0094</t>
        </is>
      </c>
      <c r="J461" s="43" t="inlineStr">
        <is>
          <t>Dividend Income</t>
        </is>
      </c>
      <c r="K461" s="43" t="inlineStr">
        <is>
          <t>ACH C- COAL INDIA LTD-1337214</t>
        </is>
      </c>
      <c r="L461" s="43" t="inlineStr">
        <is>
          <t>HDFC Bank</t>
        </is>
      </c>
      <c r="M461" s="43" t="inlineStr"/>
    </row>
    <row r="462">
      <c r="A462" s="42" t="n">
        <v>45545</v>
      </c>
      <c r="B462" s="42" t="n">
        <v>45545</v>
      </c>
      <c r="C462" s="43" t="n">
        <v>0</v>
      </c>
      <c r="D462" s="43" t="n">
        <v>390</v>
      </c>
      <c r="E462" s="43" t="inlineStr"/>
      <c r="F462" s="43" t="inlineStr">
        <is>
          <t>Dividend Income</t>
        </is>
      </c>
      <c r="G462" s="32" t="n">
        <v>0.88</v>
      </c>
      <c r="H462" s="43" t="inlineStr">
        <is>
          <t>Dividend Income</t>
        </is>
      </c>
      <c r="I462" s="43" t="inlineStr">
        <is>
          <t>HDFC 0094</t>
        </is>
      </c>
      <c r="J462" s="43" t="inlineStr">
        <is>
          <t>Dividend Income</t>
        </is>
      </c>
      <c r="K462" s="43" t="inlineStr">
        <is>
          <t>ACH C- HINDUSTANAERONAUTICS-4568724</t>
        </is>
      </c>
      <c r="L462" s="43" t="inlineStr">
        <is>
          <t>HDFC Bank</t>
        </is>
      </c>
      <c r="M462" s="43" t="inlineStr"/>
    </row>
    <row r="463">
      <c r="A463" s="83" t="n">
        <v>45545</v>
      </c>
      <c r="B463" s="83" t="n">
        <v>45545</v>
      </c>
      <c r="C463" s="84" t="n">
        <v>332.36</v>
      </c>
      <c r="D463" s="84" t="n">
        <v>0</v>
      </c>
      <c r="E463" s="84" t="inlineStr"/>
      <c r="F463" s="84" t="inlineStr">
        <is>
          <t>HDFC Securities - Buy</t>
        </is>
      </c>
      <c r="G463" s="32" t="n">
        <v>0.97</v>
      </c>
      <c r="H463" s="84" t="inlineStr">
        <is>
          <t>HDFC Securities</t>
        </is>
      </c>
      <c r="I463" s="84" t="inlineStr">
        <is>
          <t>HDFC 0094</t>
        </is>
      </c>
      <c r="J463" s="84" t="inlineStr">
        <is>
          <t>HSL</t>
        </is>
      </c>
      <c r="K463" s="84" t="inlineStr">
        <is>
          <t>NET PI TO HSL SEC A/C 523686-00602340029434</t>
        </is>
      </c>
      <c r="L463" s="84" t="inlineStr">
        <is>
          <t>HDFC Bank</t>
        </is>
      </c>
      <c r="M463" s="84" t="inlineStr"/>
    </row>
    <row r="464">
      <c r="A464" s="85" t="n">
        <v>45545</v>
      </c>
      <c r="B464" s="85" t="n">
        <v>45545</v>
      </c>
      <c r="C464" s="86" t="n">
        <v>0</v>
      </c>
      <c r="D464" s="86" t="n">
        <v>6103.31</v>
      </c>
      <c r="E464" s="86" t="inlineStr"/>
      <c r="F464" s="86" t="inlineStr">
        <is>
          <t>HDFC Securities - Sell</t>
        </is>
      </c>
      <c r="G464" s="32" t="n">
        <v>0.97</v>
      </c>
      <c r="H464" s="86" t="inlineStr">
        <is>
          <t>HDFC Securities</t>
        </is>
      </c>
      <c r="I464" s="86" t="inlineStr">
        <is>
          <t>HDFC 0094</t>
        </is>
      </c>
      <c r="J464" s="86" t="inlineStr">
        <is>
          <t>HSL</t>
        </is>
      </c>
      <c r="K464" s="86" t="inlineStr">
        <is>
          <t>NET PO FROM HSL A/C 523686-50200085415108</t>
        </is>
      </c>
      <c r="L464" s="86" t="inlineStr">
        <is>
          <t>HDFC Bank</t>
        </is>
      </c>
      <c r="M464" s="86" t="inlineStr"/>
    </row>
    <row r="465">
      <c r="A465" s="42" t="n">
        <v>45546</v>
      </c>
      <c r="B465" s="42" t="n">
        <v>45546</v>
      </c>
      <c r="C465" s="43" t="n">
        <v>0</v>
      </c>
      <c r="D465" s="43" t="n">
        <v>10</v>
      </c>
      <c r="E465" s="43" t="inlineStr"/>
      <c r="F465" s="43" t="inlineStr">
        <is>
          <t>Dividend Income</t>
        </is>
      </c>
      <c r="G465" s="32" t="n">
        <v>0.85</v>
      </c>
      <c r="H465" s="43" t="inlineStr">
        <is>
          <t>Dividend Income</t>
        </is>
      </c>
      <c r="I465" s="43" t="inlineStr">
        <is>
          <t>AXIS 7042</t>
        </is>
      </c>
      <c r="J465" s="43" t="inlineStr">
        <is>
          <t>Dividend Income</t>
        </is>
      </c>
      <c r="K465" s="43" t="inlineStr">
        <is>
          <t>MIL DIVIDEND AC/</t>
        </is>
      </c>
      <c r="L465" s="43" t="inlineStr">
        <is>
          <t>Axis Bank</t>
        </is>
      </c>
      <c r="M465" s="43" t="inlineStr"/>
    </row>
    <row r="466">
      <c r="A466" s="83" t="n">
        <v>45546</v>
      </c>
      <c r="B466" s="83" t="n">
        <v>45546</v>
      </c>
      <c r="C466" s="84" t="n">
        <v>42275.96</v>
      </c>
      <c r="D466" s="84" t="n">
        <v>0</v>
      </c>
      <c r="E466" s="84" t="inlineStr"/>
      <c r="F466" s="84" t="inlineStr">
        <is>
          <t>HDFC Securities - Buy</t>
        </is>
      </c>
      <c r="G466" s="32" t="n">
        <v>0.97</v>
      </c>
      <c r="H466" s="84" t="inlineStr">
        <is>
          <t>HDFC Securities</t>
        </is>
      </c>
      <c r="I466" s="84" t="inlineStr">
        <is>
          <t>HDFC 0094</t>
        </is>
      </c>
      <c r="J466" s="84" t="inlineStr">
        <is>
          <t>HSL</t>
        </is>
      </c>
      <c r="K466" s="84" t="inlineStr">
        <is>
          <t>NET PI TO HSL SEC A/C 523686-00602340029434</t>
        </is>
      </c>
      <c r="L466" s="84" t="inlineStr">
        <is>
          <t>HDFC Bank</t>
        </is>
      </c>
      <c r="M466" s="84" t="inlineStr"/>
    </row>
    <row r="467">
      <c r="A467" s="30" t="n">
        <v>45546</v>
      </c>
      <c r="B467" s="30" t="n">
        <v>45546</v>
      </c>
      <c r="C467" s="31" t="n">
        <v>0</v>
      </c>
      <c r="D467" s="31" t="n">
        <v>3515.71</v>
      </c>
      <c r="E467" s="31" t="inlineStr"/>
      <c r="F467" s="31" t="inlineStr">
        <is>
          <t>HDFC Securities - Settlement</t>
        </is>
      </c>
      <c r="G467" s="32" t="n">
        <v>0.93</v>
      </c>
      <c r="H467" s="31" t="inlineStr">
        <is>
          <t>HDFC Securities</t>
        </is>
      </c>
      <c r="I467" s="31" t="inlineStr">
        <is>
          <t>HDFC 0094</t>
        </is>
      </c>
      <c r="J467" s="31" t="inlineStr">
        <is>
          <t>HDFC Sec</t>
        </is>
      </c>
      <c r="K467" s="31" t="inlineStr">
        <is>
          <t>FT- 561193411-50200085415108 - HDFC SECURITIES LTD-CLIENT DSCNB A/C -</t>
        </is>
      </c>
      <c r="L467" s="31" t="inlineStr">
        <is>
          <t>HDFC Bank</t>
        </is>
      </c>
      <c r="M467" s="31" t="inlineStr"/>
    </row>
    <row r="468">
      <c r="A468" s="42" t="n">
        <v>45546</v>
      </c>
      <c r="B468" s="42" t="n">
        <v>45546</v>
      </c>
      <c r="C468" s="43" t="n">
        <v>0</v>
      </c>
      <c r="D468" s="43" t="n">
        <v>812.5</v>
      </c>
      <c r="E468" s="43" t="inlineStr"/>
      <c r="F468" s="43" t="inlineStr">
        <is>
          <t>Dividend Income</t>
        </is>
      </c>
      <c r="G468" s="32" t="n">
        <v>0.88</v>
      </c>
      <c r="H468" s="43" t="inlineStr">
        <is>
          <t>Dividend Income</t>
        </is>
      </c>
      <c r="I468" s="43" t="inlineStr">
        <is>
          <t>HDFC 0094</t>
        </is>
      </c>
      <c r="J468" s="43" t="inlineStr">
        <is>
          <t>Dividend Income</t>
        </is>
      </c>
      <c r="K468" s="43" t="inlineStr">
        <is>
          <t>ACH C- NTPC- FINAL DIV 23-2-NT0708240357</t>
        </is>
      </c>
      <c r="L468" s="43" t="inlineStr">
        <is>
          <t>HDFC Bank</t>
        </is>
      </c>
      <c r="M468" s="43" t="inlineStr"/>
    </row>
    <row r="469">
      <c r="A469" s="83" t="n">
        <v>45546</v>
      </c>
      <c r="B469" s="83" t="n">
        <v>45546</v>
      </c>
      <c r="C469" s="84" t="n">
        <v>334.53</v>
      </c>
      <c r="D469" s="84" t="n">
        <v>0</v>
      </c>
      <c r="E469" s="84" t="inlineStr"/>
      <c r="F469" s="84" t="inlineStr">
        <is>
          <t>HDFC Securities - Buy</t>
        </is>
      </c>
      <c r="G469" s="32" t="n">
        <v>0.97</v>
      </c>
      <c r="H469" s="84" t="inlineStr">
        <is>
          <t>HDFC Securities</t>
        </is>
      </c>
      <c r="I469" s="84" t="inlineStr">
        <is>
          <t>HDFC 0094</t>
        </is>
      </c>
      <c r="J469" s="84" t="inlineStr">
        <is>
          <t>HSL</t>
        </is>
      </c>
      <c r="K469" s="84" t="inlineStr">
        <is>
          <t>NET PI TO HSL SEC A/C 523686-00602340029434</t>
        </is>
      </c>
      <c r="L469" s="84" t="inlineStr">
        <is>
          <t>HDFC Bank</t>
        </is>
      </c>
      <c r="M469" s="84" t="inlineStr"/>
    </row>
    <row r="470">
      <c r="A470" s="42" t="n">
        <v>45546</v>
      </c>
      <c r="B470" s="42" t="n">
        <v>45546</v>
      </c>
      <c r="C470" s="43" t="n">
        <v>0</v>
      </c>
      <c r="D470" s="43" t="n">
        <v>275</v>
      </c>
      <c r="E470" s="43" t="inlineStr"/>
      <c r="F470" s="43" t="inlineStr">
        <is>
          <t>Dividend Income</t>
        </is>
      </c>
      <c r="G470" s="32" t="n">
        <v>0.88</v>
      </c>
      <c r="H470" s="43" t="inlineStr">
        <is>
          <t>Dividend Income</t>
        </is>
      </c>
      <c r="I470" s="43" t="inlineStr">
        <is>
          <t>HDFC 0094</t>
        </is>
      </c>
      <c r="J470" s="43" t="inlineStr">
        <is>
          <t>Dividend Income</t>
        </is>
      </c>
      <c r="K470" s="43" t="inlineStr">
        <is>
          <t>ACH C- POWER GRID CORPORATI-94348114</t>
        </is>
      </c>
      <c r="L470" s="43" t="inlineStr">
        <is>
          <t>HDFC Bank</t>
        </is>
      </c>
      <c r="M470" s="43" t="inlineStr"/>
    </row>
    <row r="471">
      <c r="A471" s="42" t="n">
        <v>45546</v>
      </c>
      <c r="B471" s="42" t="n">
        <v>45546</v>
      </c>
      <c r="C471" s="43" t="n">
        <v>0</v>
      </c>
      <c r="D471" s="43" t="n">
        <v>100</v>
      </c>
      <c r="E471" s="43" t="inlineStr"/>
      <c r="F471" s="43" t="inlineStr">
        <is>
          <t>Dividend Income</t>
        </is>
      </c>
      <c r="G471" s="32" t="n">
        <v>0.88</v>
      </c>
      <c r="H471" s="43" t="inlineStr">
        <is>
          <t>Dividend Income</t>
        </is>
      </c>
      <c r="I471" s="43" t="inlineStr">
        <is>
          <t>HDFC 0094</t>
        </is>
      </c>
      <c r="J471" s="43" t="inlineStr">
        <is>
          <t>Dividend Income</t>
        </is>
      </c>
      <c r="K471" s="43" t="inlineStr">
        <is>
          <t>ACH C- MANORAMA FNLDIV2324-4219</t>
        </is>
      </c>
      <c r="L471" s="43" t="inlineStr">
        <is>
          <t>HDFC Bank</t>
        </is>
      </c>
      <c r="M471" s="43" t="inlineStr"/>
    </row>
    <row r="472">
      <c r="A472" s="85" t="n">
        <v>45547</v>
      </c>
      <c r="B472" s="85" t="n">
        <v>45547</v>
      </c>
      <c r="C472" s="86" t="n">
        <v>0</v>
      </c>
      <c r="D472" s="86" t="n">
        <v>26296.32</v>
      </c>
      <c r="E472" s="86" t="inlineStr"/>
      <c r="F472" s="86" t="inlineStr">
        <is>
          <t>HDFC Securities - Sell</t>
        </is>
      </c>
      <c r="G472" s="32" t="n">
        <v>0.97</v>
      </c>
      <c r="H472" s="86" t="inlineStr">
        <is>
          <t>HDFC Securities</t>
        </is>
      </c>
      <c r="I472" s="86" t="inlineStr">
        <is>
          <t>HDFC 0094</t>
        </is>
      </c>
      <c r="J472" s="86" t="inlineStr">
        <is>
          <t>HSL</t>
        </is>
      </c>
      <c r="K472" s="86" t="inlineStr">
        <is>
          <t>NET PO FROM HSL A/C 523686-50200085415108</t>
        </is>
      </c>
      <c r="L472" s="86" t="inlineStr">
        <is>
          <t>HDFC Bank</t>
        </is>
      </c>
      <c r="M472" s="86" t="inlineStr"/>
    </row>
    <row r="473">
      <c r="A473" s="83" t="n">
        <v>45547</v>
      </c>
      <c r="B473" s="83" t="n">
        <v>45547</v>
      </c>
      <c r="C473" s="84" t="n">
        <v>320.73</v>
      </c>
      <c r="D473" s="84" t="n">
        <v>0</v>
      </c>
      <c r="E473" s="84" t="inlineStr"/>
      <c r="F473" s="84" t="inlineStr">
        <is>
          <t>HDFC Securities - Buy</t>
        </is>
      </c>
      <c r="G473" s="32" t="n">
        <v>0.97</v>
      </c>
      <c r="H473" s="84" t="inlineStr">
        <is>
          <t>HDFC Securities</t>
        </is>
      </c>
      <c r="I473" s="84" t="inlineStr">
        <is>
          <t>HDFC 0094</t>
        </is>
      </c>
      <c r="J473" s="84" t="inlineStr">
        <is>
          <t>HSL</t>
        </is>
      </c>
      <c r="K473" s="84" t="inlineStr">
        <is>
          <t>NET PI TO HSL SEC A/C 523686-00602340029434</t>
        </is>
      </c>
      <c r="L473" s="84" t="inlineStr">
        <is>
          <t>HDFC Bank</t>
        </is>
      </c>
      <c r="M473" s="84" t="inlineStr"/>
    </row>
    <row r="474">
      <c r="A474" s="85" t="n">
        <v>45548</v>
      </c>
      <c r="B474" s="85" t="n">
        <v>45548</v>
      </c>
      <c r="C474" s="86" t="n">
        <v>0</v>
      </c>
      <c r="D474" s="86" t="n">
        <v>1</v>
      </c>
      <c r="E474" s="86" t="inlineStr"/>
      <c r="F474" s="86" t="inlineStr">
        <is>
          <t>HDFC Securities - Sell</t>
        </is>
      </c>
      <c r="G474" s="32" t="n">
        <v>0.97</v>
      </c>
      <c r="H474" s="86" t="inlineStr">
        <is>
          <t>HDFC Securities</t>
        </is>
      </c>
      <c r="I474" s="86" t="inlineStr">
        <is>
          <t>HDFC 0094</t>
        </is>
      </c>
      <c r="J474" s="86" t="inlineStr">
        <is>
          <t>HSL</t>
        </is>
      </c>
      <c r="K474" s="86" t="inlineStr">
        <is>
          <t>NET PO FROM HSL A/C 523686-50200085415108</t>
        </is>
      </c>
      <c r="L474" s="86" t="inlineStr">
        <is>
          <t>HDFC Bank</t>
        </is>
      </c>
      <c r="M474" s="86" t="inlineStr"/>
    </row>
    <row r="475">
      <c r="A475" s="30" t="n">
        <v>45548</v>
      </c>
      <c r="B475" s="30" t="n">
        <v>45548</v>
      </c>
      <c r="C475" s="31" t="n">
        <v>0</v>
      </c>
      <c r="D475" s="31" t="n">
        <v>8964.040000000001</v>
      </c>
      <c r="E475" s="31" t="inlineStr"/>
      <c r="F475" s="31" t="inlineStr">
        <is>
          <t>HDFC Securities - Settlement</t>
        </is>
      </c>
      <c r="G475" s="32" t="n">
        <v>0.93</v>
      </c>
      <c r="H475" s="31" t="inlineStr">
        <is>
          <t>HDFC Securities</t>
        </is>
      </c>
      <c r="I475" s="31" t="inlineStr">
        <is>
          <t>HDFC 0094</t>
        </is>
      </c>
      <c r="J475" s="31" t="inlineStr">
        <is>
          <t>HDFC Sec</t>
        </is>
      </c>
      <c r="K475" s="31" t="inlineStr">
        <is>
          <t>FT- 562070321-50200085415108 - HDFC SECURITIES LTD-CLIENT DSCNB A/C -</t>
        </is>
      </c>
      <c r="L475" s="31" t="inlineStr">
        <is>
          <t>HDFC Bank</t>
        </is>
      </c>
      <c r="M475" s="31" t="inlineStr"/>
    </row>
    <row r="476">
      <c r="A476" s="83" t="n">
        <v>45548</v>
      </c>
      <c r="B476" s="83" t="n">
        <v>45548</v>
      </c>
      <c r="C476" s="84" t="n">
        <v>348.93</v>
      </c>
      <c r="D476" s="84" t="n">
        <v>0</v>
      </c>
      <c r="E476" s="84" t="inlineStr"/>
      <c r="F476" s="84" t="inlineStr">
        <is>
          <t>HDFC Securities - Buy</t>
        </is>
      </c>
      <c r="G476" s="32" t="n">
        <v>0.97</v>
      </c>
      <c r="H476" s="84" t="inlineStr">
        <is>
          <t>HDFC Securities</t>
        </is>
      </c>
      <c r="I476" s="84" t="inlineStr">
        <is>
          <t>HDFC 0094</t>
        </is>
      </c>
      <c r="J476" s="84" t="inlineStr">
        <is>
          <t>HSL</t>
        </is>
      </c>
      <c r="K476" s="84" t="inlineStr">
        <is>
          <t>NET PI TO HSL SEC A/C 523686-00602340029434</t>
        </is>
      </c>
      <c r="L476" s="84" t="inlineStr">
        <is>
          <t>HDFC Bank</t>
        </is>
      </c>
      <c r="M476" s="84" t="inlineStr"/>
    </row>
    <row r="477">
      <c r="A477" s="83" t="n">
        <v>45548</v>
      </c>
      <c r="B477" s="83" t="n">
        <v>45548</v>
      </c>
      <c r="C477" s="84" t="n">
        <v>401.48</v>
      </c>
      <c r="D477" s="84" t="n">
        <v>0</v>
      </c>
      <c r="E477" s="84" t="inlineStr"/>
      <c r="F477" s="84" t="inlineStr">
        <is>
          <t>HDFC Securities - Buy</t>
        </is>
      </c>
      <c r="G477" s="32" t="n">
        <v>0.97</v>
      </c>
      <c r="H477" s="84" t="inlineStr">
        <is>
          <t>HDFC Securities</t>
        </is>
      </c>
      <c r="I477" s="84" t="inlineStr">
        <is>
          <t>HDFC 0094</t>
        </is>
      </c>
      <c r="J477" s="84" t="inlineStr">
        <is>
          <t>HSL</t>
        </is>
      </c>
      <c r="K477" s="84" t="inlineStr">
        <is>
          <t>NET PI TO HSL SEC A/C 523686-00602340029434</t>
        </is>
      </c>
      <c r="L477" s="84" t="inlineStr">
        <is>
          <t>HDFC Bank</t>
        </is>
      </c>
      <c r="M477" s="84" t="inlineStr"/>
    </row>
    <row r="478">
      <c r="A478" s="116" t="n">
        <v>45550</v>
      </c>
      <c r="B478" s="116" t="n">
        <v>45550</v>
      </c>
      <c r="C478" s="117" t="n">
        <v>105000</v>
      </c>
      <c r="D478" s="117" t="n">
        <v>0</v>
      </c>
      <c r="E478" s="117" t="inlineStr"/>
      <c r="F478" s="117" t="inlineStr">
        <is>
          <t>Transfer - Sunita Gupta</t>
        </is>
      </c>
      <c r="G478" s="32" t="n">
        <v>0.88</v>
      </c>
      <c r="H478" s="117" t="inlineStr">
        <is>
          <t>Sunita Gupta</t>
        </is>
      </c>
      <c r="I478" s="117" t="inlineStr">
        <is>
          <t>HDFC 0094</t>
        </is>
      </c>
      <c r="J478" s="117" t="inlineStr">
        <is>
          <t>Transfer to Aayush</t>
        </is>
      </c>
      <c r="K478" s="117" t="inlineStr">
        <is>
          <t>50100128155413-TPT-MNY RETRN FRM SUNITA TO AAYUSH-AAYUSH KUMAR GUPTA</t>
        </is>
      </c>
      <c r="L478" s="117" t="inlineStr">
        <is>
          <t>HDFC Bank</t>
        </is>
      </c>
      <c r="M478" s="117" t="inlineStr"/>
    </row>
    <row r="479">
      <c r="A479" s="83" t="n">
        <v>45551</v>
      </c>
      <c r="B479" s="83" t="n">
        <v>45551</v>
      </c>
      <c r="C479" s="84" t="n">
        <v>1055.94</v>
      </c>
      <c r="D479" s="84" t="n">
        <v>0</v>
      </c>
      <c r="E479" s="84" t="inlineStr"/>
      <c r="F479" s="84" t="inlineStr">
        <is>
          <t>HDFC Securities - Buy</t>
        </is>
      </c>
      <c r="G479" s="32" t="n">
        <v>0.97</v>
      </c>
      <c r="H479" s="84" t="inlineStr">
        <is>
          <t>HDFC Securities</t>
        </is>
      </c>
      <c r="I479" s="84" t="inlineStr">
        <is>
          <t>HDFC 0094</t>
        </is>
      </c>
      <c r="J479" s="84" t="inlineStr">
        <is>
          <t>HSL</t>
        </is>
      </c>
      <c r="K479" s="84" t="inlineStr">
        <is>
          <t>NET PI TO HSL SEC A/C 523686-00602340029434</t>
        </is>
      </c>
      <c r="L479" s="84" t="inlineStr">
        <is>
          <t>HDFC Bank</t>
        </is>
      </c>
      <c r="M479" s="84" t="inlineStr"/>
    </row>
    <row r="480">
      <c r="A480" s="64" t="n">
        <v>45551</v>
      </c>
      <c r="B480" s="64" t="n">
        <v>45551</v>
      </c>
      <c r="C480" s="65" t="n">
        <v>5000</v>
      </c>
      <c r="D480" s="65" t="n">
        <v>0</v>
      </c>
      <c r="E480" s="65" t="inlineStr"/>
      <c r="F480" s="65" t="inlineStr">
        <is>
          <t>MF Investment</t>
        </is>
      </c>
      <c r="G480" s="32" t="n">
        <v>0.92</v>
      </c>
      <c r="H480" s="65" t="inlineStr">
        <is>
          <t>Mutual_Fund_Investments</t>
        </is>
      </c>
      <c r="I480" s="65" t="inlineStr">
        <is>
          <t>HDFC 0094</t>
        </is>
      </c>
      <c r="J480" s="65" t="inlineStr">
        <is>
          <t>SIP  - 5000</t>
        </is>
      </c>
      <c r="K480" s="65" t="inlineStr">
        <is>
          <t>ACH D- INDIAN CLEARING CORP-P25847643X05</t>
        </is>
      </c>
      <c r="L480" s="65" t="inlineStr">
        <is>
          <t>HDFC Bank</t>
        </is>
      </c>
      <c r="M480" s="65" t="inlineStr"/>
    </row>
    <row r="481">
      <c r="A481" s="83" t="n">
        <v>45552</v>
      </c>
      <c r="B481" s="83" t="n">
        <v>45552</v>
      </c>
      <c r="C481" s="84" t="n">
        <v>2257.47</v>
      </c>
      <c r="D481" s="84" t="n">
        <v>0</v>
      </c>
      <c r="E481" s="84" t="inlineStr"/>
      <c r="F481" s="84" t="inlineStr">
        <is>
          <t>HDFC Securities - Buy</t>
        </is>
      </c>
      <c r="G481" s="32" t="n">
        <v>0.97</v>
      </c>
      <c r="H481" s="84" t="inlineStr">
        <is>
          <t>HDFC Securities</t>
        </is>
      </c>
      <c r="I481" s="84" t="inlineStr">
        <is>
          <t>HDFC 0094</t>
        </is>
      </c>
      <c r="J481" s="84" t="inlineStr">
        <is>
          <t>HSL</t>
        </is>
      </c>
      <c r="K481" s="84" t="inlineStr">
        <is>
          <t>NET PI TO HSL SEC A/C 523686-00602340029434</t>
        </is>
      </c>
      <c r="L481" s="84" t="inlineStr">
        <is>
          <t>HDFC Bank</t>
        </is>
      </c>
      <c r="M481" s="84" t="inlineStr"/>
    </row>
    <row r="482">
      <c r="A482" s="42" t="n">
        <v>45552</v>
      </c>
      <c r="B482" s="42" t="n">
        <v>45552</v>
      </c>
      <c r="C482" s="43" t="n">
        <v>0</v>
      </c>
      <c r="D482" s="43" t="n">
        <v>3139.26</v>
      </c>
      <c r="E482" s="43" t="inlineStr"/>
      <c r="F482" s="43" t="inlineStr">
        <is>
          <t>Dividend Income</t>
        </is>
      </c>
      <c r="G482" s="32" t="n">
        <v>0.85</v>
      </c>
      <c r="H482" s="43" t="inlineStr">
        <is>
          <t>Dividend Income</t>
        </is>
      </c>
      <c r="I482" s="43" t="inlineStr">
        <is>
          <t>HDFC 0094</t>
        </is>
      </c>
      <c r="J482" s="43" t="inlineStr">
        <is>
          <t>Dividend Income</t>
        </is>
      </c>
      <c r="K482" s="43" t="inlineStr">
        <is>
          <t>FT- ICICI PRUDENTIAL DIVIDEND DC A/C - ICICI_PRU_MF_DIVIDEND_  2759P_ 27883351</t>
        </is>
      </c>
      <c r="L482" s="43" t="inlineStr">
        <is>
          <t>HDFC Bank</t>
        </is>
      </c>
      <c r="M482" s="43" t="inlineStr"/>
    </row>
    <row r="483">
      <c r="A483" s="89" t="n">
        <v>45552</v>
      </c>
      <c r="B483" s="89" t="n">
        <v>45552</v>
      </c>
      <c r="C483" s="90" t="n">
        <v>1454.21</v>
      </c>
      <c r="D483" s="90" t="n">
        <v>0</v>
      </c>
      <c r="E483" s="90" t="inlineStr"/>
      <c r="F483" s="90" t="inlineStr">
        <is>
          <t>Depository Charges</t>
        </is>
      </c>
      <c r="G483" s="32" t="n">
        <v>0.93</v>
      </c>
      <c r="H483" s="90" t="inlineStr">
        <is>
          <t>Depository Charges</t>
        </is>
      </c>
      <c r="I483" s="90" t="inlineStr">
        <is>
          <t>HDFC 0094</t>
        </is>
      </c>
      <c r="J483" s="90" t="inlineStr">
        <is>
          <t>Depository Charges</t>
        </is>
      </c>
      <c r="K483" s="90" t="inlineStr">
        <is>
          <t>DEPOSITORY CHARGES AUG24 - 41060499</t>
        </is>
      </c>
      <c r="L483" s="90" t="inlineStr">
        <is>
          <t>HDFC Bank</t>
        </is>
      </c>
      <c r="M483" s="90" t="inlineStr"/>
    </row>
    <row r="484">
      <c r="A484" s="30" t="n">
        <v>45552</v>
      </c>
      <c r="B484" s="30" t="n">
        <v>45552</v>
      </c>
      <c r="C484" s="31" t="n">
        <v>0</v>
      </c>
      <c r="D484" s="31" t="n">
        <v>16944.84</v>
      </c>
      <c r="E484" s="31" t="inlineStr"/>
      <c r="F484" s="31" t="inlineStr">
        <is>
          <t>HDFC Securities - Settlement</t>
        </is>
      </c>
      <c r="G484" s="32" t="n">
        <v>0.93</v>
      </c>
      <c r="H484" s="31" t="inlineStr">
        <is>
          <t>HDFC Securities</t>
        </is>
      </c>
      <c r="I484" s="31" t="inlineStr">
        <is>
          <t>HDFC 0094</t>
        </is>
      </c>
      <c r="J484" s="31" t="inlineStr">
        <is>
          <t>HDFC Sec</t>
        </is>
      </c>
      <c r="K484" s="31" t="inlineStr">
        <is>
          <t>FT- 562928476-50200085415108 - HDFC SECURITIES LTD-CLIENT DSCNB A/C -</t>
        </is>
      </c>
      <c r="L484" s="31" t="inlineStr">
        <is>
          <t>HDFC Bank</t>
        </is>
      </c>
      <c r="M484" s="31" t="inlineStr"/>
    </row>
    <row r="485">
      <c r="A485" s="83" t="n">
        <v>45552</v>
      </c>
      <c r="B485" s="83" t="n">
        <v>45552</v>
      </c>
      <c r="C485" s="84" t="n">
        <v>351.98</v>
      </c>
      <c r="D485" s="84" t="n">
        <v>0</v>
      </c>
      <c r="E485" s="84" t="inlineStr"/>
      <c r="F485" s="84" t="inlineStr">
        <is>
          <t>HDFC Securities - Buy</t>
        </is>
      </c>
      <c r="G485" s="32" t="n">
        <v>0.97</v>
      </c>
      <c r="H485" s="84" t="inlineStr">
        <is>
          <t>HDFC Securities</t>
        </is>
      </c>
      <c r="I485" s="84" t="inlineStr">
        <is>
          <t>HDFC 0094</t>
        </is>
      </c>
      <c r="J485" s="84" t="inlineStr">
        <is>
          <t>HSL</t>
        </is>
      </c>
      <c r="K485" s="84" t="inlineStr">
        <is>
          <t>NET PI TO HSL SEC A/C 523686-00602340029434</t>
        </is>
      </c>
      <c r="L485" s="84" t="inlineStr">
        <is>
          <t>HDFC Bank</t>
        </is>
      </c>
      <c r="M485" s="84" t="inlineStr"/>
    </row>
    <row r="486">
      <c r="A486" s="83" t="n">
        <v>45553</v>
      </c>
      <c r="B486" s="83" t="n">
        <v>45553</v>
      </c>
      <c r="C486" s="84" t="n">
        <v>342.65</v>
      </c>
      <c r="D486" s="84" t="n">
        <v>0</v>
      </c>
      <c r="E486" s="84" t="inlineStr"/>
      <c r="F486" s="84" t="inlineStr">
        <is>
          <t>HDFC Securities - Buy</t>
        </is>
      </c>
      <c r="G486" s="32" t="n">
        <v>0.97</v>
      </c>
      <c r="H486" s="84" t="inlineStr">
        <is>
          <t>HDFC Securities</t>
        </is>
      </c>
      <c r="I486" s="84" t="inlineStr">
        <is>
          <t>HDFC 0094</t>
        </is>
      </c>
      <c r="J486" s="84" t="inlineStr">
        <is>
          <t>HSL</t>
        </is>
      </c>
      <c r="K486" s="84" t="inlineStr">
        <is>
          <t>NET PI TO HSL SEC A/C 523686-00602340029434</t>
        </is>
      </c>
      <c r="L486" s="84" t="inlineStr">
        <is>
          <t>HDFC Bank</t>
        </is>
      </c>
      <c r="M486" s="84" t="inlineStr"/>
    </row>
    <row r="487">
      <c r="A487" s="83" t="n">
        <v>45553</v>
      </c>
      <c r="B487" s="83" t="n">
        <v>45553</v>
      </c>
      <c r="C487" s="84" t="n">
        <v>36560.41</v>
      </c>
      <c r="D487" s="84" t="n">
        <v>0</v>
      </c>
      <c r="E487" s="84" t="inlineStr"/>
      <c r="F487" s="84" t="inlineStr">
        <is>
          <t>HDFC Securities - Buy</t>
        </is>
      </c>
      <c r="G487" s="32" t="n">
        <v>0.97</v>
      </c>
      <c r="H487" s="84" t="inlineStr">
        <is>
          <t>HDFC Securities</t>
        </is>
      </c>
      <c r="I487" s="84" t="inlineStr">
        <is>
          <t>HDFC 0094</t>
        </is>
      </c>
      <c r="J487" s="84" t="inlineStr">
        <is>
          <t>HSL</t>
        </is>
      </c>
      <c r="K487" s="84" t="inlineStr">
        <is>
          <t>NET PI TO HSL SEC A/C 523686-00602340029434</t>
        </is>
      </c>
      <c r="L487" s="84" t="inlineStr">
        <is>
          <t>HDFC Bank</t>
        </is>
      </c>
      <c r="M487" s="84" t="inlineStr"/>
    </row>
    <row r="488">
      <c r="A488" s="120" t="n">
        <v>45554</v>
      </c>
      <c r="B488" s="120" t="n">
        <v>45554</v>
      </c>
      <c r="C488" s="121" t="n">
        <v>236</v>
      </c>
      <c r="D488" s="121" t="n">
        <v>0</v>
      </c>
      <c r="E488" s="121" t="inlineStr"/>
      <c r="F488" s="121" t="inlineStr">
        <is>
          <t>What is this?</t>
        </is>
      </c>
      <c r="G488" s="50" t="n">
        <v>0</v>
      </c>
      <c r="H488" s="121" t="inlineStr">
        <is>
          <t>Suspense</t>
        </is>
      </c>
      <c r="I488" s="121" t="inlineStr">
        <is>
          <t>SBI 7685</t>
        </is>
      </c>
      <c r="J488" s="121" t="inlineStr">
        <is>
          <t>Bank Charges</t>
        </is>
      </c>
      <c r="K488" s="121" t="inlineStr">
        <is>
          <t xml:space="preserve">   DEBIT-ATMCard AMC  652294*8079--</t>
        </is>
      </c>
      <c r="L488" s="121" t="inlineStr">
        <is>
          <t>State Bank of India</t>
        </is>
      </c>
      <c r="M488" s="121" t="inlineStr"/>
    </row>
    <row r="489">
      <c r="A489" s="85" t="n">
        <v>45554</v>
      </c>
      <c r="B489" s="85" t="n">
        <v>45554</v>
      </c>
      <c r="C489" s="86" t="n">
        <v>0</v>
      </c>
      <c r="D489" s="86" t="n">
        <v>19217.6</v>
      </c>
      <c r="E489" s="86" t="inlineStr"/>
      <c r="F489" s="86" t="inlineStr">
        <is>
          <t>HDFC Securities - Sell</t>
        </is>
      </c>
      <c r="G489" s="32" t="n">
        <v>0.97</v>
      </c>
      <c r="H489" s="86" t="inlineStr">
        <is>
          <t>HDFC Securities</t>
        </is>
      </c>
      <c r="I489" s="86" t="inlineStr">
        <is>
          <t>HDFC 0094</t>
        </is>
      </c>
      <c r="J489" s="86" t="inlineStr">
        <is>
          <t>HSL</t>
        </is>
      </c>
      <c r="K489" s="86" t="inlineStr">
        <is>
          <t>NET PO FROM HSL A/C 523686-50200085415108</t>
        </is>
      </c>
      <c r="L489" s="86" t="inlineStr">
        <is>
          <t>HDFC Bank</t>
        </is>
      </c>
      <c r="M489" s="86" t="inlineStr"/>
    </row>
    <row r="490">
      <c r="A490" s="83" t="n">
        <v>45554</v>
      </c>
      <c r="B490" s="83" t="n">
        <v>45554</v>
      </c>
      <c r="C490" s="84" t="n">
        <v>329.62</v>
      </c>
      <c r="D490" s="84" t="n">
        <v>0</v>
      </c>
      <c r="E490" s="84" t="inlineStr"/>
      <c r="F490" s="84" t="inlineStr">
        <is>
          <t>HDFC Securities - Buy</t>
        </is>
      </c>
      <c r="G490" s="32" t="n">
        <v>0.97</v>
      </c>
      <c r="H490" s="84" t="inlineStr">
        <is>
          <t>HDFC Securities</t>
        </is>
      </c>
      <c r="I490" s="84" t="inlineStr">
        <is>
          <t>HDFC 0094</t>
        </is>
      </c>
      <c r="J490" s="84" t="inlineStr">
        <is>
          <t>HSL</t>
        </is>
      </c>
      <c r="K490" s="84" t="inlineStr">
        <is>
          <t>NET PI TO HSL SEC A/C 523686-00602340029434</t>
        </is>
      </c>
      <c r="L490" s="84" t="inlineStr">
        <is>
          <t>HDFC Bank</t>
        </is>
      </c>
      <c r="M490" s="84" t="inlineStr"/>
    </row>
    <row r="491">
      <c r="A491" s="83" t="n">
        <v>45554</v>
      </c>
      <c r="B491" s="83" t="n">
        <v>45554</v>
      </c>
      <c r="C491" s="84" t="n">
        <v>7169.87</v>
      </c>
      <c r="D491" s="84" t="n">
        <v>0</v>
      </c>
      <c r="E491" s="84" t="inlineStr"/>
      <c r="F491" s="84" t="inlineStr">
        <is>
          <t>HDFC Securities - Buy</t>
        </is>
      </c>
      <c r="G491" s="32" t="n">
        <v>0.97</v>
      </c>
      <c r="H491" s="84" t="inlineStr">
        <is>
          <t>HDFC Securities</t>
        </is>
      </c>
      <c r="I491" s="84" t="inlineStr">
        <is>
          <t>HDFC 0094</t>
        </is>
      </c>
      <c r="J491" s="84" t="inlineStr">
        <is>
          <t>HSL</t>
        </is>
      </c>
      <c r="K491" s="84" t="inlineStr">
        <is>
          <t>NET PI TO HSL SEC A/C 523686-00602340029434</t>
        </is>
      </c>
      <c r="L491" s="84" t="inlineStr">
        <is>
          <t>HDFC Bank</t>
        </is>
      </c>
      <c r="M491" s="84" t="inlineStr"/>
    </row>
    <row r="492">
      <c r="A492" s="83" t="n">
        <v>45555</v>
      </c>
      <c r="B492" s="83" t="n">
        <v>45555</v>
      </c>
      <c r="C492" s="84" t="n">
        <v>366.63</v>
      </c>
      <c r="D492" s="84" t="n">
        <v>0</v>
      </c>
      <c r="E492" s="84" t="inlineStr"/>
      <c r="F492" s="84" t="inlineStr">
        <is>
          <t>HDFC Securities - Buy</t>
        </is>
      </c>
      <c r="G492" s="32" t="n">
        <v>0.97</v>
      </c>
      <c r="H492" s="84" t="inlineStr">
        <is>
          <t>HDFC Securities</t>
        </is>
      </c>
      <c r="I492" s="84" t="inlineStr">
        <is>
          <t>HDFC 0094</t>
        </is>
      </c>
      <c r="J492" s="84" t="inlineStr">
        <is>
          <t>HSL</t>
        </is>
      </c>
      <c r="K492" s="84" t="inlineStr">
        <is>
          <t>NET PI TO HSL SEC A/C 523686-00602340029434</t>
        </is>
      </c>
      <c r="L492" s="84" t="inlineStr">
        <is>
          <t>HDFC Bank</t>
        </is>
      </c>
      <c r="M492" s="84" t="inlineStr"/>
    </row>
    <row r="493">
      <c r="A493" s="48" t="n">
        <v>45556</v>
      </c>
      <c r="B493" s="48" t="n">
        <v>45556</v>
      </c>
      <c r="C493" s="49" t="n">
        <v>310</v>
      </c>
      <c r="D493" s="49" t="n">
        <v>0</v>
      </c>
      <c r="E493" s="49" t="inlineStr">
        <is>
          <t>Bharti Ratan Devnani</t>
        </is>
      </c>
      <c r="F493" s="49" t="inlineStr">
        <is>
          <t>UPI Payment</t>
        </is>
      </c>
      <c r="G493" s="50" t="n">
        <v>0.55</v>
      </c>
      <c r="H493" s="49" t="inlineStr">
        <is>
          <t>Personal</t>
        </is>
      </c>
      <c r="I493" s="49" t="inlineStr">
        <is>
          <t>AXIS 7042</t>
        </is>
      </c>
      <c r="J493" s="49" t="inlineStr">
        <is>
          <t>UPI</t>
        </is>
      </c>
      <c r="K493" s="49" t="inlineStr">
        <is>
          <t>UPI/P2A/463116904245/BHARTI RATAN DEVNANI /tiffin/Union Bank of India</t>
        </is>
      </c>
      <c r="L493" s="49" t="inlineStr">
        <is>
          <t>Axis Bank</t>
        </is>
      </c>
      <c r="M493" s="49" t="inlineStr"/>
    </row>
    <row r="494">
      <c r="A494" s="48" t="n">
        <v>45557</v>
      </c>
      <c r="B494" s="48" t="n">
        <v>45557</v>
      </c>
      <c r="C494" s="49" t="n">
        <v>422</v>
      </c>
      <c r="D494" s="49" t="n">
        <v>0</v>
      </c>
      <c r="E494" s="49" t="inlineStr">
        <is>
          <t>Shas</t>
        </is>
      </c>
      <c r="F494" s="49" t="inlineStr">
        <is>
          <t>UPI Payment</t>
        </is>
      </c>
      <c r="G494" s="50" t="n">
        <v>0.55</v>
      </c>
      <c r="H494" s="49" t="inlineStr">
        <is>
          <t>Personal</t>
        </is>
      </c>
      <c r="I494" s="49" t="inlineStr">
        <is>
          <t>AXIS 7042</t>
        </is>
      </c>
      <c r="J494" s="49" t="inlineStr">
        <is>
          <t>UPI</t>
        </is>
      </c>
      <c r="K494" s="49" t="inlineStr">
        <is>
          <t>UPI/P2M/463260761650/SHAS                 /Paymen/Yes Bank Ltd</t>
        </is>
      </c>
      <c r="L494" s="49" t="inlineStr">
        <is>
          <t>Axis Bank</t>
        </is>
      </c>
      <c r="M494" s="49" t="inlineStr"/>
    </row>
    <row r="495">
      <c r="A495" s="83" t="n">
        <v>45558</v>
      </c>
      <c r="B495" s="83" t="n">
        <v>45558</v>
      </c>
      <c r="C495" s="84" t="n">
        <v>1099.89</v>
      </c>
      <c r="D495" s="84" t="n">
        <v>0</v>
      </c>
      <c r="E495" s="84" t="inlineStr"/>
      <c r="F495" s="84" t="inlineStr">
        <is>
          <t>HDFC Securities - Buy</t>
        </is>
      </c>
      <c r="G495" s="32" t="n">
        <v>0.97</v>
      </c>
      <c r="H495" s="84" t="inlineStr">
        <is>
          <t>HDFC Securities</t>
        </is>
      </c>
      <c r="I495" s="84" t="inlineStr">
        <is>
          <t>HDFC 0094</t>
        </is>
      </c>
      <c r="J495" s="84" t="inlineStr">
        <is>
          <t>HSL</t>
        </is>
      </c>
      <c r="K495" s="84" t="inlineStr">
        <is>
          <t>NET PI TO HSL SEC A/C 523686-00602340029434</t>
        </is>
      </c>
      <c r="L495" s="84" t="inlineStr">
        <is>
          <t>HDFC Bank</t>
        </is>
      </c>
      <c r="M495" s="84" t="inlineStr"/>
    </row>
    <row r="496">
      <c r="A496" s="64" t="n">
        <v>45558</v>
      </c>
      <c r="B496" s="64" t="n">
        <v>45558</v>
      </c>
      <c r="C496" s="65" t="n">
        <v>16728</v>
      </c>
      <c r="D496" s="65" t="n">
        <v>0</v>
      </c>
      <c r="E496" s="65" t="inlineStr"/>
      <c r="F496" s="65" t="inlineStr">
        <is>
          <t>SIP</t>
        </is>
      </c>
      <c r="G496" s="32" t="n">
        <v>0.9</v>
      </c>
      <c r="H496" s="65" t="inlineStr">
        <is>
          <t>SIP</t>
        </is>
      </c>
      <c r="I496" s="65" t="inlineStr">
        <is>
          <t>HDFC 0094</t>
        </is>
      </c>
      <c r="J496" s="65" t="inlineStr">
        <is>
          <t>Electricity Bill</t>
        </is>
      </c>
      <c r="K496" s="65" t="inlineStr">
        <is>
          <t>YHDF2442937528/BILLDKTHECALCUTTAELE</t>
        </is>
      </c>
      <c r="L496" s="65" t="inlineStr">
        <is>
          <t>HDFC Bank</t>
        </is>
      </c>
      <c r="M496" s="65" t="inlineStr"/>
    </row>
    <row r="497">
      <c r="A497" s="83" t="n">
        <v>45558</v>
      </c>
      <c r="B497" s="83" t="n">
        <v>45558</v>
      </c>
      <c r="C497" s="84" t="n">
        <v>181.39</v>
      </c>
      <c r="D497" s="84" t="n">
        <v>0</v>
      </c>
      <c r="E497" s="84" t="inlineStr"/>
      <c r="F497" s="84" t="inlineStr">
        <is>
          <t>HDFC Securities - Buy</t>
        </is>
      </c>
      <c r="G497" s="32" t="n">
        <v>0.97</v>
      </c>
      <c r="H497" s="84" t="inlineStr">
        <is>
          <t>HDFC Securities</t>
        </is>
      </c>
      <c r="I497" s="84" t="inlineStr">
        <is>
          <t>HDFC 0094</t>
        </is>
      </c>
      <c r="J497" s="84" t="inlineStr">
        <is>
          <t>HSL</t>
        </is>
      </c>
      <c r="K497" s="84" t="inlineStr">
        <is>
          <t>NET PI TO HSL SEC A/C 523686-00602340029434</t>
        </is>
      </c>
      <c r="L497" s="84" t="inlineStr">
        <is>
          <t>HDFC Bank</t>
        </is>
      </c>
      <c r="M497" s="84" t="inlineStr"/>
    </row>
    <row r="498">
      <c r="A498" s="30" t="n">
        <v>45558</v>
      </c>
      <c r="B498" s="30" t="n">
        <v>45558</v>
      </c>
      <c r="C498" s="31" t="n">
        <v>0</v>
      </c>
      <c r="D498" s="31" t="n">
        <v>88747.78</v>
      </c>
      <c r="E498" s="31" t="inlineStr"/>
      <c r="F498" s="31" t="inlineStr">
        <is>
          <t>HDFC Securities - Settlement</t>
        </is>
      </c>
      <c r="G498" s="32" t="n">
        <v>0.93</v>
      </c>
      <c r="H498" s="31" t="inlineStr">
        <is>
          <t>HDFC Securities</t>
        </is>
      </c>
      <c r="I498" s="31" t="inlineStr">
        <is>
          <t>HDFC 0094</t>
        </is>
      </c>
      <c r="J498" s="31" t="inlineStr">
        <is>
          <t>HDFC Sec</t>
        </is>
      </c>
      <c r="K498" s="31" t="inlineStr">
        <is>
          <t>FT- 564856018-50200085415108 - HDFC SECURITIES LTD-CLIENT DSCNB A/C -</t>
        </is>
      </c>
      <c r="L498" s="31" t="inlineStr">
        <is>
          <t>HDFC Bank</t>
        </is>
      </c>
      <c r="M498" s="31" t="inlineStr"/>
    </row>
    <row r="499">
      <c r="A499" s="48" t="n">
        <v>45559</v>
      </c>
      <c r="B499" s="48" t="n">
        <v>45559</v>
      </c>
      <c r="C499" s="49" t="n">
        <v>500</v>
      </c>
      <c r="D499" s="49" t="n">
        <v>0</v>
      </c>
      <c r="E499" s="49" t="inlineStr">
        <is>
          <t>Sangita Rajendra Muth</t>
        </is>
      </c>
      <c r="F499" s="49" t="inlineStr">
        <is>
          <t>UPI Payment</t>
        </is>
      </c>
      <c r="G499" s="50" t="n">
        <v>0.55</v>
      </c>
      <c r="H499" s="49" t="inlineStr">
        <is>
          <t>Personal</t>
        </is>
      </c>
      <c r="I499" s="49" t="inlineStr">
        <is>
          <t>AXIS 7042</t>
        </is>
      </c>
      <c r="J499" s="49" t="inlineStr">
        <is>
          <t>UPI</t>
        </is>
      </c>
      <c r="K499" s="49" t="inlineStr">
        <is>
          <t>UPI/P2M/463437357157/SANGITA RAJENDRA MUTH/dentis/Yes Bank Ltd</t>
        </is>
      </c>
      <c r="L499" s="49" t="inlineStr">
        <is>
          <t>Axis Bank</t>
        </is>
      </c>
      <c r="M499" s="49" t="inlineStr"/>
    </row>
    <row r="500">
      <c r="A500" s="83" t="n">
        <v>45559</v>
      </c>
      <c r="B500" s="83" t="n">
        <v>45559</v>
      </c>
      <c r="C500" s="84" t="n">
        <v>339.23</v>
      </c>
      <c r="D500" s="84" t="n">
        <v>0</v>
      </c>
      <c r="E500" s="84" t="inlineStr"/>
      <c r="F500" s="84" t="inlineStr">
        <is>
          <t>HDFC Securities - Buy</t>
        </is>
      </c>
      <c r="G500" s="32" t="n">
        <v>0.97</v>
      </c>
      <c r="H500" s="84" t="inlineStr">
        <is>
          <t>HDFC Securities</t>
        </is>
      </c>
      <c r="I500" s="84" t="inlineStr">
        <is>
          <t>HDFC 0094</t>
        </is>
      </c>
      <c r="J500" s="84" t="inlineStr">
        <is>
          <t>HSL</t>
        </is>
      </c>
      <c r="K500" s="84" t="inlineStr">
        <is>
          <t>NET PI TO HSL SEC A/C 523686-00602340029434</t>
        </is>
      </c>
      <c r="L500" s="84" t="inlineStr">
        <is>
          <t>HDFC Bank</t>
        </is>
      </c>
      <c r="M500" s="84" t="inlineStr"/>
    </row>
    <row r="501">
      <c r="A501" s="83" t="n">
        <v>45559</v>
      </c>
      <c r="B501" s="83" t="n">
        <v>45559</v>
      </c>
      <c r="C501" s="84" t="n">
        <v>71920.67999999999</v>
      </c>
      <c r="D501" s="84" t="n">
        <v>0</v>
      </c>
      <c r="E501" s="84" t="inlineStr"/>
      <c r="F501" s="84" t="inlineStr">
        <is>
          <t>HDFC Securities - Buy</t>
        </is>
      </c>
      <c r="G501" s="32" t="n">
        <v>0.97</v>
      </c>
      <c r="H501" s="84" t="inlineStr">
        <is>
          <t>HDFC Securities</t>
        </is>
      </c>
      <c r="I501" s="84" t="inlineStr">
        <is>
          <t>HDFC 0094</t>
        </is>
      </c>
      <c r="J501" s="84" t="inlineStr">
        <is>
          <t>HSL</t>
        </is>
      </c>
      <c r="K501" s="84" t="inlineStr">
        <is>
          <t>NET PI TO HSL SEC A/C 523686-00602340029434</t>
        </is>
      </c>
      <c r="L501" s="84" t="inlineStr">
        <is>
          <t>HDFC Bank</t>
        </is>
      </c>
      <c r="M501" s="84" t="inlineStr"/>
    </row>
    <row r="502">
      <c r="A502" s="30" t="n">
        <v>45560</v>
      </c>
      <c r="B502" s="30" t="n">
        <v>45560</v>
      </c>
      <c r="C502" s="31" t="n">
        <v>0</v>
      </c>
      <c r="D502" s="31" t="n">
        <v>60928.57</v>
      </c>
      <c r="E502" s="31" t="inlineStr"/>
      <c r="F502" s="31" t="inlineStr">
        <is>
          <t>HDFC Securities - Settlement</t>
        </is>
      </c>
      <c r="G502" s="32" t="n">
        <v>0.93</v>
      </c>
      <c r="H502" s="31" t="inlineStr">
        <is>
          <t>HDFC Securities</t>
        </is>
      </c>
      <c r="I502" s="31" t="inlineStr">
        <is>
          <t>HDFC 0094</t>
        </is>
      </c>
      <c r="J502" s="31" t="inlineStr">
        <is>
          <t>HDFC Sec</t>
        </is>
      </c>
      <c r="K502" s="31" t="inlineStr">
        <is>
          <t>FT- 565885294-50200085415108 - HDFC SECURITIES LTD-CLIENT DSCNB A/C -</t>
        </is>
      </c>
      <c r="L502" s="31" t="inlineStr">
        <is>
          <t>HDFC Bank</t>
        </is>
      </c>
      <c r="M502" s="31" t="inlineStr"/>
    </row>
    <row r="503">
      <c r="A503" s="64" t="n">
        <v>45560</v>
      </c>
      <c r="B503" s="64" t="n">
        <v>45560</v>
      </c>
      <c r="C503" s="65" t="n">
        <v>10000</v>
      </c>
      <c r="D503" s="65" t="n">
        <v>0</v>
      </c>
      <c r="E503" s="65" t="inlineStr"/>
      <c r="F503" s="65" t="inlineStr">
        <is>
          <t>MF Investment</t>
        </is>
      </c>
      <c r="G503" s="32" t="n">
        <v>0.92</v>
      </c>
      <c r="H503" s="65" t="inlineStr">
        <is>
          <t>Mutual_Fund_Investments</t>
        </is>
      </c>
      <c r="I503" s="65" t="inlineStr">
        <is>
          <t>HDFC 0094</t>
        </is>
      </c>
      <c r="J503" s="65" t="inlineStr">
        <is>
          <t>SIP  - 10000</t>
        </is>
      </c>
      <c r="K503" s="65" t="inlineStr">
        <is>
          <t>ACH D- INDIAN CLEARING CORP-P25847643X05</t>
        </is>
      </c>
      <c r="L503" s="65" t="inlineStr">
        <is>
          <t>HDFC Bank</t>
        </is>
      </c>
      <c r="M503" s="65" t="inlineStr"/>
    </row>
    <row r="504">
      <c r="A504" s="83" t="n">
        <v>45560</v>
      </c>
      <c r="B504" s="83" t="n">
        <v>45560</v>
      </c>
      <c r="C504" s="84" t="n">
        <v>313.62</v>
      </c>
      <c r="D504" s="84" t="n">
        <v>0</v>
      </c>
      <c r="E504" s="84" t="inlineStr"/>
      <c r="F504" s="84" t="inlineStr">
        <is>
          <t>HDFC Securities - Buy</t>
        </is>
      </c>
      <c r="G504" s="32" t="n">
        <v>0.97</v>
      </c>
      <c r="H504" s="84" t="inlineStr">
        <is>
          <t>HDFC Securities</t>
        </is>
      </c>
      <c r="I504" s="84" t="inlineStr">
        <is>
          <t>HDFC 0094</t>
        </is>
      </c>
      <c r="J504" s="84" t="inlineStr">
        <is>
          <t>HSL</t>
        </is>
      </c>
      <c r="K504" s="84" t="inlineStr">
        <is>
          <t>NET PI TO HSL SEC A/C 523686-00602340029434</t>
        </is>
      </c>
      <c r="L504" s="84" t="inlineStr">
        <is>
          <t>HDFC Bank</t>
        </is>
      </c>
      <c r="M504" s="84" t="inlineStr"/>
    </row>
    <row r="505">
      <c r="A505" s="30" t="n">
        <v>45560</v>
      </c>
      <c r="B505" s="30" t="n">
        <v>45560</v>
      </c>
      <c r="C505" s="31" t="n">
        <v>10000</v>
      </c>
      <c r="D505" s="31" t="n">
        <v>0</v>
      </c>
      <c r="E505" s="31" t="inlineStr"/>
      <c r="F505" s="31" t="inlineStr">
        <is>
          <t>Cash Withdrawal</t>
        </is>
      </c>
      <c r="G505" s="32" t="n">
        <v>0.92</v>
      </c>
      <c r="H505" s="31" t="inlineStr">
        <is>
          <t>Cash</t>
        </is>
      </c>
      <c r="I505" s="31" t="inlineStr">
        <is>
          <t>HDFC 0094</t>
        </is>
      </c>
      <c r="J505" s="31" t="inlineStr">
        <is>
          <t>ATM Withdrawal</t>
        </is>
      </c>
      <c r="K505" s="31" t="inlineStr">
        <is>
          <t>ATW-498792XXXXXX0500-S1ANMN04-NASHIK</t>
        </is>
      </c>
      <c r="L505" s="31" t="inlineStr">
        <is>
          <t>HDFC Bank</t>
        </is>
      </c>
      <c r="M505" s="31" t="inlineStr"/>
    </row>
    <row r="506">
      <c r="A506" s="40" t="n">
        <v>45560</v>
      </c>
      <c r="B506" s="40" t="n">
        <v>45560</v>
      </c>
      <c r="C506" s="41" t="n">
        <v>0</v>
      </c>
      <c r="D506" s="41" t="n">
        <v>152</v>
      </c>
      <c r="E506" s="41" t="inlineStr"/>
      <c r="F506" s="41" t="inlineStr">
        <is>
          <t>Bank Interest</t>
        </is>
      </c>
      <c r="G506" s="32" t="n">
        <v>0.9</v>
      </c>
      <c r="H506" s="41" t="inlineStr">
        <is>
          <t>Bank Interest</t>
        </is>
      </c>
      <c r="I506" s="41" t="inlineStr">
        <is>
          <t>SBI 7685</t>
        </is>
      </c>
      <c r="J506" s="41" t="inlineStr">
        <is>
          <t>Bank Interest</t>
        </is>
      </c>
      <c r="K506" s="41" t="inlineStr">
        <is>
          <t xml:space="preserve">   CREDIT INTEREST---</t>
        </is>
      </c>
      <c r="L506" s="41" t="inlineStr">
        <is>
          <t>State Bank of India</t>
        </is>
      </c>
      <c r="M506" s="41" t="inlineStr"/>
    </row>
    <row r="507">
      <c r="A507" s="83" t="n">
        <v>45561</v>
      </c>
      <c r="B507" s="83" t="n">
        <v>45561</v>
      </c>
      <c r="C507" s="84" t="n">
        <v>313.62</v>
      </c>
      <c r="D507" s="84" t="n">
        <v>0</v>
      </c>
      <c r="E507" s="84" t="inlineStr"/>
      <c r="F507" s="84" t="inlineStr">
        <is>
          <t>HDFC Securities - Buy</t>
        </is>
      </c>
      <c r="G507" s="32" t="n">
        <v>0.97</v>
      </c>
      <c r="H507" s="84" t="inlineStr">
        <is>
          <t>HDFC Securities</t>
        </is>
      </c>
      <c r="I507" s="84" t="inlineStr">
        <is>
          <t>HDFC 0094</t>
        </is>
      </c>
      <c r="J507" s="84" t="inlineStr">
        <is>
          <t>HSL</t>
        </is>
      </c>
      <c r="K507" s="84" t="inlineStr">
        <is>
          <t>NET PI TO HSL SEC A/C 523686-00602340029434</t>
        </is>
      </c>
      <c r="L507" s="84" t="inlineStr">
        <is>
          <t>HDFC Bank</t>
        </is>
      </c>
      <c r="M507" s="84" t="inlineStr"/>
    </row>
    <row r="508">
      <c r="A508" s="116" t="n">
        <v>45561</v>
      </c>
      <c r="B508" s="116" t="n">
        <v>45561</v>
      </c>
      <c r="C508" s="117" t="n">
        <v>0</v>
      </c>
      <c r="D508" s="117" t="n">
        <v>2380</v>
      </c>
      <c r="E508" s="117" t="inlineStr"/>
      <c r="F508" s="117" t="inlineStr">
        <is>
          <t>Received - Sunita Gupta</t>
        </is>
      </c>
      <c r="G508" s="32" t="n">
        <v>0.88</v>
      </c>
      <c r="H508" s="117" t="inlineStr">
        <is>
          <t>Sunita Gupta</t>
        </is>
      </c>
      <c r="I508" s="117" t="inlineStr">
        <is>
          <t>HDFC 0094</t>
        </is>
      </c>
      <c r="J508" s="117" t="inlineStr">
        <is>
          <t>Rental Income</t>
        </is>
      </c>
      <c r="K508" s="117" t="inlineStr">
        <is>
          <t>NEFT CR-SBIN0004266-SBI GENERAL INSURANCE CO LTDSBI GEN-SUNITA GUPTA 0000000002717756-SBIN324270219069</t>
        </is>
      </c>
      <c r="L508" s="117" t="inlineStr">
        <is>
          <t>HDFC Bank</t>
        </is>
      </c>
      <c r="M508" s="117" t="inlineStr"/>
    </row>
    <row r="509">
      <c r="A509" s="85" t="n">
        <v>45561</v>
      </c>
      <c r="B509" s="85" t="n">
        <v>45561</v>
      </c>
      <c r="C509" s="86" t="n">
        <v>0</v>
      </c>
      <c r="D509" s="86" t="n">
        <v>132691.64</v>
      </c>
      <c r="E509" s="86" t="inlineStr"/>
      <c r="F509" s="86" t="inlineStr">
        <is>
          <t>HDFC Securities - Sell</t>
        </is>
      </c>
      <c r="G509" s="32" t="n">
        <v>0.97</v>
      </c>
      <c r="H509" s="86" t="inlineStr">
        <is>
          <t>HDFC Securities</t>
        </is>
      </c>
      <c r="I509" s="86" t="inlineStr">
        <is>
          <t>HDFC 0094</t>
        </is>
      </c>
      <c r="J509" s="86" t="inlineStr">
        <is>
          <t>HSL</t>
        </is>
      </c>
      <c r="K509" s="86" t="inlineStr">
        <is>
          <t>NET PO FROM HSL A/C 523686-50200085415108</t>
        </is>
      </c>
      <c r="L509" s="86" t="inlineStr">
        <is>
          <t>HDFC Bank</t>
        </is>
      </c>
      <c r="M509" s="86" t="inlineStr"/>
    </row>
    <row r="510">
      <c r="A510" s="116" t="n">
        <v>45562</v>
      </c>
      <c r="B510" s="116" t="n">
        <v>45562</v>
      </c>
      <c r="C510" s="117" t="n">
        <v>0</v>
      </c>
      <c r="D510" s="117" t="n">
        <v>16728</v>
      </c>
      <c r="E510" s="117" t="inlineStr"/>
      <c r="F510" s="117" t="inlineStr">
        <is>
          <t>Received - Sunita Gupta</t>
        </is>
      </c>
      <c r="G510" s="32" t="n">
        <v>0.88</v>
      </c>
      <c r="H510" s="117" t="inlineStr">
        <is>
          <t>Sunita Gupta</t>
        </is>
      </c>
      <c r="I510" s="117" t="inlineStr">
        <is>
          <t>HDFC 0094</t>
        </is>
      </c>
      <c r="J510" s="117" t="inlineStr">
        <is>
          <t>Rental Income</t>
        </is>
      </c>
      <c r="K510" s="117" t="inlineStr">
        <is>
          <t>NEFT CR-SBIN0004266-SBI GENERAL INSURANCE CO LTDSBI GEN-SUNITA GUPTA 0000000002717756-SBIN424271842614</t>
        </is>
      </c>
      <c r="L510" s="117" t="inlineStr">
        <is>
          <t>HDFC Bank</t>
        </is>
      </c>
      <c r="M510" s="117" t="inlineStr"/>
    </row>
    <row r="511">
      <c r="A511" s="66" t="n">
        <v>45562</v>
      </c>
      <c r="B511" s="66" t="n">
        <v>45562</v>
      </c>
      <c r="C511" s="67" t="n">
        <v>50000</v>
      </c>
      <c r="D511" s="67" t="n">
        <v>0</v>
      </c>
      <c r="E511" s="67" t="inlineStr"/>
      <c r="F511" s="67" t="inlineStr">
        <is>
          <t>Transfer - Archit Gupta</t>
        </is>
      </c>
      <c r="G511" s="32" t="n">
        <v>0.85</v>
      </c>
      <c r="H511" s="67" t="inlineStr">
        <is>
          <t>Archit Gupta</t>
        </is>
      </c>
      <c r="I511" s="67" t="inlineStr">
        <is>
          <t>HDFC 0094</t>
        </is>
      </c>
      <c r="J511" s="67" t="inlineStr">
        <is>
          <t>Transfer to Archit</t>
        </is>
      </c>
      <c r="K511" s="67" t="inlineStr">
        <is>
          <t>50100542230922-TPT-FOR EXPENSES TRN TO ARCHIT-ARCHIT GUPTA</t>
        </is>
      </c>
      <c r="L511" s="67" t="inlineStr">
        <is>
          <t>HDFC Bank</t>
        </is>
      </c>
      <c r="M511" s="67" t="inlineStr"/>
    </row>
    <row r="512">
      <c r="A512" s="83" t="n">
        <v>45562</v>
      </c>
      <c r="B512" s="83" t="n">
        <v>45562</v>
      </c>
      <c r="C512" s="84" t="n">
        <v>316.1</v>
      </c>
      <c r="D512" s="84" t="n">
        <v>0</v>
      </c>
      <c r="E512" s="84" t="inlineStr"/>
      <c r="F512" s="84" t="inlineStr">
        <is>
          <t>HDFC Securities - Buy</t>
        </is>
      </c>
      <c r="G512" s="32" t="n">
        <v>0.97</v>
      </c>
      <c r="H512" s="84" t="inlineStr">
        <is>
          <t>HDFC Securities</t>
        </is>
      </c>
      <c r="I512" s="84" t="inlineStr">
        <is>
          <t>HDFC 0094</t>
        </is>
      </c>
      <c r="J512" s="84" t="inlineStr">
        <is>
          <t>HSL</t>
        </is>
      </c>
      <c r="K512" s="84" t="inlineStr">
        <is>
          <t>NET PI TO HSL SEC A/C 523686-00602340029434</t>
        </is>
      </c>
      <c r="L512" s="84" t="inlineStr">
        <is>
          <t>HDFC Bank</t>
        </is>
      </c>
      <c r="M512" s="84" t="inlineStr"/>
    </row>
    <row r="513">
      <c r="A513" s="30" t="n">
        <v>45562</v>
      </c>
      <c r="B513" s="30" t="n">
        <v>45562</v>
      </c>
      <c r="C513" s="31" t="n">
        <v>0</v>
      </c>
      <c r="D513" s="31" t="n">
        <v>2984.22</v>
      </c>
      <c r="E513" s="31" t="inlineStr"/>
      <c r="F513" s="31" t="inlineStr">
        <is>
          <t>HDFC Securities - Settlement</t>
        </is>
      </c>
      <c r="G513" s="32" t="n">
        <v>0.93</v>
      </c>
      <c r="H513" s="31" t="inlineStr">
        <is>
          <t>HDFC Securities</t>
        </is>
      </c>
      <c r="I513" s="31" t="inlineStr">
        <is>
          <t>HDFC 0094</t>
        </is>
      </c>
      <c r="J513" s="31" t="inlineStr">
        <is>
          <t>HDFC Sec</t>
        </is>
      </c>
      <c r="K513" s="31" t="inlineStr">
        <is>
          <t>FT- 566781852-50200085415108 - HDFC SECURITIES LTD-CLIENT DSCNB A/C -</t>
        </is>
      </c>
      <c r="L513" s="31" t="inlineStr">
        <is>
          <t>HDFC Bank</t>
        </is>
      </c>
      <c r="M513" s="31" t="inlineStr"/>
    </row>
    <row r="514">
      <c r="A514" s="42" t="n">
        <v>45562</v>
      </c>
      <c r="B514" s="42" t="n">
        <v>45562</v>
      </c>
      <c r="C514" s="43" t="n">
        <v>0</v>
      </c>
      <c r="D514" s="43" t="n">
        <v>250</v>
      </c>
      <c r="E514" s="43" t="inlineStr"/>
      <c r="F514" s="43" t="inlineStr">
        <is>
          <t>Dividend Income</t>
        </is>
      </c>
      <c r="G514" s="32" t="n">
        <v>0.85</v>
      </c>
      <c r="H514" s="43" t="inlineStr">
        <is>
          <t>Dividend Income</t>
        </is>
      </c>
      <c r="I514" s="43" t="inlineStr">
        <is>
          <t>AXIS 7042</t>
        </is>
      </c>
      <c r="J514" s="43" t="inlineStr">
        <is>
          <t>Dividend Income</t>
        </is>
      </c>
      <c r="K514" s="43" t="inlineStr">
        <is>
          <t>ACH-CR-USL FIN DIV 23 24-NACH-23827-23827</t>
        </is>
      </c>
      <c r="L514" s="43" t="inlineStr">
        <is>
          <t>Axis Bank</t>
        </is>
      </c>
      <c r="M514" s="43" t="inlineStr"/>
    </row>
    <row r="515">
      <c r="A515" s="48" t="n">
        <v>45563</v>
      </c>
      <c r="B515" s="48" t="n">
        <v>45563</v>
      </c>
      <c r="C515" s="49" t="n">
        <v>1700</v>
      </c>
      <c r="D515" s="49" t="n">
        <v>0</v>
      </c>
      <c r="E515" s="49" t="inlineStr">
        <is>
          <t>Sangita Rajendra Muth</t>
        </is>
      </c>
      <c r="F515" s="49" t="inlineStr">
        <is>
          <t>UPI Payment</t>
        </is>
      </c>
      <c r="G515" s="50" t="n">
        <v>0.55</v>
      </c>
      <c r="H515" s="49" t="inlineStr">
        <is>
          <t>Personal</t>
        </is>
      </c>
      <c r="I515" s="49" t="inlineStr">
        <is>
          <t>AXIS 7042</t>
        </is>
      </c>
      <c r="J515" s="49" t="inlineStr">
        <is>
          <t>UPI</t>
        </is>
      </c>
      <c r="K515" s="49" t="inlineStr">
        <is>
          <t>UPI/P2M/463877794818/SANGITA RAJENDRA MUTH/dentis/Yes Bank Ltd</t>
        </is>
      </c>
      <c r="L515" s="49" t="inlineStr">
        <is>
          <t>Axis Bank</t>
        </is>
      </c>
      <c r="M515" s="49" t="inlineStr"/>
    </row>
    <row r="516">
      <c r="A516" s="30" t="n">
        <v>45563</v>
      </c>
      <c r="B516" s="30" t="n">
        <v>45563</v>
      </c>
      <c r="C516" s="31" t="n">
        <v>10000</v>
      </c>
      <c r="D516" s="31" t="n">
        <v>0</v>
      </c>
      <c r="E516" s="31" t="inlineStr"/>
      <c r="F516" s="31" t="inlineStr">
        <is>
          <t>Cash Withdrawal</t>
        </is>
      </c>
      <c r="G516" s="32" t="n">
        <v>0.92</v>
      </c>
      <c r="H516" s="31" t="inlineStr">
        <is>
          <t>Cash</t>
        </is>
      </c>
      <c r="I516" s="31" t="inlineStr">
        <is>
          <t>AXIS 7042</t>
        </is>
      </c>
      <c r="J516" s="31" t="inlineStr">
        <is>
          <t>ATM Withdrawal</t>
        </is>
      </c>
      <c r="K516" s="31" t="inlineStr">
        <is>
          <t>ATM-CASH/SBI SHIVAJI NAGAR/NASHIK/280924</t>
        </is>
      </c>
      <c r="L516" s="31" t="inlineStr">
        <is>
          <t>Axis Bank</t>
        </is>
      </c>
      <c r="M516" s="31" t="inlineStr"/>
    </row>
    <row r="517">
      <c r="A517" s="83" t="n">
        <v>45565</v>
      </c>
      <c r="B517" s="83" t="n">
        <v>45565</v>
      </c>
      <c r="C517" s="84" t="n">
        <v>951.48</v>
      </c>
      <c r="D517" s="84" t="n">
        <v>0</v>
      </c>
      <c r="E517" s="84" t="inlineStr"/>
      <c r="F517" s="84" t="inlineStr">
        <is>
          <t>HDFC Securities - Buy</t>
        </is>
      </c>
      <c r="G517" s="32" t="n">
        <v>0.97</v>
      </c>
      <c r="H517" s="84" t="inlineStr">
        <is>
          <t>HDFC Securities</t>
        </is>
      </c>
      <c r="I517" s="84" t="inlineStr">
        <is>
          <t>HDFC 0094</t>
        </is>
      </c>
      <c r="J517" s="84" t="inlineStr">
        <is>
          <t>HSL</t>
        </is>
      </c>
      <c r="K517" s="84" t="inlineStr">
        <is>
          <t>NET PI TO HSL SEC A/C 523686-00602340029434</t>
        </is>
      </c>
      <c r="L517" s="84" t="inlineStr">
        <is>
          <t>HDFC Bank</t>
        </is>
      </c>
      <c r="M517" s="84" t="inlineStr"/>
    </row>
    <row r="518">
      <c r="A518" s="30" t="n">
        <v>45565</v>
      </c>
      <c r="B518" s="30" t="n">
        <v>45565</v>
      </c>
      <c r="C518" s="31" t="n">
        <v>0</v>
      </c>
      <c r="D518" s="31" t="n">
        <v>5948.77</v>
      </c>
      <c r="E518" s="31" t="inlineStr"/>
      <c r="F518" s="31" t="inlineStr">
        <is>
          <t>HDFC Securities - Settlement</t>
        </is>
      </c>
      <c r="G518" s="32" t="n">
        <v>0.93</v>
      </c>
      <c r="H518" s="31" t="inlineStr">
        <is>
          <t>HDFC Securities</t>
        </is>
      </c>
      <c r="I518" s="31" t="inlineStr">
        <is>
          <t>HDFC 0094</t>
        </is>
      </c>
      <c r="J518" s="31" t="inlineStr">
        <is>
          <t>HDFC Sec</t>
        </is>
      </c>
      <c r="K518" s="31" t="inlineStr">
        <is>
          <t>FT- 567225434-50200085415108 - HDFC SECURITIES LTD-CLIENT DSCNB A/C -</t>
        </is>
      </c>
      <c r="L518" s="31" t="inlineStr">
        <is>
          <t>HDFC Bank</t>
        </is>
      </c>
      <c r="M518" s="31" t="inlineStr"/>
    </row>
    <row r="519">
      <c r="A519" s="116" t="n">
        <v>45565</v>
      </c>
      <c r="B519" s="116" t="n">
        <v>45565</v>
      </c>
      <c r="C519" s="117" t="n">
        <v>0</v>
      </c>
      <c r="D519" s="117" t="n">
        <v>100000</v>
      </c>
      <c r="E519" s="117" t="inlineStr"/>
      <c r="F519" s="117" t="inlineStr">
        <is>
          <t>Received - Sunita Gupta</t>
        </is>
      </c>
      <c r="G519" s="32" t="n">
        <v>0.88</v>
      </c>
      <c r="H519" s="117" t="inlineStr">
        <is>
          <t>Sunita Gupta</t>
        </is>
      </c>
      <c r="I519" s="117" t="inlineStr">
        <is>
          <t>HDFC 0094</t>
        </is>
      </c>
      <c r="J519" s="117" t="inlineStr">
        <is>
          <t>Contra</t>
        </is>
      </c>
      <c r="K519" s="117" t="inlineStr">
        <is>
          <t>NEFT CR-UTIB0002656-SUNITA GUPTA-SUNITA GUPTA-AXOIR27490761713</t>
        </is>
      </c>
      <c r="L519" s="117" t="inlineStr">
        <is>
          <t>HDFC Bank</t>
        </is>
      </c>
      <c r="M519" s="117" t="inlineStr"/>
    </row>
    <row r="520">
      <c r="A520" s="42" t="n">
        <v>45565</v>
      </c>
      <c r="B520" s="42" t="n">
        <v>45565</v>
      </c>
      <c r="C520" s="43" t="n">
        <v>0</v>
      </c>
      <c r="D520" s="43" t="n">
        <v>84.56999999999999</v>
      </c>
      <c r="E520" s="43" t="inlineStr"/>
      <c r="F520" s="43" t="inlineStr">
        <is>
          <t>Dividend Income</t>
        </is>
      </c>
      <c r="G520" s="32" t="n">
        <v>0.85</v>
      </c>
      <c r="H520" s="43" t="inlineStr">
        <is>
          <t>Dividend Income</t>
        </is>
      </c>
      <c r="I520" s="43" t="inlineStr">
        <is>
          <t>HDFC 0094</t>
        </is>
      </c>
      <c r="J520" s="43" t="inlineStr">
        <is>
          <t>Dividend Income</t>
        </is>
      </c>
      <c r="K520" s="43" t="inlineStr">
        <is>
          <t>NEFT CR-UTIB0000004-AXIS MUTUAL FUND DIVIDEND A/C-SUNITA GUPTA-AXISCN0759989851</t>
        </is>
      </c>
      <c r="L520" s="43" t="inlineStr">
        <is>
          <t>HDFC Bank</t>
        </is>
      </c>
      <c r="M520" s="43" t="inlineStr"/>
    </row>
    <row r="521">
      <c r="A521" s="83" t="n">
        <v>45565</v>
      </c>
      <c r="B521" s="83" t="n">
        <v>45565</v>
      </c>
      <c r="C521" s="84" t="n">
        <v>100829.95</v>
      </c>
      <c r="D521" s="84" t="n">
        <v>0</v>
      </c>
      <c r="E521" s="84" t="inlineStr"/>
      <c r="F521" s="84" t="inlineStr">
        <is>
          <t>HDFC Securities - Buy</t>
        </is>
      </c>
      <c r="G521" s="32" t="n">
        <v>0.97</v>
      </c>
      <c r="H521" s="84" t="inlineStr">
        <is>
          <t>HDFC Securities</t>
        </is>
      </c>
      <c r="I521" s="84" t="inlineStr">
        <is>
          <t>HDFC 0094</t>
        </is>
      </c>
      <c r="J521" s="84" t="inlineStr">
        <is>
          <t>HSL</t>
        </is>
      </c>
      <c r="K521" s="84" t="inlineStr">
        <is>
          <t>NET PI TO HSL SEC A/C 523686-00602340029434</t>
        </is>
      </c>
      <c r="L521" s="84" t="inlineStr">
        <is>
          <t>HDFC Bank</t>
        </is>
      </c>
      <c r="M521" s="84" t="inlineStr"/>
    </row>
    <row r="522">
      <c r="A522" s="116" t="n">
        <v>45565</v>
      </c>
      <c r="B522" s="116" t="n">
        <v>45565</v>
      </c>
      <c r="C522" s="117" t="n">
        <v>100000</v>
      </c>
      <c r="D522" s="117" t="n">
        <v>0</v>
      </c>
      <c r="E522" s="117" t="inlineStr"/>
      <c r="F522" s="117" t="inlineStr">
        <is>
          <t>Transfer - Sunita Gupta</t>
        </is>
      </c>
      <c r="G522" s="32" t="n">
        <v>0.88</v>
      </c>
      <c r="H522" s="117" t="inlineStr">
        <is>
          <t>Sunita Gupta</t>
        </is>
      </c>
      <c r="I522" s="117" t="inlineStr">
        <is>
          <t>AXIS 7042</t>
        </is>
      </c>
      <c r="J522" s="117" t="inlineStr">
        <is>
          <t>Contra</t>
        </is>
      </c>
      <c r="K522" s="117" t="inlineStr">
        <is>
          <t>NEFT/IR/AXOIR27490761713/Sunita Gupta/HDFC BANK/Transfer from Sunita Axis Ban</t>
        </is>
      </c>
      <c r="L522" s="117" t="inlineStr">
        <is>
          <t>Axis Bank</t>
        </is>
      </c>
      <c r="M522" s="117" t="inlineStr"/>
    </row>
    <row r="523">
      <c r="A523" s="40" t="n">
        <v>45566</v>
      </c>
      <c r="B523" s="40" t="n">
        <v>45566</v>
      </c>
      <c r="C523" s="41" t="n">
        <v>0</v>
      </c>
      <c r="D523" s="41" t="n">
        <v>881</v>
      </c>
      <c r="E523" s="41" t="inlineStr"/>
      <c r="F523" s="41" t="inlineStr">
        <is>
          <t>Bank Interest</t>
        </is>
      </c>
      <c r="G523" s="32" t="n">
        <v>0.93</v>
      </c>
      <c r="H523" s="41" t="inlineStr">
        <is>
          <t>Bank Interest</t>
        </is>
      </c>
      <c r="I523" s="41" t="inlineStr">
        <is>
          <t>AXIS 7042</t>
        </is>
      </c>
      <c r="J523" s="41" t="inlineStr">
        <is>
          <t>Bank Interest</t>
        </is>
      </c>
      <c r="K523" s="41" t="inlineStr">
        <is>
          <t>SB:919010088767042:Int.Pd:01-07-2024 to 30-09-2024</t>
        </is>
      </c>
      <c r="L523" s="41" t="inlineStr">
        <is>
          <t>Axis Bank</t>
        </is>
      </c>
      <c r="M523" s="41" t="inlineStr"/>
    </row>
    <row r="524">
      <c r="A524" s="40" t="n">
        <v>45566</v>
      </c>
      <c r="B524" s="40" t="n">
        <v>45565</v>
      </c>
      <c r="C524" s="41" t="n">
        <v>0</v>
      </c>
      <c r="D524" s="41" t="n">
        <v>742</v>
      </c>
      <c r="E524" s="41" t="inlineStr"/>
      <c r="F524" s="41" t="inlineStr">
        <is>
          <t>Bank Interest</t>
        </is>
      </c>
      <c r="G524" s="32" t="n">
        <v>0.95</v>
      </c>
      <c r="H524" s="41" t="inlineStr">
        <is>
          <t>Bank Interest</t>
        </is>
      </c>
      <c r="I524" s="41" t="inlineStr">
        <is>
          <t>HDFC 0094</t>
        </is>
      </c>
      <c r="J524" s="41" t="inlineStr">
        <is>
          <t>Bank Interest</t>
        </is>
      </c>
      <c r="K524" s="41" t="inlineStr">
        <is>
          <t>INTEREST PAID TILL 30-SEP-2024</t>
        </is>
      </c>
      <c r="L524" s="41" t="inlineStr">
        <is>
          <t>HDFC Bank</t>
        </is>
      </c>
      <c r="M524" s="41" t="inlineStr"/>
    </row>
    <row r="525">
      <c r="A525" s="83" t="n">
        <v>45566</v>
      </c>
      <c r="B525" s="83" t="n">
        <v>45566</v>
      </c>
      <c r="C525" s="84" t="n">
        <v>281.95</v>
      </c>
      <c r="D525" s="84" t="n">
        <v>0</v>
      </c>
      <c r="E525" s="84" t="inlineStr"/>
      <c r="F525" s="84" t="inlineStr">
        <is>
          <t>HDFC Securities - Buy</t>
        </is>
      </c>
      <c r="G525" s="32" t="n">
        <v>0.97</v>
      </c>
      <c r="H525" s="84" t="inlineStr">
        <is>
          <t>HDFC Securities</t>
        </is>
      </c>
      <c r="I525" s="84" t="inlineStr">
        <is>
          <t>HDFC 0094</t>
        </is>
      </c>
      <c r="J525" s="84" t="inlineStr">
        <is>
          <t>HSL</t>
        </is>
      </c>
      <c r="K525" s="84" t="inlineStr">
        <is>
          <t>NET PI TO HSL SEC A/C 523686-00602340029434</t>
        </is>
      </c>
      <c r="L525" s="84" t="inlineStr">
        <is>
          <t>HDFC Bank</t>
        </is>
      </c>
      <c r="M525" s="84" t="inlineStr"/>
    </row>
    <row r="526">
      <c r="A526" s="116" t="n">
        <v>45566</v>
      </c>
      <c r="B526" s="116" t="n">
        <v>45566</v>
      </c>
      <c r="C526" s="117" t="n">
        <v>150000</v>
      </c>
      <c r="D526" s="117" t="n">
        <v>0</v>
      </c>
      <c r="E526" s="117" t="inlineStr"/>
      <c r="F526" s="117" t="inlineStr">
        <is>
          <t>Transfer - Sunita Gupta</t>
        </is>
      </c>
      <c r="G526" s="32" t="n">
        <v>0.88</v>
      </c>
      <c r="H526" s="117" t="inlineStr">
        <is>
          <t>Sunita Gupta</t>
        </is>
      </c>
      <c r="I526" s="117" t="inlineStr">
        <is>
          <t>HDFC 0094</t>
        </is>
      </c>
      <c r="J526" s="117" t="inlineStr">
        <is>
          <t>Transfer to Ajay</t>
        </is>
      </c>
      <c r="K526" s="117" t="inlineStr">
        <is>
          <t>01671000085930-TPT-MONEY RETURNED FROM SUNITA TO AJAY-AJAY KUMAR GUPTA</t>
        </is>
      </c>
      <c r="L526" s="117" t="inlineStr">
        <is>
          <t>HDFC Bank</t>
        </is>
      </c>
      <c r="M526" s="117" t="inlineStr"/>
    </row>
    <row r="527">
      <c r="A527" s="66" t="n">
        <v>45567</v>
      </c>
      <c r="B527" s="66" t="n">
        <v>45567</v>
      </c>
      <c r="C527" s="67" t="n">
        <v>0</v>
      </c>
      <c r="D527" s="67" t="n">
        <v>50000</v>
      </c>
      <c r="E527" s="67" t="inlineStr"/>
      <c r="F527" s="67" t="inlineStr">
        <is>
          <t>Received - Archit Gupta</t>
        </is>
      </c>
      <c r="G527" s="32" t="n">
        <v>0.85</v>
      </c>
      <c r="H527" s="67" t="inlineStr">
        <is>
          <t>Archit Gupta</t>
        </is>
      </c>
      <c r="I527" s="67" t="inlineStr">
        <is>
          <t>HDFC 0094</t>
        </is>
      </c>
      <c r="J527" s="67" t="inlineStr">
        <is>
          <t>Transfer by Archit</t>
        </is>
      </c>
      <c r="K527" s="67" t="inlineStr">
        <is>
          <t>50100542230922-TPT-LOAN MONEY RETURN-ARCHIT GUPTA</t>
        </is>
      </c>
      <c r="L527" s="67" t="inlineStr">
        <is>
          <t>HDFC Bank</t>
        </is>
      </c>
      <c r="M527" s="67" t="inlineStr"/>
    </row>
    <row r="528">
      <c r="A528" s="64" t="n">
        <v>45568</v>
      </c>
      <c r="B528" s="64" t="n">
        <v>45568</v>
      </c>
      <c r="C528" s="65" t="n">
        <v>0</v>
      </c>
      <c r="D528" s="65" t="n">
        <v>39310.75</v>
      </c>
      <c r="E528" s="65" t="inlineStr"/>
      <c r="F528" s="65" t="inlineStr">
        <is>
          <t>NEFT Transfer</t>
        </is>
      </c>
      <c r="G528" s="53" t="n">
        <v>0.7</v>
      </c>
      <c r="H528" s="65" t="inlineStr">
        <is>
          <t>Transfer</t>
        </is>
      </c>
      <c r="I528" s="65" t="inlineStr">
        <is>
          <t>AXIS 7042</t>
        </is>
      </c>
      <c r="J528" s="65" t="inlineStr">
        <is>
          <t>Zerodha</t>
        </is>
      </c>
      <c r="K528" s="65" t="inlineStr">
        <is>
          <t>NEFT/YESF342771615268/ZERODHA BROKING LTD-DSCNB A//YES BANK/9e2d83f3e8 Zerodha payout</t>
        </is>
      </c>
      <c r="L528" s="65" t="inlineStr">
        <is>
          <t>Axis Bank</t>
        </is>
      </c>
      <c r="M528" s="65" t="inlineStr"/>
    </row>
    <row r="529">
      <c r="A529" s="30" t="n">
        <v>45568</v>
      </c>
      <c r="B529" s="30" t="n">
        <v>45568</v>
      </c>
      <c r="C529" s="31" t="n">
        <v>0</v>
      </c>
      <c r="D529" s="31" t="n">
        <v>3562.65</v>
      </c>
      <c r="E529" s="31" t="inlineStr"/>
      <c r="F529" s="31" t="inlineStr">
        <is>
          <t>HDFC Securities - Settlement</t>
        </is>
      </c>
      <c r="G529" s="32" t="n">
        <v>0.93</v>
      </c>
      <c r="H529" s="31" t="inlineStr">
        <is>
          <t>HDFC Securities</t>
        </is>
      </c>
      <c r="I529" s="31" t="inlineStr">
        <is>
          <t>HDFC 0094</t>
        </is>
      </c>
      <c r="J529" s="31" t="inlineStr">
        <is>
          <t>HDFC Sec</t>
        </is>
      </c>
      <c r="K529" s="31" t="inlineStr">
        <is>
          <t>FT- 568257882-50200085415108 - HDFC SECURITIES LTD-CLIENT DSCNB A/C -</t>
        </is>
      </c>
      <c r="L529" s="31" t="inlineStr">
        <is>
          <t>HDFC Bank</t>
        </is>
      </c>
      <c r="M529" s="31" t="inlineStr"/>
    </row>
    <row r="530">
      <c r="A530" s="30" t="n">
        <v>45568</v>
      </c>
      <c r="B530" s="30" t="n">
        <v>45568</v>
      </c>
      <c r="C530" s="31" t="n">
        <v>0</v>
      </c>
      <c r="D530" s="31" t="n">
        <v>14704.96</v>
      </c>
      <c r="E530" s="31" t="inlineStr"/>
      <c r="F530" s="31" t="inlineStr">
        <is>
          <t>HDFC Securities - Settlement</t>
        </is>
      </c>
      <c r="G530" s="32" t="n">
        <v>0.93</v>
      </c>
      <c r="H530" s="31" t="inlineStr">
        <is>
          <t>HDFC Securities</t>
        </is>
      </c>
      <c r="I530" s="31" t="inlineStr">
        <is>
          <t>HDFC 0094</t>
        </is>
      </c>
      <c r="J530" s="31" t="inlineStr">
        <is>
          <t>HDFC Sec</t>
        </is>
      </c>
      <c r="K530" s="31" t="inlineStr">
        <is>
          <t>FT- 568289447-50200085415108 - HDFC SECURITIES LTD-CLIENT DSCNB A/C -</t>
        </is>
      </c>
      <c r="L530" s="31" t="inlineStr">
        <is>
          <t>HDFC Bank</t>
        </is>
      </c>
      <c r="M530" s="31" t="inlineStr"/>
    </row>
    <row r="531">
      <c r="A531" s="83" t="n">
        <v>45568</v>
      </c>
      <c r="B531" s="83" t="n">
        <v>45568</v>
      </c>
      <c r="C531" s="84" t="n">
        <v>732.04</v>
      </c>
      <c r="D531" s="84" t="n">
        <v>0</v>
      </c>
      <c r="E531" s="84" t="inlineStr"/>
      <c r="F531" s="84" t="inlineStr">
        <is>
          <t>HDFC Securities - Buy</t>
        </is>
      </c>
      <c r="G531" s="32" t="n">
        <v>0.97</v>
      </c>
      <c r="H531" s="84" t="inlineStr">
        <is>
          <t>HDFC Securities</t>
        </is>
      </c>
      <c r="I531" s="84" t="inlineStr">
        <is>
          <t>HDFC 0094</t>
        </is>
      </c>
      <c r="J531" s="84" t="inlineStr">
        <is>
          <t>HSL</t>
        </is>
      </c>
      <c r="K531" s="84" t="inlineStr">
        <is>
          <t>NET PI TO HSL SEC A/C 523686-00602340029434</t>
        </is>
      </c>
      <c r="L531" s="84" t="inlineStr">
        <is>
          <t>HDFC Bank</t>
        </is>
      </c>
      <c r="M531" s="84" t="inlineStr"/>
    </row>
    <row r="532">
      <c r="A532" s="83" t="n">
        <v>45569</v>
      </c>
      <c r="B532" s="83" t="n">
        <v>45569</v>
      </c>
      <c r="C532" s="84" t="n">
        <v>40533.45</v>
      </c>
      <c r="D532" s="84" t="n">
        <v>0</v>
      </c>
      <c r="E532" s="84" t="inlineStr"/>
      <c r="F532" s="84" t="inlineStr">
        <is>
          <t>HDFC Securities - Buy</t>
        </is>
      </c>
      <c r="G532" s="32" t="n">
        <v>0.97</v>
      </c>
      <c r="H532" s="84" t="inlineStr">
        <is>
          <t>HDFC Securities</t>
        </is>
      </c>
      <c r="I532" s="84" t="inlineStr">
        <is>
          <t>HDFC 0094</t>
        </is>
      </c>
      <c r="J532" s="84" t="inlineStr">
        <is>
          <t>HSL</t>
        </is>
      </c>
      <c r="K532" s="84" t="inlineStr">
        <is>
          <t>NET PI TO HSL SEC A/C 523686-00602340029434</t>
        </is>
      </c>
      <c r="L532" s="84" t="inlineStr">
        <is>
          <t>HDFC Bank</t>
        </is>
      </c>
      <c r="M532" s="84" t="inlineStr"/>
    </row>
    <row r="533">
      <c r="A533" s="83" t="n">
        <v>45569</v>
      </c>
      <c r="B533" s="83" t="n">
        <v>45569</v>
      </c>
      <c r="C533" s="84" t="n">
        <v>352.85</v>
      </c>
      <c r="D533" s="84" t="n">
        <v>0</v>
      </c>
      <c r="E533" s="84" t="inlineStr"/>
      <c r="F533" s="84" t="inlineStr">
        <is>
          <t>HDFC Securities - Buy</t>
        </is>
      </c>
      <c r="G533" s="32" t="n">
        <v>0.97</v>
      </c>
      <c r="H533" s="84" t="inlineStr">
        <is>
          <t>HDFC Securities</t>
        </is>
      </c>
      <c r="I533" s="84" t="inlineStr">
        <is>
          <t>HDFC 0094</t>
        </is>
      </c>
      <c r="J533" s="84" t="inlineStr">
        <is>
          <t>HSL</t>
        </is>
      </c>
      <c r="K533" s="84" t="inlineStr">
        <is>
          <t>NET PI TO HSL SEC A/C 523686-00602340029434</t>
        </is>
      </c>
      <c r="L533" s="84" t="inlineStr">
        <is>
          <t>HDFC Bank</t>
        </is>
      </c>
      <c r="M533" s="84" t="inlineStr"/>
    </row>
    <row r="534">
      <c r="A534" s="83" t="n">
        <v>45569</v>
      </c>
      <c r="B534" s="83" t="n">
        <v>45569</v>
      </c>
      <c r="C534" s="84" t="n">
        <v>6291.03</v>
      </c>
      <c r="D534" s="84" t="n">
        <v>0</v>
      </c>
      <c r="E534" s="84" t="inlineStr"/>
      <c r="F534" s="84" t="inlineStr">
        <is>
          <t>HDFC Securities - Buy</t>
        </is>
      </c>
      <c r="G534" s="32" t="n">
        <v>0.97</v>
      </c>
      <c r="H534" s="84" t="inlineStr">
        <is>
          <t>HDFC Securities</t>
        </is>
      </c>
      <c r="I534" s="84" t="inlineStr">
        <is>
          <t>HDFC 0094</t>
        </is>
      </c>
      <c r="J534" s="84" t="inlineStr">
        <is>
          <t>HSL</t>
        </is>
      </c>
      <c r="K534" s="84" t="inlineStr">
        <is>
          <t>NET PI TO HSL SEC A/C 523686-00602340029434</t>
        </is>
      </c>
      <c r="L534" s="84" t="inlineStr">
        <is>
          <t>HDFC Bank</t>
        </is>
      </c>
      <c r="M534" s="84" t="inlineStr"/>
    </row>
    <row r="535">
      <c r="A535" s="83" t="n">
        <v>45572</v>
      </c>
      <c r="B535" s="83" t="n">
        <v>45572</v>
      </c>
      <c r="C535" s="84" t="n">
        <v>678.4</v>
      </c>
      <c r="D535" s="84" t="n">
        <v>0</v>
      </c>
      <c r="E535" s="84" t="inlineStr"/>
      <c r="F535" s="84" t="inlineStr">
        <is>
          <t>HDFC Securities - Buy</t>
        </is>
      </c>
      <c r="G535" s="32" t="n">
        <v>0.97</v>
      </c>
      <c r="H535" s="84" t="inlineStr">
        <is>
          <t>HDFC Securities</t>
        </is>
      </c>
      <c r="I535" s="84" t="inlineStr">
        <is>
          <t>HDFC 0094</t>
        </is>
      </c>
      <c r="J535" s="84" t="inlineStr">
        <is>
          <t>HSL</t>
        </is>
      </c>
      <c r="K535" s="84" t="inlineStr">
        <is>
          <t>NET PI TO HSL SEC A/C 523686-00602340029434</t>
        </is>
      </c>
      <c r="L535" s="84" t="inlineStr">
        <is>
          <t>HDFC Bank</t>
        </is>
      </c>
      <c r="M535" s="84" t="inlineStr"/>
    </row>
    <row r="536">
      <c r="A536" s="42" t="n">
        <v>45572</v>
      </c>
      <c r="B536" s="42" t="n">
        <v>45572</v>
      </c>
      <c r="C536" s="43" t="n">
        <v>0</v>
      </c>
      <c r="D536" s="43" t="n">
        <v>25</v>
      </c>
      <c r="E536" s="43" t="inlineStr"/>
      <c r="F536" s="43" t="inlineStr">
        <is>
          <t>Dividend Income</t>
        </is>
      </c>
      <c r="G536" s="32" t="n">
        <v>0.88</v>
      </c>
      <c r="H536" s="43" t="inlineStr">
        <is>
          <t>Dividend Income</t>
        </is>
      </c>
      <c r="I536" s="43" t="inlineStr">
        <is>
          <t>HDFC 0094</t>
        </is>
      </c>
      <c r="J536" s="43" t="inlineStr">
        <is>
          <t>Dividend Income</t>
        </is>
      </c>
      <c r="K536" s="43" t="inlineStr">
        <is>
          <t>ACH C- ALU FINAL 2023 2024-11514</t>
        </is>
      </c>
      <c r="L536" s="43" t="inlineStr">
        <is>
          <t>HDFC Bank</t>
        </is>
      </c>
      <c r="M536" s="43" t="inlineStr"/>
    </row>
    <row r="537">
      <c r="A537" s="83" t="n">
        <v>45572</v>
      </c>
      <c r="B537" s="83" t="n">
        <v>45572</v>
      </c>
      <c r="C537" s="84" t="n">
        <v>431.33</v>
      </c>
      <c r="D537" s="84" t="n">
        <v>0</v>
      </c>
      <c r="E537" s="84" t="inlineStr"/>
      <c r="F537" s="84" t="inlineStr">
        <is>
          <t>HDFC Securities - Buy</t>
        </is>
      </c>
      <c r="G537" s="32" t="n">
        <v>0.97</v>
      </c>
      <c r="H537" s="84" t="inlineStr">
        <is>
          <t>HDFC Securities</t>
        </is>
      </c>
      <c r="I537" s="84" t="inlineStr">
        <is>
          <t>HDFC 0094</t>
        </is>
      </c>
      <c r="J537" s="84" t="inlineStr">
        <is>
          <t>HSL</t>
        </is>
      </c>
      <c r="K537" s="84" t="inlineStr">
        <is>
          <t>NET PI TO HSL SEC A/C 523686-00602340029434</t>
        </is>
      </c>
      <c r="L537" s="84" t="inlineStr">
        <is>
          <t>HDFC Bank</t>
        </is>
      </c>
      <c r="M537" s="84" t="inlineStr"/>
    </row>
    <row r="538">
      <c r="A538" s="83" t="n">
        <v>45572</v>
      </c>
      <c r="B538" s="83" t="n">
        <v>45572</v>
      </c>
      <c r="C538" s="84" t="n">
        <v>15433.41</v>
      </c>
      <c r="D538" s="84" t="n">
        <v>0</v>
      </c>
      <c r="E538" s="84" t="inlineStr"/>
      <c r="F538" s="84" t="inlineStr">
        <is>
          <t>HDFC Securities - Buy</t>
        </is>
      </c>
      <c r="G538" s="32" t="n">
        <v>0.97</v>
      </c>
      <c r="H538" s="84" t="inlineStr">
        <is>
          <t>HDFC Securities</t>
        </is>
      </c>
      <c r="I538" s="84" t="inlineStr">
        <is>
          <t>HDFC 0094</t>
        </is>
      </c>
      <c r="J538" s="84" t="inlineStr">
        <is>
          <t>HSL</t>
        </is>
      </c>
      <c r="K538" s="84" t="inlineStr">
        <is>
          <t>NET PI TO HSL SEC A/C 523686-00602340029434</t>
        </is>
      </c>
      <c r="L538" s="84" t="inlineStr">
        <is>
          <t>HDFC Bank</t>
        </is>
      </c>
      <c r="M538" s="84" t="inlineStr"/>
    </row>
    <row r="539">
      <c r="A539" s="30" t="n">
        <v>45573</v>
      </c>
      <c r="B539" s="30" t="n">
        <v>45573</v>
      </c>
      <c r="C539" s="31" t="n">
        <v>0</v>
      </c>
      <c r="D539" s="31" t="n">
        <v>431.33</v>
      </c>
      <c r="E539" s="31" t="inlineStr"/>
      <c r="F539" s="31" t="inlineStr">
        <is>
          <t>HDFC Securities - Settlement</t>
        </is>
      </c>
      <c r="G539" s="32" t="n">
        <v>0.93</v>
      </c>
      <c r="H539" s="31" t="inlineStr">
        <is>
          <t>HDFC Securities</t>
        </is>
      </c>
      <c r="I539" s="31" t="inlineStr">
        <is>
          <t>HDFC 0094</t>
        </is>
      </c>
      <c r="J539" s="31" t="inlineStr">
        <is>
          <t>HDFC Sec</t>
        </is>
      </c>
      <c r="K539" s="31" t="inlineStr">
        <is>
          <t>FT- 570053472-50200085415108 - HDFC SECURITIES LTD-CLIENT DSCNB A/C -</t>
        </is>
      </c>
      <c r="L539" s="31" t="inlineStr">
        <is>
          <t>HDFC Bank</t>
        </is>
      </c>
      <c r="M539" s="31" t="inlineStr"/>
    </row>
    <row r="540">
      <c r="A540" s="83" t="n">
        <v>45573</v>
      </c>
      <c r="B540" s="83" t="n">
        <v>45573</v>
      </c>
      <c r="C540" s="84" t="n">
        <v>364.57</v>
      </c>
      <c r="D540" s="84" t="n">
        <v>0</v>
      </c>
      <c r="E540" s="84" t="inlineStr"/>
      <c r="F540" s="84" t="inlineStr">
        <is>
          <t>HDFC Securities - Buy</t>
        </is>
      </c>
      <c r="G540" s="32" t="n">
        <v>0.97</v>
      </c>
      <c r="H540" s="84" t="inlineStr">
        <is>
          <t>HDFC Securities</t>
        </is>
      </c>
      <c r="I540" s="84" t="inlineStr">
        <is>
          <t>HDFC 0094</t>
        </is>
      </c>
      <c r="J540" s="84" t="inlineStr">
        <is>
          <t>HSL</t>
        </is>
      </c>
      <c r="K540" s="84" t="inlineStr">
        <is>
          <t>NET PI TO HSL SEC A/C 523686-00602340029434</t>
        </is>
      </c>
      <c r="L540" s="84" t="inlineStr">
        <is>
          <t>HDFC Bank</t>
        </is>
      </c>
      <c r="M540" s="84" t="inlineStr"/>
    </row>
    <row r="541">
      <c r="A541" s="42" t="n">
        <v>45573</v>
      </c>
      <c r="B541" s="42" t="n">
        <v>45573</v>
      </c>
      <c r="C541" s="43" t="n">
        <v>0</v>
      </c>
      <c r="D541" s="43" t="n">
        <v>191</v>
      </c>
      <c r="E541" s="43" t="inlineStr"/>
      <c r="F541" s="43" t="inlineStr">
        <is>
          <t>Dividend Income</t>
        </is>
      </c>
      <c r="G541" s="32" t="n">
        <v>0.88</v>
      </c>
      <c r="H541" s="43" t="inlineStr">
        <is>
          <t>Dividend Income</t>
        </is>
      </c>
      <c r="I541" s="43" t="inlineStr">
        <is>
          <t>HDFC 0094</t>
        </is>
      </c>
      <c r="J541" s="43" t="inlineStr">
        <is>
          <t>Dividend Income</t>
        </is>
      </c>
      <c r="K541" s="43" t="inlineStr">
        <is>
          <t>ACH C- MCX OF INDIA LTD-3645726</t>
        </is>
      </c>
      <c r="L541" s="43" t="inlineStr">
        <is>
          <t>HDFC Bank</t>
        </is>
      </c>
      <c r="M541" s="43" t="inlineStr"/>
    </row>
    <row r="542">
      <c r="A542" s="83" t="n">
        <v>45574</v>
      </c>
      <c r="B542" s="83" t="n">
        <v>45574</v>
      </c>
      <c r="C542" s="84" t="n">
        <v>364.57</v>
      </c>
      <c r="D542" s="84" t="n">
        <v>0</v>
      </c>
      <c r="E542" s="84" t="inlineStr"/>
      <c r="F542" s="84" t="inlineStr">
        <is>
          <t>HDFC Securities - Buy</t>
        </is>
      </c>
      <c r="G542" s="32" t="n">
        <v>0.97</v>
      </c>
      <c r="H542" s="84" t="inlineStr">
        <is>
          <t>HDFC Securities</t>
        </is>
      </c>
      <c r="I542" s="84" t="inlineStr">
        <is>
          <t>HDFC 0094</t>
        </is>
      </c>
      <c r="J542" s="84" t="inlineStr">
        <is>
          <t>HSL</t>
        </is>
      </c>
      <c r="K542" s="84" t="inlineStr">
        <is>
          <t>NET PI TO HSL SEC A/C 523686-00602340029434</t>
        </is>
      </c>
      <c r="L542" s="84" t="inlineStr">
        <is>
          <t>HDFC Bank</t>
        </is>
      </c>
      <c r="M542" s="84" t="inlineStr"/>
    </row>
    <row r="543">
      <c r="A543" s="30" t="n">
        <v>45574</v>
      </c>
      <c r="B543" s="30" t="n">
        <v>45574</v>
      </c>
      <c r="C543" s="31" t="n">
        <v>0</v>
      </c>
      <c r="D543" s="31" t="n">
        <v>4964.28</v>
      </c>
      <c r="E543" s="31" t="inlineStr"/>
      <c r="F543" s="31" t="inlineStr">
        <is>
          <t>HDFC Securities - Settlement</t>
        </is>
      </c>
      <c r="G543" s="32" t="n">
        <v>0.93</v>
      </c>
      <c r="H543" s="31" t="inlineStr">
        <is>
          <t>HDFC Securities</t>
        </is>
      </c>
      <c r="I543" s="31" t="inlineStr">
        <is>
          <t>HDFC 0094</t>
        </is>
      </c>
      <c r="J543" s="31" t="inlineStr">
        <is>
          <t>HDFC Sec</t>
        </is>
      </c>
      <c r="K543" s="31" t="inlineStr">
        <is>
          <t>FT- 570463394-50200085415108 - HDFC SECURITIES LTD-CLIENT DSCNB A/C -</t>
        </is>
      </c>
      <c r="L543" s="31" t="inlineStr">
        <is>
          <t>HDFC Bank</t>
        </is>
      </c>
      <c r="M543" s="31" t="inlineStr"/>
    </row>
    <row r="544">
      <c r="A544" s="116" t="n">
        <v>45575</v>
      </c>
      <c r="B544" s="116" t="n">
        <v>45575</v>
      </c>
      <c r="C544" s="117" t="n">
        <v>0</v>
      </c>
      <c r="D544" s="117" t="n">
        <v>34220</v>
      </c>
      <c r="E544" s="117" t="inlineStr"/>
      <c r="F544" s="117" t="inlineStr">
        <is>
          <t>Received - Sunita Gupta</t>
        </is>
      </c>
      <c r="G544" s="32" t="n">
        <v>0.88</v>
      </c>
      <c r="H544" s="117" t="inlineStr">
        <is>
          <t>Sunita Gupta</t>
        </is>
      </c>
      <c r="I544" s="117" t="inlineStr">
        <is>
          <t>HDFC 0094</t>
        </is>
      </c>
      <c r="J544" s="117" t="inlineStr">
        <is>
          <t>Rental Income</t>
        </is>
      </c>
      <c r="K544" s="117" t="inlineStr">
        <is>
          <t>NEFT CR-SBIN0004266-SBI GENERAL INSURANCE CO LTDSBI GEN-SUNITA GUPTA 0000000002717756-SBIN424284032197</t>
        </is>
      </c>
      <c r="L544" s="117" t="inlineStr">
        <is>
          <t>HDFC Bank</t>
        </is>
      </c>
      <c r="M544" s="117" t="inlineStr"/>
    </row>
    <row r="545">
      <c r="A545" s="83" t="n">
        <v>45575</v>
      </c>
      <c r="B545" s="83" t="n">
        <v>45575</v>
      </c>
      <c r="C545" s="84" t="n">
        <v>366.34</v>
      </c>
      <c r="D545" s="84" t="n">
        <v>0</v>
      </c>
      <c r="E545" s="84" t="inlineStr"/>
      <c r="F545" s="84" t="inlineStr">
        <is>
          <t>HDFC Securities - Buy</t>
        </is>
      </c>
      <c r="G545" s="32" t="n">
        <v>0.97</v>
      </c>
      <c r="H545" s="84" t="inlineStr">
        <is>
          <t>HDFC Securities</t>
        </is>
      </c>
      <c r="I545" s="84" t="inlineStr">
        <is>
          <t>HDFC 0094</t>
        </is>
      </c>
      <c r="J545" s="84" t="inlineStr">
        <is>
          <t>HSL</t>
        </is>
      </c>
      <c r="K545" s="84" t="inlineStr">
        <is>
          <t>NET PI TO HSL SEC A/C 523686-00602340029434</t>
        </is>
      </c>
      <c r="L545" s="84" t="inlineStr">
        <is>
          <t>HDFC Bank</t>
        </is>
      </c>
      <c r="M545" s="84" t="inlineStr"/>
    </row>
    <row r="546">
      <c r="A546" s="30" t="n">
        <v>45575</v>
      </c>
      <c r="B546" s="30" t="n">
        <v>45575</v>
      </c>
      <c r="C546" s="31" t="n">
        <v>0</v>
      </c>
      <c r="D546" s="31" t="n">
        <v>29661.24</v>
      </c>
      <c r="E546" s="31" t="inlineStr"/>
      <c r="F546" s="31" t="inlineStr">
        <is>
          <t>HDFC Securities - Settlement</t>
        </is>
      </c>
      <c r="G546" s="32" t="n">
        <v>0.93</v>
      </c>
      <c r="H546" s="31" t="inlineStr">
        <is>
          <t>HDFC Securities</t>
        </is>
      </c>
      <c r="I546" s="31" t="inlineStr">
        <is>
          <t>HDFC 0094</t>
        </is>
      </c>
      <c r="J546" s="31" t="inlineStr">
        <is>
          <t>HDFC Sec</t>
        </is>
      </c>
      <c r="K546" s="31" t="inlineStr">
        <is>
          <t>FT- 570915703-50200085415108 - HDFC SECURITIES LTD-CLIENT DSCNB A/C -</t>
        </is>
      </c>
      <c r="L546" s="31" t="inlineStr">
        <is>
          <t>HDFC Bank</t>
        </is>
      </c>
      <c r="M546" s="31" t="inlineStr"/>
    </row>
    <row r="547">
      <c r="A547" s="30" t="n">
        <v>45575</v>
      </c>
      <c r="B547" s="30" t="n">
        <v>45575</v>
      </c>
      <c r="C547" s="31" t="n">
        <v>0</v>
      </c>
      <c r="D547" s="31" t="n">
        <v>1439.2</v>
      </c>
      <c r="E547" s="31" t="inlineStr"/>
      <c r="F547" s="31" t="inlineStr">
        <is>
          <t>HDFC Securities - Settlement</t>
        </is>
      </c>
      <c r="G547" s="32" t="n">
        <v>0.93</v>
      </c>
      <c r="H547" s="31" t="inlineStr">
        <is>
          <t>HDFC Securities</t>
        </is>
      </c>
      <c r="I547" s="31" t="inlineStr">
        <is>
          <t>HDFC 0094</t>
        </is>
      </c>
      <c r="J547" s="31" t="inlineStr">
        <is>
          <t>HDFC Sec</t>
        </is>
      </c>
      <c r="K547" s="31" t="inlineStr">
        <is>
          <t>FT- 570885181-50200085415108 - HDFC SECURITIES LTD-CLIENT DSCNB A/C -</t>
        </is>
      </c>
      <c r="L547" s="31" t="inlineStr">
        <is>
          <t>HDFC Bank</t>
        </is>
      </c>
      <c r="M547" s="31" t="inlineStr"/>
    </row>
    <row r="548">
      <c r="A548" s="30" t="n">
        <v>45576</v>
      </c>
      <c r="B548" s="30" t="n">
        <v>45576</v>
      </c>
      <c r="C548" s="31" t="n">
        <v>0</v>
      </c>
      <c r="D548" s="31" t="n">
        <v>5366.11</v>
      </c>
      <c r="E548" s="31" t="inlineStr"/>
      <c r="F548" s="31" t="inlineStr">
        <is>
          <t>HDFC Securities - Settlement</t>
        </is>
      </c>
      <c r="G548" s="32" t="n">
        <v>0.93</v>
      </c>
      <c r="H548" s="31" t="inlineStr">
        <is>
          <t>HDFC Securities</t>
        </is>
      </c>
      <c r="I548" s="31" t="inlineStr">
        <is>
          <t>HDFC 0094</t>
        </is>
      </c>
      <c r="J548" s="31" t="inlineStr">
        <is>
          <t>HDFC Sec</t>
        </is>
      </c>
      <c r="K548" s="31" t="inlineStr">
        <is>
          <t>FT- 571335388-50200085415108 - HDFC SECURITIES LTD-CLIENT DSCNB A/C -</t>
        </is>
      </c>
      <c r="L548" s="31" t="inlineStr">
        <is>
          <t>HDFC Bank</t>
        </is>
      </c>
      <c r="M548" s="31" t="inlineStr"/>
    </row>
    <row r="549">
      <c r="A549" s="83" t="n">
        <v>45576</v>
      </c>
      <c r="B549" s="83" t="n">
        <v>45576</v>
      </c>
      <c r="C549" s="84" t="n">
        <v>366.85</v>
      </c>
      <c r="D549" s="84" t="n">
        <v>0</v>
      </c>
      <c r="E549" s="84" t="inlineStr"/>
      <c r="F549" s="84" t="inlineStr">
        <is>
          <t>HDFC Securities - Buy</t>
        </is>
      </c>
      <c r="G549" s="32" t="n">
        <v>0.97</v>
      </c>
      <c r="H549" s="84" t="inlineStr">
        <is>
          <t>HDFC Securities</t>
        </is>
      </c>
      <c r="I549" s="84" t="inlineStr">
        <is>
          <t>HDFC 0094</t>
        </is>
      </c>
      <c r="J549" s="84" t="inlineStr">
        <is>
          <t>HSL</t>
        </is>
      </c>
      <c r="K549" s="84" t="inlineStr">
        <is>
          <t>NET PI TO HSL SEC A/C 523686-00602340029434</t>
        </is>
      </c>
      <c r="L549" s="84" t="inlineStr">
        <is>
          <t>HDFC Bank</t>
        </is>
      </c>
      <c r="M549" s="84" t="inlineStr"/>
    </row>
    <row r="550">
      <c r="A550" s="83" t="n">
        <v>45576</v>
      </c>
      <c r="B550" s="83" t="n">
        <v>45576</v>
      </c>
      <c r="C550" s="84" t="n">
        <v>119.69</v>
      </c>
      <c r="D550" s="84" t="n">
        <v>0</v>
      </c>
      <c r="E550" s="84" t="inlineStr"/>
      <c r="F550" s="84" t="inlineStr">
        <is>
          <t>HDFC Securities - Buy</t>
        </is>
      </c>
      <c r="G550" s="32" t="n">
        <v>0.97</v>
      </c>
      <c r="H550" s="84" t="inlineStr">
        <is>
          <t>HDFC Securities</t>
        </is>
      </c>
      <c r="I550" s="84" t="inlineStr">
        <is>
          <t>HDFC 0094</t>
        </is>
      </c>
      <c r="J550" s="84" t="inlineStr">
        <is>
          <t>HSL</t>
        </is>
      </c>
      <c r="K550" s="84" t="inlineStr">
        <is>
          <t>NET PI TO HSL SEC A/C 523686-00602340029434</t>
        </is>
      </c>
      <c r="L550" s="84" t="inlineStr">
        <is>
          <t>HDFC Bank</t>
        </is>
      </c>
      <c r="M550" s="84" t="inlineStr"/>
    </row>
    <row r="551">
      <c r="A551" s="83" t="n">
        <v>45579</v>
      </c>
      <c r="B551" s="83" t="n">
        <v>45579</v>
      </c>
      <c r="C551" s="84" t="n">
        <v>2966.98</v>
      </c>
      <c r="D551" s="84" t="n">
        <v>0</v>
      </c>
      <c r="E551" s="84" t="inlineStr"/>
      <c r="F551" s="84" t="inlineStr">
        <is>
          <t>HDFC Securities - Buy</t>
        </is>
      </c>
      <c r="G551" s="32" t="n">
        <v>0.97</v>
      </c>
      <c r="H551" s="84" t="inlineStr">
        <is>
          <t>HDFC Securities</t>
        </is>
      </c>
      <c r="I551" s="84" t="inlineStr">
        <is>
          <t>HDFC 0094</t>
        </is>
      </c>
      <c r="J551" s="84" t="inlineStr">
        <is>
          <t>HSL</t>
        </is>
      </c>
      <c r="K551" s="84" t="inlineStr">
        <is>
          <t>NET PI TO HSL SEC A/C 523686-00602340029434</t>
        </is>
      </c>
      <c r="L551" s="84" t="inlineStr">
        <is>
          <t>HDFC Bank</t>
        </is>
      </c>
      <c r="M551" s="84" t="inlineStr"/>
    </row>
    <row r="552">
      <c r="A552" s="30" t="n">
        <v>45580</v>
      </c>
      <c r="B552" s="30" t="n">
        <v>45580</v>
      </c>
      <c r="C552" s="31" t="n">
        <v>0</v>
      </c>
      <c r="D552" s="31" t="n">
        <v>141198.07</v>
      </c>
      <c r="E552" s="31" t="inlineStr"/>
      <c r="F552" s="31" t="inlineStr">
        <is>
          <t>HDFC Securities - Settlement</t>
        </is>
      </c>
      <c r="G552" s="32" t="n">
        <v>0.93</v>
      </c>
      <c r="H552" s="31" t="inlineStr">
        <is>
          <t>HDFC Securities</t>
        </is>
      </c>
      <c r="I552" s="31" t="inlineStr">
        <is>
          <t>HDFC 0094</t>
        </is>
      </c>
      <c r="J552" s="31" t="inlineStr">
        <is>
          <t>HDFC Sec</t>
        </is>
      </c>
      <c r="K552" s="31" t="inlineStr">
        <is>
          <t>FT- 572160230-50200085415108 - HDFC SECURITIES LTD-CLIENT DSCNB A/C -</t>
        </is>
      </c>
      <c r="L552" s="31" t="inlineStr">
        <is>
          <t>HDFC Bank</t>
        </is>
      </c>
      <c r="M552" s="31" t="inlineStr"/>
    </row>
    <row r="553">
      <c r="A553" s="83" t="n">
        <v>45580</v>
      </c>
      <c r="B553" s="83" t="n">
        <v>45580</v>
      </c>
      <c r="C553" s="84" t="n">
        <v>368.05</v>
      </c>
      <c r="D553" s="84" t="n">
        <v>0</v>
      </c>
      <c r="E553" s="84" t="inlineStr"/>
      <c r="F553" s="84" t="inlineStr">
        <is>
          <t>HDFC Securities - Buy</t>
        </is>
      </c>
      <c r="G553" s="32" t="n">
        <v>0.97</v>
      </c>
      <c r="H553" s="84" t="inlineStr">
        <is>
          <t>HDFC Securities</t>
        </is>
      </c>
      <c r="I553" s="84" t="inlineStr">
        <is>
          <t>HDFC 0094</t>
        </is>
      </c>
      <c r="J553" s="84" t="inlineStr">
        <is>
          <t>HSL</t>
        </is>
      </c>
      <c r="K553" s="84" t="inlineStr">
        <is>
          <t>NET PI TO HSL SEC A/C 523686-00602340029434</t>
        </is>
      </c>
      <c r="L553" s="84" t="inlineStr">
        <is>
          <t>HDFC Bank</t>
        </is>
      </c>
      <c r="M553" s="84" t="inlineStr"/>
    </row>
    <row r="554">
      <c r="A554" s="83" t="n">
        <v>45580</v>
      </c>
      <c r="B554" s="83" t="n">
        <v>45580</v>
      </c>
      <c r="C554" s="84" t="n">
        <v>6720.79</v>
      </c>
      <c r="D554" s="84" t="n">
        <v>0</v>
      </c>
      <c r="E554" s="84" t="inlineStr"/>
      <c r="F554" s="84" t="inlineStr">
        <is>
          <t>HDFC Securities - Buy</t>
        </is>
      </c>
      <c r="G554" s="32" t="n">
        <v>0.97</v>
      </c>
      <c r="H554" s="84" t="inlineStr">
        <is>
          <t>HDFC Securities</t>
        </is>
      </c>
      <c r="I554" s="84" t="inlineStr">
        <is>
          <t>HDFC 0094</t>
        </is>
      </c>
      <c r="J554" s="84" t="inlineStr">
        <is>
          <t>HSL</t>
        </is>
      </c>
      <c r="K554" s="84" t="inlineStr">
        <is>
          <t>NET PI TO HSL SEC A/C 523686-00602340029434</t>
        </is>
      </c>
      <c r="L554" s="84" t="inlineStr">
        <is>
          <t>HDFC Bank</t>
        </is>
      </c>
      <c r="M554" s="84" t="inlineStr"/>
    </row>
    <row r="555">
      <c r="A555" s="89" t="n">
        <v>45580</v>
      </c>
      <c r="B555" s="89" t="n">
        <v>45580</v>
      </c>
      <c r="C555" s="90" t="n">
        <v>746.79</v>
      </c>
      <c r="D555" s="90" t="n">
        <v>0</v>
      </c>
      <c r="E555" s="90" t="inlineStr"/>
      <c r="F555" s="90" t="inlineStr">
        <is>
          <t>Depository Charges</t>
        </is>
      </c>
      <c r="G555" s="32" t="n">
        <v>0.93</v>
      </c>
      <c r="H555" s="90" t="inlineStr">
        <is>
          <t>Depository Charges</t>
        </is>
      </c>
      <c r="I555" s="90" t="inlineStr">
        <is>
          <t>HDFC 0094</t>
        </is>
      </c>
      <c r="J555" s="90" t="inlineStr">
        <is>
          <t>Depository Charges</t>
        </is>
      </c>
      <c r="K555" s="90" t="inlineStr">
        <is>
          <t>DEPOSITORY CHARGES SEP24 - 41060499</t>
        </is>
      </c>
      <c r="L555" s="90" t="inlineStr">
        <is>
          <t>HDFC Bank</t>
        </is>
      </c>
      <c r="M555" s="90" t="inlineStr"/>
    </row>
    <row r="556">
      <c r="A556" s="64" t="n">
        <v>45580</v>
      </c>
      <c r="B556" s="64" t="n">
        <v>45580</v>
      </c>
      <c r="C556" s="65" t="n">
        <v>5000</v>
      </c>
      <c r="D556" s="65" t="n">
        <v>0</v>
      </c>
      <c r="E556" s="65" t="inlineStr"/>
      <c r="F556" s="65" t="inlineStr">
        <is>
          <t>MF Investment</t>
        </is>
      </c>
      <c r="G556" s="32" t="n">
        <v>0.92</v>
      </c>
      <c r="H556" s="65" t="inlineStr">
        <is>
          <t>Mutual_Fund_Investments</t>
        </is>
      </c>
      <c r="I556" s="65" t="inlineStr">
        <is>
          <t>HDFC 0094</t>
        </is>
      </c>
      <c r="J556" s="65" t="inlineStr">
        <is>
          <t>SIP  - 5000</t>
        </is>
      </c>
      <c r="K556" s="65" t="inlineStr">
        <is>
          <t>ACH D- INDIAN CLEARING CORP-P25847643X05</t>
        </is>
      </c>
      <c r="L556" s="65" t="inlineStr">
        <is>
          <t>HDFC Bank</t>
        </is>
      </c>
      <c r="M556" s="65" t="inlineStr"/>
    </row>
    <row r="557">
      <c r="A557" s="30" t="n">
        <v>45580</v>
      </c>
      <c r="B557" s="30" t="n">
        <v>45580</v>
      </c>
      <c r="C557" s="31" t="n">
        <v>10000</v>
      </c>
      <c r="D557" s="31" t="n">
        <v>0</v>
      </c>
      <c r="E557" s="31" t="inlineStr"/>
      <c r="F557" s="31" t="inlineStr">
        <is>
          <t>Cash Withdrawal</t>
        </is>
      </c>
      <c r="G557" s="32" t="n">
        <v>0.92</v>
      </c>
      <c r="H557" s="31" t="inlineStr">
        <is>
          <t>Cash</t>
        </is>
      </c>
      <c r="I557" s="31" t="inlineStr">
        <is>
          <t>HDFC 0094</t>
        </is>
      </c>
      <c r="J557" s="31" t="inlineStr">
        <is>
          <t>ATM Withdrawal</t>
        </is>
      </c>
      <c r="K557" s="31" t="inlineStr">
        <is>
          <t>ATW-498792XXXXXX0500-S1ANRS37-KOTA</t>
        </is>
      </c>
      <c r="L557" s="31" t="inlineStr">
        <is>
          <t>HDFC Bank</t>
        </is>
      </c>
      <c r="M557" s="31" t="inlineStr"/>
    </row>
    <row r="558">
      <c r="A558" s="83" t="n">
        <v>45581</v>
      </c>
      <c r="B558" s="83" t="n">
        <v>45581</v>
      </c>
      <c r="C558" s="84" t="n">
        <v>365.66</v>
      </c>
      <c r="D558" s="84" t="n">
        <v>0</v>
      </c>
      <c r="E558" s="84" t="inlineStr"/>
      <c r="F558" s="84" t="inlineStr">
        <is>
          <t>HDFC Securities - Buy</t>
        </is>
      </c>
      <c r="G558" s="32" t="n">
        <v>0.97</v>
      </c>
      <c r="H558" s="84" t="inlineStr">
        <is>
          <t>HDFC Securities</t>
        </is>
      </c>
      <c r="I558" s="84" t="inlineStr">
        <is>
          <t>HDFC 0094</t>
        </is>
      </c>
      <c r="J558" s="84" t="inlineStr">
        <is>
          <t>HSL</t>
        </is>
      </c>
      <c r="K558" s="84" t="inlineStr">
        <is>
          <t>NET PI TO HSL SEC A/C 523686-00602340029434</t>
        </is>
      </c>
      <c r="L558" s="84" t="inlineStr">
        <is>
          <t>HDFC Bank</t>
        </is>
      </c>
      <c r="M558" s="84" t="inlineStr"/>
    </row>
    <row r="559">
      <c r="A559" s="42" t="n">
        <v>45581</v>
      </c>
      <c r="B559" s="42" t="n">
        <v>45581</v>
      </c>
      <c r="C559" s="43" t="n">
        <v>0</v>
      </c>
      <c r="D559" s="43" t="n">
        <v>337.5</v>
      </c>
      <c r="E559" s="43" t="inlineStr"/>
      <c r="F559" s="43" t="inlineStr">
        <is>
          <t>Dividend Income</t>
        </is>
      </c>
      <c r="G559" s="32" t="n">
        <v>0.88</v>
      </c>
      <c r="H559" s="43" t="inlineStr">
        <is>
          <t>Dividend Income</t>
        </is>
      </c>
      <c r="I559" s="43" t="inlineStr">
        <is>
          <t>HDFC 0094</t>
        </is>
      </c>
      <c r="J559" s="43" t="inlineStr">
        <is>
          <t>Dividend Income</t>
        </is>
      </c>
      <c r="K559" s="43" t="inlineStr">
        <is>
          <t>ACH C- CONCOR FINDIV 23-24-CN18092400347</t>
        </is>
      </c>
      <c r="L559" s="43" t="inlineStr">
        <is>
          <t>HDFC Bank</t>
        </is>
      </c>
      <c r="M559" s="43" t="inlineStr"/>
    </row>
    <row r="560">
      <c r="A560" s="48" t="n">
        <v>45581</v>
      </c>
      <c r="B560" s="48" t="n">
        <v>45581</v>
      </c>
      <c r="C560" s="49" t="n">
        <v>5000</v>
      </c>
      <c r="D560" s="49" t="n">
        <v>0</v>
      </c>
      <c r="E560" s="49" t="inlineStr">
        <is>
          <t>Ashwini Hemant Patil</t>
        </is>
      </c>
      <c r="F560" s="49" t="inlineStr">
        <is>
          <t>UPI Payment</t>
        </is>
      </c>
      <c r="G560" s="50" t="n">
        <v>0.55</v>
      </c>
      <c r="H560" s="49" t="inlineStr">
        <is>
          <t>Personal</t>
        </is>
      </c>
      <c r="I560" s="49" t="inlineStr">
        <is>
          <t>AXIS 7042</t>
        </is>
      </c>
      <c r="J560" s="49" t="inlineStr">
        <is>
          <t>UPI</t>
        </is>
      </c>
      <c r="K560" s="49" t="inlineStr">
        <is>
          <t>UPI/P2A/465679437892/ASHWINI HEMANT PATIL /kitty/State Bank Of India</t>
        </is>
      </c>
      <c r="L560" s="49" t="inlineStr">
        <is>
          <t>Axis Bank</t>
        </is>
      </c>
      <c r="M560" s="49" t="inlineStr"/>
    </row>
    <row r="561">
      <c r="A561" s="83" t="n">
        <v>45582</v>
      </c>
      <c r="B561" s="83" t="n">
        <v>45582</v>
      </c>
      <c r="C561" s="84" t="n">
        <v>365.66</v>
      </c>
      <c r="D561" s="84" t="n">
        <v>0</v>
      </c>
      <c r="E561" s="84" t="inlineStr"/>
      <c r="F561" s="84" t="inlineStr">
        <is>
          <t>HDFC Securities - Buy</t>
        </is>
      </c>
      <c r="G561" s="32" t="n">
        <v>0.97</v>
      </c>
      <c r="H561" s="84" t="inlineStr">
        <is>
          <t>HDFC Securities</t>
        </is>
      </c>
      <c r="I561" s="84" t="inlineStr">
        <is>
          <t>HDFC 0094</t>
        </is>
      </c>
      <c r="J561" s="84" t="inlineStr">
        <is>
          <t>HSL</t>
        </is>
      </c>
      <c r="K561" s="84" t="inlineStr">
        <is>
          <t>NET PI TO HSL SEC A/C 523686-00602340029434</t>
        </is>
      </c>
      <c r="L561" s="84" t="inlineStr">
        <is>
          <t>HDFC Bank</t>
        </is>
      </c>
      <c r="M561" s="84" t="inlineStr"/>
    </row>
    <row r="562">
      <c r="A562" s="83" t="n">
        <v>45582</v>
      </c>
      <c r="B562" s="83" t="n">
        <v>45582</v>
      </c>
      <c r="C562" s="84" t="n">
        <v>11850.76</v>
      </c>
      <c r="D562" s="84" t="n">
        <v>0</v>
      </c>
      <c r="E562" s="84" t="inlineStr"/>
      <c r="F562" s="84" t="inlineStr">
        <is>
          <t>HDFC Securities - Buy</t>
        </is>
      </c>
      <c r="G562" s="32" t="n">
        <v>0.97</v>
      </c>
      <c r="H562" s="84" t="inlineStr">
        <is>
          <t>HDFC Securities</t>
        </is>
      </c>
      <c r="I562" s="84" t="inlineStr">
        <is>
          <t>HDFC 0094</t>
        </is>
      </c>
      <c r="J562" s="84" t="inlineStr">
        <is>
          <t>HSL</t>
        </is>
      </c>
      <c r="K562" s="84" t="inlineStr">
        <is>
          <t>NET PI TO HSL SEC A/C 523686-00602340029434</t>
        </is>
      </c>
      <c r="L562" s="84" t="inlineStr">
        <is>
          <t>HDFC Bank</t>
        </is>
      </c>
      <c r="M562" s="84" t="inlineStr"/>
    </row>
    <row r="563">
      <c r="A563" s="30" t="n">
        <v>45582</v>
      </c>
      <c r="B563" s="30" t="n">
        <v>45582</v>
      </c>
      <c r="C563" s="31" t="n">
        <v>0</v>
      </c>
      <c r="D563" s="31" t="n">
        <v>32327.51</v>
      </c>
      <c r="E563" s="31" t="inlineStr"/>
      <c r="F563" s="31" t="inlineStr">
        <is>
          <t>HDFC Securities - Settlement</t>
        </is>
      </c>
      <c r="G563" s="32" t="n">
        <v>0.93</v>
      </c>
      <c r="H563" s="31" t="inlineStr">
        <is>
          <t>HDFC Securities</t>
        </is>
      </c>
      <c r="I563" s="31" t="inlineStr">
        <is>
          <t>HDFC 0094</t>
        </is>
      </c>
      <c r="J563" s="31" t="inlineStr">
        <is>
          <t>HDFC Sec</t>
        </is>
      </c>
      <c r="K563" s="31" t="inlineStr">
        <is>
          <t>FT- 572987110-50200085415108 - HDFC SECURITIES LTD-CLIENT DSCNB A/C -</t>
        </is>
      </c>
      <c r="L563" s="31" t="inlineStr">
        <is>
          <t>HDFC Bank</t>
        </is>
      </c>
      <c r="M563" s="31" t="inlineStr"/>
    </row>
    <row r="564">
      <c r="A564" s="30" t="n">
        <v>45583</v>
      </c>
      <c r="B564" s="30" t="n">
        <v>45583</v>
      </c>
      <c r="C564" s="31" t="n">
        <v>10000</v>
      </c>
      <c r="D564" s="31" t="n">
        <v>0</v>
      </c>
      <c r="E564" s="31" t="inlineStr"/>
      <c r="F564" s="31" t="inlineStr">
        <is>
          <t>Cash Withdrawal</t>
        </is>
      </c>
      <c r="G564" s="32" t="n">
        <v>0.92</v>
      </c>
      <c r="H564" s="31" t="inlineStr">
        <is>
          <t>Cash</t>
        </is>
      </c>
      <c r="I564" s="31" t="inlineStr">
        <is>
          <t>HDFC 0094</t>
        </is>
      </c>
      <c r="J564" s="31" t="inlineStr">
        <is>
          <t>ATM Withdrawal</t>
        </is>
      </c>
      <c r="K564" s="31" t="inlineStr">
        <is>
          <t>ATW-498792XXXXXX0500-S1ANRS37-KOTA</t>
        </is>
      </c>
      <c r="L564" s="31" t="inlineStr">
        <is>
          <t>HDFC Bank</t>
        </is>
      </c>
      <c r="M564" s="31" t="inlineStr"/>
    </row>
    <row r="565">
      <c r="A565" s="83" t="n">
        <v>45583</v>
      </c>
      <c r="B565" s="83" t="n">
        <v>45583</v>
      </c>
      <c r="C565" s="84" t="n">
        <v>347.39</v>
      </c>
      <c r="D565" s="84" t="n">
        <v>0</v>
      </c>
      <c r="E565" s="84" t="inlineStr"/>
      <c r="F565" s="84" t="inlineStr">
        <is>
          <t>HDFC Securities - Buy</t>
        </is>
      </c>
      <c r="G565" s="32" t="n">
        <v>0.97</v>
      </c>
      <c r="H565" s="84" t="inlineStr">
        <is>
          <t>HDFC Securities</t>
        </is>
      </c>
      <c r="I565" s="84" t="inlineStr">
        <is>
          <t>HDFC 0094</t>
        </is>
      </c>
      <c r="J565" s="84" t="inlineStr">
        <is>
          <t>HSL</t>
        </is>
      </c>
      <c r="K565" s="84" t="inlineStr">
        <is>
          <t>NET PI TO HSL SEC A/C 523686-00602340029434</t>
        </is>
      </c>
      <c r="L565" s="84" t="inlineStr">
        <is>
          <t>HDFC Bank</t>
        </is>
      </c>
      <c r="M565" s="84" t="inlineStr"/>
    </row>
    <row r="566">
      <c r="A566" s="116" t="n">
        <v>45583</v>
      </c>
      <c r="B566" s="116" t="n">
        <v>45583</v>
      </c>
      <c r="C566" s="117" t="n">
        <v>0</v>
      </c>
      <c r="D566" s="117" t="n">
        <v>2738</v>
      </c>
      <c r="E566" s="117" t="inlineStr"/>
      <c r="F566" s="117" t="inlineStr">
        <is>
          <t>Received - Sunita Gupta</t>
        </is>
      </c>
      <c r="G566" s="32" t="n">
        <v>0.88</v>
      </c>
      <c r="H566" s="117" t="inlineStr">
        <is>
          <t>Sunita Gupta</t>
        </is>
      </c>
      <c r="I566" s="117" t="inlineStr">
        <is>
          <t>HDFC 0094</t>
        </is>
      </c>
      <c r="J566" s="117" t="inlineStr">
        <is>
          <t>Rental Income</t>
        </is>
      </c>
      <c r="K566" s="117" t="inlineStr">
        <is>
          <t>NEFT CR-SBIN0004266-SBI GENERAL INSURANCE CO LTDSBI GEN-SUNITA GUPTA 0000000002717756-SBIN124292890137</t>
        </is>
      </c>
      <c r="L566" s="117" t="inlineStr">
        <is>
          <t>HDFC Bank</t>
        </is>
      </c>
      <c r="M566" s="117" t="inlineStr"/>
    </row>
    <row r="567">
      <c r="A567" s="83" t="n">
        <v>45583</v>
      </c>
      <c r="B567" s="83" t="n">
        <v>45583</v>
      </c>
      <c r="C567" s="84" t="n">
        <v>2268.59</v>
      </c>
      <c r="D567" s="84" t="n">
        <v>0</v>
      </c>
      <c r="E567" s="84" t="inlineStr"/>
      <c r="F567" s="84" t="inlineStr">
        <is>
          <t>HDFC Securities - Buy</t>
        </is>
      </c>
      <c r="G567" s="32" t="n">
        <v>0.97</v>
      </c>
      <c r="H567" s="84" t="inlineStr">
        <is>
          <t>HDFC Securities</t>
        </is>
      </c>
      <c r="I567" s="84" t="inlineStr">
        <is>
          <t>HDFC 0094</t>
        </is>
      </c>
      <c r="J567" s="84" t="inlineStr">
        <is>
          <t>HSL</t>
        </is>
      </c>
      <c r="K567" s="84" t="inlineStr">
        <is>
          <t>NET PI TO HSL SEC A/C 523686-00602340029434</t>
        </is>
      </c>
      <c r="L567" s="84" t="inlineStr">
        <is>
          <t>HDFC Bank</t>
        </is>
      </c>
      <c r="M567" s="84" t="inlineStr"/>
    </row>
    <row r="568">
      <c r="A568" s="64" t="n">
        <v>45584</v>
      </c>
      <c r="B568" s="64" t="n">
        <v>45584</v>
      </c>
      <c r="C568" s="65" t="n">
        <v>19498</v>
      </c>
      <c r="D568" s="65" t="n">
        <v>0</v>
      </c>
      <c r="E568" s="65" t="inlineStr"/>
      <c r="F568" s="65" t="inlineStr">
        <is>
          <t>SIP</t>
        </is>
      </c>
      <c r="G568" s="32" t="n">
        <v>0.9</v>
      </c>
      <c r="H568" s="65" t="inlineStr">
        <is>
          <t>SIP</t>
        </is>
      </c>
      <c r="I568" s="65" t="inlineStr">
        <is>
          <t>HDFC 0094</t>
        </is>
      </c>
      <c r="J568" s="65" t="inlineStr">
        <is>
          <t>Electricity Bill</t>
        </is>
      </c>
      <c r="K568" s="65" t="inlineStr">
        <is>
          <t>YHDF2461369507/BILLDKTHECALCUTTAELE</t>
        </is>
      </c>
      <c r="L568" s="65" t="inlineStr">
        <is>
          <t>HDFC Bank</t>
        </is>
      </c>
      <c r="M568" s="65" t="inlineStr"/>
    </row>
    <row r="569">
      <c r="A569" s="83" t="n">
        <v>45586</v>
      </c>
      <c r="B569" s="83" t="n">
        <v>45586</v>
      </c>
      <c r="C569" s="84" t="n">
        <v>10739.78</v>
      </c>
      <c r="D569" s="84" t="n">
        <v>0</v>
      </c>
      <c r="E569" s="84" t="inlineStr"/>
      <c r="F569" s="84" t="inlineStr">
        <is>
          <t>HDFC Securities - Buy</t>
        </is>
      </c>
      <c r="G569" s="32" t="n">
        <v>0.97</v>
      </c>
      <c r="H569" s="84" t="inlineStr">
        <is>
          <t>HDFC Securities</t>
        </is>
      </c>
      <c r="I569" s="84" t="inlineStr">
        <is>
          <t>HDFC 0094</t>
        </is>
      </c>
      <c r="J569" s="84" t="inlineStr">
        <is>
          <t>HSL</t>
        </is>
      </c>
      <c r="K569" s="84" t="inlineStr">
        <is>
          <t>NET PI TO HSL SEC A/C 523686-00602340029434</t>
        </is>
      </c>
      <c r="L569" s="84" t="inlineStr">
        <is>
          <t>HDFC Bank</t>
        </is>
      </c>
      <c r="M569" s="84" t="inlineStr"/>
    </row>
    <row r="570">
      <c r="A570" s="42" t="n">
        <v>45586</v>
      </c>
      <c r="B570" s="42" t="n">
        <v>45586</v>
      </c>
      <c r="C570" s="43" t="n">
        <v>0</v>
      </c>
      <c r="D570" s="43" t="n">
        <v>750</v>
      </c>
      <c r="E570" s="43" t="inlineStr"/>
      <c r="F570" s="43" t="inlineStr">
        <is>
          <t>Dividend Income</t>
        </is>
      </c>
      <c r="G570" s="32" t="n">
        <v>0.88</v>
      </c>
      <c r="H570" s="43" t="inlineStr">
        <is>
          <t>Dividend Income</t>
        </is>
      </c>
      <c r="I570" s="43" t="inlineStr">
        <is>
          <t>HDFC 0094</t>
        </is>
      </c>
      <c r="J570" s="43" t="inlineStr">
        <is>
          <t>Dividend Income</t>
        </is>
      </c>
      <c r="K570" s="43" t="inlineStr">
        <is>
          <t>ACH C- NMDC LTD-0000020308359</t>
        </is>
      </c>
      <c r="L570" s="43" t="inlineStr">
        <is>
          <t>HDFC Bank</t>
        </is>
      </c>
      <c r="M570" s="43" t="inlineStr"/>
    </row>
    <row r="571">
      <c r="A571" s="48" t="n">
        <v>45586</v>
      </c>
      <c r="B571" s="48" t="n">
        <v>45586</v>
      </c>
      <c r="C571" s="49" t="n">
        <v>15</v>
      </c>
      <c r="D571" s="49" t="n">
        <v>0</v>
      </c>
      <c r="E571" s="49" t="inlineStr">
        <is>
          <t>Bhagawati Prasad Mand</t>
        </is>
      </c>
      <c r="F571" s="49" t="inlineStr">
        <is>
          <t>UPI Payment</t>
        </is>
      </c>
      <c r="G571" s="50" t="n">
        <v>0.55</v>
      </c>
      <c r="H571" s="49" t="inlineStr">
        <is>
          <t>Personal</t>
        </is>
      </c>
      <c r="I571" s="49" t="inlineStr">
        <is>
          <t>AXIS 7042</t>
        </is>
      </c>
      <c r="J571" s="49" t="inlineStr">
        <is>
          <t>UPI</t>
        </is>
      </c>
      <c r="K571" s="49" t="inlineStr">
        <is>
          <t>UPI/P2A/429536466098/BHAGAWATI PRASAD MAND/UPI/ICICI Bank</t>
        </is>
      </c>
      <c r="L571" s="49" t="inlineStr">
        <is>
          <t>Axis Bank</t>
        </is>
      </c>
      <c r="M571" s="49" t="inlineStr"/>
    </row>
    <row r="572">
      <c r="A572" s="83" t="n">
        <v>45586</v>
      </c>
      <c r="B572" s="83" t="n">
        <v>45586</v>
      </c>
      <c r="C572" s="84" t="n">
        <v>1057.68</v>
      </c>
      <c r="D572" s="84" t="n">
        <v>0</v>
      </c>
      <c r="E572" s="84" t="inlineStr"/>
      <c r="F572" s="84" t="inlineStr">
        <is>
          <t>HDFC Securities - Buy</t>
        </is>
      </c>
      <c r="G572" s="32" t="n">
        <v>0.97</v>
      </c>
      <c r="H572" s="84" t="inlineStr">
        <is>
          <t>HDFC Securities</t>
        </is>
      </c>
      <c r="I572" s="84" t="inlineStr">
        <is>
          <t>HDFC 0094</t>
        </is>
      </c>
      <c r="J572" s="84" t="inlineStr">
        <is>
          <t>HSL</t>
        </is>
      </c>
      <c r="K572" s="84" t="inlineStr">
        <is>
          <t>NET PI TO HSL SEC A/C 523686-00602340029434</t>
        </is>
      </c>
      <c r="L572" s="84" t="inlineStr">
        <is>
          <t>HDFC Bank</t>
        </is>
      </c>
      <c r="M572" s="84" t="inlineStr"/>
    </row>
    <row r="573">
      <c r="A573" s="83" t="n">
        <v>45587</v>
      </c>
      <c r="B573" s="83" t="n">
        <v>45587</v>
      </c>
      <c r="C573" s="84" t="n">
        <v>355.42</v>
      </c>
      <c r="D573" s="84" t="n">
        <v>0</v>
      </c>
      <c r="E573" s="84" t="inlineStr"/>
      <c r="F573" s="84" t="inlineStr">
        <is>
          <t>HDFC Securities - Buy</t>
        </is>
      </c>
      <c r="G573" s="32" t="n">
        <v>0.97</v>
      </c>
      <c r="H573" s="84" t="inlineStr">
        <is>
          <t>HDFC Securities</t>
        </is>
      </c>
      <c r="I573" s="84" t="inlineStr">
        <is>
          <t>HDFC 0094</t>
        </is>
      </c>
      <c r="J573" s="84" t="inlineStr">
        <is>
          <t>HSL</t>
        </is>
      </c>
      <c r="K573" s="84" t="inlineStr">
        <is>
          <t>NET PI TO HSL SEC A/C 523686-00602340029434</t>
        </is>
      </c>
      <c r="L573" s="84" t="inlineStr">
        <is>
          <t>HDFC Bank</t>
        </is>
      </c>
      <c r="M573" s="84" t="inlineStr"/>
    </row>
    <row r="574">
      <c r="A574" s="42" t="n">
        <v>45587</v>
      </c>
      <c r="B574" s="42" t="n">
        <v>45587</v>
      </c>
      <c r="C574" s="43" t="n">
        <v>0</v>
      </c>
      <c r="D574" s="43" t="n">
        <v>7.24</v>
      </c>
      <c r="E574" s="43" t="inlineStr"/>
      <c r="F574" s="43" t="inlineStr">
        <is>
          <t>Dividend Income</t>
        </is>
      </c>
      <c r="G574" s="32" t="n">
        <v>0.85</v>
      </c>
      <c r="H574" s="43" t="inlineStr">
        <is>
          <t>Dividend Income</t>
        </is>
      </c>
      <c r="I574" s="43" t="inlineStr">
        <is>
          <t>HDFC 0094</t>
        </is>
      </c>
      <c r="J574" s="43" t="inlineStr">
        <is>
          <t>JP Infratech?</t>
        </is>
      </c>
      <c r="K574" s="43" t="inlineStr">
        <is>
          <t>TRF JAYPEE INFRATECH LTD</t>
        </is>
      </c>
      <c r="L574" s="43" t="inlineStr">
        <is>
          <t>HDFC Bank</t>
        </is>
      </c>
      <c r="M574" s="43" t="inlineStr"/>
    </row>
    <row r="575">
      <c r="A575" s="83" t="n">
        <v>45587</v>
      </c>
      <c r="B575" s="83" t="n">
        <v>45587</v>
      </c>
      <c r="C575" s="84" t="n">
        <v>38201.14</v>
      </c>
      <c r="D575" s="84" t="n">
        <v>0</v>
      </c>
      <c r="E575" s="84" t="inlineStr"/>
      <c r="F575" s="84" t="inlineStr">
        <is>
          <t>HDFC Securities - Buy</t>
        </is>
      </c>
      <c r="G575" s="32" t="n">
        <v>0.97</v>
      </c>
      <c r="H575" s="84" t="inlineStr">
        <is>
          <t>HDFC Securities</t>
        </is>
      </c>
      <c r="I575" s="84" t="inlineStr">
        <is>
          <t>HDFC 0094</t>
        </is>
      </c>
      <c r="J575" s="84" t="inlineStr">
        <is>
          <t>HSL</t>
        </is>
      </c>
      <c r="K575" s="84" t="inlineStr">
        <is>
          <t>NET PI TO HSL SEC A/C 523686-00602340029434</t>
        </is>
      </c>
      <c r="L575" s="84" t="inlineStr">
        <is>
          <t>HDFC Bank</t>
        </is>
      </c>
      <c r="M575" s="84" t="inlineStr"/>
    </row>
    <row r="576">
      <c r="A576" s="83" t="n">
        <v>45588</v>
      </c>
      <c r="B576" s="83" t="n">
        <v>45588</v>
      </c>
      <c r="C576" s="84" t="n">
        <v>341.81</v>
      </c>
      <c r="D576" s="84" t="n">
        <v>0</v>
      </c>
      <c r="E576" s="84" t="inlineStr"/>
      <c r="F576" s="84" t="inlineStr">
        <is>
          <t>HDFC Securities - Buy</t>
        </is>
      </c>
      <c r="G576" s="32" t="n">
        <v>0.97</v>
      </c>
      <c r="H576" s="84" t="inlineStr">
        <is>
          <t>HDFC Securities</t>
        </is>
      </c>
      <c r="I576" s="84" t="inlineStr">
        <is>
          <t>HDFC 0094</t>
        </is>
      </c>
      <c r="J576" s="84" t="inlineStr">
        <is>
          <t>HSL</t>
        </is>
      </c>
      <c r="K576" s="84" t="inlineStr">
        <is>
          <t>NET PI TO HSL SEC A/C 523686-00602340029434</t>
        </is>
      </c>
      <c r="L576" s="84" t="inlineStr">
        <is>
          <t>HDFC Bank</t>
        </is>
      </c>
      <c r="M576" s="84" t="inlineStr"/>
    </row>
    <row r="577">
      <c r="A577" s="48" t="n">
        <v>45589</v>
      </c>
      <c r="B577" s="48" t="n">
        <v>45589</v>
      </c>
      <c r="C577" s="49" t="n">
        <v>7000</v>
      </c>
      <c r="D577" s="49" t="n">
        <v>0</v>
      </c>
      <c r="E577" s="49" t="inlineStr">
        <is>
          <t>Reet Fashion</t>
        </is>
      </c>
      <c r="F577" s="49" t="inlineStr">
        <is>
          <t>UPI Payment</t>
        </is>
      </c>
      <c r="G577" s="50" t="n">
        <v>0.55</v>
      </c>
      <c r="H577" s="49" t="inlineStr">
        <is>
          <t>Personal</t>
        </is>
      </c>
      <c r="I577" s="49" t="inlineStr">
        <is>
          <t>AXIS 7042</t>
        </is>
      </c>
      <c r="J577" s="49" t="inlineStr">
        <is>
          <t>UPI</t>
        </is>
      </c>
      <c r="K577" s="49" t="inlineStr">
        <is>
          <t>UPI/P2M/466409647719/REET FASHION         /UPI/Yes Bank Ltd</t>
        </is>
      </c>
      <c r="L577" s="49" t="inlineStr">
        <is>
          <t>Axis Bank</t>
        </is>
      </c>
      <c r="M577" s="49" t="inlineStr"/>
    </row>
    <row r="578">
      <c r="A578" s="30" t="n">
        <v>45589</v>
      </c>
      <c r="B578" s="30" t="n">
        <v>45589</v>
      </c>
      <c r="C578" s="31" t="n">
        <v>0</v>
      </c>
      <c r="D578" s="31" t="n">
        <v>5487.3</v>
      </c>
      <c r="E578" s="31" t="inlineStr"/>
      <c r="F578" s="31" t="inlineStr">
        <is>
          <t>HDFC Securities - Settlement</t>
        </is>
      </c>
      <c r="G578" s="32" t="n">
        <v>0.93</v>
      </c>
      <c r="H578" s="31" t="inlineStr">
        <is>
          <t>HDFC Securities</t>
        </is>
      </c>
      <c r="I578" s="31" t="inlineStr">
        <is>
          <t>HDFC 0094</t>
        </is>
      </c>
      <c r="J578" s="31" t="inlineStr">
        <is>
          <t>HDFC Sec</t>
        </is>
      </c>
      <c r="K578" s="31" t="inlineStr">
        <is>
          <t>FT- 575331981-50200085415108 - HDFC SECURITIES LTD-CLIENT DSCNB A/C -</t>
        </is>
      </c>
      <c r="L578" s="31" t="inlineStr">
        <is>
          <t>HDFC Bank</t>
        </is>
      </c>
      <c r="M578" s="31" t="inlineStr"/>
    </row>
    <row r="579">
      <c r="A579" s="83" t="n">
        <v>45589</v>
      </c>
      <c r="B579" s="83" t="n">
        <v>45589</v>
      </c>
      <c r="C579" s="84" t="n">
        <v>350.21</v>
      </c>
      <c r="D579" s="84" t="n">
        <v>0</v>
      </c>
      <c r="E579" s="84" t="inlineStr"/>
      <c r="F579" s="84" t="inlineStr">
        <is>
          <t>HDFC Securities - Buy</t>
        </is>
      </c>
      <c r="G579" s="32" t="n">
        <v>0.97</v>
      </c>
      <c r="H579" s="84" t="inlineStr">
        <is>
          <t>HDFC Securities</t>
        </is>
      </c>
      <c r="I579" s="84" t="inlineStr">
        <is>
          <t>HDFC 0094</t>
        </is>
      </c>
      <c r="J579" s="84" t="inlineStr">
        <is>
          <t>HSL</t>
        </is>
      </c>
      <c r="K579" s="84" t="inlineStr">
        <is>
          <t>NET PI TO HSL SEC A/C 523686-00602340029434</t>
        </is>
      </c>
      <c r="L579" s="84" t="inlineStr">
        <is>
          <t>HDFC Bank</t>
        </is>
      </c>
      <c r="M579" s="84" t="inlineStr"/>
    </row>
    <row r="580">
      <c r="A580" s="42" t="n">
        <v>45589</v>
      </c>
      <c r="B580" s="42" t="n">
        <v>45589</v>
      </c>
      <c r="C580" s="43" t="n">
        <v>0</v>
      </c>
      <c r="D580" s="43" t="n">
        <v>627</v>
      </c>
      <c r="E580" s="43" t="inlineStr"/>
      <c r="F580" s="43" t="inlineStr">
        <is>
          <t>Dividend Income</t>
        </is>
      </c>
      <c r="G580" s="32" t="n">
        <v>0.88</v>
      </c>
      <c r="H580" s="43" t="inlineStr">
        <is>
          <t>Dividend Income</t>
        </is>
      </c>
      <c r="I580" s="43" t="inlineStr">
        <is>
          <t>HDFC 0094</t>
        </is>
      </c>
      <c r="J580" s="43" t="inlineStr">
        <is>
          <t>Dividend Income</t>
        </is>
      </c>
      <c r="K580" s="43" t="inlineStr">
        <is>
          <t>ACH C- COFORGE LTD-93826</t>
        </is>
      </c>
      <c r="L580" s="43" t="inlineStr">
        <is>
          <t>HDFC Bank</t>
        </is>
      </c>
      <c r="M580" s="43" t="inlineStr"/>
    </row>
    <row r="581">
      <c r="A581" s="83" t="n">
        <v>45589</v>
      </c>
      <c r="B581" s="83" t="n">
        <v>45589</v>
      </c>
      <c r="C581" s="84" t="n">
        <v>15969.06</v>
      </c>
      <c r="D581" s="84" t="n">
        <v>0</v>
      </c>
      <c r="E581" s="84" t="inlineStr"/>
      <c r="F581" s="84" t="inlineStr">
        <is>
          <t>HDFC Securities - Buy</t>
        </is>
      </c>
      <c r="G581" s="32" t="n">
        <v>0.97</v>
      </c>
      <c r="H581" s="84" t="inlineStr">
        <is>
          <t>HDFC Securities</t>
        </is>
      </c>
      <c r="I581" s="84" t="inlineStr">
        <is>
          <t>HDFC 0094</t>
        </is>
      </c>
      <c r="J581" s="84" t="inlineStr">
        <is>
          <t>HSL</t>
        </is>
      </c>
      <c r="K581" s="84" t="inlineStr">
        <is>
          <t>NET PI TO HSL SEC A/C 523686-00602340029434</t>
        </is>
      </c>
      <c r="L581" s="84" t="inlineStr">
        <is>
          <t>HDFC Bank</t>
        </is>
      </c>
      <c r="M581" s="84" t="inlineStr"/>
    </row>
    <row r="582">
      <c r="A582" s="83" t="n">
        <v>45589</v>
      </c>
      <c r="B582" s="83" t="n">
        <v>45589</v>
      </c>
      <c r="C582" s="84" t="n">
        <v>17360.75</v>
      </c>
      <c r="D582" s="84" t="n">
        <v>0</v>
      </c>
      <c r="E582" s="84" t="inlineStr"/>
      <c r="F582" s="84" t="inlineStr">
        <is>
          <t>HDFC Securities - Buy</t>
        </is>
      </c>
      <c r="G582" s="32" t="n">
        <v>0.97</v>
      </c>
      <c r="H582" s="84" t="inlineStr">
        <is>
          <t>HDFC Securities</t>
        </is>
      </c>
      <c r="I582" s="84" t="inlineStr">
        <is>
          <t>HDFC 0094</t>
        </is>
      </c>
      <c r="J582" s="84" t="inlineStr">
        <is>
          <t>HSL</t>
        </is>
      </c>
      <c r="K582" s="84" t="inlineStr">
        <is>
          <t>NET PI TO HSL SEC A/C 523686-00602340029434</t>
        </is>
      </c>
      <c r="L582" s="84" t="inlineStr">
        <is>
          <t>HDFC Bank</t>
        </is>
      </c>
      <c r="M582" s="84" t="inlineStr"/>
    </row>
    <row r="583">
      <c r="A583" s="64" t="n">
        <v>45590</v>
      </c>
      <c r="B583" s="64" t="n">
        <v>45590</v>
      </c>
      <c r="C583" s="65" t="n">
        <v>10000</v>
      </c>
      <c r="D583" s="65" t="n">
        <v>0</v>
      </c>
      <c r="E583" s="65" t="inlineStr"/>
      <c r="F583" s="65" t="inlineStr">
        <is>
          <t>MF Investment</t>
        </is>
      </c>
      <c r="G583" s="32" t="n">
        <v>0.92</v>
      </c>
      <c r="H583" s="65" t="inlineStr">
        <is>
          <t>Mutual_Fund_Investments</t>
        </is>
      </c>
      <c r="I583" s="65" t="inlineStr">
        <is>
          <t>HDFC 0094</t>
        </is>
      </c>
      <c r="J583" s="65" t="inlineStr">
        <is>
          <t>SIP  - 10000</t>
        </is>
      </c>
      <c r="K583" s="65" t="inlineStr">
        <is>
          <t>ACH D- INDIAN CLEARING CORP-P25847643X05</t>
        </is>
      </c>
      <c r="L583" s="65" t="inlineStr">
        <is>
          <t>HDFC Bank</t>
        </is>
      </c>
      <c r="M583" s="65" t="inlineStr"/>
    </row>
    <row r="584">
      <c r="A584" s="42" t="n">
        <v>45590</v>
      </c>
      <c r="B584" s="42" t="n">
        <v>45590</v>
      </c>
      <c r="C584" s="43" t="n">
        <v>0</v>
      </c>
      <c r="D584" s="43" t="n">
        <v>276</v>
      </c>
      <c r="E584" s="43" t="inlineStr"/>
      <c r="F584" s="43" t="inlineStr">
        <is>
          <t>Dividend Income</t>
        </is>
      </c>
      <c r="G584" s="32" t="n">
        <v>0.88</v>
      </c>
      <c r="H584" s="43" t="inlineStr">
        <is>
          <t>Dividend Income</t>
        </is>
      </c>
      <c r="I584" s="43" t="inlineStr">
        <is>
          <t>HDFC 0094</t>
        </is>
      </c>
      <c r="J584" s="43" t="inlineStr">
        <is>
          <t>Dividend Income</t>
        </is>
      </c>
      <c r="K584" s="43" t="inlineStr">
        <is>
          <t>ACH C- HINDUSTAN COPPER LTD-509416</t>
        </is>
      </c>
      <c r="L584" s="43" t="inlineStr">
        <is>
          <t>HDFC Bank</t>
        </is>
      </c>
      <c r="M584" s="43" t="inlineStr"/>
    </row>
    <row r="585">
      <c r="A585" s="83" t="n">
        <v>45590</v>
      </c>
      <c r="B585" s="83" t="n">
        <v>45590</v>
      </c>
      <c r="C585" s="84" t="n">
        <v>22819.61</v>
      </c>
      <c r="D585" s="84" t="n">
        <v>0</v>
      </c>
      <c r="E585" s="84" t="inlineStr"/>
      <c r="F585" s="84" t="inlineStr">
        <is>
          <t>HDFC Securities - Buy</t>
        </is>
      </c>
      <c r="G585" s="32" t="n">
        <v>0.97</v>
      </c>
      <c r="H585" s="84" t="inlineStr">
        <is>
          <t>HDFC Securities</t>
        </is>
      </c>
      <c r="I585" s="84" t="inlineStr">
        <is>
          <t>HDFC 0094</t>
        </is>
      </c>
      <c r="J585" s="84" t="inlineStr">
        <is>
          <t>HSL</t>
        </is>
      </c>
      <c r="K585" s="84" t="inlineStr">
        <is>
          <t>NET PI TO HSL SEC A/C 523686-00602340029434</t>
        </is>
      </c>
      <c r="L585" s="84" t="inlineStr">
        <is>
          <t>HDFC Bank</t>
        </is>
      </c>
      <c r="M585" s="84" t="inlineStr"/>
    </row>
    <row r="586">
      <c r="A586" s="83" t="n">
        <v>45590</v>
      </c>
      <c r="B586" s="83" t="n">
        <v>45590</v>
      </c>
      <c r="C586" s="84" t="n">
        <v>346.47</v>
      </c>
      <c r="D586" s="84" t="n">
        <v>0</v>
      </c>
      <c r="E586" s="84" t="inlineStr"/>
      <c r="F586" s="84" t="inlineStr">
        <is>
          <t>HDFC Securities - Buy</t>
        </is>
      </c>
      <c r="G586" s="32" t="n">
        <v>0.97</v>
      </c>
      <c r="H586" s="84" t="inlineStr">
        <is>
          <t>HDFC Securities</t>
        </is>
      </c>
      <c r="I586" s="84" t="inlineStr">
        <is>
          <t>HDFC 0094</t>
        </is>
      </c>
      <c r="J586" s="84" t="inlineStr">
        <is>
          <t>HSL</t>
        </is>
      </c>
      <c r="K586" s="84" t="inlineStr">
        <is>
          <t>NET PI TO HSL SEC A/C 523686-00602340029434</t>
        </is>
      </c>
      <c r="L586" s="84" t="inlineStr">
        <is>
          <t>HDFC Bank</t>
        </is>
      </c>
      <c r="M586" s="84" t="inlineStr"/>
    </row>
    <row r="587">
      <c r="A587" s="83" t="n">
        <v>45591</v>
      </c>
      <c r="B587" s="83" t="n">
        <v>45591</v>
      </c>
      <c r="C587" s="84" t="n">
        <v>29876.83</v>
      </c>
      <c r="D587" s="84" t="n">
        <v>0</v>
      </c>
      <c r="E587" s="84" t="inlineStr"/>
      <c r="F587" s="84" t="inlineStr">
        <is>
          <t>HDFC Securities - Buy</t>
        </is>
      </c>
      <c r="G587" s="32" t="n">
        <v>0.97</v>
      </c>
      <c r="H587" s="84" t="inlineStr">
        <is>
          <t>HDFC Securities</t>
        </is>
      </c>
      <c r="I587" s="84" t="inlineStr">
        <is>
          <t>HDFC 0094</t>
        </is>
      </c>
      <c r="J587" s="84" t="inlineStr">
        <is>
          <t>HSL</t>
        </is>
      </c>
      <c r="K587" s="84" t="inlineStr">
        <is>
          <t>NET PI TO HSL SEC A/C 523686-00602340029434</t>
        </is>
      </c>
      <c r="L587" s="84" t="inlineStr">
        <is>
          <t>HDFC Bank</t>
        </is>
      </c>
      <c r="M587" s="84" t="inlineStr"/>
    </row>
    <row r="588">
      <c r="A588" s="114" t="n">
        <v>45592</v>
      </c>
      <c r="B588" s="114" t="n">
        <v>45592</v>
      </c>
      <c r="C588" s="115" t="n">
        <v>20000</v>
      </c>
      <c r="D588" s="115" t="n">
        <v>0</v>
      </c>
      <c r="E588" s="115" t="inlineStr"/>
      <c r="F588" s="115" t="inlineStr">
        <is>
          <t>Internal Transfer</t>
        </is>
      </c>
      <c r="G588" s="53" t="n">
        <v>0.8</v>
      </c>
      <c r="H588" s="115" t="inlineStr">
        <is>
          <t>Transfer</t>
        </is>
      </c>
      <c r="I588" s="115" t="inlineStr">
        <is>
          <t>HDFC 0094</t>
        </is>
      </c>
      <c r="J588" s="115" t="inlineStr">
        <is>
          <t>Transfer to Aayush</t>
        </is>
      </c>
      <c r="K588" s="115" t="inlineStr">
        <is>
          <t>50100128155413-TPT-BOROW FROM AAYUSH-AAYUSH KUMAR GUPTA</t>
        </is>
      </c>
      <c r="L588" s="115" t="inlineStr">
        <is>
          <t>HDFC Bank</t>
        </is>
      </c>
      <c r="M588" s="115" t="inlineStr"/>
    </row>
    <row r="589">
      <c r="A589" s="36" t="n">
        <v>45592</v>
      </c>
      <c r="B589" s="36" t="n">
        <v>45592</v>
      </c>
      <c r="C589" s="37" t="n">
        <v>100000</v>
      </c>
      <c r="D589" s="37" t="n">
        <v>0</v>
      </c>
      <c r="E589" s="37" t="inlineStr"/>
      <c r="F589" s="37" t="inlineStr">
        <is>
          <t>Transfer - Ajay Gupta</t>
        </is>
      </c>
      <c r="G589" s="32" t="n">
        <v>0.88</v>
      </c>
      <c r="H589" s="37" t="inlineStr">
        <is>
          <t>Ajay Gupta</t>
        </is>
      </c>
      <c r="I589" s="37" t="inlineStr">
        <is>
          <t>AXIS 7042</t>
        </is>
      </c>
      <c r="J589" s="37" t="inlineStr">
        <is>
          <t>Transfer to Aayush</t>
        </is>
      </c>
      <c r="K589" s="37" t="inlineStr">
        <is>
          <t>INB/IFT/Ajay Kumar Gupta/TPARTY TRANSFER</t>
        </is>
      </c>
      <c r="L589" s="37" t="inlineStr">
        <is>
          <t>Axis Bank</t>
        </is>
      </c>
      <c r="M589" s="37" t="inlineStr"/>
    </row>
    <row r="590">
      <c r="A590" s="83" t="n">
        <v>45593</v>
      </c>
      <c r="B590" s="83" t="n">
        <v>45593</v>
      </c>
      <c r="C590" s="84" t="n">
        <v>1007.49</v>
      </c>
      <c r="D590" s="84" t="n">
        <v>0</v>
      </c>
      <c r="E590" s="84" t="inlineStr"/>
      <c r="F590" s="84" t="inlineStr">
        <is>
          <t>HDFC Securities - Buy</t>
        </is>
      </c>
      <c r="G590" s="32" t="n">
        <v>0.97</v>
      </c>
      <c r="H590" s="84" t="inlineStr">
        <is>
          <t>HDFC Securities</t>
        </is>
      </c>
      <c r="I590" s="84" t="inlineStr">
        <is>
          <t>HDFC 0094</t>
        </is>
      </c>
      <c r="J590" s="84" t="inlineStr">
        <is>
          <t>HSL</t>
        </is>
      </c>
      <c r="K590" s="84" t="inlineStr">
        <is>
          <t>NET PI TO HSL SEC A/C 523686-00602340029434</t>
        </is>
      </c>
      <c r="L590" s="84" t="inlineStr">
        <is>
          <t>HDFC Bank</t>
        </is>
      </c>
      <c r="M590" s="84" t="inlineStr"/>
    </row>
    <row r="591">
      <c r="A591" s="116" t="n">
        <v>45593</v>
      </c>
      <c r="B591" s="116" t="n">
        <v>45593</v>
      </c>
      <c r="C591" s="117" t="n">
        <v>0</v>
      </c>
      <c r="D591" s="117" t="n">
        <v>19498</v>
      </c>
      <c r="E591" s="117" t="inlineStr"/>
      <c r="F591" s="117" t="inlineStr">
        <is>
          <t>Received - Sunita Gupta</t>
        </is>
      </c>
      <c r="G591" s="32" t="n">
        <v>0.88</v>
      </c>
      <c r="H591" s="117" t="inlineStr">
        <is>
          <t>Sunita Gupta</t>
        </is>
      </c>
      <c r="I591" s="117" t="inlineStr">
        <is>
          <t>HDFC 0094</t>
        </is>
      </c>
      <c r="J591" s="117" t="inlineStr">
        <is>
          <t>Rental Income</t>
        </is>
      </c>
      <c r="K591" s="117" t="inlineStr">
        <is>
          <t>NEFT CR-SBIN0004266-SBI GENERAL INSURANCE CO LTDSBI GEN-SUNITA GUPTA 0000000002717756-SBIN424302247596</t>
        </is>
      </c>
      <c r="L591" s="117" t="inlineStr">
        <is>
          <t>HDFC Bank</t>
        </is>
      </c>
      <c r="M591" s="117" t="inlineStr"/>
    </row>
    <row r="592">
      <c r="A592" s="30" t="n">
        <v>45594</v>
      </c>
      <c r="B592" s="30" t="n">
        <v>45594</v>
      </c>
      <c r="C592" s="31" t="n">
        <v>0</v>
      </c>
      <c r="D592" s="31" t="n">
        <v>13135.57</v>
      </c>
      <c r="E592" s="31" t="inlineStr"/>
      <c r="F592" s="31" t="inlineStr">
        <is>
          <t>HDFC Securities - Settlement</t>
        </is>
      </c>
      <c r="G592" s="32" t="n">
        <v>0.93</v>
      </c>
      <c r="H592" s="31" t="inlineStr">
        <is>
          <t>HDFC Securities</t>
        </is>
      </c>
      <c r="I592" s="31" t="inlineStr">
        <is>
          <t>HDFC 0094</t>
        </is>
      </c>
      <c r="J592" s="31" t="inlineStr">
        <is>
          <t>HDFC Sec</t>
        </is>
      </c>
      <c r="K592" s="31" t="inlineStr">
        <is>
          <t>FT- 576770898-50200085415108 - HDFC SECURITIES LTD-CLIENT DSCNB A/C -</t>
        </is>
      </c>
      <c r="L592" s="31" t="inlineStr">
        <is>
          <t>HDFC Bank</t>
        </is>
      </c>
      <c r="M592" s="31" t="inlineStr"/>
    </row>
    <row r="593">
      <c r="A593" s="42" t="n">
        <v>45594</v>
      </c>
      <c r="B593" s="42" t="n">
        <v>45594</v>
      </c>
      <c r="C593" s="43" t="n">
        <v>0</v>
      </c>
      <c r="D593" s="43" t="n">
        <v>84.56999999999999</v>
      </c>
      <c r="E593" s="43" t="inlineStr"/>
      <c r="F593" s="43" t="inlineStr">
        <is>
          <t>Dividend Income</t>
        </is>
      </c>
      <c r="G593" s="32" t="n">
        <v>0.85</v>
      </c>
      <c r="H593" s="43" t="inlineStr">
        <is>
          <t>Dividend Income</t>
        </is>
      </c>
      <c r="I593" s="43" t="inlineStr">
        <is>
          <t>HDFC 0094</t>
        </is>
      </c>
      <c r="J593" s="43" t="inlineStr">
        <is>
          <t>Dividend Income</t>
        </is>
      </c>
      <c r="K593" s="43" t="inlineStr">
        <is>
          <t>NEFT CR-UTIB0000004-AXIS MUTUAL FUND DIVIDEND A/C-SUNITA GUPTA-AXISCN0795685543</t>
        </is>
      </c>
      <c r="L593" s="43" t="inlineStr">
        <is>
          <t>HDFC Bank</t>
        </is>
      </c>
      <c r="M593" s="43" t="inlineStr"/>
    </row>
    <row r="594">
      <c r="A594" s="83" t="n">
        <v>45594</v>
      </c>
      <c r="B594" s="83" t="n">
        <v>45594</v>
      </c>
      <c r="C594" s="84" t="n">
        <v>1449.86</v>
      </c>
      <c r="D594" s="84" t="n">
        <v>0</v>
      </c>
      <c r="E594" s="84" t="inlineStr"/>
      <c r="F594" s="84" t="inlineStr">
        <is>
          <t>HDFC Securities - Buy</t>
        </is>
      </c>
      <c r="G594" s="32" t="n">
        <v>0.97</v>
      </c>
      <c r="H594" s="84" t="inlineStr">
        <is>
          <t>HDFC Securities</t>
        </is>
      </c>
      <c r="I594" s="84" t="inlineStr">
        <is>
          <t>HDFC 0094</t>
        </is>
      </c>
      <c r="J594" s="84" t="inlineStr">
        <is>
          <t>HSL</t>
        </is>
      </c>
      <c r="K594" s="84" t="inlineStr">
        <is>
          <t>NET PI TO HSL SEC A/C 523686-00602340029434</t>
        </is>
      </c>
      <c r="L594" s="84" t="inlineStr">
        <is>
          <t>HDFC Bank</t>
        </is>
      </c>
      <c r="M594" s="84" t="inlineStr"/>
    </row>
    <row r="595">
      <c r="A595" s="83" t="n">
        <v>45594</v>
      </c>
      <c r="B595" s="83" t="n">
        <v>45594</v>
      </c>
      <c r="C595" s="84" t="n">
        <v>345.71</v>
      </c>
      <c r="D595" s="84" t="n">
        <v>0</v>
      </c>
      <c r="E595" s="84" t="inlineStr"/>
      <c r="F595" s="84" t="inlineStr">
        <is>
          <t>HDFC Securities - Buy</t>
        </is>
      </c>
      <c r="G595" s="32" t="n">
        <v>0.97</v>
      </c>
      <c r="H595" s="84" t="inlineStr">
        <is>
          <t>HDFC Securities</t>
        </is>
      </c>
      <c r="I595" s="84" t="inlineStr">
        <is>
          <t>HDFC 0094</t>
        </is>
      </c>
      <c r="J595" s="84" t="inlineStr">
        <is>
          <t>HSL</t>
        </is>
      </c>
      <c r="K595" s="84" t="inlineStr">
        <is>
          <t>NET PI TO HSL SEC A/C 523686-00602340029434</t>
        </is>
      </c>
      <c r="L595" s="84" t="inlineStr">
        <is>
          <t>HDFC Bank</t>
        </is>
      </c>
      <c r="M595" s="84" t="inlineStr"/>
    </row>
    <row r="596">
      <c r="A596" s="64" t="n">
        <v>45594</v>
      </c>
      <c r="B596" s="64" t="n">
        <v>45594</v>
      </c>
      <c r="C596" s="65" t="n">
        <v>25000</v>
      </c>
      <c r="D596" s="65" t="n">
        <v>0</v>
      </c>
      <c r="E596" s="65" t="inlineStr"/>
      <c r="F596" s="65" t="inlineStr">
        <is>
          <t>Zerodha Broking</t>
        </is>
      </c>
      <c r="G596" s="32" t="n">
        <v>0.88</v>
      </c>
      <c r="H596" s="65" t="inlineStr">
        <is>
          <t>Zerodha Broking Limited</t>
        </is>
      </c>
      <c r="I596" s="65" t="inlineStr">
        <is>
          <t>AXIS 7042</t>
        </is>
      </c>
      <c r="J596" s="65" t="inlineStr">
        <is>
          <t>UPI</t>
        </is>
      </c>
      <c r="K596" s="65" t="inlineStr">
        <is>
          <t>UPI/P2M/430390809811/Zerodha Broking Ltd  /505142/HDFC BANK LTD</t>
        </is>
      </c>
      <c r="L596" s="65" t="inlineStr">
        <is>
          <t>Axis Bank</t>
        </is>
      </c>
      <c r="M596" s="65" t="inlineStr"/>
    </row>
    <row r="597">
      <c r="A597" s="83" t="n">
        <v>45595</v>
      </c>
      <c r="B597" s="83" t="n">
        <v>45595</v>
      </c>
      <c r="C597" s="84" t="n">
        <v>349.87</v>
      </c>
      <c r="D597" s="84" t="n">
        <v>0</v>
      </c>
      <c r="E597" s="84" t="inlineStr"/>
      <c r="F597" s="84" t="inlineStr">
        <is>
          <t>HDFC Securities - Buy</t>
        </is>
      </c>
      <c r="G597" s="32" t="n">
        <v>0.97</v>
      </c>
      <c r="H597" s="84" t="inlineStr">
        <is>
          <t>HDFC Securities</t>
        </is>
      </c>
      <c r="I597" s="84" t="inlineStr">
        <is>
          <t>HDFC 0094</t>
        </is>
      </c>
      <c r="J597" s="84" t="inlineStr">
        <is>
          <t>HSL</t>
        </is>
      </c>
      <c r="K597" s="84" t="inlineStr">
        <is>
          <t>NET PI TO HSL SEC A/C 523686-00602340029434</t>
        </is>
      </c>
      <c r="L597" s="84" t="inlineStr">
        <is>
          <t>HDFC Bank</t>
        </is>
      </c>
      <c r="M597" s="84" t="inlineStr"/>
    </row>
    <row r="598">
      <c r="A598" s="83" t="n">
        <v>45596</v>
      </c>
      <c r="B598" s="83" t="n">
        <v>45596</v>
      </c>
      <c r="C598" s="84" t="n">
        <v>85773.87</v>
      </c>
      <c r="D598" s="84" t="n">
        <v>0</v>
      </c>
      <c r="E598" s="84" t="inlineStr"/>
      <c r="F598" s="84" t="inlineStr">
        <is>
          <t>HDFC Securities - Buy</t>
        </is>
      </c>
      <c r="G598" s="32" t="n">
        <v>0.97</v>
      </c>
      <c r="H598" s="84" t="inlineStr">
        <is>
          <t>HDFC Securities</t>
        </is>
      </c>
      <c r="I598" s="84" t="inlineStr">
        <is>
          <t>HDFC 0094</t>
        </is>
      </c>
      <c r="J598" s="84" t="inlineStr">
        <is>
          <t>HSL</t>
        </is>
      </c>
      <c r="K598" s="84" t="inlineStr">
        <is>
          <t>NET PI TO HSL SEC A/C 523686-00602340029434</t>
        </is>
      </c>
      <c r="L598" s="84" t="inlineStr">
        <is>
          <t>HDFC Bank</t>
        </is>
      </c>
      <c r="M598" s="84" t="inlineStr"/>
    </row>
    <row r="599">
      <c r="A599" s="83" t="n">
        <v>45596</v>
      </c>
      <c r="B599" s="83" t="n">
        <v>45596</v>
      </c>
      <c r="C599" s="84" t="n">
        <v>6912.76</v>
      </c>
      <c r="D599" s="84" t="n">
        <v>0</v>
      </c>
      <c r="E599" s="84" t="inlineStr"/>
      <c r="F599" s="84" t="inlineStr">
        <is>
          <t>HDFC Securities - Buy</t>
        </is>
      </c>
      <c r="G599" s="32" t="n">
        <v>0.97</v>
      </c>
      <c r="H599" s="84" t="inlineStr">
        <is>
          <t>HDFC Securities</t>
        </is>
      </c>
      <c r="I599" s="84" t="inlineStr">
        <is>
          <t>HDFC 0094</t>
        </is>
      </c>
      <c r="J599" s="84" t="inlineStr">
        <is>
          <t>HSL</t>
        </is>
      </c>
      <c r="K599" s="84" t="inlineStr">
        <is>
          <t>NET PI TO HSL SEC A/C 523686-00602340029434</t>
        </is>
      </c>
      <c r="L599" s="84" t="inlineStr">
        <is>
          <t>HDFC Bank</t>
        </is>
      </c>
      <c r="M599" s="84" t="inlineStr"/>
    </row>
    <row r="600">
      <c r="A600" s="99" t="n">
        <v>45596</v>
      </c>
      <c r="B600" s="99" t="n">
        <v>45596</v>
      </c>
      <c r="C600" s="100" t="n">
        <v>0</v>
      </c>
      <c r="D600" s="100" t="n">
        <v>51273.2</v>
      </c>
      <c r="E600" s="100" t="inlineStr"/>
      <c r="F600" s="100" t="inlineStr">
        <is>
          <t>MF Redemption</t>
        </is>
      </c>
      <c r="G600" s="32" t="n">
        <v>0.87</v>
      </c>
      <c r="H600" s="100" t="inlineStr">
        <is>
          <t>Mutual Funds</t>
        </is>
      </c>
      <c r="I600" s="100" t="inlineStr">
        <is>
          <t>HDFC 0094</t>
        </is>
      </c>
      <c r="J600" s="100" t="inlineStr">
        <is>
          <t>MF Redemption</t>
        </is>
      </c>
      <c r="K600" s="100" t="inlineStr">
        <is>
          <t>FT- INVESCO MF A/C - BS77 11104515 31020891566 45871233</t>
        </is>
      </c>
      <c r="L600" s="100" t="inlineStr">
        <is>
          <t>HDFC Bank</t>
        </is>
      </c>
      <c r="M600" s="100" t="inlineStr"/>
    </row>
    <row r="601">
      <c r="A601" s="30" t="n">
        <v>45596</v>
      </c>
      <c r="B601" s="30" t="n">
        <v>45596</v>
      </c>
      <c r="C601" s="31" t="n">
        <v>0</v>
      </c>
      <c r="D601" s="31" t="n">
        <v>7424.18</v>
      </c>
      <c r="E601" s="31" t="inlineStr"/>
      <c r="F601" s="31" t="inlineStr">
        <is>
          <t>HDFC Securities - Settlement</t>
        </is>
      </c>
      <c r="G601" s="32" t="n">
        <v>0.93</v>
      </c>
      <c r="H601" s="31" t="inlineStr">
        <is>
          <t>HDFC Securities</t>
        </is>
      </c>
      <c r="I601" s="31" t="inlineStr">
        <is>
          <t>HDFC 0094</t>
        </is>
      </c>
      <c r="J601" s="31" t="inlineStr">
        <is>
          <t>HDFC Sec</t>
        </is>
      </c>
      <c r="K601" s="31" t="inlineStr">
        <is>
          <t>FT- 577607783-50200085415108 - HDFC SECURITIES LTD-CLIENT DSCNB A/C -</t>
        </is>
      </c>
      <c r="L601" s="31" t="inlineStr">
        <is>
          <t>HDFC Bank</t>
        </is>
      </c>
      <c r="M601" s="31" t="inlineStr"/>
    </row>
    <row r="602">
      <c r="A602" s="83" t="n">
        <v>45596</v>
      </c>
      <c r="B602" s="83" t="n">
        <v>45596</v>
      </c>
      <c r="C602" s="84" t="n">
        <v>349.87</v>
      </c>
      <c r="D602" s="84" t="n">
        <v>0</v>
      </c>
      <c r="E602" s="84" t="inlineStr"/>
      <c r="F602" s="84" t="inlineStr">
        <is>
          <t>HDFC Securities - Buy</t>
        </is>
      </c>
      <c r="G602" s="32" t="n">
        <v>0.97</v>
      </c>
      <c r="H602" s="84" t="inlineStr">
        <is>
          <t>HDFC Securities</t>
        </is>
      </c>
      <c r="I602" s="84" t="inlineStr">
        <is>
          <t>HDFC 0094</t>
        </is>
      </c>
      <c r="J602" s="84" t="inlineStr">
        <is>
          <t>HSL</t>
        </is>
      </c>
      <c r="K602" s="84" t="inlineStr">
        <is>
          <t>NET PI TO HSL SEC A/C 523686-00602340029434</t>
        </is>
      </c>
      <c r="L602" s="84" t="inlineStr">
        <is>
          <t>HDFC Bank</t>
        </is>
      </c>
      <c r="M602" s="84" t="inlineStr"/>
    </row>
    <row r="603">
      <c r="A603" s="38" t="n">
        <v>45596</v>
      </c>
      <c r="B603" s="38" t="n">
        <v>45596</v>
      </c>
      <c r="C603" s="39" t="n">
        <v>590</v>
      </c>
      <c r="D603" s="39" t="n">
        <v>0</v>
      </c>
      <c r="E603" s="39" t="inlineStr"/>
      <c r="F603" s="39" t="inlineStr">
        <is>
          <t>Bank Charges</t>
        </is>
      </c>
      <c r="G603" s="32" t="n">
        <v>0.88</v>
      </c>
      <c r="H603" s="39" t="inlineStr">
        <is>
          <t>Bank Charges</t>
        </is>
      </c>
      <c r="I603" s="39" t="inlineStr">
        <is>
          <t>AXIS 7042</t>
        </is>
      </c>
      <c r="J603" s="39" t="inlineStr">
        <is>
          <t>Bank Charges</t>
        </is>
      </c>
      <c r="K603" s="39" t="inlineStr">
        <is>
          <t>Dr Card Charges GST ANNUAL 4153XXXXXXXX5568</t>
        </is>
      </c>
      <c r="L603" s="39" t="inlineStr">
        <is>
          <t>Axis Bank</t>
        </is>
      </c>
      <c r="M603" s="39" t="inlineStr"/>
    </row>
    <row r="604">
      <c r="A604" s="64" t="n">
        <v>45597</v>
      </c>
      <c r="B604" s="64" t="n">
        <v>45597</v>
      </c>
      <c r="C604" s="65" t="n">
        <v>0</v>
      </c>
      <c r="D604" s="65" t="n">
        <v>25000</v>
      </c>
      <c r="E604" s="65" t="inlineStr"/>
      <c r="F604" s="65" t="inlineStr">
        <is>
          <t>NEFT Transfer</t>
        </is>
      </c>
      <c r="G604" s="53" t="n">
        <v>0.7</v>
      </c>
      <c r="H604" s="65" t="inlineStr">
        <is>
          <t>Transfer</t>
        </is>
      </c>
      <c r="I604" s="65" t="inlineStr">
        <is>
          <t>AXIS 7042</t>
        </is>
      </c>
      <c r="J604" s="65" t="inlineStr">
        <is>
          <t>Zerodha</t>
        </is>
      </c>
      <c r="K604" s="65" t="inlineStr">
        <is>
          <t>NEFT/YESF343062522862/ZERODHA BROKING LTD-DSCNB A//YES BANK/ad64ca2b52d2cc19a41251 Zerodh</t>
        </is>
      </c>
      <c r="L604" s="65" t="inlineStr">
        <is>
          <t>Axis Bank</t>
        </is>
      </c>
      <c r="M604" s="65" t="inlineStr"/>
    </row>
    <row r="605">
      <c r="A605" s="83" t="n">
        <v>45598</v>
      </c>
      <c r="B605" s="83" t="n">
        <v>45598</v>
      </c>
      <c r="C605" s="84" t="n">
        <v>6890.76</v>
      </c>
      <c r="D605" s="84" t="n">
        <v>0</v>
      </c>
      <c r="E605" s="84" t="inlineStr"/>
      <c r="F605" s="84" t="inlineStr">
        <is>
          <t>HDFC Securities - Buy</t>
        </is>
      </c>
      <c r="G605" s="32" t="n">
        <v>0.97</v>
      </c>
      <c r="H605" s="84" t="inlineStr">
        <is>
          <t>HDFC Securities</t>
        </is>
      </c>
      <c r="I605" s="84" t="inlineStr">
        <is>
          <t>HDFC 0094</t>
        </is>
      </c>
      <c r="J605" s="84" t="inlineStr">
        <is>
          <t>HSL</t>
        </is>
      </c>
      <c r="K605" s="84" t="inlineStr">
        <is>
          <t>NET PI TO HSL SEC A/C 523686-00602340029434</t>
        </is>
      </c>
      <c r="L605" s="84" t="inlineStr">
        <is>
          <t>HDFC Bank</t>
        </is>
      </c>
      <c r="M605" s="84" t="inlineStr"/>
    </row>
    <row r="606">
      <c r="A606" s="30" t="n">
        <v>45600</v>
      </c>
      <c r="B606" s="30" t="n">
        <v>45600</v>
      </c>
      <c r="C606" s="31" t="n">
        <v>0</v>
      </c>
      <c r="D606" s="31" t="n">
        <v>10084.36</v>
      </c>
      <c r="E606" s="31" t="inlineStr"/>
      <c r="F606" s="31" t="inlineStr">
        <is>
          <t>HDFC Securities - Settlement</t>
        </is>
      </c>
      <c r="G606" s="32" t="n">
        <v>0.93</v>
      </c>
      <c r="H606" s="31" t="inlineStr">
        <is>
          <t>HDFC Securities</t>
        </is>
      </c>
      <c r="I606" s="31" t="inlineStr">
        <is>
          <t>HDFC 0094</t>
        </is>
      </c>
      <c r="J606" s="31" t="inlineStr">
        <is>
          <t>HDFC Sec</t>
        </is>
      </c>
      <c r="K606" s="31" t="inlineStr">
        <is>
          <t>FT- 578249626-50200085415108 - HDFC SECURITIES LTD-CLIENT DSCNB A/C -</t>
        </is>
      </c>
      <c r="L606" s="31" t="inlineStr">
        <is>
          <t>HDFC Bank</t>
        </is>
      </c>
      <c r="M606" s="31" t="inlineStr"/>
    </row>
    <row r="607">
      <c r="A607" s="83" t="n">
        <v>45600</v>
      </c>
      <c r="B607" s="83" t="n">
        <v>45600</v>
      </c>
      <c r="C607" s="84" t="n">
        <v>1287.88</v>
      </c>
      <c r="D607" s="84" t="n">
        <v>0</v>
      </c>
      <c r="E607" s="84" t="inlineStr"/>
      <c r="F607" s="84" t="inlineStr">
        <is>
          <t>HDFC Securities - Buy</t>
        </is>
      </c>
      <c r="G607" s="32" t="n">
        <v>0.97</v>
      </c>
      <c r="H607" s="84" t="inlineStr">
        <is>
          <t>HDFC Securities</t>
        </is>
      </c>
      <c r="I607" s="84" t="inlineStr">
        <is>
          <t>HDFC 0094</t>
        </is>
      </c>
      <c r="J607" s="84" t="inlineStr">
        <is>
          <t>HSL</t>
        </is>
      </c>
      <c r="K607" s="84" t="inlineStr">
        <is>
          <t>NET PI TO HSL SEC A/C 523686-00602340029434</t>
        </is>
      </c>
      <c r="L607" s="84" t="inlineStr">
        <is>
          <t>HDFC Bank</t>
        </is>
      </c>
      <c r="M607" s="84" t="inlineStr"/>
    </row>
    <row r="608">
      <c r="A608" s="83" t="n">
        <v>45600</v>
      </c>
      <c r="B608" s="83" t="n">
        <v>45600</v>
      </c>
      <c r="C608" s="84" t="n">
        <v>12909.03</v>
      </c>
      <c r="D608" s="84" t="n">
        <v>0</v>
      </c>
      <c r="E608" s="84" t="inlineStr"/>
      <c r="F608" s="84" t="inlineStr">
        <is>
          <t>HDFC Securities - Buy</t>
        </is>
      </c>
      <c r="G608" s="32" t="n">
        <v>0.97</v>
      </c>
      <c r="H608" s="84" t="inlineStr">
        <is>
          <t>HDFC Securities</t>
        </is>
      </c>
      <c r="I608" s="84" t="inlineStr">
        <is>
          <t>HDFC 0094</t>
        </is>
      </c>
      <c r="J608" s="84" t="inlineStr">
        <is>
          <t>HSL</t>
        </is>
      </c>
      <c r="K608" s="84" t="inlineStr">
        <is>
          <t>NET PI TO HSL SEC A/C 523686-00602340029434</t>
        </is>
      </c>
      <c r="L608" s="84" t="inlineStr">
        <is>
          <t>HDFC Bank</t>
        </is>
      </c>
      <c r="M608" s="84" t="inlineStr"/>
    </row>
    <row r="609">
      <c r="A609" s="42" t="n">
        <v>45601</v>
      </c>
      <c r="B609" s="42" t="n">
        <v>45601</v>
      </c>
      <c r="C609" s="43" t="n">
        <v>0</v>
      </c>
      <c r="D609" s="43" t="n">
        <v>460</v>
      </c>
      <c r="E609" s="43" t="inlineStr"/>
      <c r="F609" s="43" t="inlineStr">
        <is>
          <t>Dividend Income</t>
        </is>
      </c>
      <c r="G609" s="32" t="n">
        <v>0.88</v>
      </c>
      <c r="H609" s="43" t="inlineStr">
        <is>
          <t>Dividend Income</t>
        </is>
      </c>
      <c r="I609" s="43" t="inlineStr">
        <is>
          <t>HDFC 0094</t>
        </is>
      </c>
      <c r="J609" s="43" t="inlineStr">
        <is>
          <t>Dividend Income</t>
        </is>
      </c>
      <c r="K609" s="43" t="inlineStr">
        <is>
          <t>ACH C- TCS2NDINTDIV051124-852371</t>
        </is>
      </c>
      <c r="L609" s="43" t="inlineStr">
        <is>
          <t>HDFC Bank</t>
        </is>
      </c>
      <c r="M609" s="43" t="inlineStr"/>
    </row>
    <row r="610">
      <c r="A610" s="83" t="n">
        <v>45601</v>
      </c>
      <c r="B610" s="83" t="n">
        <v>45601</v>
      </c>
      <c r="C610" s="84" t="n">
        <v>384.2</v>
      </c>
      <c r="D610" s="84" t="n">
        <v>0</v>
      </c>
      <c r="E610" s="84" t="inlineStr"/>
      <c r="F610" s="84" t="inlineStr">
        <is>
          <t>HDFC Securities - Buy</t>
        </is>
      </c>
      <c r="G610" s="32" t="n">
        <v>0.97</v>
      </c>
      <c r="H610" s="84" t="inlineStr">
        <is>
          <t>HDFC Securities</t>
        </is>
      </c>
      <c r="I610" s="84" t="inlineStr">
        <is>
          <t>HDFC 0094</t>
        </is>
      </c>
      <c r="J610" s="84" t="inlineStr">
        <is>
          <t>HSL</t>
        </is>
      </c>
      <c r="K610" s="84" t="inlineStr">
        <is>
          <t>NET PI TO HSL SEC A/C 523686-00602340029434</t>
        </is>
      </c>
      <c r="L610" s="84" t="inlineStr">
        <is>
          <t>HDFC Bank</t>
        </is>
      </c>
      <c r="M610" s="84" t="inlineStr"/>
    </row>
    <row r="611">
      <c r="A611" s="83" t="n">
        <v>45602</v>
      </c>
      <c r="B611" s="83" t="n">
        <v>45602</v>
      </c>
      <c r="C611" s="84" t="n">
        <v>384.2</v>
      </c>
      <c r="D611" s="84" t="n">
        <v>0</v>
      </c>
      <c r="E611" s="84" t="inlineStr"/>
      <c r="F611" s="84" t="inlineStr">
        <is>
          <t>HDFC Securities - Buy</t>
        </is>
      </c>
      <c r="G611" s="32" t="n">
        <v>0.97</v>
      </c>
      <c r="H611" s="84" t="inlineStr">
        <is>
          <t>HDFC Securities</t>
        </is>
      </c>
      <c r="I611" s="84" t="inlineStr">
        <is>
          <t>HDFC 0094</t>
        </is>
      </c>
      <c r="J611" s="84" t="inlineStr">
        <is>
          <t>HSL</t>
        </is>
      </c>
      <c r="K611" s="84" t="inlineStr">
        <is>
          <t>NET PI TO HSL SEC A/C 523686-00602340029434</t>
        </is>
      </c>
      <c r="L611" s="84" t="inlineStr">
        <is>
          <t>HDFC Bank</t>
        </is>
      </c>
      <c r="M611" s="84" t="inlineStr"/>
    </row>
    <row r="612">
      <c r="A612" s="30" t="n">
        <v>45602</v>
      </c>
      <c r="B612" s="30" t="n">
        <v>45602</v>
      </c>
      <c r="C612" s="31" t="n">
        <v>0</v>
      </c>
      <c r="D612" s="31" t="n">
        <v>11008.21</v>
      </c>
      <c r="E612" s="31" t="inlineStr"/>
      <c r="F612" s="31" t="inlineStr">
        <is>
          <t>HDFC Securities - Settlement</t>
        </is>
      </c>
      <c r="G612" s="32" t="n">
        <v>0.93</v>
      </c>
      <c r="H612" s="31" t="inlineStr">
        <is>
          <t>HDFC Securities</t>
        </is>
      </c>
      <c r="I612" s="31" t="inlineStr">
        <is>
          <t>HDFC 0094</t>
        </is>
      </c>
      <c r="J612" s="31" t="inlineStr">
        <is>
          <t>HDFC Sec</t>
        </is>
      </c>
      <c r="K612" s="31" t="inlineStr">
        <is>
          <t>FT- 579367524-50200085415108 - HDFC SECURITIES LTD-CLIENT DSCNB A/C -</t>
        </is>
      </c>
      <c r="L612" s="31" t="inlineStr">
        <is>
          <t>HDFC Bank</t>
        </is>
      </c>
      <c r="M612" s="31" t="inlineStr"/>
    </row>
    <row r="613">
      <c r="A613" s="83" t="n">
        <v>45603</v>
      </c>
      <c r="B613" s="83" t="n">
        <v>45603</v>
      </c>
      <c r="C613" s="84" t="n">
        <v>12083.67</v>
      </c>
      <c r="D613" s="84" t="n">
        <v>0</v>
      </c>
      <c r="E613" s="84" t="inlineStr"/>
      <c r="F613" s="84" t="inlineStr">
        <is>
          <t>HDFC Securities - Buy</t>
        </is>
      </c>
      <c r="G613" s="32" t="n">
        <v>0.97</v>
      </c>
      <c r="H613" s="84" t="inlineStr">
        <is>
          <t>HDFC Securities</t>
        </is>
      </c>
      <c r="I613" s="84" t="inlineStr">
        <is>
          <t>HDFC 0094</t>
        </is>
      </c>
      <c r="J613" s="84" t="inlineStr">
        <is>
          <t>HSL</t>
        </is>
      </c>
      <c r="K613" s="84" t="inlineStr">
        <is>
          <t>NET PI TO HSL SEC A/C 523686-00602340029434</t>
        </is>
      </c>
      <c r="L613" s="84" t="inlineStr">
        <is>
          <t>HDFC Bank</t>
        </is>
      </c>
      <c r="M613" s="84" t="inlineStr"/>
    </row>
    <row r="614">
      <c r="A614" s="116" t="n">
        <v>45603</v>
      </c>
      <c r="B614" s="116" t="n">
        <v>45603</v>
      </c>
      <c r="C614" s="117" t="n">
        <v>0</v>
      </c>
      <c r="D614" s="117" t="n">
        <v>36958</v>
      </c>
      <c r="E614" s="117" t="inlineStr"/>
      <c r="F614" s="117" t="inlineStr">
        <is>
          <t>Received - Sunita Gupta</t>
        </is>
      </c>
      <c r="G614" s="32" t="n">
        <v>0.88</v>
      </c>
      <c r="H614" s="117" t="inlineStr">
        <is>
          <t>Sunita Gupta</t>
        </is>
      </c>
      <c r="I614" s="117" t="inlineStr">
        <is>
          <t>HDFC 0094</t>
        </is>
      </c>
      <c r="J614" s="117" t="inlineStr">
        <is>
          <t>Rental Income</t>
        </is>
      </c>
      <c r="K614" s="117" t="inlineStr">
        <is>
          <t>NEFT CR-SBIN0004266-SBI GENERAL INSURANCE CO LTDSBI GEN-SUNITA GUPTA 0000000002717756-SBIN224312774608</t>
        </is>
      </c>
      <c r="L614" s="117" t="inlineStr">
        <is>
          <t>HDFC Bank</t>
        </is>
      </c>
      <c r="M614" s="117" t="inlineStr"/>
    </row>
    <row r="615">
      <c r="A615" s="83" t="n">
        <v>45603</v>
      </c>
      <c r="B615" s="83" t="n">
        <v>45603</v>
      </c>
      <c r="C615" s="84" t="n">
        <v>388.12</v>
      </c>
      <c r="D615" s="84" t="n">
        <v>0</v>
      </c>
      <c r="E615" s="84" t="inlineStr"/>
      <c r="F615" s="84" t="inlineStr">
        <is>
          <t>HDFC Securities - Buy</t>
        </is>
      </c>
      <c r="G615" s="32" t="n">
        <v>0.97</v>
      </c>
      <c r="H615" s="84" t="inlineStr">
        <is>
          <t>HDFC Securities</t>
        </is>
      </c>
      <c r="I615" s="84" t="inlineStr">
        <is>
          <t>HDFC 0094</t>
        </is>
      </c>
      <c r="J615" s="84" t="inlineStr">
        <is>
          <t>HSL</t>
        </is>
      </c>
      <c r="K615" s="84" t="inlineStr">
        <is>
          <t>NET PI TO HSL SEC A/C 523686-00602340029434</t>
        </is>
      </c>
      <c r="L615" s="84" t="inlineStr">
        <is>
          <t>HDFC Bank</t>
        </is>
      </c>
      <c r="M615" s="84" t="inlineStr"/>
    </row>
    <row r="616">
      <c r="A616" s="30" t="n">
        <v>45603</v>
      </c>
      <c r="B616" s="30" t="n">
        <v>45603</v>
      </c>
      <c r="C616" s="31" t="n">
        <v>0</v>
      </c>
      <c r="D616" s="31" t="n">
        <v>19933.39</v>
      </c>
      <c r="E616" s="31" t="inlineStr"/>
      <c r="F616" s="31" t="inlineStr">
        <is>
          <t>HDFC Securities - Settlement</t>
        </is>
      </c>
      <c r="G616" s="32" t="n">
        <v>0.93</v>
      </c>
      <c r="H616" s="31" t="inlineStr">
        <is>
          <t>HDFC Securities</t>
        </is>
      </c>
      <c r="I616" s="31" t="inlineStr">
        <is>
          <t>HDFC 0094</t>
        </is>
      </c>
      <c r="J616" s="31" t="inlineStr">
        <is>
          <t>HDFC Sec</t>
        </is>
      </c>
      <c r="K616" s="31" t="inlineStr">
        <is>
          <t>FT- 579792596-50200085415108 - HDFC SECURITIES LTD-CLIENT DSCNB A/C -</t>
        </is>
      </c>
      <c r="L616" s="31" t="inlineStr">
        <is>
          <t>HDFC Bank</t>
        </is>
      </c>
      <c r="M616" s="31" t="inlineStr"/>
    </row>
    <row r="617">
      <c r="A617" s="42" t="n">
        <v>45603</v>
      </c>
      <c r="B617" s="42" t="n">
        <v>45603</v>
      </c>
      <c r="C617" s="43" t="n">
        <v>0</v>
      </c>
      <c r="D617" s="43" t="n">
        <v>700</v>
      </c>
      <c r="E617" s="43" t="inlineStr"/>
      <c r="F617" s="43" t="inlineStr">
        <is>
          <t>Dividend Income</t>
        </is>
      </c>
      <c r="G617" s="32" t="n">
        <v>0.88</v>
      </c>
      <c r="H617" s="43" t="inlineStr">
        <is>
          <t>Dividend Income</t>
        </is>
      </c>
      <c r="I617" s="43" t="inlineStr">
        <is>
          <t>HDFC 0094</t>
        </is>
      </c>
      <c r="J617" s="43" t="inlineStr">
        <is>
          <t>Dividend Income</t>
        </is>
      </c>
      <c r="K617" s="43" t="inlineStr">
        <is>
          <t>ACH C- LTIMIN INT 2024 25-184405</t>
        </is>
      </c>
      <c r="L617" s="43" t="inlineStr">
        <is>
          <t>HDFC Bank</t>
        </is>
      </c>
      <c r="M617" s="43" t="inlineStr"/>
    </row>
    <row r="618">
      <c r="A618" s="42" t="n">
        <v>45604</v>
      </c>
      <c r="B618" s="42" t="n">
        <v>45604</v>
      </c>
      <c r="C618" s="43" t="n">
        <v>0</v>
      </c>
      <c r="D618" s="43" t="n">
        <v>840</v>
      </c>
      <c r="E618" s="43" t="inlineStr"/>
      <c r="F618" s="43" t="inlineStr">
        <is>
          <t>Dividend Income</t>
        </is>
      </c>
      <c r="G618" s="32" t="n">
        <v>0.85</v>
      </c>
      <c r="H618" s="43" t="inlineStr">
        <is>
          <t>Dividend Income</t>
        </is>
      </c>
      <c r="I618" s="43" t="inlineStr">
        <is>
          <t>HDFC 0094</t>
        </is>
      </c>
      <c r="J618" s="43" t="inlineStr">
        <is>
          <t>Dividend Income</t>
        </is>
      </c>
      <c r="K618" s="43" t="inlineStr">
        <is>
          <t>0611208954 INFY INTDIV2024-25 45328804</t>
        </is>
      </c>
      <c r="L618" s="43" t="inlineStr">
        <is>
          <t>HDFC Bank</t>
        </is>
      </c>
      <c r="M618" s="43" t="inlineStr"/>
    </row>
    <row r="619">
      <c r="A619" s="83" t="n">
        <v>45604</v>
      </c>
      <c r="B619" s="83" t="n">
        <v>45604</v>
      </c>
      <c r="C619" s="84" t="n">
        <v>21327.23</v>
      </c>
      <c r="D619" s="84" t="n">
        <v>0</v>
      </c>
      <c r="E619" s="84" t="inlineStr"/>
      <c r="F619" s="84" t="inlineStr">
        <is>
          <t>HDFC Securities - Buy</t>
        </is>
      </c>
      <c r="G619" s="32" t="n">
        <v>0.97</v>
      </c>
      <c r="H619" s="84" t="inlineStr">
        <is>
          <t>HDFC Securities</t>
        </is>
      </c>
      <c r="I619" s="84" t="inlineStr">
        <is>
          <t>HDFC 0094</t>
        </is>
      </c>
      <c r="J619" s="84" t="inlineStr">
        <is>
          <t>HSL</t>
        </is>
      </c>
      <c r="K619" s="84" t="inlineStr">
        <is>
          <t>NET PI TO HSL SEC A/C 523686-00602340029434</t>
        </is>
      </c>
      <c r="L619" s="84" t="inlineStr">
        <is>
          <t>HDFC Bank</t>
        </is>
      </c>
      <c r="M619" s="84" t="inlineStr"/>
    </row>
    <row r="620">
      <c r="A620" s="83" t="n">
        <v>45604</v>
      </c>
      <c r="B620" s="83" t="n">
        <v>45604</v>
      </c>
      <c r="C620" s="84" t="n">
        <v>390.91</v>
      </c>
      <c r="D620" s="84" t="n">
        <v>0</v>
      </c>
      <c r="E620" s="84" t="inlineStr"/>
      <c r="F620" s="84" t="inlineStr">
        <is>
          <t>HDFC Securities - Buy</t>
        </is>
      </c>
      <c r="G620" s="32" t="n">
        <v>0.97</v>
      </c>
      <c r="H620" s="84" t="inlineStr">
        <is>
          <t>HDFC Securities</t>
        </is>
      </c>
      <c r="I620" s="84" t="inlineStr">
        <is>
          <t>HDFC 0094</t>
        </is>
      </c>
      <c r="J620" s="84" t="inlineStr">
        <is>
          <t>HSL</t>
        </is>
      </c>
      <c r="K620" s="84" t="inlineStr">
        <is>
          <t>NET PI TO HSL SEC A/C 523686-00602340029434</t>
        </is>
      </c>
      <c r="L620" s="84" t="inlineStr">
        <is>
          <t>HDFC Bank</t>
        </is>
      </c>
      <c r="M620" s="84" t="inlineStr"/>
    </row>
    <row r="621">
      <c r="A621" s="83" t="n">
        <v>45607</v>
      </c>
      <c r="B621" s="83" t="n">
        <v>45607</v>
      </c>
      <c r="C621" s="84" t="n">
        <v>1149.96</v>
      </c>
      <c r="D621" s="84" t="n">
        <v>0</v>
      </c>
      <c r="E621" s="84" t="inlineStr"/>
      <c r="F621" s="84" t="inlineStr">
        <is>
          <t>HDFC Securities - Buy</t>
        </is>
      </c>
      <c r="G621" s="32" t="n">
        <v>0.97</v>
      </c>
      <c r="H621" s="84" t="inlineStr">
        <is>
          <t>HDFC Securities</t>
        </is>
      </c>
      <c r="I621" s="84" t="inlineStr">
        <is>
          <t>HDFC 0094</t>
        </is>
      </c>
      <c r="J621" s="84" t="inlineStr">
        <is>
          <t>HSL</t>
        </is>
      </c>
      <c r="K621" s="84" t="inlineStr">
        <is>
          <t>NET PI TO HSL SEC A/C 523686-00602340029434</t>
        </is>
      </c>
      <c r="L621" s="84" t="inlineStr">
        <is>
          <t>HDFC Bank</t>
        </is>
      </c>
      <c r="M621" s="84" t="inlineStr"/>
    </row>
    <row r="622">
      <c r="A622" s="48" t="n">
        <v>45608</v>
      </c>
      <c r="B622" s="48" t="n">
        <v>45608</v>
      </c>
      <c r="C622" s="49" t="n">
        <v>3420</v>
      </c>
      <c r="D622" s="49" t="n">
        <v>0</v>
      </c>
      <c r="E622" s="49" t="inlineStr">
        <is>
          <t>Bharti Ratan Devnani</t>
        </is>
      </c>
      <c r="F622" s="49" t="inlineStr">
        <is>
          <t>UPI Payment</t>
        </is>
      </c>
      <c r="G622" s="50" t="n">
        <v>0.55</v>
      </c>
      <c r="H622" s="49" t="inlineStr">
        <is>
          <t>Personal</t>
        </is>
      </c>
      <c r="I622" s="49" t="inlineStr">
        <is>
          <t>AXIS 7042</t>
        </is>
      </c>
      <c r="J622" s="49" t="inlineStr">
        <is>
          <t>UPI</t>
        </is>
      </c>
      <c r="K622" s="49" t="inlineStr">
        <is>
          <t>UPI/P2A/431766739628/BHARTI RATAN DEVNANI /UPI/Union Bank of India</t>
        </is>
      </c>
      <c r="L622" s="49" t="inlineStr">
        <is>
          <t>Axis Bank</t>
        </is>
      </c>
      <c r="M622" s="49" t="inlineStr"/>
    </row>
    <row r="623">
      <c r="A623" s="83" t="n">
        <v>45608</v>
      </c>
      <c r="B623" s="83" t="n">
        <v>45608</v>
      </c>
      <c r="C623" s="84" t="n">
        <v>18988.82</v>
      </c>
      <c r="D623" s="84" t="n">
        <v>0</v>
      </c>
      <c r="E623" s="84" t="inlineStr"/>
      <c r="F623" s="84" t="inlineStr">
        <is>
          <t>HDFC Securities - Buy</t>
        </is>
      </c>
      <c r="G623" s="32" t="n">
        <v>0.97</v>
      </c>
      <c r="H623" s="84" t="inlineStr">
        <is>
          <t>HDFC Securities</t>
        </is>
      </c>
      <c r="I623" s="84" t="inlineStr">
        <is>
          <t>HDFC 0094</t>
        </is>
      </c>
      <c r="J623" s="84" t="inlineStr">
        <is>
          <t>HSL</t>
        </is>
      </c>
      <c r="K623" s="84" t="inlineStr">
        <is>
          <t>NET PI TO HSL SEC A/C 523686-00602340029434</t>
        </is>
      </c>
      <c r="L623" s="84" t="inlineStr">
        <is>
          <t>HDFC Bank</t>
        </is>
      </c>
      <c r="M623" s="84" t="inlineStr"/>
    </row>
    <row r="624">
      <c r="A624" s="30" t="n">
        <v>45608</v>
      </c>
      <c r="B624" s="30" t="n">
        <v>45608</v>
      </c>
      <c r="C624" s="31" t="n">
        <v>0</v>
      </c>
      <c r="D624" s="31" t="n">
        <v>12632.07</v>
      </c>
      <c r="E624" s="31" t="inlineStr"/>
      <c r="F624" s="31" t="inlineStr">
        <is>
          <t>HDFC Securities - Settlement</t>
        </is>
      </c>
      <c r="G624" s="32" t="n">
        <v>0.93</v>
      </c>
      <c r="H624" s="31" t="inlineStr">
        <is>
          <t>HDFC Securities</t>
        </is>
      </c>
      <c r="I624" s="31" t="inlineStr">
        <is>
          <t>HDFC 0094</t>
        </is>
      </c>
      <c r="J624" s="31" t="inlineStr">
        <is>
          <t>HDFC Sec</t>
        </is>
      </c>
      <c r="K624" s="31" t="inlineStr">
        <is>
          <t>FT- 581299632-50200085415108 - HDFC SECURITIES LTD-CLIENT DSCNB A/C -</t>
        </is>
      </c>
      <c r="L624" s="31" t="inlineStr">
        <is>
          <t>HDFC Bank</t>
        </is>
      </c>
      <c r="M624" s="31" t="inlineStr"/>
    </row>
    <row r="625">
      <c r="A625" s="83" t="n">
        <v>45608</v>
      </c>
      <c r="B625" s="83" t="n">
        <v>45608</v>
      </c>
      <c r="C625" s="84" t="n">
        <v>10252.52</v>
      </c>
      <c r="D625" s="84" t="n">
        <v>0</v>
      </c>
      <c r="E625" s="84" t="inlineStr"/>
      <c r="F625" s="84" t="inlineStr">
        <is>
          <t>HDFC Securities - Buy</t>
        </is>
      </c>
      <c r="G625" s="32" t="n">
        <v>0.97</v>
      </c>
      <c r="H625" s="84" t="inlineStr">
        <is>
          <t>HDFC Securities</t>
        </is>
      </c>
      <c r="I625" s="84" t="inlineStr">
        <is>
          <t>HDFC 0094</t>
        </is>
      </c>
      <c r="J625" s="84" t="inlineStr">
        <is>
          <t>HSL</t>
        </is>
      </c>
      <c r="K625" s="84" t="inlineStr">
        <is>
          <t>NET PI TO HSL SEC A/C 523686-00602340029434</t>
        </is>
      </c>
      <c r="L625" s="84" t="inlineStr">
        <is>
          <t>HDFC Bank</t>
        </is>
      </c>
      <c r="M625" s="84" t="inlineStr"/>
    </row>
    <row r="626">
      <c r="A626" s="83" t="n">
        <v>45608</v>
      </c>
      <c r="B626" s="83" t="n">
        <v>45608</v>
      </c>
      <c r="C626" s="84" t="n">
        <v>376.55</v>
      </c>
      <c r="D626" s="84" t="n">
        <v>0</v>
      </c>
      <c r="E626" s="84" t="inlineStr"/>
      <c r="F626" s="84" t="inlineStr">
        <is>
          <t>HDFC Securities - Buy</t>
        </is>
      </c>
      <c r="G626" s="32" t="n">
        <v>0.97</v>
      </c>
      <c r="H626" s="84" t="inlineStr">
        <is>
          <t>HDFC Securities</t>
        </is>
      </c>
      <c r="I626" s="84" t="inlineStr">
        <is>
          <t>HDFC 0094</t>
        </is>
      </c>
      <c r="J626" s="84" t="inlineStr">
        <is>
          <t>HSL</t>
        </is>
      </c>
      <c r="K626" s="84" t="inlineStr">
        <is>
          <t>NET PI TO HSL SEC A/C 523686-00602340029434</t>
        </is>
      </c>
      <c r="L626" s="84" t="inlineStr">
        <is>
          <t>HDFC Bank</t>
        </is>
      </c>
      <c r="M626" s="84" t="inlineStr"/>
    </row>
    <row r="627">
      <c r="A627" s="89" t="n">
        <v>45609</v>
      </c>
      <c r="B627" s="89" t="n">
        <v>45609</v>
      </c>
      <c r="C627" s="90" t="n">
        <v>507.4</v>
      </c>
      <c r="D627" s="90" t="n">
        <v>0</v>
      </c>
      <c r="E627" s="90" t="inlineStr"/>
      <c r="F627" s="90" t="inlineStr">
        <is>
          <t>Depository Charges</t>
        </is>
      </c>
      <c r="G627" s="32" t="n">
        <v>0.93</v>
      </c>
      <c r="H627" s="90" t="inlineStr">
        <is>
          <t>Depository Charges</t>
        </is>
      </c>
      <c r="I627" s="90" t="inlineStr">
        <is>
          <t>HDFC 0094</t>
        </is>
      </c>
      <c r="J627" s="90" t="inlineStr">
        <is>
          <t>Depository Charges</t>
        </is>
      </c>
      <c r="K627" s="90" t="inlineStr">
        <is>
          <t>DEPOSITORY CHARGES OCT24 - 41060499</t>
        </is>
      </c>
      <c r="L627" s="90" t="inlineStr">
        <is>
          <t>HDFC Bank</t>
        </is>
      </c>
      <c r="M627" s="90" t="inlineStr"/>
    </row>
    <row r="628">
      <c r="A628" s="83" t="n">
        <v>45609</v>
      </c>
      <c r="B628" s="83" t="n">
        <v>45609</v>
      </c>
      <c r="C628" s="84" t="n">
        <v>25275.8</v>
      </c>
      <c r="D628" s="84" t="n">
        <v>0</v>
      </c>
      <c r="E628" s="84" t="inlineStr"/>
      <c r="F628" s="84" t="inlineStr">
        <is>
          <t>HDFC Securities - Buy</t>
        </is>
      </c>
      <c r="G628" s="32" t="n">
        <v>0.97</v>
      </c>
      <c r="H628" s="84" t="inlineStr">
        <is>
          <t>HDFC Securities</t>
        </is>
      </c>
      <c r="I628" s="84" t="inlineStr">
        <is>
          <t>HDFC 0094</t>
        </is>
      </c>
      <c r="J628" s="84" t="inlineStr">
        <is>
          <t>HSL</t>
        </is>
      </c>
      <c r="K628" s="84" t="inlineStr">
        <is>
          <t>NET PI TO HSL SEC A/C 523686-00602340029434</t>
        </is>
      </c>
      <c r="L628" s="84" t="inlineStr">
        <is>
          <t>HDFC Bank</t>
        </is>
      </c>
      <c r="M628" s="84" t="inlineStr"/>
    </row>
    <row r="629">
      <c r="A629" s="66" t="n">
        <v>45609</v>
      </c>
      <c r="B629" s="66" t="n">
        <v>45609</v>
      </c>
      <c r="C629" s="67" t="n">
        <v>10000</v>
      </c>
      <c r="D629" s="67" t="n">
        <v>0</v>
      </c>
      <c r="E629" s="67" t="inlineStr"/>
      <c r="F629" s="67" t="inlineStr">
        <is>
          <t>Transfer - Archit Gupta</t>
        </is>
      </c>
      <c r="G629" s="32" t="n">
        <v>0.85</v>
      </c>
      <c r="H629" s="67" t="inlineStr">
        <is>
          <t>Archit Gupta</t>
        </is>
      </c>
      <c r="I629" s="67" t="inlineStr">
        <is>
          <t>AXIS 7042</t>
        </is>
      </c>
      <c r="J629" s="67" t="inlineStr">
        <is>
          <t>UPI</t>
        </is>
      </c>
      <c r="K629" s="67" t="inlineStr">
        <is>
          <t>UPI/P2A/431861950461/ARCHIT GUPTA         /UPI/AXIS BANK</t>
        </is>
      </c>
      <c r="L629" s="67" t="inlineStr">
        <is>
          <t>Axis Bank</t>
        </is>
      </c>
      <c r="M629" s="67" t="inlineStr"/>
    </row>
    <row r="630">
      <c r="A630" s="118" t="n">
        <v>45609</v>
      </c>
      <c r="B630" s="118" t="n">
        <v>45609</v>
      </c>
      <c r="C630" s="119" t="n">
        <v>0</v>
      </c>
      <c r="D630" s="119" t="n">
        <v>5</v>
      </c>
      <c r="E630" s="119" t="inlineStr"/>
      <c r="F630" s="119" t="inlineStr">
        <is>
          <t>Received - Google In</t>
        </is>
      </c>
      <c r="G630" s="50" t="n">
        <v>0.55</v>
      </c>
      <c r="H630" s="119" t="inlineStr">
        <is>
          <t>Personal</t>
        </is>
      </c>
      <c r="I630" s="119" t="inlineStr">
        <is>
          <t>AXIS 7042</t>
        </is>
      </c>
      <c r="J630" s="119" t="inlineStr">
        <is>
          <t>UPI</t>
        </is>
      </c>
      <c r="K630" s="119" t="inlineStr">
        <is>
          <t>UPI/P2A/975907133184/GOOGLE IN/AXIS BANK/Rewarded/</t>
        </is>
      </c>
      <c r="L630" s="119" t="inlineStr">
        <is>
          <t>Axis Bank</t>
        </is>
      </c>
      <c r="M630" s="119" t="inlineStr"/>
    </row>
    <row r="631">
      <c r="A631" s="83" t="n">
        <v>45609</v>
      </c>
      <c r="B631" s="83" t="n">
        <v>45609</v>
      </c>
      <c r="C631" s="84" t="n">
        <v>372.9</v>
      </c>
      <c r="D631" s="84" t="n">
        <v>0</v>
      </c>
      <c r="E631" s="84" t="inlineStr"/>
      <c r="F631" s="84" t="inlineStr">
        <is>
          <t>HDFC Securities - Buy</t>
        </is>
      </c>
      <c r="G631" s="32" t="n">
        <v>0.97</v>
      </c>
      <c r="H631" s="84" t="inlineStr">
        <is>
          <t>HDFC Securities</t>
        </is>
      </c>
      <c r="I631" s="84" t="inlineStr">
        <is>
          <t>HDFC 0094</t>
        </is>
      </c>
      <c r="J631" s="84" t="inlineStr">
        <is>
          <t>HSL</t>
        </is>
      </c>
      <c r="K631" s="84" t="inlineStr">
        <is>
          <t>NET PI TO HSL SEC A/C 523686-00602340029434</t>
        </is>
      </c>
      <c r="L631" s="84" t="inlineStr">
        <is>
          <t>HDFC Bank</t>
        </is>
      </c>
      <c r="M631" s="84" t="inlineStr"/>
    </row>
    <row r="632">
      <c r="A632" s="66" t="n">
        <v>45609</v>
      </c>
      <c r="B632" s="66" t="n">
        <v>45609</v>
      </c>
      <c r="C632" s="67" t="n">
        <v>0</v>
      </c>
      <c r="D632" s="67" t="n">
        <v>10000</v>
      </c>
      <c r="E632" s="67" t="inlineStr"/>
      <c r="F632" s="67" t="inlineStr">
        <is>
          <t>Received - Archit Gupta</t>
        </is>
      </c>
      <c r="G632" s="32" t="n">
        <v>0.85</v>
      </c>
      <c r="H632" s="67" t="inlineStr">
        <is>
          <t>Archit Gupta</t>
        </is>
      </c>
      <c r="I632" s="67" t="inlineStr">
        <is>
          <t>AXIS 7042</t>
        </is>
      </c>
      <c r="J632" s="67" t="inlineStr">
        <is>
          <t>UPI</t>
        </is>
      </c>
      <c r="K632" s="67" t="inlineStr">
        <is>
          <t>UPI/P2A/431836159142/ARCHIT GU/Axis Bank/UPI/</t>
        </is>
      </c>
      <c r="L632" s="67" t="inlineStr">
        <is>
          <t>Axis Bank</t>
        </is>
      </c>
      <c r="M632" s="67" t="inlineStr"/>
    </row>
    <row r="633">
      <c r="A633" s="83" t="n">
        <v>45610</v>
      </c>
      <c r="B633" s="83" t="n">
        <v>45610</v>
      </c>
      <c r="C633" s="84" t="n">
        <v>4836.18</v>
      </c>
      <c r="D633" s="84" t="n">
        <v>0</v>
      </c>
      <c r="E633" s="84" t="inlineStr"/>
      <c r="F633" s="84" t="inlineStr">
        <is>
          <t>HDFC Securities - Buy</t>
        </is>
      </c>
      <c r="G633" s="32" t="n">
        <v>0.97</v>
      </c>
      <c r="H633" s="84" t="inlineStr">
        <is>
          <t>HDFC Securities</t>
        </is>
      </c>
      <c r="I633" s="84" t="inlineStr">
        <is>
          <t>HDFC 0094</t>
        </is>
      </c>
      <c r="J633" s="84" t="inlineStr">
        <is>
          <t>HSL</t>
        </is>
      </c>
      <c r="K633" s="84" t="inlineStr">
        <is>
          <t>NET PI TO HSL SEC A/C 523686-00602340029434</t>
        </is>
      </c>
      <c r="L633" s="84" t="inlineStr">
        <is>
          <t>HDFC Bank</t>
        </is>
      </c>
      <c r="M633" s="84" t="inlineStr"/>
    </row>
    <row r="634">
      <c r="A634" s="83" t="n">
        <v>45610</v>
      </c>
      <c r="B634" s="83" t="n">
        <v>45610</v>
      </c>
      <c r="C634" s="84" t="n">
        <v>363.9</v>
      </c>
      <c r="D634" s="84" t="n">
        <v>0</v>
      </c>
      <c r="E634" s="84" t="inlineStr"/>
      <c r="F634" s="84" t="inlineStr">
        <is>
          <t>HDFC Securities - Buy</t>
        </is>
      </c>
      <c r="G634" s="32" t="n">
        <v>0.97</v>
      </c>
      <c r="H634" s="84" t="inlineStr">
        <is>
          <t>HDFC Securities</t>
        </is>
      </c>
      <c r="I634" s="84" t="inlineStr">
        <is>
          <t>HDFC 0094</t>
        </is>
      </c>
      <c r="J634" s="84" t="inlineStr">
        <is>
          <t>HSL</t>
        </is>
      </c>
      <c r="K634" s="84" t="inlineStr">
        <is>
          <t>NET PI TO HSL SEC A/C 523686-00602340029434</t>
        </is>
      </c>
      <c r="L634" s="84" t="inlineStr">
        <is>
          <t>HDFC Bank</t>
        </is>
      </c>
      <c r="M634" s="84" t="inlineStr"/>
    </row>
    <row r="635">
      <c r="A635" s="36" t="n">
        <v>45611</v>
      </c>
      <c r="B635" s="36" t="n">
        <v>45611</v>
      </c>
      <c r="C635" s="37" t="n">
        <v>0</v>
      </c>
      <c r="D635" s="37" t="n">
        <v>25000</v>
      </c>
      <c r="E635" s="37" t="inlineStr"/>
      <c r="F635" s="37" t="inlineStr">
        <is>
          <t>Received - Ajay Gupta</t>
        </is>
      </c>
      <c r="G635" s="32" t="n">
        <v>0.88</v>
      </c>
      <c r="H635" s="37" t="inlineStr">
        <is>
          <t>Ajay Gupta</t>
        </is>
      </c>
      <c r="I635" s="37" t="inlineStr">
        <is>
          <t>HDFC 0094</t>
        </is>
      </c>
      <c r="J635" s="37" t="inlineStr">
        <is>
          <t>Transfer by Ajay</t>
        </is>
      </c>
      <c r="K635" s="37" t="inlineStr">
        <is>
          <t>01671000085930-TPT-BORROW FROM AJAY HDFC-AJAY KUMAR GUPTA</t>
        </is>
      </c>
      <c r="L635" s="37" t="inlineStr">
        <is>
          <t>HDFC Bank</t>
        </is>
      </c>
      <c r="M635" s="37" t="inlineStr"/>
    </row>
    <row r="636">
      <c r="A636" s="42" t="n">
        <v>45612</v>
      </c>
      <c r="B636" s="42" t="n">
        <v>45612</v>
      </c>
      <c r="C636" s="43" t="n">
        <v>0</v>
      </c>
      <c r="D636" s="43" t="n">
        <v>210</v>
      </c>
      <c r="E636" s="43" t="inlineStr"/>
      <c r="F636" s="43" t="inlineStr">
        <is>
          <t>Dividend Income</t>
        </is>
      </c>
      <c r="G636" s="32" t="n">
        <v>0.85</v>
      </c>
      <c r="H636" s="43" t="inlineStr">
        <is>
          <t>Dividend Income</t>
        </is>
      </c>
      <c r="I636" s="43" t="inlineStr">
        <is>
          <t>HDFC 0094</t>
        </is>
      </c>
      <c r="J636" s="43" t="inlineStr">
        <is>
          <t>Dividend Income</t>
        </is>
      </c>
      <c r="K636" s="43" t="inlineStr">
        <is>
          <t>DR LAL PATH DIV24 2500000000000000008238</t>
        </is>
      </c>
      <c r="L636" s="43" t="inlineStr">
        <is>
          <t>HDFC Bank</t>
        </is>
      </c>
      <c r="M636" s="43" t="inlineStr"/>
    </row>
    <row r="637">
      <c r="A637" s="83" t="n">
        <v>45614</v>
      </c>
      <c r="B637" s="83" t="n">
        <v>45614</v>
      </c>
      <c r="C637" s="84" t="n">
        <v>1448.72</v>
      </c>
      <c r="D637" s="84" t="n">
        <v>0</v>
      </c>
      <c r="E637" s="84" t="inlineStr"/>
      <c r="F637" s="84" t="inlineStr">
        <is>
          <t>HDFC Securities - Buy</t>
        </is>
      </c>
      <c r="G637" s="32" t="n">
        <v>0.97</v>
      </c>
      <c r="H637" s="84" t="inlineStr">
        <is>
          <t>HDFC Securities</t>
        </is>
      </c>
      <c r="I637" s="84" t="inlineStr">
        <is>
          <t>HDFC 0094</t>
        </is>
      </c>
      <c r="J637" s="84" t="inlineStr">
        <is>
          <t>HSL</t>
        </is>
      </c>
      <c r="K637" s="84" t="inlineStr">
        <is>
          <t>NET PI TO HSL SEC A/C 523686-00602340029434</t>
        </is>
      </c>
      <c r="L637" s="84" t="inlineStr">
        <is>
          <t>HDFC Bank</t>
        </is>
      </c>
      <c r="M637" s="84" t="inlineStr"/>
    </row>
    <row r="638">
      <c r="A638" s="64" t="n">
        <v>45614</v>
      </c>
      <c r="B638" s="64" t="n">
        <v>45614</v>
      </c>
      <c r="C638" s="65" t="n">
        <v>5000</v>
      </c>
      <c r="D638" s="65" t="n">
        <v>0</v>
      </c>
      <c r="E638" s="65" t="inlineStr"/>
      <c r="F638" s="65" t="inlineStr">
        <is>
          <t>MF Investment</t>
        </is>
      </c>
      <c r="G638" s="32" t="n">
        <v>0.92</v>
      </c>
      <c r="H638" s="65" t="inlineStr">
        <is>
          <t>Mutual_Fund_Investments</t>
        </is>
      </c>
      <c r="I638" s="65" t="inlineStr">
        <is>
          <t>HDFC 0094</t>
        </is>
      </c>
      <c r="J638" s="65" t="inlineStr">
        <is>
          <t>SIP  - 5000</t>
        </is>
      </c>
      <c r="K638" s="65" t="inlineStr">
        <is>
          <t>ACH D- INDIAN CLEARING CORP-P25847643X05</t>
        </is>
      </c>
      <c r="L638" s="65" t="inlineStr">
        <is>
          <t>HDFC Bank</t>
        </is>
      </c>
      <c r="M638" s="65" t="inlineStr"/>
    </row>
    <row r="639">
      <c r="A639" s="42" t="n">
        <v>45615</v>
      </c>
      <c r="B639" s="42" t="n">
        <v>45615</v>
      </c>
      <c r="C639" s="43" t="n">
        <v>0</v>
      </c>
      <c r="D639" s="43" t="n">
        <v>704</v>
      </c>
      <c r="E639" s="43" t="inlineStr"/>
      <c r="F639" s="43" t="inlineStr">
        <is>
          <t>Dividend Income</t>
        </is>
      </c>
      <c r="G639" s="32" t="n">
        <v>0.88</v>
      </c>
      <c r="H639" s="43" t="inlineStr">
        <is>
          <t>Dividend Income</t>
        </is>
      </c>
      <c r="I639" s="43" t="inlineStr">
        <is>
          <t>HDFC 0094</t>
        </is>
      </c>
      <c r="J639" s="43" t="inlineStr">
        <is>
          <t>Dividend Income</t>
        </is>
      </c>
      <c r="K639" s="43" t="inlineStr">
        <is>
          <t>ACH C- SHRIRAM.FINLTD IDV25-STFCIN300476</t>
        </is>
      </c>
      <c r="L639" s="43" t="inlineStr">
        <is>
          <t>HDFC Bank</t>
        </is>
      </c>
      <c r="M639" s="43" t="inlineStr"/>
    </row>
    <row r="640">
      <c r="A640" s="42" t="n">
        <v>45615</v>
      </c>
      <c r="B640" s="42" t="n">
        <v>45615</v>
      </c>
      <c r="C640" s="43" t="n">
        <v>0</v>
      </c>
      <c r="D640" s="43" t="n">
        <v>375</v>
      </c>
      <c r="E640" s="43" t="inlineStr"/>
      <c r="F640" s="43" t="inlineStr">
        <is>
          <t>Dividend Income</t>
        </is>
      </c>
      <c r="G640" s="32" t="n">
        <v>0.88</v>
      </c>
      <c r="H640" s="43" t="inlineStr">
        <is>
          <t>Dividend Income</t>
        </is>
      </c>
      <c r="I640" s="43" t="inlineStr">
        <is>
          <t>HDFC 0094</t>
        </is>
      </c>
      <c r="J640" s="43" t="inlineStr">
        <is>
          <t>Dividend Income</t>
        </is>
      </c>
      <c r="K640" s="43" t="inlineStr">
        <is>
          <t>ACH C- CAMS 2ND INT 2024 25-162211</t>
        </is>
      </c>
      <c r="L640" s="43" t="inlineStr">
        <is>
          <t>HDFC Bank</t>
        </is>
      </c>
      <c r="M640" s="43" t="inlineStr"/>
    </row>
    <row r="641">
      <c r="A641" s="83" t="n">
        <v>45615</v>
      </c>
      <c r="B641" s="83" t="n">
        <v>45615</v>
      </c>
      <c r="C641" s="84" t="n">
        <v>362.18</v>
      </c>
      <c r="D641" s="84" t="n">
        <v>0</v>
      </c>
      <c r="E641" s="84" t="inlineStr"/>
      <c r="F641" s="84" t="inlineStr">
        <is>
          <t>HDFC Securities - Buy</t>
        </is>
      </c>
      <c r="G641" s="32" t="n">
        <v>0.97</v>
      </c>
      <c r="H641" s="84" t="inlineStr">
        <is>
          <t>HDFC Securities</t>
        </is>
      </c>
      <c r="I641" s="84" t="inlineStr">
        <is>
          <t>HDFC 0094</t>
        </is>
      </c>
      <c r="J641" s="84" t="inlineStr">
        <is>
          <t>HSL</t>
        </is>
      </c>
      <c r="K641" s="84" t="inlineStr">
        <is>
          <t>NET PI TO HSL SEC A/C 523686-00602340029434</t>
        </is>
      </c>
      <c r="L641" s="84" t="inlineStr">
        <is>
          <t>HDFC Bank</t>
        </is>
      </c>
      <c r="M641" s="84" t="inlineStr"/>
    </row>
    <row r="642">
      <c r="A642" s="30" t="n">
        <v>45615</v>
      </c>
      <c r="B642" s="30" t="n">
        <v>45615</v>
      </c>
      <c r="C642" s="31" t="n">
        <v>0</v>
      </c>
      <c r="D642" s="31" t="n">
        <v>1130.97</v>
      </c>
      <c r="E642" s="31" t="inlineStr"/>
      <c r="F642" s="31" t="inlineStr">
        <is>
          <t>HDFC Securities - Settlement</t>
        </is>
      </c>
      <c r="G642" s="32" t="n">
        <v>0.93</v>
      </c>
      <c r="H642" s="31" t="inlineStr">
        <is>
          <t>HDFC Securities</t>
        </is>
      </c>
      <c r="I642" s="31" t="inlineStr">
        <is>
          <t>HDFC 0094</t>
        </is>
      </c>
      <c r="J642" s="31" t="inlineStr">
        <is>
          <t>HDFC Sec</t>
        </is>
      </c>
      <c r="K642" s="31" t="inlineStr">
        <is>
          <t>FT- 583186864-50200085415108 - HDFC SECURITIES LTD-CLIENT DSCNB A/C -</t>
        </is>
      </c>
      <c r="L642" s="31" t="inlineStr">
        <is>
          <t>HDFC Bank</t>
        </is>
      </c>
      <c r="M642" s="31" t="inlineStr"/>
    </row>
    <row r="643">
      <c r="A643" s="30" t="n">
        <v>45617</v>
      </c>
      <c r="B643" s="30" t="n">
        <v>45617</v>
      </c>
      <c r="C643" s="31" t="n">
        <v>0</v>
      </c>
      <c r="D643" s="31" t="n">
        <v>4778.92</v>
      </c>
      <c r="E643" s="31" t="inlineStr"/>
      <c r="F643" s="31" t="inlineStr">
        <is>
          <t>HDFC Securities - Settlement</t>
        </is>
      </c>
      <c r="G643" s="32" t="n">
        <v>0.93</v>
      </c>
      <c r="H643" s="31" t="inlineStr">
        <is>
          <t>HDFC Securities</t>
        </is>
      </c>
      <c r="I643" s="31" t="inlineStr">
        <is>
          <t>HDFC 0094</t>
        </is>
      </c>
      <c r="J643" s="31" t="inlineStr">
        <is>
          <t>HDFC Sec</t>
        </is>
      </c>
      <c r="K643" s="31" t="inlineStr">
        <is>
          <t>FT- 583585295-50200085415108 - HDFC SECURITIES LTD-CLIENT DSCNB A/C -</t>
        </is>
      </c>
      <c r="L643" s="31" t="inlineStr">
        <is>
          <t>HDFC Bank</t>
        </is>
      </c>
      <c r="M643" s="31" t="inlineStr"/>
    </row>
    <row r="644">
      <c r="A644" s="42" t="n">
        <v>45617</v>
      </c>
      <c r="B644" s="42" t="n">
        <v>45617</v>
      </c>
      <c r="C644" s="43" t="n">
        <v>0</v>
      </c>
      <c r="D644" s="43" t="n">
        <v>47</v>
      </c>
      <c r="E644" s="43" t="inlineStr"/>
      <c r="F644" s="43" t="inlineStr">
        <is>
          <t>Dividend Income</t>
        </is>
      </c>
      <c r="G644" s="32" t="n">
        <v>0.88</v>
      </c>
      <c r="H644" s="43" t="inlineStr">
        <is>
          <t>Dividend Income</t>
        </is>
      </c>
      <c r="I644" s="43" t="inlineStr">
        <is>
          <t>HDFC 0094</t>
        </is>
      </c>
      <c r="J644" s="43" t="inlineStr">
        <is>
          <t>Dividend Income</t>
        </is>
      </c>
      <c r="K644" s="43" t="inlineStr">
        <is>
          <t>ACH C- COAL INDIA LTD-1619328</t>
        </is>
      </c>
      <c r="L644" s="43" t="inlineStr">
        <is>
          <t>HDFC Bank</t>
        </is>
      </c>
      <c r="M644" s="43" t="inlineStr"/>
    </row>
    <row r="645">
      <c r="A645" s="42" t="n">
        <v>45617</v>
      </c>
      <c r="B645" s="42" t="n">
        <v>45617</v>
      </c>
      <c r="C645" s="43" t="n">
        <v>0</v>
      </c>
      <c r="D645" s="43" t="n">
        <v>870</v>
      </c>
      <c r="E645" s="43" t="inlineStr"/>
      <c r="F645" s="43" t="inlineStr">
        <is>
          <t>Dividend Income</t>
        </is>
      </c>
      <c r="G645" s="32" t="n">
        <v>0.88</v>
      </c>
      <c r="H645" s="43" t="inlineStr">
        <is>
          <t>Dividend Income</t>
        </is>
      </c>
      <c r="I645" s="43" t="inlineStr">
        <is>
          <t>HDFC 0094</t>
        </is>
      </c>
      <c r="J645" s="43" t="inlineStr">
        <is>
          <t>Dividend Income</t>
        </is>
      </c>
      <c r="K645" s="43" t="inlineStr">
        <is>
          <t>ACH C- HUL INT AND SPLDIV24-000000000000</t>
        </is>
      </c>
      <c r="L645" s="43" t="inlineStr">
        <is>
          <t>HDFC Bank</t>
        </is>
      </c>
      <c r="M645" s="43" t="inlineStr"/>
    </row>
    <row r="646">
      <c r="A646" s="42" t="n">
        <v>45617</v>
      </c>
      <c r="B646" s="42" t="n">
        <v>45617</v>
      </c>
      <c r="C646" s="43" t="n">
        <v>0</v>
      </c>
      <c r="D646" s="43" t="n">
        <v>250</v>
      </c>
      <c r="E646" s="43" t="inlineStr"/>
      <c r="F646" s="43" t="inlineStr">
        <is>
          <t>Dividend Income</t>
        </is>
      </c>
      <c r="G646" s="32" t="n">
        <v>0.88</v>
      </c>
      <c r="H646" s="43" t="inlineStr">
        <is>
          <t>Dividend Income</t>
        </is>
      </c>
      <c r="I646" s="43" t="inlineStr">
        <is>
          <t>HDFC 0094</t>
        </is>
      </c>
      <c r="J646" s="43" t="inlineStr">
        <is>
          <t>Dividend Income</t>
        </is>
      </c>
      <c r="K646" s="43" t="inlineStr">
        <is>
          <t>ACH C- NAVIN FLUORINE-000000000000037301</t>
        </is>
      </c>
      <c r="L646" s="43" t="inlineStr">
        <is>
          <t>HDFC Bank</t>
        </is>
      </c>
      <c r="M646" s="43" t="inlineStr"/>
    </row>
    <row r="647">
      <c r="A647" s="83" t="n">
        <v>45617</v>
      </c>
      <c r="B647" s="83" t="n">
        <v>45617</v>
      </c>
      <c r="C647" s="84" t="n">
        <v>8025.47</v>
      </c>
      <c r="D647" s="84" t="n">
        <v>0</v>
      </c>
      <c r="E647" s="84" t="inlineStr"/>
      <c r="F647" s="84" t="inlineStr">
        <is>
          <t>HDFC Securities - Buy</t>
        </is>
      </c>
      <c r="G647" s="32" t="n">
        <v>0.97</v>
      </c>
      <c r="H647" s="84" t="inlineStr">
        <is>
          <t>HDFC Securities</t>
        </is>
      </c>
      <c r="I647" s="84" t="inlineStr">
        <is>
          <t>HDFC 0094</t>
        </is>
      </c>
      <c r="J647" s="84" t="inlineStr">
        <is>
          <t>HSL</t>
        </is>
      </c>
      <c r="K647" s="84" t="inlineStr">
        <is>
          <t>NET PI TO HSL SEC A/C 523686-00602340029434</t>
        </is>
      </c>
      <c r="L647" s="84" t="inlineStr">
        <is>
          <t>HDFC Bank</t>
        </is>
      </c>
      <c r="M647" s="84" t="inlineStr"/>
    </row>
    <row r="648">
      <c r="A648" s="83" t="n">
        <v>45617</v>
      </c>
      <c r="B648" s="83" t="n">
        <v>45617</v>
      </c>
      <c r="C648" s="84" t="n">
        <v>725.16</v>
      </c>
      <c r="D648" s="84" t="n">
        <v>0</v>
      </c>
      <c r="E648" s="84" t="inlineStr"/>
      <c r="F648" s="84" t="inlineStr">
        <is>
          <t>HDFC Securities - Buy</t>
        </is>
      </c>
      <c r="G648" s="32" t="n">
        <v>0.97</v>
      </c>
      <c r="H648" s="84" t="inlineStr">
        <is>
          <t>HDFC Securities</t>
        </is>
      </c>
      <c r="I648" s="84" t="inlineStr">
        <is>
          <t>HDFC 0094</t>
        </is>
      </c>
      <c r="J648" s="84" t="inlineStr">
        <is>
          <t>HSL</t>
        </is>
      </c>
      <c r="K648" s="84" t="inlineStr">
        <is>
          <t>NET PI TO HSL SEC A/C 523686-00602340029434</t>
        </is>
      </c>
      <c r="L648" s="84" t="inlineStr">
        <is>
          <t>HDFC Bank</t>
        </is>
      </c>
      <c r="M648" s="84" t="inlineStr"/>
    </row>
    <row r="649">
      <c r="A649" s="83" t="n">
        <v>45618</v>
      </c>
      <c r="B649" s="83" t="n">
        <v>45618</v>
      </c>
      <c r="C649" s="84" t="n">
        <v>361.42</v>
      </c>
      <c r="D649" s="84" t="n">
        <v>0</v>
      </c>
      <c r="E649" s="84" t="inlineStr"/>
      <c r="F649" s="84" t="inlineStr">
        <is>
          <t>HDFC Securities - Buy</t>
        </is>
      </c>
      <c r="G649" s="32" t="n">
        <v>0.97</v>
      </c>
      <c r="H649" s="84" t="inlineStr">
        <is>
          <t>HDFC Securities</t>
        </is>
      </c>
      <c r="I649" s="84" t="inlineStr">
        <is>
          <t>HDFC 0094</t>
        </is>
      </c>
      <c r="J649" s="84" t="inlineStr">
        <is>
          <t>HSL</t>
        </is>
      </c>
      <c r="K649" s="84" t="inlineStr">
        <is>
          <t>NET PI TO HSL SEC A/C 523686-00602340029434</t>
        </is>
      </c>
      <c r="L649" s="84" t="inlineStr">
        <is>
          <t>HDFC Bank</t>
        </is>
      </c>
      <c r="M649" s="84" t="inlineStr"/>
    </row>
    <row r="650">
      <c r="A650" s="42" t="n">
        <v>45618</v>
      </c>
      <c r="B650" s="42" t="n">
        <v>45618</v>
      </c>
      <c r="C650" s="43" t="n">
        <v>0</v>
      </c>
      <c r="D650" s="43" t="n">
        <v>206.25</v>
      </c>
      <c r="E650" s="43" t="inlineStr"/>
      <c r="F650" s="43" t="inlineStr">
        <is>
          <t>Dividend Income</t>
        </is>
      </c>
      <c r="G650" s="32" t="n">
        <v>0.88</v>
      </c>
      <c r="H650" s="43" t="inlineStr">
        <is>
          <t>Dividend Income</t>
        </is>
      </c>
      <c r="I650" s="43" t="inlineStr">
        <is>
          <t>HDFC 0094</t>
        </is>
      </c>
      <c r="J650" s="43" t="inlineStr">
        <is>
          <t>Dividend Income</t>
        </is>
      </c>
      <c r="K650" s="43" t="inlineStr">
        <is>
          <t>ACH C- DABUR INDIA LIMITED-9118516</t>
        </is>
      </c>
      <c r="L650" s="43" t="inlineStr">
        <is>
          <t>HDFC Bank</t>
        </is>
      </c>
      <c r="M650" s="43" t="inlineStr"/>
    </row>
    <row r="651">
      <c r="A651" s="64" t="n">
        <v>45618</v>
      </c>
      <c r="B651" s="64" t="n">
        <v>45618</v>
      </c>
      <c r="C651" s="65" t="n">
        <v>15773</v>
      </c>
      <c r="D651" s="65" t="n">
        <v>0</v>
      </c>
      <c r="E651" s="65" t="inlineStr"/>
      <c r="F651" s="65" t="inlineStr">
        <is>
          <t>SIP</t>
        </is>
      </c>
      <c r="G651" s="32" t="n">
        <v>0.9</v>
      </c>
      <c r="H651" s="65" t="inlineStr">
        <is>
          <t>SIP</t>
        </is>
      </c>
      <c r="I651" s="65" t="inlineStr">
        <is>
          <t>HDFC 0094</t>
        </is>
      </c>
      <c r="J651" s="65" t="inlineStr">
        <is>
          <t>Electricity Bill</t>
        </is>
      </c>
      <c r="K651" s="65" t="inlineStr">
        <is>
          <t>YHDF2482557867/BILLDKTHECALCUTTAELE</t>
        </is>
      </c>
      <c r="L651" s="65" t="inlineStr">
        <is>
          <t>HDFC Bank</t>
        </is>
      </c>
      <c r="M651" s="65" t="inlineStr"/>
    </row>
    <row r="652">
      <c r="A652" s="30" t="n">
        <v>45621</v>
      </c>
      <c r="B652" s="30" t="n">
        <v>45621</v>
      </c>
      <c r="C652" s="31" t="n">
        <v>0</v>
      </c>
      <c r="D652" s="31" t="n">
        <v>16228.32</v>
      </c>
      <c r="E652" s="31" t="inlineStr"/>
      <c r="F652" s="31" t="inlineStr">
        <is>
          <t>HDFC Securities - Settlement</t>
        </is>
      </c>
      <c r="G652" s="32" t="n">
        <v>0.93</v>
      </c>
      <c r="H652" s="31" t="inlineStr">
        <is>
          <t>HDFC Securities</t>
        </is>
      </c>
      <c r="I652" s="31" t="inlineStr">
        <is>
          <t>HDFC 0094</t>
        </is>
      </c>
      <c r="J652" s="31" t="inlineStr">
        <is>
          <t>HDFC Sec</t>
        </is>
      </c>
      <c r="K652" s="31" t="inlineStr">
        <is>
          <t>FT- 584504407-50200085415108 - HDFC SECURITIES LTD-CLIENT DSCNB A/C -</t>
        </is>
      </c>
      <c r="L652" s="31" t="inlineStr">
        <is>
          <t>HDFC Bank</t>
        </is>
      </c>
      <c r="M652" s="31" t="inlineStr"/>
    </row>
    <row r="653">
      <c r="A653" s="30" t="n">
        <v>45621</v>
      </c>
      <c r="B653" s="30" t="n">
        <v>45621</v>
      </c>
      <c r="C653" s="31" t="n">
        <v>0</v>
      </c>
      <c r="D653" s="31" t="n">
        <v>54843.1</v>
      </c>
      <c r="E653" s="31" t="inlineStr"/>
      <c r="F653" s="31" t="inlineStr">
        <is>
          <t>HDFC Securities - Settlement</t>
        </is>
      </c>
      <c r="G653" s="32" t="n">
        <v>0.93</v>
      </c>
      <c r="H653" s="31" t="inlineStr">
        <is>
          <t>HDFC Securities</t>
        </is>
      </c>
      <c r="I653" s="31" t="inlineStr">
        <is>
          <t>HDFC 0094</t>
        </is>
      </c>
      <c r="J653" s="31" t="inlineStr">
        <is>
          <t>HDFC Sec</t>
        </is>
      </c>
      <c r="K653" s="31" t="inlineStr">
        <is>
          <t>FT- 584540072-50200085415108 - HDFC SECURITIES LTD-CLIENT DSCNB A/C -</t>
        </is>
      </c>
      <c r="L653" s="31" t="inlineStr">
        <is>
          <t>HDFC Bank</t>
        </is>
      </c>
      <c r="M653" s="31" t="inlineStr"/>
    </row>
    <row r="654">
      <c r="A654" s="64" t="n">
        <v>45621</v>
      </c>
      <c r="B654" s="64" t="n">
        <v>45621</v>
      </c>
      <c r="C654" s="65" t="n">
        <v>10000</v>
      </c>
      <c r="D654" s="65" t="n">
        <v>0</v>
      </c>
      <c r="E654" s="65" t="inlineStr"/>
      <c r="F654" s="65" t="inlineStr">
        <is>
          <t>MF Investment</t>
        </is>
      </c>
      <c r="G654" s="32" t="n">
        <v>0.92</v>
      </c>
      <c r="H654" s="65" t="inlineStr">
        <is>
          <t>Mutual_Fund_Investments</t>
        </is>
      </c>
      <c r="I654" s="65" t="inlineStr">
        <is>
          <t>HDFC 0094</t>
        </is>
      </c>
      <c r="J654" s="65" t="inlineStr">
        <is>
          <t>SIP  - 10000</t>
        </is>
      </c>
      <c r="K654" s="65" t="inlineStr">
        <is>
          <t>ACH D- INDIAN CLEARING CORP-P25847643X05</t>
        </is>
      </c>
      <c r="L654" s="65" t="inlineStr">
        <is>
          <t>HDFC Bank</t>
        </is>
      </c>
      <c r="M654" s="65" t="inlineStr"/>
    </row>
    <row r="655">
      <c r="A655" s="42" t="n">
        <v>45621</v>
      </c>
      <c r="B655" s="42" t="n">
        <v>45621</v>
      </c>
      <c r="C655" s="43" t="n">
        <v>0</v>
      </c>
      <c r="D655" s="43" t="n">
        <v>438.75</v>
      </c>
      <c r="E655" s="43" t="inlineStr"/>
      <c r="F655" s="43" t="inlineStr">
        <is>
          <t>Dividend Income</t>
        </is>
      </c>
      <c r="G655" s="32" t="n">
        <v>0.88</v>
      </c>
      <c r="H655" s="43" t="inlineStr">
        <is>
          <t>Dividend Income</t>
        </is>
      </c>
      <c r="I655" s="43" t="inlineStr">
        <is>
          <t>HDFC 0094</t>
        </is>
      </c>
      <c r="J655" s="43" t="inlineStr">
        <is>
          <t>Dividend Income</t>
        </is>
      </c>
      <c r="K655" s="43" t="inlineStr">
        <is>
          <t>ACH C- CONCOR 2ND INT DIV 2-CN1511240039</t>
        </is>
      </c>
      <c r="L655" s="43" t="inlineStr">
        <is>
          <t>HDFC Bank</t>
        </is>
      </c>
      <c r="M655" s="43" t="inlineStr"/>
    </row>
    <row r="656">
      <c r="A656" s="83" t="n">
        <v>45621</v>
      </c>
      <c r="B656" s="83" t="n">
        <v>45621</v>
      </c>
      <c r="C656" s="84" t="n">
        <v>1084.26</v>
      </c>
      <c r="D656" s="84" t="n">
        <v>0</v>
      </c>
      <c r="E656" s="84" t="inlineStr"/>
      <c r="F656" s="84" t="inlineStr">
        <is>
          <t>HDFC Securities - Buy</t>
        </is>
      </c>
      <c r="G656" s="32" t="n">
        <v>0.97</v>
      </c>
      <c r="H656" s="84" t="inlineStr">
        <is>
          <t>HDFC Securities</t>
        </is>
      </c>
      <c r="I656" s="84" t="inlineStr">
        <is>
          <t>HDFC 0094</t>
        </is>
      </c>
      <c r="J656" s="84" t="inlineStr">
        <is>
          <t>HSL</t>
        </is>
      </c>
      <c r="K656" s="84" t="inlineStr">
        <is>
          <t>NET PI TO HSL SEC A/C 523686-00602340029434</t>
        </is>
      </c>
      <c r="L656" s="84" t="inlineStr">
        <is>
          <t>HDFC Bank</t>
        </is>
      </c>
      <c r="M656" s="84" t="inlineStr"/>
    </row>
    <row r="657">
      <c r="A657" s="30" t="n">
        <v>45622</v>
      </c>
      <c r="B657" s="30" t="n">
        <v>45622</v>
      </c>
      <c r="C657" s="31" t="n">
        <v>0</v>
      </c>
      <c r="D657" s="31" t="n">
        <v>21888.96</v>
      </c>
      <c r="E657" s="31" t="inlineStr"/>
      <c r="F657" s="31" t="inlineStr">
        <is>
          <t>HDFC Securities - Settlement</t>
        </is>
      </c>
      <c r="G657" s="32" t="n">
        <v>0.93</v>
      </c>
      <c r="H657" s="31" t="inlineStr">
        <is>
          <t>HDFC Securities</t>
        </is>
      </c>
      <c r="I657" s="31" t="inlineStr">
        <is>
          <t>HDFC 0094</t>
        </is>
      </c>
      <c r="J657" s="31" t="inlineStr">
        <is>
          <t>HDFC Sec</t>
        </is>
      </c>
      <c r="K657" s="31" t="inlineStr">
        <is>
          <t>FT- 584941938-50200085415108 - HDFC SECURITIES LTD-CLIENT DSCNB A/C -</t>
        </is>
      </c>
      <c r="L657" s="31" t="inlineStr">
        <is>
          <t>HDFC Bank</t>
        </is>
      </c>
      <c r="M657" s="31" t="inlineStr"/>
    </row>
    <row r="658">
      <c r="A658" s="42" t="n">
        <v>45622</v>
      </c>
      <c r="B658" s="42" t="n">
        <v>45622</v>
      </c>
      <c r="C658" s="43" t="n">
        <v>0</v>
      </c>
      <c r="D658" s="43" t="n">
        <v>240</v>
      </c>
      <c r="E658" s="43" t="inlineStr"/>
      <c r="F658" s="43" t="inlineStr">
        <is>
          <t>Dividend Income</t>
        </is>
      </c>
      <c r="G658" s="32" t="n">
        <v>0.88</v>
      </c>
      <c r="H658" s="43" t="inlineStr">
        <is>
          <t>Dividend Income</t>
        </is>
      </c>
      <c r="I658" s="43" t="inlineStr">
        <is>
          <t>HDFC 0094</t>
        </is>
      </c>
      <c r="J658" s="43" t="inlineStr">
        <is>
          <t>Dividend Income</t>
        </is>
      </c>
      <c r="K658" s="43" t="inlineStr">
        <is>
          <t>ACH C- IRFC LTD-IR1511240142832</t>
        </is>
      </c>
      <c r="L658" s="43" t="inlineStr">
        <is>
          <t>HDFC Bank</t>
        </is>
      </c>
      <c r="M658" s="43" t="inlineStr"/>
    </row>
    <row r="659">
      <c r="A659" s="83" t="n">
        <v>45622</v>
      </c>
      <c r="B659" s="83" t="n">
        <v>45622</v>
      </c>
      <c r="C659" s="84" t="n">
        <v>367.2</v>
      </c>
      <c r="D659" s="84" t="n">
        <v>0</v>
      </c>
      <c r="E659" s="84" t="inlineStr"/>
      <c r="F659" s="84" t="inlineStr">
        <is>
          <t>HDFC Securities - Buy</t>
        </is>
      </c>
      <c r="G659" s="32" t="n">
        <v>0.97</v>
      </c>
      <c r="H659" s="84" t="inlineStr">
        <is>
          <t>HDFC Securities</t>
        </is>
      </c>
      <c r="I659" s="84" t="inlineStr">
        <is>
          <t>HDFC 0094</t>
        </is>
      </c>
      <c r="J659" s="84" t="inlineStr">
        <is>
          <t>HSL</t>
        </is>
      </c>
      <c r="K659" s="84" t="inlineStr">
        <is>
          <t>NET PI TO HSL SEC A/C 523686-00602340029434</t>
        </is>
      </c>
      <c r="L659" s="84" t="inlineStr">
        <is>
          <t>HDFC Bank</t>
        </is>
      </c>
      <c r="M659" s="84" t="inlineStr"/>
    </row>
    <row r="660">
      <c r="A660" s="48" t="n">
        <v>45623</v>
      </c>
      <c r="B660" s="48" t="n">
        <v>45623</v>
      </c>
      <c r="C660" s="49" t="n">
        <v>2280</v>
      </c>
      <c r="D660" s="49" t="n">
        <v>0</v>
      </c>
      <c r="E660" s="49" t="inlineStr">
        <is>
          <t>Shiv Shakti Saundarya</t>
        </is>
      </c>
      <c r="F660" s="49" t="inlineStr">
        <is>
          <t>UPI Payment</t>
        </is>
      </c>
      <c r="G660" s="50" t="n">
        <v>0.55</v>
      </c>
      <c r="H660" s="49" t="inlineStr">
        <is>
          <t>Personal</t>
        </is>
      </c>
      <c r="I660" s="49" t="inlineStr">
        <is>
          <t>AXIS 7042</t>
        </is>
      </c>
      <c r="J660" s="49" t="inlineStr">
        <is>
          <t>UPI</t>
        </is>
      </c>
      <c r="K660" s="49" t="inlineStr">
        <is>
          <t>UPI/P2M/469858954034/Shiv Shakti Saundarya/jewell/Yes Bank Ltd</t>
        </is>
      </c>
      <c r="L660" s="49" t="inlineStr">
        <is>
          <t>Axis Bank</t>
        </is>
      </c>
      <c r="M660" s="49" t="inlineStr"/>
    </row>
    <row r="661">
      <c r="A661" s="83" t="n">
        <v>45623</v>
      </c>
      <c r="B661" s="83" t="n">
        <v>45623</v>
      </c>
      <c r="C661" s="84" t="n">
        <v>375</v>
      </c>
      <c r="D661" s="84" t="n">
        <v>0</v>
      </c>
      <c r="E661" s="84" t="inlineStr"/>
      <c r="F661" s="84" t="inlineStr">
        <is>
          <t>HDFC Securities - Buy</t>
        </is>
      </c>
      <c r="G661" s="32" t="n">
        <v>0.97</v>
      </c>
      <c r="H661" s="84" t="inlineStr">
        <is>
          <t>HDFC Securities</t>
        </is>
      </c>
      <c r="I661" s="84" t="inlineStr">
        <is>
          <t>HDFC 0094</t>
        </is>
      </c>
      <c r="J661" s="84" t="inlineStr">
        <is>
          <t>HSL</t>
        </is>
      </c>
      <c r="K661" s="84" t="inlineStr">
        <is>
          <t>NET PI TO HSL SEC A/C 523686-00602340029434</t>
        </is>
      </c>
      <c r="L661" s="84" t="inlineStr">
        <is>
          <t>HDFC Bank</t>
        </is>
      </c>
      <c r="M661" s="84" t="inlineStr"/>
    </row>
    <row r="662">
      <c r="A662" s="30" t="n">
        <v>45623</v>
      </c>
      <c r="B662" s="30" t="n">
        <v>45623</v>
      </c>
      <c r="C662" s="31" t="n">
        <v>0</v>
      </c>
      <c r="D662" s="31" t="n">
        <v>31742.95</v>
      </c>
      <c r="E662" s="31" t="inlineStr"/>
      <c r="F662" s="31" t="inlineStr">
        <is>
          <t>HDFC Securities - Settlement</t>
        </is>
      </c>
      <c r="G662" s="32" t="n">
        <v>0.93</v>
      </c>
      <c r="H662" s="31" t="inlineStr">
        <is>
          <t>HDFC Securities</t>
        </is>
      </c>
      <c r="I662" s="31" t="inlineStr">
        <is>
          <t>HDFC 0094</t>
        </is>
      </c>
      <c r="J662" s="31" t="inlineStr">
        <is>
          <t>HDFC Sec</t>
        </is>
      </c>
      <c r="K662" s="31" t="inlineStr">
        <is>
          <t>FT- 585351267-50200085415108 - HDFC SECURITIES LTD-CLIENT DSCNB A/C -</t>
        </is>
      </c>
      <c r="L662" s="31" t="inlineStr">
        <is>
          <t>HDFC Bank</t>
        </is>
      </c>
      <c r="M662" s="31" t="inlineStr"/>
    </row>
    <row r="663">
      <c r="A663" s="116" t="n">
        <v>45624</v>
      </c>
      <c r="B663" s="116" t="n">
        <v>45624</v>
      </c>
      <c r="C663" s="117" t="n">
        <v>0</v>
      </c>
      <c r="D663" s="117" t="n">
        <v>84.56999999999999</v>
      </c>
      <c r="E663" s="117" t="inlineStr"/>
      <c r="F663" s="117" t="inlineStr">
        <is>
          <t>Received - Sunita Gupta</t>
        </is>
      </c>
      <c r="G663" s="32" t="n">
        <v>0.88</v>
      </c>
      <c r="H663" s="117" t="inlineStr">
        <is>
          <t>Sunita Gupta</t>
        </is>
      </c>
      <c r="I663" s="117" t="inlineStr">
        <is>
          <t>HDFC 0094</t>
        </is>
      </c>
      <c r="J663" s="117" t="inlineStr">
        <is>
          <t>AXIS ASSET MANAGEMENT COMPANY ?</t>
        </is>
      </c>
      <c r="K663" s="117" t="inlineStr">
        <is>
          <t>NEFT CR-UTIB0000004-AXIS ASSET MANAGEMENT COMPANY LTD-SUNITA GUPTA-AXISP00576026071</t>
        </is>
      </c>
      <c r="L663" s="117" t="inlineStr">
        <is>
          <t>HDFC Bank</t>
        </is>
      </c>
      <c r="M663" s="117" t="inlineStr"/>
    </row>
    <row r="664">
      <c r="A664" s="30" t="n">
        <v>45624</v>
      </c>
      <c r="B664" s="30" t="n">
        <v>45624</v>
      </c>
      <c r="C664" s="31" t="n">
        <v>0</v>
      </c>
      <c r="D664" s="31" t="n">
        <v>7204.86</v>
      </c>
      <c r="E664" s="31" t="inlineStr"/>
      <c r="F664" s="31" t="inlineStr">
        <is>
          <t>HDFC Securities - Settlement</t>
        </is>
      </c>
      <c r="G664" s="32" t="n">
        <v>0.93</v>
      </c>
      <c r="H664" s="31" t="inlineStr">
        <is>
          <t>HDFC Securities</t>
        </is>
      </c>
      <c r="I664" s="31" t="inlineStr">
        <is>
          <t>HDFC 0094</t>
        </is>
      </c>
      <c r="J664" s="31" t="inlineStr">
        <is>
          <t>HDFC Sec</t>
        </is>
      </c>
      <c r="K664" s="31" t="inlineStr">
        <is>
          <t>FT- 585750863-50200085415108 - HDFC SECURITIES LTD-CLIENT DSCNB A/C -</t>
        </is>
      </c>
      <c r="L664" s="31" t="inlineStr">
        <is>
          <t>HDFC Bank</t>
        </is>
      </c>
      <c r="M664" s="31" t="inlineStr"/>
    </row>
    <row r="665">
      <c r="A665" s="83" t="n">
        <v>45624</v>
      </c>
      <c r="B665" s="83" t="n">
        <v>45624</v>
      </c>
      <c r="C665" s="84" t="n">
        <v>355.63</v>
      </c>
      <c r="D665" s="84" t="n">
        <v>0</v>
      </c>
      <c r="E665" s="84" t="inlineStr"/>
      <c r="F665" s="84" t="inlineStr">
        <is>
          <t>HDFC Securities - Buy</t>
        </is>
      </c>
      <c r="G665" s="32" t="n">
        <v>0.97</v>
      </c>
      <c r="H665" s="84" t="inlineStr">
        <is>
          <t>HDFC Securities</t>
        </is>
      </c>
      <c r="I665" s="84" t="inlineStr">
        <is>
          <t>HDFC 0094</t>
        </is>
      </c>
      <c r="J665" s="84" t="inlineStr">
        <is>
          <t>HSL</t>
        </is>
      </c>
      <c r="K665" s="84" t="inlineStr">
        <is>
          <t>NET PI TO HSL SEC A/C 523686-00602340029434</t>
        </is>
      </c>
      <c r="L665" s="84" t="inlineStr">
        <is>
          <t>HDFC Bank</t>
        </is>
      </c>
      <c r="M665" s="84" t="inlineStr"/>
    </row>
    <row r="666">
      <c r="A666" s="83" t="n">
        <v>45625</v>
      </c>
      <c r="B666" s="83" t="n">
        <v>45625</v>
      </c>
      <c r="C666" s="84" t="n">
        <v>357.07</v>
      </c>
      <c r="D666" s="84" t="n">
        <v>0</v>
      </c>
      <c r="E666" s="84" t="inlineStr"/>
      <c r="F666" s="84" t="inlineStr">
        <is>
          <t>HDFC Securities - Buy</t>
        </is>
      </c>
      <c r="G666" s="32" t="n">
        <v>0.97</v>
      </c>
      <c r="H666" s="84" t="inlineStr">
        <is>
          <t>HDFC Securities</t>
        </is>
      </c>
      <c r="I666" s="84" t="inlineStr">
        <is>
          <t>HDFC 0094</t>
        </is>
      </c>
      <c r="J666" s="84" t="inlineStr">
        <is>
          <t>HSL</t>
        </is>
      </c>
      <c r="K666" s="84" t="inlineStr">
        <is>
          <t>NET PI TO HSL SEC A/C 523686-00602340029434</t>
        </is>
      </c>
      <c r="L666" s="84" t="inlineStr">
        <is>
          <t>HDFC Bank</t>
        </is>
      </c>
      <c r="M666" s="84" t="inlineStr"/>
    </row>
    <row r="667">
      <c r="A667" s="83" t="n">
        <v>45625</v>
      </c>
      <c r="B667" s="83" t="n">
        <v>45625</v>
      </c>
      <c r="C667" s="84" t="n">
        <v>3154.24</v>
      </c>
      <c r="D667" s="84" t="n">
        <v>0</v>
      </c>
      <c r="E667" s="84" t="inlineStr"/>
      <c r="F667" s="84" t="inlineStr">
        <is>
          <t>HDFC Securities - Buy</t>
        </is>
      </c>
      <c r="G667" s="32" t="n">
        <v>0.97</v>
      </c>
      <c r="H667" s="84" t="inlineStr">
        <is>
          <t>HDFC Securities</t>
        </is>
      </c>
      <c r="I667" s="84" t="inlineStr">
        <is>
          <t>HDFC 0094</t>
        </is>
      </c>
      <c r="J667" s="84" t="inlineStr">
        <is>
          <t>HSL</t>
        </is>
      </c>
      <c r="K667" s="84" t="inlineStr">
        <is>
          <t>NET PI TO HSL SEC A/C 523686-00602340029434</t>
        </is>
      </c>
      <c r="L667" s="84" t="inlineStr">
        <is>
          <t>HDFC Bank</t>
        </is>
      </c>
      <c r="M667" s="84" t="inlineStr"/>
    </row>
    <row r="668">
      <c r="A668" s="83" t="n">
        <v>45626</v>
      </c>
      <c r="B668" s="83" t="n">
        <v>45626</v>
      </c>
      <c r="C668" s="84" t="n">
        <v>876.99</v>
      </c>
      <c r="D668" s="84" t="n">
        <v>0</v>
      </c>
      <c r="E668" s="84" t="inlineStr"/>
      <c r="F668" s="84" t="inlineStr">
        <is>
          <t>HDFC Securities - Buy</t>
        </is>
      </c>
      <c r="G668" s="32" t="n">
        <v>0.97</v>
      </c>
      <c r="H668" s="84" t="inlineStr">
        <is>
          <t>HDFC Securities</t>
        </is>
      </c>
      <c r="I668" s="84" t="inlineStr">
        <is>
          <t>HDFC 0094</t>
        </is>
      </c>
      <c r="J668" s="84" t="inlineStr">
        <is>
          <t>HSL</t>
        </is>
      </c>
      <c r="K668" s="84" t="inlineStr">
        <is>
          <t>NET PI TO HSL SEC A/C 523686-00602340029434</t>
        </is>
      </c>
      <c r="L668" s="84" t="inlineStr">
        <is>
          <t>HDFC Bank</t>
        </is>
      </c>
      <c r="M668" s="84" t="inlineStr"/>
    </row>
    <row r="669">
      <c r="A669" s="30" t="n">
        <v>45627</v>
      </c>
      <c r="B669" s="30" t="n">
        <v>45627</v>
      </c>
      <c r="C669" s="31" t="n">
        <v>20000</v>
      </c>
      <c r="D669" s="31" t="n">
        <v>0</v>
      </c>
      <c r="E669" s="31" t="inlineStr"/>
      <c r="F669" s="31" t="inlineStr">
        <is>
          <t>Cash Withdrawal</t>
        </is>
      </c>
      <c r="G669" s="32" t="n">
        <v>0.92</v>
      </c>
      <c r="H669" s="31" t="inlineStr">
        <is>
          <t>Cash</t>
        </is>
      </c>
      <c r="I669" s="31" t="inlineStr">
        <is>
          <t>HDFC 0094</t>
        </is>
      </c>
      <c r="J669" s="31" t="inlineStr">
        <is>
          <t>ATM Withdrawal</t>
        </is>
      </c>
      <c r="K669" s="31" t="inlineStr">
        <is>
          <t>ATW-498792XXXXXX0500-S1ANRS37-KOTA</t>
        </is>
      </c>
      <c r="L669" s="31" t="inlineStr">
        <is>
          <t>HDFC Bank</t>
        </is>
      </c>
      <c r="M669" s="31" t="inlineStr"/>
    </row>
    <row r="670">
      <c r="A670" s="83" t="n">
        <v>45628</v>
      </c>
      <c r="B670" s="83" t="n">
        <v>45628</v>
      </c>
      <c r="C670" s="84" t="n">
        <v>1070.28</v>
      </c>
      <c r="D670" s="84" t="n">
        <v>0</v>
      </c>
      <c r="E670" s="84" t="inlineStr"/>
      <c r="F670" s="84" t="inlineStr">
        <is>
          <t>HDFC Securities - Buy</t>
        </is>
      </c>
      <c r="G670" s="32" t="n">
        <v>0.97</v>
      </c>
      <c r="H670" s="84" t="inlineStr">
        <is>
          <t>HDFC Securities</t>
        </is>
      </c>
      <c r="I670" s="84" t="inlineStr">
        <is>
          <t>HDFC 0094</t>
        </is>
      </c>
      <c r="J670" s="84" t="inlineStr">
        <is>
          <t>HSL</t>
        </is>
      </c>
      <c r="K670" s="84" t="inlineStr">
        <is>
          <t>NET PI TO HSL SEC A/C 523686-00602340029434</t>
        </is>
      </c>
      <c r="L670" s="84" t="inlineStr">
        <is>
          <t>HDFC Bank</t>
        </is>
      </c>
      <c r="M670" s="84" t="inlineStr"/>
    </row>
    <row r="671">
      <c r="A671" s="30" t="n">
        <v>45629</v>
      </c>
      <c r="B671" s="30" t="n">
        <v>45629</v>
      </c>
      <c r="C671" s="31" t="n">
        <v>0</v>
      </c>
      <c r="D671" s="31" t="n">
        <v>6899.68</v>
      </c>
      <c r="E671" s="31" t="inlineStr"/>
      <c r="F671" s="31" t="inlineStr">
        <is>
          <t>HDFC Securities - Settlement</t>
        </is>
      </c>
      <c r="G671" s="32" t="n">
        <v>0.93</v>
      </c>
      <c r="H671" s="31" t="inlineStr">
        <is>
          <t>HDFC Securities</t>
        </is>
      </c>
      <c r="I671" s="31" t="inlineStr">
        <is>
          <t>HDFC 0094</t>
        </is>
      </c>
      <c r="J671" s="31" t="inlineStr">
        <is>
          <t>HDFC Sec</t>
        </is>
      </c>
      <c r="K671" s="31" t="inlineStr">
        <is>
          <t>FT- 587120347-50200085415108 - HDFC SECURITIES LTD-CLIENT DSCNB A/C -</t>
        </is>
      </c>
      <c r="L671" s="31" t="inlineStr">
        <is>
          <t>HDFC Bank</t>
        </is>
      </c>
      <c r="M671" s="31" t="inlineStr"/>
    </row>
    <row r="672">
      <c r="A672" s="83" t="n">
        <v>45629</v>
      </c>
      <c r="B672" s="83" t="n">
        <v>45629</v>
      </c>
      <c r="C672" s="84" t="n">
        <v>3144.23</v>
      </c>
      <c r="D672" s="84" t="n">
        <v>0</v>
      </c>
      <c r="E672" s="84" t="inlineStr"/>
      <c r="F672" s="84" t="inlineStr">
        <is>
          <t>HDFC Securities - Buy</t>
        </is>
      </c>
      <c r="G672" s="32" t="n">
        <v>0.97</v>
      </c>
      <c r="H672" s="84" t="inlineStr">
        <is>
          <t>HDFC Securities</t>
        </is>
      </c>
      <c r="I672" s="84" t="inlineStr">
        <is>
          <t>HDFC 0094</t>
        </is>
      </c>
      <c r="J672" s="84" t="inlineStr">
        <is>
          <t>HSL</t>
        </is>
      </c>
      <c r="K672" s="84" t="inlineStr">
        <is>
          <t>NET PI TO HSL SEC A/C 523686-00602340029434</t>
        </is>
      </c>
      <c r="L672" s="84" t="inlineStr">
        <is>
          <t>HDFC Bank</t>
        </is>
      </c>
      <c r="M672" s="84" t="inlineStr"/>
    </row>
    <row r="673">
      <c r="A673" s="83" t="n">
        <v>45629</v>
      </c>
      <c r="B673" s="83" t="n">
        <v>45629</v>
      </c>
      <c r="C673" s="84" t="n">
        <v>356.76</v>
      </c>
      <c r="D673" s="84" t="n">
        <v>0</v>
      </c>
      <c r="E673" s="84" t="inlineStr"/>
      <c r="F673" s="84" t="inlineStr">
        <is>
          <t>HDFC Securities - Buy</t>
        </is>
      </c>
      <c r="G673" s="32" t="n">
        <v>0.97</v>
      </c>
      <c r="H673" s="84" t="inlineStr">
        <is>
          <t>HDFC Securities</t>
        </is>
      </c>
      <c r="I673" s="84" t="inlineStr">
        <is>
          <t>HDFC 0094</t>
        </is>
      </c>
      <c r="J673" s="84" t="inlineStr">
        <is>
          <t>HSL</t>
        </is>
      </c>
      <c r="K673" s="84" t="inlineStr">
        <is>
          <t>NET PI TO HSL SEC A/C 523686-00602340029434</t>
        </is>
      </c>
      <c r="L673" s="84" t="inlineStr">
        <is>
          <t>HDFC Bank</t>
        </is>
      </c>
      <c r="M673" s="84" t="inlineStr"/>
    </row>
    <row r="674">
      <c r="A674" s="30" t="n">
        <v>45630</v>
      </c>
      <c r="B674" s="30" t="n">
        <v>45630</v>
      </c>
      <c r="C674" s="31" t="n">
        <v>0</v>
      </c>
      <c r="D674" s="31" t="n">
        <v>62818.16</v>
      </c>
      <c r="E674" s="31" t="inlineStr"/>
      <c r="F674" s="31" t="inlineStr">
        <is>
          <t>HDFC Securities - Settlement</t>
        </is>
      </c>
      <c r="G674" s="32" t="n">
        <v>0.93</v>
      </c>
      <c r="H674" s="31" t="inlineStr">
        <is>
          <t>HDFC Securities</t>
        </is>
      </c>
      <c r="I674" s="31" t="inlineStr">
        <is>
          <t>HDFC 0094</t>
        </is>
      </c>
      <c r="J674" s="31" t="inlineStr">
        <is>
          <t>HDFC Sec</t>
        </is>
      </c>
      <c r="K674" s="31" t="inlineStr">
        <is>
          <t>FT- 587569592-50200085415108 - HDFC SECURITIES LTD-CLIENT DSCNB A/C -</t>
        </is>
      </c>
      <c r="L674" s="31" t="inlineStr">
        <is>
          <t>HDFC Bank</t>
        </is>
      </c>
      <c r="M674" s="31" t="inlineStr"/>
    </row>
    <row r="675">
      <c r="A675" s="83" t="n">
        <v>45630</v>
      </c>
      <c r="B675" s="83" t="n">
        <v>45630</v>
      </c>
      <c r="C675" s="84" t="n">
        <v>358.1</v>
      </c>
      <c r="D675" s="84" t="n">
        <v>0</v>
      </c>
      <c r="E675" s="84" t="inlineStr"/>
      <c r="F675" s="84" t="inlineStr">
        <is>
          <t>HDFC Securities - Buy</t>
        </is>
      </c>
      <c r="G675" s="32" t="n">
        <v>0.97</v>
      </c>
      <c r="H675" s="84" t="inlineStr">
        <is>
          <t>HDFC Securities</t>
        </is>
      </c>
      <c r="I675" s="84" t="inlineStr">
        <is>
          <t>HDFC 0094</t>
        </is>
      </c>
      <c r="J675" s="84" t="inlineStr">
        <is>
          <t>HSL</t>
        </is>
      </c>
      <c r="K675" s="84" t="inlineStr">
        <is>
          <t>NET PI TO HSL SEC A/C 523686-00602340029434</t>
        </is>
      </c>
      <c r="L675" s="84" t="inlineStr">
        <is>
          <t>HDFC Bank</t>
        </is>
      </c>
      <c r="M675" s="84" t="inlineStr"/>
    </row>
    <row r="676">
      <c r="A676" s="83" t="n">
        <v>45630</v>
      </c>
      <c r="B676" s="83" t="n">
        <v>45630</v>
      </c>
      <c r="C676" s="84" t="n">
        <v>53239.43</v>
      </c>
      <c r="D676" s="84" t="n">
        <v>0</v>
      </c>
      <c r="E676" s="84" t="inlineStr"/>
      <c r="F676" s="84" t="inlineStr">
        <is>
          <t>HDFC Securities - Buy</t>
        </is>
      </c>
      <c r="G676" s="32" t="n">
        <v>0.97</v>
      </c>
      <c r="H676" s="84" t="inlineStr">
        <is>
          <t>HDFC Securities</t>
        </is>
      </c>
      <c r="I676" s="84" t="inlineStr">
        <is>
          <t>HDFC 0094</t>
        </is>
      </c>
      <c r="J676" s="84" t="inlineStr">
        <is>
          <t>HSL</t>
        </is>
      </c>
      <c r="K676" s="84" t="inlineStr">
        <is>
          <t>NET PI TO HSL SEC A/C 523686-00602340029434</t>
        </is>
      </c>
      <c r="L676" s="84" t="inlineStr">
        <is>
          <t>HDFC Bank</t>
        </is>
      </c>
      <c r="M676" s="84" t="inlineStr"/>
    </row>
    <row r="677">
      <c r="A677" s="42" t="n">
        <v>45630</v>
      </c>
      <c r="B677" s="42" t="n">
        <v>45630</v>
      </c>
      <c r="C677" s="43" t="n">
        <v>0</v>
      </c>
      <c r="D677" s="43" t="n">
        <v>450</v>
      </c>
      <c r="E677" s="43" t="inlineStr"/>
      <c r="F677" s="43" t="inlineStr">
        <is>
          <t>Dividend Income</t>
        </is>
      </c>
      <c r="G677" s="32" t="n">
        <v>0.88</v>
      </c>
      <c r="H677" s="43" t="inlineStr">
        <is>
          <t>Dividend Income</t>
        </is>
      </c>
      <c r="I677" s="43" t="inlineStr">
        <is>
          <t>HDFC 0094</t>
        </is>
      </c>
      <c r="J677" s="43" t="inlineStr">
        <is>
          <t>Dividend Income</t>
        </is>
      </c>
      <c r="K677" s="43" t="inlineStr">
        <is>
          <t>ACH C- POWER GRID CORPORATI-96351445</t>
        </is>
      </c>
      <c r="L677" s="43" t="inlineStr">
        <is>
          <t>HDFC Bank</t>
        </is>
      </c>
      <c r="M677" s="43" t="inlineStr"/>
    </row>
    <row r="678">
      <c r="A678" s="83" t="n">
        <v>45631</v>
      </c>
      <c r="B678" s="83" t="n">
        <v>45631</v>
      </c>
      <c r="C678" s="84" t="n">
        <v>339.13</v>
      </c>
      <c r="D678" s="84" t="n">
        <v>0</v>
      </c>
      <c r="E678" s="84" t="inlineStr"/>
      <c r="F678" s="84" t="inlineStr">
        <is>
          <t>HDFC Securities - Buy</t>
        </is>
      </c>
      <c r="G678" s="32" t="n">
        <v>0.97</v>
      </c>
      <c r="H678" s="84" t="inlineStr">
        <is>
          <t>HDFC Securities</t>
        </is>
      </c>
      <c r="I678" s="84" t="inlineStr">
        <is>
          <t>HDFC 0094</t>
        </is>
      </c>
      <c r="J678" s="84" t="inlineStr">
        <is>
          <t>HSL</t>
        </is>
      </c>
      <c r="K678" s="84" t="inlineStr">
        <is>
          <t>NET PI TO HSL SEC A/C 523686-00602340029434</t>
        </is>
      </c>
      <c r="L678" s="84" t="inlineStr">
        <is>
          <t>HDFC Bank</t>
        </is>
      </c>
      <c r="M678" s="84" t="inlineStr"/>
    </row>
    <row r="679">
      <c r="A679" s="85" t="n">
        <v>45632</v>
      </c>
      <c r="B679" s="85" t="n">
        <v>45632</v>
      </c>
      <c r="C679" s="86" t="n">
        <v>0</v>
      </c>
      <c r="D679" s="86" t="n">
        <v>3335.15</v>
      </c>
      <c r="E679" s="86" t="inlineStr"/>
      <c r="F679" s="86" t="inlineStr">
        <is>
          <t>HDFC Securities - Sell</t>
        </is>
      </c>
      <c r="G679" s="32" t="n">
        <v>0.97</v>
      </c>
      <c r="H679" s="86" t="inlineStr">
        <is>
          <t>HDFC Securities</t>
        </is>
      </c>
      <c r="I679" s="86" t="inlineStr">
        <is>
          <t>HDFC 0094</t>
        </is>
      </c>
      <c r="J679" s="86" t="inlineStr">
        <is>
          <t>HSL</t>
        </is>
      </c>
      <c r="K679" s="86" t="inlineStr">
        <is>
          <t>NET PO FROM HSL A/C 523686-50200085415108</t>
        </is>
      </c>
      <c r="L679" s="86" t="inlineStr">
        <is>
          <t>HDFC Bank</t>
        </is>
      </c>
      <c r="M679" s="86" t="inlineStr"/>
    </row>
    <row r="680">
      <c r="A680" s="83" t="n">
        <v>45632</v>
      </c>
      <c r="B680" s="83" t="n">
        <v>45632</v>
      </c>
      <c r="C680" s="84" t="n">
        <v>392.31</v>
      </c>
      <c r="D680" s="84" t="n">
        <v>0</v>
      </c>
      <c r="E680" s="84" t="inlineStr"/>
      <c r="F680" s="84" t="inlineStr">
        <is>
          <t>HDFC Securities - Buy</t>
        </is>
      </c>
      <c r="G680" s="32" t="n">
        <v>0.97</v>
      </c>
      <c r="H680" s="84" t="inlineStr">
        <is>
          <t>HDFC Securities</t>
        </is>
      </c>
      <c r="I680" s="84" t="inlineStr">
        <is>
          <t>HDFC 0094</t>
        </is>
      </c>
      <c r="J680" s="84" t="inlineStr">
        <is>
          <t>HSL</t>
        </is>
      </c>
      <c r="K680" s="84" t="inlineStr">
        <is>
          <t>NET PI TO HSL SEC A/C 523686-00602340029434</t>
        </is>
      </c>
      <c r="L680" s="84" t="inlineStr">
        <is>
          <t>HDFC Bank</t>
        </is>
      </c>
      <c r="M680" s="84" t="inlineStr"/>
    </row>
    <row r="681">
      <c r="A681" s="30" t="n">
        <v>45632</v>
      </c>
      <c r="B681" s="30" t="n">
        <v>45632</v>
      </c>
      <c r="C681" s="31" t="n">
        <v>0</v>
      </c>
      <c r="D681" s="31" t="n">
        <v>9868.469999999999</v>
      </c>
      <c r="E681" s="31" t="inlineStr"/>
      <c r="F681" s="31" t="inlineStr">
        <is>
          <t>HDFC Securities - Settlement</t>
        </is>
      </c>
      <c r="G681" s="32" t="n">
        <v>0.93</v>
      </c>
      <c r="H681" s="31" t="inlineStr">
        <is>
          <t>HDFC Securities</t>
        </is>
      </c>
      <c r="I681" s="31" t="inlineStr">
        <is>
          <t>HDFC 0094</t>
        </is>
      </c>
      <c r="J681" s="31" t="inlineStr">
        <is>
          <t>HDFC Sec</t>
        </is>
      </c>
      <c r="K681" s="31" t="inlineStr">
        <is>
          <t>FT- 588392744-50200085415108 - HDFC SECURITIES LTD-CLIENT DSCNB A/C -</t>
        </is>
      </c>
      <c r="L681" s="31" t="inlineStr">
        <is>
          <t>HDFC Bank</t>
        </is>
      </c>
      <c r="M681" s="31" t="inlineStr"/>
    </row>
    <row r="682">
      <c r="A682" s="116" t="n">
        <v>45633</v>
      </c>
      <c r="B682" s="116" t="n">
        <v>45633</v>
      </c>
      <c r="C682" s="117" t="n">
        <v>0</v>
      </c>
      <c r="D682" s="117" t="n">
        <v>34220</v>
      </c>
      <c r="E682" s="117" t="inlineStr"/>
      <c r="F682" s="117" t="inlineStr">
        <is>
          <t>Received - Sunita Gupta</t>
        </is>
      </c>
      <c r="G682" s="32" t="n">
        <v>0.88</v>
      </c>
      <c r="H682" s="117" t="inlineStr">
        <is>
          <t>Sunita Gupta</t>
        </is>
      </c>
      <c r="I682" s="117" t="inlineStr">
        <is>
          <t>HDFC 0094</t>
        </is>
      </c>
      <c r="J682" s="117" t="inlineStr">
        <is>
          <t>Rental Income</t>
        </is>
      </c>
      <c r="K682" s="117" t="inlineStr">
        <is>
          <t>NEFT CR-SBIN0004266-SBI GENERAL INSURANCE CO LTDSBI GEN-SUNITA GUPTA 0000000002717756-SBIN324342428946</t>
        </is>
      </c>
      <c r="L682" s="117" t="inlineStr">
        <is>
          <t>HDFC Bank</t>
        </is>
      </c>
      <c r="M682" s="117" t="inlineStr"/>
    </row>
    <row r="683">
      <c r="A683" s="83" t="n">
        <v>45635</v>
      </c>
      <c r="B683" s="83" t="n">
        <v>45635</v>
      </c>
      <c r="C683" s="84" t="n">
        <v>1191.03</v>
      </c>
      <c r="D683" s="84" t="n">
        <v>0</v>
      </c>
      <c r="E683" s="84" t="inlineStr"/>
      <c r="F683" s="84" t="inlineStr">
        <is>
          <t>HDFC Securities - Buy</t>
        </is>
      </c>
      <c r="G683" s="32" t="n">
        <v>0.97</v>
      </c>
      <c r="H683" s="84" t="inlineStr">
        <is>
          <t>HDFC Securities</t>
        </is>
      </c>
      <c r="I683" s="84" t="inlineStr">
        <is>
          <t>HDFC 0094</t>
        </is>
      </c>
      <c r="J683" s="84" t="inlineStr">
        <is>
          <t>HSL</t>
        </is>
      </c>
      <c r="K683" s="84" t="inlineStr">
        <is>
          <t>NET PI TO HSL SEC A/C 523686-00602340029434</t>
        </is>
      </c>
      <c r="L683" s="84" t="inlineStr">
        <is>
          <t>HDFC Bank</t>
        </is>
      </c>
      <c r="M683" s="84" t="inlineStr"/>
    </row>
    <row r="684">
      <c r="A684" s="122" t="n">
        <v>45635</v>
      </c>
      <c r="B684" s="122" t="n">
        <v>45635</v>
      </c>
      <c r="C684" s="123" t="n">
        <v>2700</v>
      </c>
      <c r="D684" s="123" t="n">
        <v>0</v>
      </c>
      <c r="E684" s="123" t="inlineStr"/>
      <c r="F684" s="123" t="inlineStr">
        <is>
          <t>Shopping - Jewellery</t>
        </is>
      </c>
      <c r="G684" s="32" t="n">
        <v>0.85</v>
      </c>
      <c r="H684" s="123" t="inlineStr">
        <is>
          <t>Shopping</t>
        </is>
      </c>
      <c r="I684" s="123" t="inlineStr">
        <is>
          <t>AXIS 7042</t>
        </is>
      </c>
      <c r="J684" s="123" t="inlineStr">
        <is>
          <t>UPI</t>
        </is>
      </c>
      <c r="K684" s="123" t="inlineStr">
        <is>
          <t>UPI/P2M/471025503720/GHANSHYAM ABHUSHAN BH/jewell/Yes Bank Ltd</t>
        </is>
      </c>
      <c r="L684" s="123" t="inlineStr">
        <is>
          <t>Axis Bank</t>
        </is>
      </c>
      <c r="M684" s="123" t="inlineStr"/>
    </row>
    <row r="685">
      <c r="A685" s="116" t="n">
        <v>45636</v>
      </c>
      <c r="B685" s="116" t="n">
        <v>45636</v>
      </c>
      <c r="C685" s="117" t="n">
        <v>0</v>
      </c>
      <c r="D685" s="117" t="n">
        <v>15773</v>
      </c>
      <c r="E685" s="117" t="inlineStr"/>
      <c r="F685" s="117" t="inlineStr">
        <is>
          <t>Received - Sunita Gupta</t>
        </is>
      </c>
      <c r="G685" s="32" t="n">
        <v>0.88</v>
      </c>
      <c r="H685" s="117" t="inlineStr">
        <is>
          <t>Sunita Gupta</t>
        </is>
      </c>
      <c r="I685" s="117" t="inlineStr">
        <is>
          <t>HDFC 0094</t>
        </is>
      </c>
      <c r="J685" s="117" t="inlineStr">
        <is>
          <t>Rental Income</t>
        </is>
      </c>
      <c r="K685" s="117" t="inlineStr">
        <is>
          <t>NEFT CR-SBIN0004266-SBI GENERAL INSURANCE CO LTDSBI GEN-SUNITA GUPTA 0000000002717756-SBIN124345927368</t>
        </is>
      </c>
      <c r="L685" s="117" t="inlineStr">
        <is>
          <t>HDFC Bank</t>
        </is>
      </c>
      <c r="M685" s="117" t="inlineStr"/>
    </row>
    <row r="686">
      <c r="A686" s="83" t="n">
        <v>45636</v>
      </c>
      <c r="B686" s="83" t="n">
        <v>45636</v>
      </c>
      <c r="C686" s="84" t="n">
        <v>11845.93</v>
      </c>
      <c r="D686" s="84" t="n">
        <v>0</v>
      </c>
      <c r="E686" s="84" t="inlineStr"/>
      <c r="F686" s="84" t="inlineStr">
        <is>
          <t>HDFC Securities - Buy</t>
        </is>
      </c>
      <c r="G686" s="32" t="n">
        <v>0.97</v>
      </c>
      <c r="H686" s="84" t="inlineStr">
        <is>
          <t>HDFC Securities</t>
        </is>
      </c>
      <c r="I686" s="84" t="inlineStr">
        <is>
          <t>HDFC 0094</t>
        </is>
      </c>
      <c r="J686" s="84" t="inlineStr">
        <is>
          <t>HSL</t>
        </is>
      </c>
      <c r="K686" s="84" t="inlineStr">
        <is>
          <t>NET PI TO HSL SEC A/C 523686-00602340029434</t>
        </is>
      </c>
      <c r="L686" s="84" t="inlineStr">
        <is>
          <t>HDFC Bank</t>
        </is>
      </c>
      <c r="M686" s="84" t="inlineStr"/>
    </row>
    <row r="687">
      <c r="A687" s="83" t="n">
        <v>45636</v>
      </c>
      <c r="B687" s="83" t="n">
        <v>45636</v>
      </c>
      <c r="C687" s="84" t="n">
        <v>397.01</v>
      </c>
      <c r="D687" s="84" t="n">
        <v>0</v>
      </c>
      <c r="E687" s="84" t="inlineStr"/>
      <c r="F687" s="84" t="inlineStr">
        <is>
          <t>HDFC Securities - Buy</t>
        </is>
      </c>
      <c r="G687" s="32" t="n">
        <v>0.97</v>
      </c>
      <c r="H687" s="84" t="inlineStr">
        <is>
          <t>HDFC Securities</t>
        </is>
      </c>
      <c r="I687" s="84" t="inlineStr">
        <is>
          <t>HDFC 0094</t>
        </is>
      </c>
      <c r="J687" s="84" t="inlineStr">
        <is>
          <t>HSL</t>
        </is>
      </c>
      <c r="K687" s="84" t="inlineStr">
        <is>
          <t>NET PI TO HSL SEC A/C 523686-00602340029434</t>
        </is>
      </c>
      <c r="L687" s="84" t="inlineStr">
        <is>
          <t>HDFC Bank</t>
        </is>
      </c>
      <c r="M687" s="84" t="inlineStr"/>
    </row>
    <row r="688">
      <c r="A688" s="30" t="n">
        <v>45636</v>
      </c>
      <c r="B688" s="30" t="n">
        <v>45636</v>
      </c>
      <c r="C688" s="31" t="n">
        <v>0</v>
      </c>
      <c r="D688" s="31" t="n">
        <v>41450.87</v>
      </c>
      <c r="E688" s="31" t="inlineStr"/>
      <c r="F688" s="31" t="inlineStr">
        <is>
          <t>HDFC Securities - Settlement</t>
        </is>
      </c>
      <c r="G688" s="32" t="n">
        <v>0.93</v>
      </c>
      <c r="H688" s="31" t="inlineStr">
        <is>
          <t>HDFC Securities</t>
        </is>
      </c>
      <c r="I688" s="31" t="inlineStr">
        <is>
          <t>HDFC 0094</t>
        </is>
      </c>
      <c r="J688" s="31" t="inlineStr">
        <is>
          <t>HDFC Sec</t>
        </is>
      </c>
      <c r="K688" s="31" t="inlineStr">
        <is>
          <t>FT- 589344583-50200085415108 - HDFC SECURITIES LTD-CLIENT DSCNB A/C -</t>
        </is>
      </c>
      <c r="L688" s="31" t="inlineStr">
        <is>
          <t>HDFC Bank</t>
        </is>
      </c>
      <c r="M688" s="31" t="inlineStr"/>
    </row>
    <row r="689">
      <c r="A689" s="83" t="n">
        <v>45637</v>
      </c>
      <c r="B689" s="83" t="n">
        <v>45637</v>
      </c>
      <c r="C689" s="84" t="n">
        <v>380.71</v>
      </c>
      <c r="D689" s="84" t="n">
        <v>0</v>
      </c>
      <c r="E689" s="84" t="inlineStr"/>
      <c r="F689" s="84" t="inlineStr">
        <is>
          <t>HDFC Securities - Buy</t>
        </is>
      </c>
      <c r="G689" s="32" t="n">
        <v>0.97</v>
      </c>
      <c r="H689" s="84" t="inlineStr">
        <is>
          <t>HDFC Securities</t>
        </is>
      </c>
      <c r="I689" s="84" t="inlineStr">
        <is>
          <t>HDFC 0094</t>
        </is>
      </c>
      <c r="J689" s="84" t="inlineStr">
        <is>
          <t>HSL</t>
        </is>
      </c>
      <c r="K689" s="84" t="inlineStr">
        <is>
          <t>NET PI TO HSL SEC A/C 523686-00602340029434</t>
        </is>
      </c>
      <c r="L689" s="84" t="inlineStr">
        <is>
          <t>HDFC Bank</t>
        </is>
      </c>
      <c r="M689" s="84" t="inlineStr"/>
    </row>
    <row r="690">
      <c r="A690" s="30" t="n">
        <v>45637</v>
      </c>
      <c r="B690" s="30" t="n">
        <v>45637</v>
      </c>
      <c r="C690" s="31" t="n">
        <v>0</v>
      </c>
      <c r="D690" s="31" t="n">
        <v>2195.46</v>
      </c>
      <c r="E690" s="31" t="inlineStr"/>
      <c r="F690" s="31" t="inlineStr">
        <is>
          <t>HDFC Securities - Settlement</t>
        </is>
      </c>
      <c r="G690" s="32" t="n">
        <v>0.93</v>
      </c>
      <c r="H690" s="31" t="inlineStr">
        <is>
          <t>HDFC Securities</t>
        </is>
      </c>
      <c r="I690" s="31" t="inlineStr">
        <is>
          <t>HDFC 0094</t>
        </is>
      </c>
      <c r="J690" s="31" t="inlineStr">
        <is>
          <t>HDFC Sec</t>
        </is>
      </c>
      <c r="K690" s="31" t="inlineStr">
        <is>
          <t>FT- 589801141-50200085415108 - HDFC SECURITIES LTD-CLIENT DSCNB A/C -</t>
        </is>
      </c>
      <c r="L690" s="31" t="inlineStr">
        <is>
          <t>HDFC Bank</t>
        </is>
      </c>
      <c r="M690" s="31" t="inlineStr"/>
    </row>
    <row r="691">
      <c r="A691" s="83" t="n">
        <v>45638</v>
      </c>
      <c r="B691" s="83" t="n">
        <v>45638</v>
      </c>
      <c r="C691" s="84" t="n">
        <v>102886.18</v>
      </c>
      <c r="D691" s="84" t="n">
        <v>0</v>
      </c>
      <c r="E691" s="84" t="inlineStr"/>
      <c r="F691" s="84" t="inlineStr">
        <is>
          <t>HDFC Securities - Buy</t>
        </is>
      </c>
      <c r="G691" s="32" t="n">
        <v>0.97</v>
      </c>
      <c r="H691" s="84" t="inlineStr">
        <is>
          <t>HDFC Securities</t>
        </is>
      </c>
      <c r="I691" s="84" t="inlineStr">
        <is>
          <t>HDFC 0094</t>
        </is>
      </c>
      <c r="J691" s="84" t="inlineStr">
        <is>
          <t>HSL</t>
        </is>
      </c>
      <c r="K691" s="84" t="inlineStr">
        <is>
          <t>NET PI TO HSL SEC A/C 523686-00602340029434</t>
        </is>
      </c>
      <c r="L691" s="84" t="inlineStr">
        <is>
          <t>HDFC Bank</t>
        </is>
      </c>
      <c r="M691" s="84" t="inlineStr"/>
    </row>
    <row r="692">
      <c r="A692" s="83" t="n">
        <v>45638</v>
      </c>
      <c r="B692" s="83" t="n">
        <v>45638</v>
      </c>
      <c r="C692" s="84" t="n">
        <v>28834.96</v>
      </c>
      <c r="D692" s="84" t="n">
        <v>0</v>
      </c>
      <c r="E692" s="84" t="inlineStr"/>
      <c r="F692" s="84" t="inlineStr">
        <is>
          <t>HDFC Securities - Buy</t>
        </is>
      </c>
      <c r="G692" s="32" t="n">
        <v>0.97</v>
      </c>
      <c r="H692" s="84" t="inlineStr">
        <is>
          <t>HDFC Securities</t>
        </is>
      </c>
      <c r="I692" s="84" t="inlineStr">
        <is>
          <t>HDFC 0094</t>
        </is>
      </c>
      <c r="J692" s="84" t="inlineStr">
        <is>
          <t>HSL</t>
        </is>
      </c>
      <c r="K692" s="84" t="inlineStr">
        <is>
          <t>NET PI TO HSL SEC A/C 523686-00602340029434</t>
        </is>
      </c>
      <c r="L692" s="84" t="inlineStr">
        <is>
          <t>HDFC Bank</t>
        </is>
      </c>
      <c r="M692" s="84" t="inlineStr"/>
    </row>
    <row r="693">
      <c r="A693" s="83" t="n">
        <v>45638</v>
      </c>
      <c r="B693" s="83" t="n">
        <v>45638</v>
      </c>
      <c r="C693" s="84" t="n">
        <v>381.49</v>
      </c>
      <c r="D693" s="84" t="n">
        <v>0</v>
      </c>
      <c r="E693" s="84" t="inlineStr"/>
      <c r="F693" s="84" t="inlineStr">
        <is>
          <t>HDFC Securities - Buy</t>
        </is>
      </c>
      <c r="G693" s="32" t="n">
        <v>0.97</v>
      </c>
      <c r="H693" s="84" t="inlineStr">
        <is>
          <t>HDFC Securities</t>
        </is>
      </c>
      <c r="I693" s="84" t="inlineStr">
        <is>
          <t>HDFC 0094</t>
        </is>
      </c>
      <c r="J693" s="84" t="inlineStr">
        <is>
          <t>HSL</t>
        </is>
      </c>
      <c r="K693" s="84" t="inlineStr">
        <is>
          <t>NET PI TO HSL SEC A/C 523686-00602340029434</t>
        </is>
      </c>
      <c r="L693" s="84" t="inlineStr">
        <is>
          <t>HDFC Bank</t>
        </is>
      </c>
      <c r="M693" s="84" t="inlineStr"/>
    </row>
    <row r="694">
      <c r="A694" s="30" t="n">
        <v>45638</v>
      </c>
      <c r="B694" s="30" t="n">
        <v>45638</v>
      </c>
      <c r="C694" s="31" t="n">
        <v>0</v>
      </c>
      <c r="D694" s="31" t="n">
        <v>35515.74</v>
      </c>
      <c r="E694" s="31" t="inlineStr"/>
      <c r="F694" s="31" t="inlineStr">
        <is>
          <t>HDFC Securities - Settlement</t>
        </is>
      </c>
      <c r="G694" s="32" t="n">
        <v>0.93</v>
      </c>
      <c r="H694" s="31" t="inlineStr">
        <is>
          <t>HDFC Securities</t>
        </is>
      </c>
      <c r="I694" s="31" t="inlineStr">
        <is>
          <t>HDFC 0094</t>
        </is>
      </c>
      <c r="J694" s="31" t="inlineStr">
        <is>
          <t>HDFC Sec</t>
        </is>
      </c>
      <c r="K694" s="31" t="inlineStr">
        <is>
          <t>FT- 590196612-50200085415108 - HDFC SECURITIES LTD-CLIENT DSCNB A/C -</t>
        </is>
      </c>
      <c r="L694" s="31" t="inlineStr">
        <is>
          <t>HDFC Bank</t>
        </is>
      </c>
      <c r="M694" s="31" t="inlineStr"/>
    </row>
    <row r="695">
      <c r="A695" s="83" t="n">
        <v>45639</v>
      </c>
      <c r="B695" s="83" t="n">
        <v>45639</v>
      </c>
      <c r="C695" s="84" t="n">
        <v>3981.96</v>
      </c>
      <c r="D695" s="84" t="n">
        <v>0</v>
      </c>
      <c r="E695" s="84" t="inlineStr"/>
      <c r="F695" s="84" t="inlineStr">
        <is>
          <t>HDFC Securities - Buy</t>
        </is>
      </c>
      <c r="G695" s="32" t="n">
        <v>0.97</v>
      </c>
      <c r="H695" s="84" t="inlineStr">
        <is>
          <t>HDFC Securities</t>
        </is>
      </c>
      <c r="I695" s="84" t="inlineStr">
        <is>
          <t>HDFC 0094</t>
        </is>
      </c>
      <c r="J695" s="84" t="inlineStr">
        <is>
          <t>HSL</t>
        </is>
      </c>
      <c r="K695" s="84" t="inlineStr">
        <is>
          <t>NET PI TO HSL SEC A/C 523686-00602340029434</t>
        </is>
      </c>
      <c r="L695" s="84" t="inlineStr">
        <is>
          <t>HDFC Bank</t>
        </is>
      </c>
      <c r="M695" s="84" t="inlineStr"/>
    </row>
    <row r="696">
      <c r="A696" s="83" t="n">
        <v>45639</v>
      </c>
      <c r="B696" s="83" t="n">
        <v>45639</v>
      </c>
      <c r="C696" s="84" t="n">
        <v>25530.01</v>
      </c>
      <c r="D696" s="84" t="n">
        <v>0</v>
      </c>
      <c r="E696" s="84" t="inlineStr"/>
      <c r="F696" s="84" t="inlineStr">
        <is>
          <t>HDFC Securities - Buy</t>
        </is>
      </c>
      <c r="G696" s="32" t="n">
        <v>0.97</v>
      </c>
      <c r="H696" s="84" t="inlineStr">
        <is>
          <t>HDFC Securities</t>
        </is>
      </c>
      <c r="I696" s="84" t="inlineStr">
        <is>
          <t>HDFC 0094</t>
        </is>
      </c>
      <c r="J696" s="84" t="inlineStr">
        <is>
          <t>HSL</t>
        </is>
      </c>
      <c r="K696" s="84" t="inlineStr">
        <is>
          <t>NET PI TO HSL SEC A/C 523686-00602340029434</t>
        </is>
      </c>
      <c r="L696" s="84" t="inlineStr">
        <is>
          <t>HDFC Bank</t>
        </is>
      </c>
      <c r="M696" s="84" t="inlineStr"/>
    </row>
    <row r="697">
      <c r="A697" s="101" t="n">
        <v>45639</v>
      </c>
      <c r="B697" s="101" t="n">
        <v>45639</v>
      </c>
      <c r="C697" s="102" t="n">
        <v>0</v>
      </c>
      <c r="D697" s="102" t="n">
        <v>20000</v>
      </c>
      <c r="E697" s="102" t="inlineStr"/>
      <c r="F697" s="102" t="inlineStr">
        <is>
          <t>Cash Deposit</t>
        </is>
      </c>
      <c r="G697" s="32" t="n">
        <v>0.92</v>
      </c>
      <c r="H697" s="102" t="inlineStr">
        <is>
          <t>Cash</t>
        </is>
      </c>
      <c r="I697" s="102" t="inlineStr">
        <is>
          <t>HDFC 0094</t>
        </is>
      </c>
      <c r="J697" s="102" t="inlineStr">
        <is>
          <t>Cash Deposit</t>
        </is>
      </c>
      <c r="K697" s="102" t="inlineStr">
        <is>
          <t>CASH DEPOSIT BY - SELF - VISHWAKARMA CIRCLE</t>
        </is>
      </c>
      <c r="L697" s="102" t="inlineStr">
        <is>
          <t>HDFC Bank</t>
        </is>
      </c>
      <c r="M697" s="102" t="inlineStr"/>
    </row>
    <row r="698">
      <c r="A698" s="83" t="n">
        <v>45639</v>
      </c>
      <c r="B698" s="83" t="n">
        <v>45639</v>
      </c>
      <c r="C698" s="84" t="n">
        <v>332.45</v>
      </c>
      <c r="D698" s="84" t="n">
        <v>0</v>
      </c>
      <c r="E698" s="84" t="inlineStr"/>
      <c r="F698" s="84" t="inlineStr">
        <is>
          <t>HDFC Securities - Buy</t>
        </is>
      </c>
      <c r="G698" s="32" t="n">
        <v>0.97</v>
      </c>
      <c r="H698" s="84" t="inlineStr">
        <is>
          <t>HDFC Securities</t>
        </is>
      </c>
      <c r="I698" s="84" t="inlineStr">
        <is>
          <t>HDFC 0094</t>
        </is>
      </c>
      <c r="J698" s="84" t="inlineStr">
        <is>
          <t>HSL</t>
        </is>
      </c>
      <c r="K698" s="84" t="inlineStr">
        <is>
          <t>NET PI TO HSL SEC A/C 523686-00602340029434</t>
        </is>
      </c>
      <c r="L698" s="84" t="inlineStr">
        <is>
          <t>HDFC Bank</t>
        </is>
      </c>
      <c r="M698" s="84" t="inlineStr"/>
    </row>
    <row r="699">
      <c r="A699" s="48" t="n">
        <v>45642</v>
      </c>
      <c r="B699" s="48" t="n">
        <v>45642</v>
      </c>
      <c r="C699" s="49" t="n">
        <v>500</v>
      </c>
      <c r="D699" s="49" t="n">
        <v>0</v>
      </c>
      <c r="E699" s="49" t="inlineStr">
        <is>
          <t>Shivanjali</t>
        </is>
      </c>
      <c r="F699" s="49" t="inlineStr">
        <is>
          <t>UPI Payment</t>
        </is>
      </c>
      <c r="G699" s="50" t="n">
        <v>0.55</v>
      </c>
      <c r="H699" s="49" t="inlineStr">
        <is>
          <t>Personal</t>
        </is>
      </c>
      <c r="I699" s="49" t="inlineStr">
        <is>
          <t>AXIS 7042</t>
        </is>
      </c>
      <c r="J699" s="49" t="inlineStr">
        <is>
          <t>UPI</t>
        </is>
      </c>
      <c r="K699" s="49" t="inlineStr">
        <is>
          <t>UPI/P2M/435186763971/SHIVANJALI           /UPI/Yes Bank Ltd</t>
        </is>
      </c>
      <c r="L699" s="49" t="inlineStr">
        <is>
          <t>Axis Bank</t>
        </is>
      </c>
      <c r="M699" s="49" t="inlineStr"/>
    </row>
    <row r="700">
      <c r="A700" s="83" t="n">
        <v>45642</v>
      </c>
      <c r="B700" s="83" t="n">
        <v>45642</v>
      </c>
      <c r="C700" s="84" t="n">
        <v>1265.34</v>
      </c>
      <c r="D700" s="84" t="n">
        <v>0</v>
      </c>
      <c r="E700" s="84" t="inlineStr"/>
      <c r="F700" s="84" t="inlineStr">
        <is>
          <t>HDFC Securities - Buy</t>
        </is>
      </c>
      <c r="G700" s="32" t="n">
        <v>0.97</v>
      </c>
      <c r="H700" s="84" t="inlineStr">
        <is>
          <t>HDFC Securities</t>
        </is>
      </c>
      <c r="I700" s="84" t="inlineStr">
        <is>
          <t>HDFC 0094</t>
        </is>
      </c>
      <c r="J700" s="84" t="inlineStr">
        <is>
          <t>HSL</t>
        </is>
      </c>
      <c r="K700" s="84" t="inlineStr">
        <is>
          <t>NET PI TO HSL SEC A/C 523686-00602340029434</t>
        </is>
      </c>
      <c r="L700" s="84" t="inlineStr">
        <is>
          <t>HDFC Bank</t>
        </is>
      </c>
      <c r="M700" s="84" t="inlineStr"/>
    </row>
    <row r="701">
      <c r="A701" s="64" t="n">
        <v>45642</v>
      </c>
      <c r="B701" s="64" t="n">
        <v>45642</v>
      </c>
      <c r="C701" s="65" t="n">
        <v>5000</v>
      </c>
      <c r="D701" s="65" t="n">
        <v>0</v>
      </c>
      <c r="E701" s="65" t="inlineStr"/>
      <c r="F701" s="65" t="inlineStr">
        <is>
          <t>MF Investment</t>
        </is>
      </c>
      <c r="G701" s="32" t="n">
        <v>0.92</v>
      </c>
      <c r="H701" s="65" t="inlineStr">
        <is>
          <t>Mutual_Fund_Investments</t>
        </is>
      </c>
      <c r="I701" s="65" t="inlineStr">
        <is>
          <t>HDFC 0094</t>
        </is>
      </c>
      <c r="J701" s="65" t="inlineStr">
        <is>
          <t>SIP  - 5000</t>
        </is>
      </c>
      <c r="K701" s="65" t="inlineStr">
        <is>
          <t>ACH D- INDIAN CLEARING CORP-P25847643X05</t>
        </is>
      </c>
      <c r="L701" s="65" t="inlineStr">
        <is>
          <t>HDFC Bank</t>
        </is>
      </c>
      <c r="M701" s="65" t="inlineStr"/>
    </row>
    <row r="702">
      <c r="A702" s="83" t="n">
        <v>45642</v>
      </c>
      <c r="B702" s="83" t="n">
        <v>45642</v>
      </c>
      <c r="C702" s="84" t="n">
        <v>4528.87</v>
      </c>
      <c r="D702" s="84" t="n">
        <v>0</v>
      </c>
      <c r="E702" s="84" t="inlineStr"/>
      <c r="F702" s="84" t="inlineStr">
        <is>
          <t>HDFC Securities - Buy</t>
        </is>
      </c>
      <c r="G702" s="32" t="n">
        <v>0.97</v>
      </c>
      <c r="H702" s="84" t="inlineStr">
        <is>
          <t>HDFC Securities</t>
        </is>
      </c>
      <c r="I702" s="84" t="inlineStr">
        <is>
          <t>HDFC 0094</t>
        </is>
      </c>
      <c r="J702" s="84" t="inlineStr">
        <is>
          <t>HSL</t>
        </is>
      </c>
      <c r="K702" s="84" t="inlineStr">
        <is>
          <t>NET PI TO HSL SEC A/C 523686-00602340029434</t>
        </is>
      </c>
      <c r="L702" s="84" t="inlineStr">
        <is>
          <t>HDFC Bank</t>
        </is>
      </c>
      <c r="M702" s="84" t="inlineStr"/>
    </row>
    <row r="703">
      <c r="A703" s="83" t="n">
        <v>45643</v>
      </c>
      <c r="B703" s="83" t="n">
        <v>45643</v>
      </c>
      <c r="C703" s="84" t="n">
        <v>420.17</v>
      </c>
      <c r="D703" s="84" t="n">
        <v>0</v>
      </c>
      <c r="E703" s="84" t="inlineStr"/>
      <c r="F703" s="84" t="inlineStr">
        <is>
          <t>HDFC Securities - Buy</t>
        </is>
      </c>
      <c r="G703" s="32" t="n">
        <v>0.97</v>
      </c>
      <c r="H703" s="84" t="inlineStr">
        <is>
          <t>HDFC Securities</t>
        </is>
      </c>
      <c r="I703" s="84" t="inlineStr">
        <is>
          <t>HDFC 0094</t>
        </is>
      </c>
      <c r="J703" s="84" t="inlineStr">
        <is>
          <t>HSL</t>
        </is>
      </c>
      <c r="K703" s="84" t="inlineStr">
        <is>
          <t>NET PI TO HSL SEC A/C 523686-00602340029434</t>
        </is>
      </c>
      <c r="L703" s="84" t="inlineStr">
        <is>
          <t>HDFC Bank</t>
        </is>
      </c>
      <c r="M703" s="84" t="inlineStr"/>
    </row>
    <row r="704">
      <c r="A704" s="83" t="n">
        <v>45643</v>
      </c>
      <c r="B704" s="83" t="n">
        <v>45643</v>
      </c>
      <c r="C704" s="84" t="n">
        <v>26795.86</v>
      </c>
      <c r="D704" s="84" t="n">
        <v>0</v>
      </c>
      <c r="E704" s="84" t="inlineStr"/>
      <c r="F704" s="84" t="inlineStr">
        <is>
          <t>HDFC Securities - Buy</t>
        </is>
      </c>
      <c r="G704" s="32" t="n">
        <v>0.97</v>
      </c>
      <c r="H704" s="84" t="inlineStr">
        <is>
          <t>HDFC Securities</t>
        </is>
      </c>
      <c r="I704" s="84" t="inlineStr">
        <is>
          <t>HDFC 0094</t>
        </is>
      </c>
      <c r="J704" s="84" t="inlineStr">
        <is>
          <t>HSL</t>
        </is>
      </c>
      <c r="K704" s="84" t="inlineStr">
        <is>
          <t>NET PI TO HSL SEC A/C 523686-00602340029434</t>
        </is>
      </c>
      <c r="L704" s="84" t="inlineStr">
        <is>
          <t>HDFC Bank</t>
        </is>
      </c>
      <c r="M704" s="84" t="inlineStr"/>
    </row>
    <row r="705">
      <c r="A705" s="89" t="n">
        <v>45643</v>
      </c>
      <c r="B705" s="89" t="n">
        <v>45643</v>
      </c>
      <c r="C705" s="90" t="n">
        <v>318.6</v>
      </c>
      <c r="D705" s="90" t="n">
        <v>0</v>
      </c>
      <c r="E705" s="90" t="inlineStr"/>
      <c r="F705" s="90" t="inlineStr">
        <is>
          <t>Depository Charges</t>
        </is>
      </c>
      <c r="G705" s="32" t="n">
        <v>0.93</v>
      </c>
      <c r="H705" s="90" t="inlineStr">
        <is>
          <t>Depository Charges</t>
        </is>
      </c>
      <c r="I705" s="90" t="inlineStr">
        <is>
          <t>HDFC 0094</t>
        </is>
      </c>
      <c r="J705" s="90" t="inlineStr">
        <is>
          <t>Depository Charges</t>
        </is>
      </c>
      <c r="K705" s="90" t="inlineStr">
        <is>
          <t>DEPOSITORY CHARGES NOV24 - 41060499</t>
        </is>
      </c>
      <c r="L705" s="90" t="inlineStr">
        <is>
          <t>HDFC Bank</t>
        </is>
      </c>
      <c r="M705" s="90" t="inlineStr"/>
    </row>
    <row r="706">
      <c r="A706" s="83" t="n">
        <v>45644</v>
      </c>
      <c r="B706" s="83" t="n">
        <v>45644</v>
      </c>
      <c r="C706" s="84" t="n">
        <v>19885.93</v>
      </c>
      <c r="D706" s="84" t="n">
        <v>0</v>
      </c>
      <c r="E706" s="84" t="inlineStr"/>
      <c r="F706" s="84" t="inlineStr">
        <is>
          <t>HDFC Securities - Buy</t>
        </is>
      </c>
      <c r="G706" s="32" t="n">
        <v>0.97</v>
      </c>
      <c r="H706" s="84" t="inlineStr">
        <is>
          <t>HDFC Securities</t>
        </is>
      </c>
      <c r="I706" s="84" t="inlineStr">
        <is>
          <t>HDFC 0094</t>
        </is>
      </c>
      <c r="J706" s="84" t="inlineStr">
        <is>
          <t>HSL</t>
        </is>
      </c>
      <c r="K706" s="84" t="inlineStr">
        <is>
          <t>NET PI TO HSL SEC A/C 523686-00602340029434</t>
        </is>
      </c>
      <c r="L706" s="84" t="inlineStr">
        <is>
          <t>HDFC Bank</t>
        </is>
      </c>
      <c r="M706" s="84" t="inlineStr"/>
    </row>
    <row r="707">
      <c r="A707" s="83" t="n">
        <v>45644</v>
      </c>
      <c r="B707" s="83" t="n">
        <v>45644</v>
      </c>
      <c r="C707" s="84" t="n">
        <v>410.63</v>
      </c>
      <c r="D707" s="84" t="n">
        <v>0</v>
      </c>
      <c r="E707" s="84" t="inlineStr"/>
      <c r="F707" s="84" t="inlineStr">
        <is>
          <t>HDFC Securities - Buy</t>
        </is>
      </c>
      <c r="G707" s="32" t="n">
        <v>0.97</v>
      </c>
      <c r="H707" s="84" t="inlineStr">
        <is>
          <t>HDFC Securities</t>
        </is>
      </c>
      <c r="I707" s="84" t="inlineStr">
        <is>
          <t>HDFC 0094</t>
        </is>
      </c>
      <c r="J707" s="84" t="inlineStr">
        <is>
          <t>HSL</t>
        </is>
      </c>
      <c r="K707" s="84" t="inlineStr">
        <is>
          <t>NET PI TO HSL SEC A/C 523686-00602340029434</t>
        </is>
      </c>
      <c r="L707" s="84" t="inlineStr">
        <is>
          <t>HDFC Bank</t>
        </is>
      </c>
      <c r="M707" s="84" t="inlineStr"/>
    </row>
    <row r="708">
      <c r="A708" s="30" t="n">
        <v>45644</v>
      </c>
      <c r="B708" s="30" t="n">
        <v>45644</v>
      </c>
      <c r="C708" s="31" t="n">
        <v>0</v>
      </c>
      <c r="D708" s="31" t="n">
        <v>30411.38</v>
      </c>
      <c r="E708" s="31" t="inlineStr"/>
      <c r="F708" s="31" t="inlineStr">
        <is>
          <t>HDFC Securities - Settlement</t>
        </is>
      </c>
      <c r="G708" s="32" t="n">
        <v>0.93</v>
      </c>
      <c r="H708" s="31" t="inlineStr">
        <is>
          <t>HDFC Securities</t>
        </is>
      </c>
      <c r="I708" s="31" t="inlineStr">
        <is>
          <t>HDFC 0094</t>
        </is>
      </c>
      <c r="J708" s="31" t="inlineStr">
        <is>
          <t>HDFC Sec</t>
        </is>
      </c>
      <c r="K708" s="31" t="inlineStr">
        <is>
          <t>FT- 591999594-50200085415108 - HDFC SECURITIES LTD-CLIENT DSCNB A/C -</t>
        </is>
      </c>
      <c r="L708" s="31" t="inlineStr">
        <is>
          <t>HDFC Bank</t>
        </is>
      </c>
      <c r="M708" s="31" t="inlineStr"/>
    </row>
    <row r="709">
      <c r="A709" s="116" t="n">
        <v>45645</v>
      </c>
      <c r="B709" s="116" t="n">
        <v>45645</v>
      </c>
      <c r="C709" s="117" t="n">
        <v>0</v>
      </c>
      <c r="D709" s="117" t="n">
        <v>2738</v>
      </c>
      <c r="E709" s="117" t="inlineStr"/>
      <c r="F709" s="117" t="inlineStr">
        <is>
          <t>Received - Sunita Gupta</t>
        </is>
      </c>
      <c r="G709" s="32" t="n">
        <v>0.88</v>
      </c>
      <c r="H709" s="117" t="inlineStr">
        <is>
          <t>Sunita Gupta</t>
        </is>
      </c>
      <c r="I709" s="117" t="inlineStr">
        <is>
          <t>HDFC 0094</t>
        </is>
      </c>
      <c r="J709" s="117" t="inlineStr">
        <is>
          <t>Rental Income</t>
        </is>
      </c>
      <c r="K709" s="117" t="inlineStr">
        <is>
          <t>NEFT CR-SBIN0004266-SBI GENERAL INSURANCE CO LTDSBI GEN-SUNITA GUPTA 0000000002717756-SBIN224354335526</t>
        </is>
      </c>
      <c r="L709" s="117" t="inlineStr">
        <is>
          <t>HDFC Bank</t>
        </is>
      </c>
      <c r="M709" s="117" t="inlineStr"/>
    </row>
    <row r="710">
      <c r="A710" s="83" t="n">
        <v>45645</v>
      </c>
      <c r="B710" s="83" t="n">
        <v>45645</v>
      </c>
      <c r="C710" s="84" t="n">
        <v>414.42</v>
      </c>
      <c r="D710" s="84" t="n">
        <v>0</v>
      </c>
      <c r="E710" s="84" t="inlineStr"/>
      <c r="F710" s="84" t="inlineStr">
        <is>
          <t>HDFC Securities - Buy</t>
        </is>
      </c>
      <c r="G710" s="32" t="n">
        <v>0.97</v>
      </c>
      <c r="H710" s="84" t="inlineStr">
        <is>
          <t>HDFC Securities</t>
        </is>
      </c>
      <c r="I710" s="84" t="inlineStr">
        <is>
          <t>HDFC 0094</t>
        </is>
      </c>
      <c r="J710" s="84" t="inlineStr">
        <is>
          <t>HSL</t>
        </is>
      </c>
      <c r="K710" s="84" t="inlineStr">
        <is>
          <t>NET PI TO HSL SEC A/C 523686-00602340029434</t>
        </is>
      </c>
      <c r="L710" s="84" t="inlineStr">
        <is>
          <t>HDFC Bank</t>
        </is>
      </c>
      <c r="M710" s="84" t="inlineStr"/>
    </row>
    <row r="711">
      <c r="A711" s="83" t="n">
        <v>45645</v>
      </c>
      <c r="B711" s="83" t="n">
        <v>45645</v>
      </c>
      <c r="C711" s="84" t="n">
        <v>18958.63</v>
      </c>
      <c r="D711" s="84" t="n">
        <v>0</v>
      </c>
      <c r="E711" s="84" t="inlineStr"/>
      <c r="F711" s="84" t="inlineStr">
        <is>
          <t>HDFC Securities - Buy</t>
        </is>
      </c>
      <c r="G711" s="32" t="n">
        <v>0.97</v>
      </c>
      <c r="H711" s="84" t="inlineStr">
        <is>
          <t>HDFC Securities</t>
        </is>
      </c>
      <c r="I711" s="84" t="inlineStr">
        <is>
          <t>HDFC 0094</t>
        </is>
      </c>
      <c r="J711" s="84" t="inlineStr">
        <is>
          <t>HSL</t>
        </is>
      </c>
      <c r="K711" s="84" t="inlineStr">
        <is>
          <t>NET PI TO HSL SEC A/C 523686-00602340029434</t>
        </is>
      </c>
      <c r="L711" s="84" t="inlineStr">
        <is>
          <t>HDFC Bank</t>
        </is>
      </c>
      <c r="M711" s="84" t="inlineStr"/>
    </row>
    <row r="712">
      <c r="A712" s="83" t="n">
        <v>45646</v>
      </c>
      <c r="B712" s="83" t="n">
        <v>45646</v>
      </c>
      <c r="C712" s="84" t="n">
        <v>38644.96</v>
      </c>
      <c r="D712" s="84" t="n">
        <v>0</v>
      </c>
      <c r="E712" s="84" t="inlineStr"/>
      <c r="F712" s="84" t="inlineStr">
        <is>
          <t>HDFC Securities - Buy</t>
        </is>
      </c>
      <c r="G712" s="32" t="n">
        <v>0.97</v>
      </c>
      <c r="H712" s="84" t="inlineStr">
        <is>
          <t>HDFC Securities</t>
        </is>
      </c>
      <c r="I712" s="84" t="inlineStr">
        <is>
          <t>HDFC 0094</t>
        </is>
      </c>
      <c r="J712" s="84" t="inlineStr">
        <is>
          <t>HSL</t>
        </is>
      </c>
      <c r="K712" s="84" t="inlineStr">
        <is>
          <t>NET PI TO HSL SEC A/C 523686-00602340029434</t>
        </is>
      </c>
      <c r="L712" s="84" t="inlineStr">
        <is>
          <t>HDFC Bank</t>
        </is>
      </c>
      <c r="M712" s="84" t="inlineStr"/>
    </row>
    <row r="713">
      <c r="A713" s="83" t="n">
        <v>45646</v>
      </c>
      <c r="B713" s="83" t="n">
        <v>45646</v>
      </c>
      <c r="C713" s="84" t="n">
        <v>417.69</v>
      </c>
      <c r="D713" s="84" t="n">
        <v>0</v>
      </c>
      <c r="E713" s="84" t="inlineStr"/>
      <c r="F713" s="84" t="inlineStr">
        <is>
          <t>HDFC Securities - Buy</t>
        </is>
      </c>
      <c r="G713" s="32" t="n">
        <v>0.97</v>
      </c>
      <c r="H713" s="84" t="inlineStr">
        <is>
          <t>HDFC Securities</t>
        </is>
      </c>
      <c r="I713" s="84" t="inlineStr">
        <is>
          <t>HDFC 0094</t>
        </is>
      </c>
      <c r="J713" s="84" t="inlineStr">
        <is>
          <t>HSL</t>
        </is>
      </c>
      <c r="K713" s="84" t="inlineStr">
        <is>
          <t>NET PI TO HSL SEC A/C 523686-00602340029434</t>
        </is>
      </c>
      <c r="L713" s="84" t="inlineStr">
        <is>
          <t>HDFC Bank</t>
        </is>
      </c>
      <c r="M713" s="84" t="inlineStr"/>
    </row>
    <row r="714">
      <c r="A714" s="83" t="n">
        <v>45649</v>
      </c>
      <c r="B714" s="83" t="n">
        <v>45649</v>
      </c>
      <c r="C714" s="84" t="n">
        <v>1263.93</v>
      </c>
      <c r="D714" s="84" t="n">
        <v>0</v>
      </c>
      <c r="E714" s="84" t="inlineStr"/>
      <c r="F714" s="84" t="inlineStr">
        <is>
          <t>HDFC Securities - Buy</t>
        </is>
      </c>
      <c r="G714" s="32" t="n">
        <v>0.97</v>
      </c>
      <c r="H714" s="84" t="inlineStr">
        <is>
          <t>HDFC Securities</t>
        </is>
      </c>
      <c r="I714" s="84" t="inlineStr">
        <is>
          <t>HDFC 0094</t>
        </is>
      </c>
      <c r="J714" s="84" t="inlineStr">
        <is>
          <t>HSL</t>
        </is>
      </c>
      <c r="K714" s="84" t="inlineStr">
        <is>
          <t>NET PI TO HSL SEC A/C 523686-00602340029434</t>
        </is>
      </c>
      <c r="L714" s="84" t="inlineStr">
        <is>
          <t>HDFC Bank</t>
        </is>
      </c>
      <c r="M714" s="84" t="inlineStr"/>
    </row>
    <row r="715">
      <c r="A715" s="83" t="n">
        <v>45649</v>
      </c>
      <c r="B715" s="83" t="n">
        <v>45649</v>
      </c>
      <c r="C715" s="84" t="n">
        <v>11981.51</v>
      </c>
      <c r="D715" s="84" t="n">
        <v>0</v>
      </c>
      <c r="E715" s="84" t="inlineStr"/>
      <c r="F715" s="84" t="inlineStr">
        <is>
          <t>HDFC Securities - Buy</t>
        </is>
      </c>
      <c r="G715" s="32" t="n">
        <v>0.97</v>
      </c>
      <c r="H715" s="84" t="inlineStr">
        <is>
          <t>HDFC Securities</t>
        </is>
      </c>
      <c r="I715" s="84" t="inlineStr">
        <is>
          <t>HDFC 0094</t>
        </is>
      </c>
      <c r="J715" s="84" t="inlineStr">
        <is>
          <t>HSL</t>
        </is>
      </c>
      <c r="K715" s="84" t="inlineStr">
        <is>
          <t>NET PI TO HSL SEC A/C 523686-00602340029434</t>
        </is>
      </c>
      <c r="L715" s="84" t="inlineStr">
        <is>
          <t>HDFC Bank</t>
        </is>
      </c>
      <c r="M715" s="84" t="inlineStr"/>
    </row>
    <row r="716">
      <c r="A716" s="83" t="n">
        <v>45650</v>
      </c>
      <c r="B716" s="83" t="n">
        <v>45650</v>
      </c>
      <c r="C716" s="84" t="n">
        <v>425.67</v>
      </c>
      <c r="D716" s="84" t="n">
        <v>0</v>
      </c>
      <c r="E716" s="84" t="inlineStr"/>
      <c r="F716" s="84" t="inlineStr">
        <is>
          <t>HDFC Securities - Buy</t>
        </is>
      </c>
      <c r="G716" s="32" t="n">
        <v>0.97</v>
      </c>
      <c r="H716" s="84" t="inlineStr">
        <is>
          <t>HDFC Securities</t>
        </is>
      </c>
      <c r="I716" s="84" t="inlineStr">
        <is>
          <t>HDFC 0094</t>
        </is>
      </c>
      <c r="J716" s="84" t="inlineStr">
        <is>
          <t>HSL</t>
        </is>
      </c>
      <c r="K716" s="84" t="inlineStr">
        <is>
          <t>NET PI TO HSL SEC A/C 523686-00602340029434</t>
        </is>
      </c>
      <c r="L716" s="84" t="inlineStr">
        <is>
          <t>HDFC Bank</t>
        </is>
      </c>
      <c r="M716" s="84" t="inlineStr"/>
    </row>
    <row r="717">
      <c r="A717" s="36" t="n">
        <v>45651</v>
      </c>
      <c r="B717" s="36" t="n">
        <v>45651</v>
      </c>
      <c r="C717" s="37" t="n">
        <v>0</v>
      </c>
      <c r="D717" s="37" t="n">
        <v>20000</v>
      </c>
      <c r="E717" s="37" t="inlineStr"/>
      <c r="F717" s="37" t="inlineStr">
        <is>
          <t>Received - Ajay Gupta</t>
        </is>
      </c>
      <c r="G717" s="32" t="n">
        <v>0.88</v>
      </c>
      <c r="H717" s="37" t="inlineStr">
        <is>
          <t>Ajay Gupta</t>
        </is>
      </c>
      <c r="I717" s="37" t="inlineStr">
        <is>
          <t>HDFC 0094</t>
        </is>
      </c>
      <c r="J717" s="37" t="inlineStr">
        <is>
          <t>Transfer by Ajay</t>
        </is>
      </c>
      <c r="K717" s="37" t="inlineStr">
        <is>
          <t>01671000085930-TPT-BORROW FROM AKG-AJAY KUMAR GUPTA</t>
        </is>
      </c>
      <c r="L717" s="37" t="inlineStr">
        <is>
          <t>HDFC Bank</t>
        </is>
      </c>
      <c r="M717" s="37" t="inlineStr"/>
    </row>
    <row r="718">
      <c r="A718" s="64" t="n">
        <v>45651</v>
      </c>
      <c r="B718" s="64" t="n">
        <v>45651</v>
      </c>
      <c r="C718" s="65" t="n">
        <v>11832</v>
      </c>
      <c r="D718" s="65" t="n">
        <v>0</v>
      </c>
      <c r="E718" s="65" t="inlineStr"/>
      <c r="F718" s="65" t="inlineStr">
        <is>
          <t>SIP</t>
        </is>
      </c>
      <c r="G718" s="32" t="n">
        <v>0.9</v>
      </c>
      <c r="H718" s="65" t="inlineStr">
        <is>
          <t>SIP</t>
        </is>
      </c>
      <c r="I718" s="65" t="inlineStr">
        <is>
          <t>HDFC 0094</t>
        </is>
      </c>
      <c r="J718" s="65" t="inlineStr">
        <is>
          <t>Electricity Bill</t>
        </is>
      </c>
      <c r="K718" s="65" t="inlineStr">
        <is>
          <t>YHDF2500679849/BILLDKTHECALCUTTAELE</t>
        </is>
      </c>
      <c r="L718" s="65" t="inlineStr">
        <is>
          <t>HDFC Bank</t>
        </is>
      </c>
      <c r="M718" s="65" t="inlineStr"/>
    </row>
    <row r="719">
      <c r="A719" s="40" t="n">
        <v>45651</v>
      </c>
      <c r="B719" s="40" t="n">
        <v>45651</v>
      </c>
      <c r="C719" s="41" t="n">
        <v>0</v>
      </c>
      <c r="D719" s="41" t="n">
        <v>149</v>
      </c>
      <c r="E719" s="41" t="inlineStr"/>
      <c r="F719" s="41" t="inlineStr">
        <is>
          <t>Bank Interest</t>
        </is>
      </c>
      <c r="G719" s="32" t="n">
        <v>0.9</v>
      </c>
      <c r="H719" s="41" t="inlineStr">
        <is>
          <t>Bank Interest</t>
        </is>
      </c>
      <c r="I719" s="41" t="inlineStr">
        <is>
          <t>SBI 7685</t>
        </is>
      </c>
      <c r="J719" s="41" t="inlineStr">
        <is>
          <t>Bank Interest</t>
        </is>
      </c>
      <c r="K719" s="41" t="inlineStr">
        <is>
          <t xml:space="preserve">   CREDIT INTEREST---</t>
        </is>
      </c>
      <c r="L719" s="41" t="inlineStr">
        <is>
          <t>State Bank of India</t>
        </is>
      </c>
      <c r="M719" s="41" t="inlineStr"/>
    </row>
    <row r="720">
      <c r="A720" s="30" t="n">
        <v>45652</v>
      </c>
      <c r="B720" s="30" t="n">
        <v>45652</v>
      </c>
      <c r="C720" s="31" t="n">
        <v>0</v>
      </c>
      <c r="D720" s="31" t="n">
        <v>1057.24</v>
      </c>
      <c r="E720" s="31" t="inlineStr"/>
      <c r="F720" s="31" t="inlineStr">
        <is>
          <t>HDFC Securities - Settlement</t>
        </is>
      </c>
      <c r="G720" s="32" t="n">
        <v>0.93</v>
      </c>
      <c r="H720" s="31" t="inlineStr">
        <is>
          <t>HDFC Securities</t>
        </is>
      </c>
      <c r="I720" s="31" t="inlineStr">
        <is>
          <t>HDFC 0094</t>
        </is>
      </c>
      <c r="J720" s="31" t="inlineStr">
        <is>
          <t>HDFC Sec</t>
        </is>
      </c>
      <c r="K720" s="31" t="inlineStr">
        <is>
          <t>FT- 594273619-50200085415108 - HDFC SECURITIES LTD-CLIENT DSCNB A/C -</t>
        </is>
      </c>
      <c r="L720" s="31" t="inlineStr">
        <is>
          <t>HDFC Bank</t>
        </is>
      </c>
      <c r="M720" s="31" t="inlineStr"/>
    </row>
    <row r="721">
      <c r="A721" s="64" t="n">
        <v>45652</v>
      </c>
      <c r="B721" s="64" t="n">
        <v>45652</v>
      </c>
      <c r="C721" s="65" t="n">
        <v>10000</v>
      </c>
      <c r="D721" s="65" t="n">
        <v>0</v>
      </c>
      <c r="E721" s="65" t="inlineStr"/>
      <c r="F721" s="65" t="inlineStr">
        <is>
          <t>SIP</t>
        </is>
      </c>
      <c r="G721" s="32" t="n">
        <v>0.95</v>
      </c>
      <c r="H721" s="65" t="inlineStr">
        <is>
          <t>SIP</t>
        </is>
      </c>
      <c r="I721" s="65" t="inlineStr">
        <is>
          <t>HDFC 0094</t>
        </is>
      </c>
      <c r="J721" s="65" t="inlineStr">
        <is>
          <t>SIP  - 10000</t>
        </is>
      </c>
      <c r="K721" s="65" t="inlineStr">
        <is>
          <t>ACH D- TP ACH INDIANESIGN-1660009188</t>
        </is>
      </c>
      <c r="L721" s="65" t="inlineStr">
        <is>
          <t>HDFC Bank</t>
        </is>
      </c>
      <c r="M721" s="65" t="inlineStr"/>
    </row>
    <row r="722">
      <c r="A722" s="83" t="n">
        <v>45652</v>
      </c>
      <c r="B722" s="83" t="n">
        <v>45652</v>
      </c>
      <c r="C722" s="84" t="n">
        <v>829.92</v>
      </c>
      <c r="D722" s="84" t="n">
        <v>0</v>
      </c>
      <c r="E722" s="84" t="inlineStr"/>
      <c r="F722" s="84" t="inlineStr">
        <is>
          <t>HDFC Securities - Buy</t>
        </is>
      </c>
      <c r="G722" s="32" t="n">
        <v>0.97</v>
      </c>
      <c r="H722" s="84" t="inlineStr">
        <is>
          <t>HDFC Securities</t>
        </is>
      </c>
      <c r="I722" s="84" t="inlineStr">
        <is>
          <t>HDFC 0094</t>
        </is>
      </c>
      <c r="J722" s="84" t="inlineStr">
        <is>
          <t>HSL</t>
        </is>
      </c>
      <c r="K722" s="84" t="inlineStr">
        <is>
          <t>NET PI TO HSL SEC A/C 523686-00602340029434</t>
        </is>
      </c>
      <c r="L722" s="84" t="inlineStr">
        <is>
          <t>HDFC Bank</t>
        </is>
      </c>
      <c r="M722" s="84" t="inlineStr"/>
    </row>
    <row r="723">
      <c r="A723" s="83" t="n">
        <v>45656</v>
      </c>
      <c r="B723" s="83" t="n">
        <v>45656</v>
      </c>
      <c r="C723" s="84" t="n">
        <v>84.56999999999999</v>
      </c>
      <c r="D723" s="84" t="n">
        <v>0</v>
      </c>
      <c r="E723" s="84" t="inlineStr"/>
      <c r="F723" s="84" t="inlineStr">
        <is>
          <t>HDFC Securities - Buy</t>
        </is>
      </c>
      <c r="G723" s="32" t="n">
        <v>0.97</v>
      </c>
      <c r="H723" s="84" t="inlineStr">
        <is>
          <t>HDFC Securities</t>
        </is>
      </c>
      <c r="I723" s="84" t="inlineStr">
        <is>
          <t>HDFC 0094</t>
        </is>
      </c>
      <c r="J723" s="84" t="inlineStr">
        <is>
          <t>HSL</t>
        </is>
      </c>
      <c r="K723" s="84" t="inlineStr">
        <is>
          <t>NET PI TO HSL SEC A/C 523686-00602340029434</t>
        </is>
      </c>
      <c r="L723" s="84" t="inlineStr">
        <is>
          <t>HDFC Bank</t>
        </is>
      </c>
      <c r="M723" s="84" t="inlineStr"/>
    </row>
    <row r="724">
      <c r="A724" s="42" t="n">
        <v>45656</v>
      </c>
      <c r="B724" s="42" t="n">
        <v>45656</v>
      </c>
      <c r="C724" s="43" t="n">
        <v>0</v>
      </c>
      <c r="D724" s="43" t="n">
        <v>84.56999999999999</v>
      </c>
      <c r="E724" s="43" t="inlineStr"/>
      <c r="F724" s="43" t="inlineStr">
        <is>
          <t>Dividend Income</t>
        </is>
      </c>
      <c r="G724" s="32" t="n">
        <v>0.85</v>
      </c>
      <c r="H724" s="43" t="inlineStr">
        <is>
          <t>Dividend Income</t>
        </is>
      </c>
      <c r="I724" s="43" t="inlineStr">
        <is>
          <t>HDFC 0094</t>
        </is>
      </c>
      <c r="J724" s="43" t="inlineStr">
        <is>
          <t>Dividend Income</t>
        </is>
      </c>
      <c r="K724" s="43" t="inlineStr">
        <is>
          <t>NEFT CR-UTIB0000004-AXIS MUTUAL FUND DIVIDEND A/C-SUNITA GUPTA-AXISCN0872204867</t>
        </is>
      </c>
      <c r="L724" s="43" t="inlineStr">
        <is>
          <t>HDFC Bank</t>
        </is>
      </c>
      <c r="M724" s="43" t="inlineStr"/>
    </row>
    <row r="725">
      <c r="A725" s="83" t="n">
        <v>45657</v>
      </c>
      <c r="B725" s="83" t="n">
        <v>45657</v>
      </c>
      <c r="C725" s="84" t="n">
        <v>6300.62</v>
      </c>
      <c r="D725" s="84" t="n">
        <v>0</v>
      </c>
      <c r="E725" s="84" t="inlineStr"/>
      <c r="F725" s="84" t="inlineStr">
        <is>
          <t>HDFC Securities - Buy</t>
        </is>
      </c>
      <c r="G725" s="32" t="n">
        <v>0.97</v>
      </c>
      <c r="H725" s="84" t="inlineStr">
        <is>
          <t>HDFC Securities</t>
        </is>
      </c>
      <c r="I725" s="84" t="inlineStr">
        <is>
          <t>HDFC 0094</t>
        </is>
      </c>
      <c r="J725" s="84" t="inlineStr">
        <is>
          <t>HSL</t>
        </is>
      </c>
      <c r="K725" s="84" t="inlineStr">
        <is>
          <t>NET PI TO HSL SEC A/C 523686-00602340029434</t>
        </is>
      </c>
      <c r="L725" s="84" t="inlineStr">
        <is>
          <t>HDFC Bank</t>
        </is>
      </c>
      <c r="M725" s="84" t="inlineStr"/>
    </row>
    <row r="726">
      <c r="A726" s="83" t="n">
        <v>45657</v>
      </c>
      <c r="B726" s="83" t="n">
        <v>45657</v>
      </c>
      <c r="C726" s="84" t="n">
        <v>426.63</v>
      </c>
      <c r="D726" s="84" t="n">
        <v>0</v>
      </c>
      <c r="E726" s="84" t="inlineStr"/>
      <c r="F726" s="84" t="inlineStr">
        <is>
          <t>HDFC Securities - Buy</t>
        </is>
      </c>
      <c r="G726" s="32" t="n">
        <v>0.97</v>
      </c>
      <c r="H726" s="84" t="inlineStr">
        <is>
          <t>HDFC Securities</t>
        </is>
      </c>
      <c r="I726" s="84" t="inlineStr">
        <is>
          <t>HDFC 0094</t>
        </is>
      </c>
      <c r="J726" s="84" t="inlineStr">
        <is>
          <t>HSL</t>
        </is>
      </c>
      <c r="K726" s="84" t="inlineStr">
        <is>
          <t>NET PI TO HSL SEC A/C 523686-00602340029434</t>
        </is>
      </c>
      <c r="L726" s="84" t="inlineStr">
        <is>
          <t>HDFC Bank</t>
        </is>
      </c>
      <c r="M726" s="84" t="inlineStr"/>
    </row>
    <row r="727">
      <c r="A727" s="30" t="n">
        <v>45657</v>
      </c>
      <c r="B727" s="30" t="n">
        <v>45657</v>
      </c>
      <c r="C727" s="31" t="n">
        <v>0</v>
      </c>
      <c r="D727" s="31" t="n">
        <v>24950.15</v>
      </c>
      <c r="E727" s="31" t="inlineStr"/>
      <c r="F727" s="31" t="inlineStr">
        <is>
          <t>HDFC Securities - Settlement</t>
        </is>
      </c>
      <c r="G727" s="32" t="n">
        <v>0.93</v>
      </c>
      <c r="H727" s="31" t="inlineStr">
        <is>
          <t>HDFC Securities</t>
        </is>
      </c>
      <c r="I727" s="31" t="inlineStr">
        <is>
          <t>HDFC 0094</t>
        </is>
      </c>
      <c r="J727" s="31" t="inlineStr">
        <is>
          <t>HDFC Sec</t>
        </is>
      </c>
      <c r="K727" s="31" t="inlineStr">
        <is>
          <t>FT- 595680118-50200085415108 - HDFC SECURITIES LTD-CLIENT DSCNB A/C -</t>
        </is>
      </c>
      <c r="L727" s="31" t="inlineStr">
        <is>
          <t>HDFC Bank</t>
        </is>
      </c>
      <c r="M727" s="31" t="inlineStr"/>
    </row>
    <row r="728">
      <c r="A728" s="40" t="n">
        <v>45658</v>
      </c>
      <c r="B728" s="40" t="n">
        <v>45658</v>
      </c>
      <c r="C728" s="41" t="n">
        <v>0</v>
      </c>
      <c r="D728" s="41" t="n">
        <v>505</v>
      </c>
      <c r="E728" s="41" t="inlineStr"/>
      <c r="F728" s="41" t="inlineStr">
        <is>
          <t>Bank Interest</t>
        </is>
      </c>
      <c r="G728" s="32" t="n">
        <v>0.93</v>
      </c>
      <c r="H728" s="41" t="inlineStr">
        <is>
          <t>Bank Interest</t>
        </is>
      </c>
      <c r="I728" s="41" t="inlineStr">
        <is>
          <t>AXIS 7042</t>
        </is>
      </c>
      <c r="J728" s="41" t="inlineStr">
        <is>
          <t>Bank Interest</t>
        </is>
      </c>
      <c r="K728" s="41" t="inlineStr">
        <is>
          <t>SB:919010088767042:Int.Pd:01-10-2024 to 31-12-2024</t>
        </is>
      </c>
      <c r="L728" s="41" t="inlineStr">
        <is>
          <t>Axis Bank</t>
        </is>
      </c>
      <c r="M728" s="41" t="inlineStr"/>
    </row>
    <row r="729">
      <c r="A729" s="83" t="n">
        <v>45658</v>
      </c>
      <c r="B729" s="83" t="n">
        <v>45658</v>
      </c>
      <c r="C729" s="84" t="n">
        <v>419.42</v>
      </c>
      <c r="D729" s="84" t="n">
        <v>0</v>
      </c>
      <c r="E729" s="84" t="inlineStr"/>
      <c r="F729" s="84" t="inlineStr">
        <is>
          <t>HDFC Securities - Buy</t>
        </is>
      </c>
      <c r="G729" s="32" t="n">
        <v>0.97</v>
      </c>
      <c r="H729" s="84" t="inlineStr">
        <is>
          <t>HDFC Securities</t>
        </is>
      </c>
      <c r="I729" s="84" t="inlineStr">
        <is>
          <t>HDFC 0094</t>
        </is>
      </c>
      <c r="J729" s="84" t="inlineStr">
        <is>
          <t>HSL</t>
        </is>
      </c>
      <c r="K729" s="84" t="inlineStr">
        <is>
          <t>NET PI TO HSL SEC A/C 523686-00602340029434</t>
        </is>
      </c>
      <c r="L729" s="84" t="inlineStr">
        <is>
          <t>HDFC Bank</t>
        </is>
      </c>
      <c r="M729" s="84" t="inlineStr"/>
    </row>
    <row r="730">
      <c r="A730" s="40" t="n">
        <v>45658</v>
      </c>
      <c r="B730" s="40" t="n">
        <v>45657</v>
      </c>
      <c r="C730" s="41" t="n">
        <v>0</v>
      </c>
      <c r="D730" s="41" t="n">
        <v>534</v>
      </c>
      <c r="E730" s="41" t="inlineStr"/>
      <c r="F730" s="41" t="inlineStr">
        <is>
          <t>Bank Interest</t>
        </is>
      </c>
      <c r="G730" s="32" t="n">
        <v>0.95</v>
      </c>
      <c r="H730" s="41" t="inlineStr">
        <is>
          <t>Bank Interest</t>
        </is>
      </c>
      <c r="I730" s="41" t="inlineStr">
        <is>
          <t>HDFC 0094</t>
        </is>
      </c>
      <c r="J730" s="41" t="inlineStr">
        <is>
          <t>Bank Interest</t>
        </is>
      </c>
      <c r="K730" s="41" t="inlineStr">
        <is>
          <t>INTEREST PAID TILL 31-DEC-2024</t>
        </is>
      </c>
      <c r="L730" s="41" t="inlineStr">
        <is>
          <t>HDFC Bank</t>
        </is>
      </c>
      <c r="M730" s="41" t="inlineStr"/>
    </row>
    <row r="731">
      <c r="A731" s="83" t="n">
        <v>45659</v>
      </c>
      <c r="B731" s="83" t="n">
        <v>45659</v>
      </c>
      <c r="C731" s="84" t="n">
        <v>419.42</v>
      </c>
      <c r="D731" s="84" t="n">
        <v>0</v>
      </c>
      <c r="E731" s="84" t="inlineStr"/>
      <c r="F731" s="84" t="inlineStr">
        <is>
          <t>HDFC Securities - Buy</t>
        </is>
      </c>
      <c r="G731" s="32" t="n">
        <v>0.97</v>
      </c>
      <c r="H731" s="84" t="inlineStr">
        <is>
          <t>HDFC Securities</t>
        </is>
      </c>
      <c r="I731" s="84" t="inlineStr">
        <is>
          <t>HDFC 0094</t>
        </is>
      </c>
      <c r="J731" s="84" t="inlineStr">
        <is>
          <t>HSL</t>
        </is>
      </c>
      <c r="K731" s="84" t="inlineStr">
        <is>
          <t>NET PI TO HSL SEC A/C 523686-00602340029434</t>
        </is>
      </c>
      <c r="L731" s="84" t="inlineStr">
        <is>
          <t>HDFC Bank</t>
        </is>
      </c>
      <c r="M731" s="84" t="inlineStr"/>
    </row>
    <row r="732">
      <c r="A732" s="30" t="n">
        <v>45659</v>
      </c>
      <c r="B732" s="30" t="n">
        <v>45659</v>
      </c>
      <c r="C732" s="31" t="n">
        <v>0</v>
      </c>
      <c r="D732" s="31" t="n">
        <v>1992.67</v>
      </c>
      <c r="E732" s="31" t="inlineStr"/>
      <c r="F732" s="31" t="inlineStr">
        <is>
          <t>HDFC Securities - Settlement</t>
        </is>
      </c>
      <c r="G732" s="32" t="n">
        <v>0.93</v>
      </c>
      <c r="H732" s="31" t="inlineStr">
        <is>
          <t>HDFC Securities</t>
        </is>
      </c>
      <c r="I732" s="31" t="inlineStr">
        <is>
          <t>HDFC 0094</t>
        </is>
      </c>
      <c r="J732" s="31" t="inlineStr">
        <is>
          <t>HDFC Sec</t>
        </is>
      </c>
      <c r="K732" s="31" t="inlineStr">
        <is>
          <t>FT- 596476875-50200085415108 - HDFC SECURITIES LTD-CLIENT DSCNB A/C -</t>
        </is>
      </c>
      <c r="L732" s="31" t="inlineStr">
        <is>
          <t>HDFC Bank</t>
        </is>
      </c>
      <c r="M732" s="31" t="inlineStr"/>
    </row>
    <row r="733">
      <c r="A733" s="36" t="n">
        <v>45659</v>
      </c>
      <c r="B733" s="36" t="n">
        <v>45659</v>
      </c>
      <c r="C733" s="37" t="n">
        <v>0</v>
      </c>
      <c r="D733" s="37" t="n">
        <v>100000</v>
      </c>
      <c r="E733" s="37" t="inlineStr"/>
      <c r="F733" s="37" t="inlineStr">
        <is>
          <t>Received - Ajay Gupta</t>
        </is>
      </c>
      <c r="G733" s="32" t="n">
        <v>0.88</v>
      </c>
      <c r="H733" s="37" t="inlineStr">
        <is>
          <t>Ajay Gupta</t>
        </is>
      </c>
      <c r="I733" s="37" t="inlineStr">
        <is>
          <t>HDFC 0094</t>
        </is>
      </c>
      <c r="J733" s="37" t="inlineStr">
        <is>
          <t>Transfer by Ajay</t>
        </is>
      </c>
      <c r="K733" s="37" t="inlineStr">
        <is>
          <t>01671000085930-TPT-TRANSFER FROM AJAY-AJAY KUMAR GUPTA</t>
        </is>
      </c>
      <c r="L733" s="37" t="inlineStr">
        <is>
          <t>HDFC Bank</t>
        </is>
      </c>
      <c r="M733" s="37" t="inlineStr"/>
    </row>
    <row r="734">
      <c r="A734" s="83" t="n">
        <v>45660</v>
      </c>
      <c r="B734" s="83" t="n">
        <v>45660</v>
      </c>
      <c r="C734" s="84" t="n">
        <v>420.13</v>
      </c>
      <c r="D734" s="84" t="n">
        <v>0</v>
      </c>
      <c r="E734" s="84" t="inlineStr"/>
      <c r="F734" s="84" t="inlineStr">
        <is>
          <t>HDFC Securities - Buy</t>
        </is>
      </c>
      <c r="G734" s="32" t="n">
        <v>0.97</v>
      </c>
      <c r="H734" s="84" t="inlineStr">
        <is>
          <t>HDFC Securities</t>
        </is>
      </c>
      <c r="I734" s="84" t="inlineStr">
        <is>
          <t>HDFC 0094</t>
        </is>
      </c>
      <c r="J734" s="84" t="inlineStr">
        <is>
          <t>HSL</t>
        </is>
      </c>
      <c r="K734" s="84" t="inlineStr">
        <is>
          <t>NET PI TO HSL SEC A/C 523686-00602340029434</t>
        </is>
      </c>
      <c r="L734" s="84" t="inlineStr">
        <is>
          <t>HDFC Bank</t>
        </is>
      </c>
      <c r="M734" s="84" t="inlineStr"/>
    </row>
    <row r="735">
      <c r="A735" s="83" t="n">
        <v>45660</v>
      </c>
      <c r="B735" s="83" t="n">
        <v>45660</v>
      </c>
      <c r="C735" s="84" t="n">
        <v>4805.21</v>
      </c>
      <c r="D735" s="84" t="n">
        <v>0</v>
      </c>
      <c r="E735" s="84" t="inlineStr"/>
      <c r="F735" s="84" t="inlineStr">
        <is>
          <t>HDFC Securities - Buy</t>
        </is>
      </c>
      <c r="G735" s="32" t="n">
        <v>0.97</v>
      </c>
      <c r="H735" s="84" t="inlineStr">
        <is>
          <t>HDFC Securities</t>
        </is>
      </c>
      <c r="I735" s="84" t="inlineStr">
        <is>
          <t>HDFC 0094</t>
        </is>
      </c>
      <c r="J735" s="84" t="inlineStr">
        <is>
          <t>HSL</t>
        </is>
      </c>
      <c r="K735" s="84" t="inlineStr">
        <is>
          <t>NET PI TO HSL SEC A/C 523686-00602340029434</t>
        </is>
      </c>
      <c r="L735" s="84" t="inlineStr">
        <is>
          <t>HDFC Bank</t>
        </is>
      </c>
      <c r="M735" s="84" t="inlineStr"/>
    </row>
    <row r="736">
      <c r="A736" s="30" t="n">
        <v>45660</v>
      </c>
      <c r="B736" s="30" t="n">
        <v>45660</v>
      </c>
      <c r="C736" s="31" t="n">
        <v>0</v>
      </c>
      <c r="D736" s="31" t="n">
        <v>20756.78</v>
      </c>
      <c r="E736" s="31" t="inlineStr"/>
      <c r="F736" s="31" t="inlineStr">
        <is>
          <t>HDFC Securities - Settlement</t>
        </is>
      </c>
      <c r="G736" s="32" t="n">
        <v>0.93</v>
      </c>
      <c r="H736" s="31" t="inlineStr">
        <is>
          <t>HDFC Securities</t>
        </is>
      </c>
      <c r="I736" s="31" t="inlineStr">
        <is>
          <t>HDFC 0094</t>
        </is>
      </c>
      <c r="J736" s="31" t="inlineStr">
        <is>
          <t>HDFC Sec</t>
        </is>
      </c>
      <c r="K736" s="31" t="inlineStr">
        <is>
          <t>FT- 596877830-50200085415108 - HDFC SECURITIES LTD-CLIENT DSCNB A/C -</t>
        </is>
      </c>
      <c r="L736" s="31" t="inlineStr">
        <is>
          <t>HDFC Bank</t>
        </is>
      </c>
      <c r="M736" s="31" t="inlineStr"/>
    </row>
    <row r="737">
      <c r="A737" s="116" t="n">
        <v>45661</v>
      </c>
      <c r="B737" s="116" t="n">
        <v>45661</v>
      </c>
      <c r="C737" s="117" t="n">
        <v>0</v>
      </c>
      <c r="D737" s="117" t="n">
        <v>11832</v>
      </c>
      <c r="E737" s="117" t="inlineStr"/>
      <c r="F737" s="117" t="inlineStr">
        <is>
          <t>Received - Sunita Gupta</t>
        </is>
      </c>
      <c r="G737" s="32" t="n">
        <v>0.88</v>
      </c>
      <c r="H737" s="117" t="inlineStr">
        <is>
          <t>Sunita Gupta</t>
        </is>
      </c>
      <c r="I737" s="117" t="inlineStr">
        <is>
          <t>HDFC 0094</t>
        </is>
      </c>
      <c r="J737" s="117" t="inlineStr">
        <is>
          <t>Rental Income</t>
        </is>
      </c>
      <c r="K737" s="117" t="inlineStr">
        <is>
          <t>NEFT CR-SBIN0004266-SBI GENERAL INSURANCE CO LTDSBI GEN-SUNITA GUPTA 0000000002717756-SBIN225004018693</t>
        </is>
      </c>
      <c r="L737" s="117" t="inlineStr">
        <is>
          <t>HDFC Bank</t>
        </is>
      </c>
      <c r="M737" s="117" t="inlineStr"/>
    </row>
    <row r="738">
      <c r="A738" s="64" t="n">
        <v>45661</v>
      </c>
      <c r="B738" s="64" t="n">
        <v>45661</v>
      </c>
      <c r="C738" s="65" t="n">
        <v>0</v>
      </c>
      <c r="D738" s="65" t="n">
        <v>24454.02</v>
      </c>
      <c r="E738" s="65" t="inlineStr"/>
      <c r="F738" s="65" t="inlineStr">
        <is>
          <t>NEFT Transfer</t>
        </is>
      </c>
      <c r="G738" s="53" t="n">
        <v>0.7</v>
      </c>
      <c r="H738" s="65" t="inlineStr">
        <is>
          <t>Transfer</t>
        </is>
      </c>
      <c r="I738" s="65" t="inlineStr">
        <is>
          <t>AXIS 7042</t>
        </is>
      </c>
      <c r="J738" s="65" t="inlineStr">
        <is>
          <t>Zerodha</t>
        </is>
      </c>
      <c r="K738" s="65" t="inlineStr">
        <is>
          <t>NEFT/YESF350044351321/ZERODHA BROKING LTD-DSCNB A//YES BANK/5c107df8698e45fda08666:Zerodh</t>
        </is>
      </c>
      <c r="L738" s="65" t="inlineStr">
        <is>
          <t>Axis Bank</t>
        </is>
      </c>
      <c r="M738" s="65" t="inlineStr"/>
    </row>
    <row r="739">
      <c r="A739" s="83" t="n">
        <v>45663</v>
      </c>
      <c r="B739" s="83" t="n">
        <v>45663</v>
      </c>
      <c r="C739" s="84" t="n">
        <v>1238.55</v>
      </c>
      <c r="D739" s="84" t="n">
        <v>0</v>
      </c>
      <c r="E739" s="84" t="inlineStr"/>
      <c r="F739" s="84" t="inlineStr">
        <is>
          <t>HDFC Securities - Buy</t>
        </is>
      </c>
      <c r="G739" s="32" t="n">
        <v>0.97</v>
      </c>
      <c r="H739" s="84" t="inlineStr">
        <is>
          <t>HDFC Securities</t>
        </is>
      </c>
      <c r="I739" s="84" t="inlineStr">
        <is>
          <t>HDFC 0094</t>
        </is>
      </c>
      <c r="J739" s="84" t="inlineStr">
        <is>
          <t>HSL</t>
        </is>
      </c>
      <c r="K739" s="84" t="inlineStr">
        <is>
          <t>NET PI TO HSL SEC A/C 523686-00602340029434</t>
        </is>
      </c>
      <c r="L739" s="84" t="inlineStr">
        <is>
          <t>HDFC Bank</t>
        </is>
      </c>
      <c r="M739" s="84" t="inlineStr"/>
    </row>
    <row r="740">
      <c r="A740" s="124" t="n">
        <v>45663</v>
      </c>
      <c r="B740" s="124" t="n">
        <v>45663</v>
      </c>
      <c r="C740" s="125" t="n">
        <v>50000</v>
      </c>
      <c r="D740" s="125" t="n">
        <v>0</v>
      </c>
      <c r="E740" s="125" t="inlineStr"/>
      <c r="F740" s="125" t="inlineStr">
        <is>
          <t>Transfer - Megha Gupta</t>
        </is>
      </c>
      <c r="G740" s="32" t="n">
        <v>0.85</v>
      </c>
      <c r="H740" s="125" t="inlineStr">
        <is>
          <t>Megha Gupta</t>
        </is>
      </c>
      <c r="I740" s="125" t="inlineStr">
        <is>
          <t>HDFC 0094</t>
        </is>
      </c>
      <c r="J740" s="125" t="inlineStr">
        <is>
          <t>Shaadi Kharcha</t>
        </is>
      </c>
      <c r="K740" s="125" t="inlineStr">
        <is>
          <t>NEFT DR-CBIN0281641-MEGHA GUPTA-NETBANK, MUM-N006253497197898-EXPENSES FOR EVENT</t>
        </is>
      </c>
      <c r="L740" s="125" t="inlineStr">
        <is>
          <t>HDFC Bank</t>
        </is>
      </c>
      <c r="M740" s="125" t="inlineStr"/>
    </row>
    <row r="741">
      <c r="A741" s="83" t="n">
        <v>45663</v>
      </c>
      <c r="B741" s="83" t="n">
        <v>45663</v>
      </c>
      <c r="C741" s="84" t="n">
        <v>28608.17</v>
      </c>
      <c r="D741" s="84" t="n">
        <v>0</v>
      </c>
      <c r="E741" s="84" t="inlineStr"/>
      <c r="F741" s="84" t="inlineStr">
        <is>
          <t>HDFC Securities - Buy</t>
        </is>
      </c>
      <c r="G741" s="32" t="n">
        <v>0.97</v>
      </c>
      <c r="H741" s="84" t="inlineStr">
        <is>
          <t>HDFC Securities</t>
        </is>
      </c>
      <c r="I741" s="84" t="inlineStr">
        <is>
          <t>HDFC 0094</t>
        </is>
      </c>
      <c r="J741" s="84" t="inlineStr">
        <is>
          <t>HSL</t>
        </is>
      </c>
      <c r="K741" s="84" t="inlineStr">
        <is>
          <t>NET PI TO HSL SEC A/C 523686-00602340029434</t>
        </is>
      </c>
      <c r="L741" s="84" t="inlineStr">
        <is>
          <t>HDFC Bank</t>
        </is>
      </c>
      <c r="M741" s="84" t="inlineStr"/>
    </row>
    <row r="742">
      <c r="A742" s="83" t="n">
        <v>45664</v>
      </c>
      <c r="B742" s="83" t="n">
        <v>45664</v>
      </c>
      <c r="C742" s="84" t="n">
        <v>402.67</v>
      </c>
      <c r="D742" s="84" t="n">
        <v>0</v>
      </c>
      <c r="E742" s="84" t="inlineStr"/>
      <c r="F742" s="84" t="inlineStr">
        <is>
          <t>HDFC Securities - Buy</t>
        </is>
      </c>
      <c r="G742" s="32" t="n">
        <v>0.97</v>
      </c>
      <c r="H742" s="84" t="inlineStr">
        <is>
          <t>HDFC Securities</t>
        </is>
      </c>
      <c r="I742" s="84" t="inlineStr">
        <is>
          <t>HDFC 0094</t>
        </is>
      </c>
      <c r="J742" s="84" t="inlineStr">
        <is>
          <t>HSL</t>
        </is>
      </c>
      <c r="K742" s="84" t="inlineStr">
        <is>
          <t>NET PI TO HSL SEC A/C 523686-00602340029434</t>
        </is>
      </c>
      <c r="L742" s="84" t="inlineStr">
        <is>
          <t>HDFC Bank</t>
        </is>
      </c>
      <c r="M742" s="84" t="inlineStr"/>
    </row>
    <row r="743">
      <c r="A743" s="116" t="n">
        <v>45664</v>
      </c>
      <c r="B743" s="116" t="n">
        <v>45664</v>
      </c>
      <c r="C743" s="117" t="n">
        <v>0</v>
      </c>
      <c r="D743" s="117" t="n">
        <v>34220</v>
      </c>
      <c r="E743" s="117" t="inlineStr"/>
      <c r="F743" s="117" t="inlineStr">
        <is>
          <t>Received - Sunita Gupta</t>
        </is>
      </c>
      <c r="G743" s="32" t="n">
        <v>0.88</v>
      </c>
      <c r="H743" s="117" t="inlineStr">
        <is>
          <t>Sunita Gupta</t>
        </is>
      </c>
      <c r="I743" s="117" t="inlineStr">
        <is>
          <t>HDFC 0094</t>
        </is>
      </c>
      <c r="J743" s="117" t="inlineStr">
        <is>
          <t>Rental Income</t>
        </is>
      </c>
      <c r="K743" s="117" t="inlineStr">
        <is>
          <t>NEFT CR-SBIN0004266-SBI GENERAL INSURANCE CO LTDSBI GEN-SUNITA GUPTA 0000000002717756-SBIN125007600924</t>
        </is>
      </c>
      <c r="L743" s="117" t="inlineStr">
        <is>
          <t>HDFC Bank</t>
        </is>
      </c>
      <c r="M743" s="117" t="inlineStr"/>
    </row>
    <row r="744">
      <c r="A744" s="30" t="n">
        <v>45665</v>
      </c>
      <c r="B744" s="30" t="n">
        <v>45665</v>
      </c>
      <c r="C744" s="31" t="n">
        <v>0</v>
      </c>
      <c r="D744" s="31" t="n">
        <v>9537.74</v>
      </c>
      <c r="E744" s="31" t="inlineStr"/>
      <c r="F744" s="31" t="inlineStr">
        <is>
          <t>HDFC Securities - Settlement</t>
        </is>
      </c>
      <c r="G744" s="32" t="n">
        <v>0.93</v>
      </c>
      <c r="H744" s="31" t="inlineStr">
        <is>
          <t>HDFC Securities</t>
        </is>
      </c>
      <c r="I744" s="31" t="inlineStr">
        <is>
          <t>HDFC 0094</t>
        </is>
      </c>
      <c r="J744" s="31" t="inlineStr">
        <is>
          <t>HDFC Sec</t>
        </is>
      </c>
      <c r="K744" s="31" t="inlineStr">
        <is>
          <t>FT- 598464901-50200085415108 - HDFC SECURITIES LTD-CLIENT DSCNB A/C -</t>
        </is>
      </c>
      <c r="L744" s="31" t="inlineStr">
        <is>
          <t>HDFC Bank</t>
        </is>
      </c>
      <c r="M744" s="31" t="inlineStr"/>
    </row>
    <row r="745">
      <c r="A745" s="83" t="n">
        <v>45665</v>
      </c>
      <c r="B745" s="83" t="n">
        <v>45665</v>
      </c>
      <c r="C745" s="84" t="n">
        <v>402.67</v>
      </c>
      <c r="D745" s="84" t="n">
        <v>0</v>
      </c>
      <c r="E745" s="84" t="inlineStr"/>
      <c r="F745" s="84" t="inlineStr">
        <is>
          <t>HDFC Securities - Buy</t>
        </is>
      </c>
      <c r="G745" s="32" t="n">
        <v>0.97</v>
      </c>
      <c r="H745" s="84" t="inlineStr">
        <is>
          <t>HDFC Securities</t>
        </is>
      </c>
      <c r="I745" s="84" t="inlineStr">
        <is>
          <t>HDFC 0094</t>
        </is>
      </c>
      <c r="J745" s="84" t="inlineStr">
        <is>
          <t>HSL</t>
        </is>
      </c>
      <c r="K745" s="84" t="inlineStr">
        <is>
          <t>NET PI TO HSL SEC A/C 523686-00602340029434</t>
        </is>
      </c>
      <c r="L745" s="84" t="inlineStr">
        <is>
          <t>HDFC Bank</t>
        </is>
      </c>
      <c r="M745" s="84" t="inlineStr"/>
    </row>
    <row r="746">
      <c r="A746" s="83" t="n">
        <v>45665</v>
      </c>
      <c r="B746" s="83" t="n">
        <v>45665</v>
      </c>
      <c r="C746" s="84" t="n">
        <v>5884.13</v>
      </c>
      <c r="D746" s="84" t="n">
        <v>0</v>
      </c>
      <c r="E746" s="84" t="inlineStr"/>
      <c r="F746" s="84" t="inlineStr">
        <is>
          <t>HDFC Securities - Buy</t>
        </is>
      </c>
      <c r="G746" s="32" t="n">
        <v>0.97</v>
      </c>
      <c r="H746" s="84" t="inlineStr">
        <is>
          <t>HDFC Securities</t>
        </is>
      </c>
      <c r="I746" s="84" t="inlineStr">
        <is>
          <t>HDFC 0094</t>
        </is>
      </c>
      <c r="J746" s="84" t="inlineStr">
        <is>
          <t>HSL</t>
        </is>
      </c>
      <c r="K746" s="84" t="inlineStr">
        <is>
          <t>NET PI TO HSL SEC A/C 523686-00602340029434</t>
        </is>
      </c>
      <c r="L746" s="84" t="inlineStr">
        <is>
          <t>HDFC Bank</t>
        </is>
      </c>
      <c r="M746" s="84" t="inlineStr"/>
    </row>
    <row r="747">
      <c r="A747" s="83" t="n">
        <v>45666</v>
      </c>
      <c r="B747" s="83" t="n">
        <v>45666</v>
      </c>
      <c r="C747" s="84" t="n">
        <v>8119.52</v>
      </c>
      <c r="D747" s="84" t="n">
        <v>0</v>
      </c>
      <c r="E747" s="84" t="inlineStr"/>
      <c r="F747" s="84" t="inlineStr">
        <is>
          <t>HDFC Securities - Buy</t>
        </is>
      </c>
      <c r="G747" s="32" t="n">
        <v>0.97</v>
      </c>
      <c r="H747" s="84" t="inlineStr">
        <is>
          <t>HDFC Securities</t>
        </is>
      </c>
      <c r="I747" s="84" t="inlineStr">
        <is>
          <t>HDFC 0094</t>
        </is>
      </c>
      <c r="J747" s="84" t="inlineStr">
        <is>
          <t>HSL</t>
        </is>
      </c>
      <c r="K747" s="84" t="inlineStr">
        <is>
          <t>NET PI TO HSL SEC A/C 523686-00602340029434</t>
        </is>
      </c>
      <c r="L747" s="84" t="inlineStr">
        <is>
          <t>HDFC Bank</t>
        </is>
      </c>
      <c r="M747" s="84" t="inlineStr"/>
    </row>
    <row r="748">
      <c r="A748" s="83" t="n">
        <v>45666</v>
      </c>
      <c r="B748" s="83" t="n">
        <v>45666</v>
      </c>
      <c r="C748" s="84" t="n">
        <v>403.97</v>
      </c>
      <c r="D748" s="84" t="n">
        <v>0</v>
      </c>
      <c r="E748" s="84" t="inlineStr"/>
      <c r="F748" s="84" t="inlineStr">
        <is>
          <t>HDFC Securities - Buy</t>
        </is>
      </c>
      <c r="G748" s="32" t="n">
        <v>0.97</v>
      </c>
      <c r="H748" s="84" t="inlineStr">
        <is>
          <t>HDFC Securities</t>
        </is>
      </c>
      <c r="I748" s="84" t="inlineStr">
        <is>
          <t>HDFC 0094</t>
        </is>
      </c>
      <c r="J748" s="84" t="inlineStr">
        <is>
          <t>HSL</t>
        </is>
      </c>
      <c r="K748" s="84" t="inlineStr">
        <is>
          <t>NET PI TO HSL SEC A/C 523686-00602340029434</t>
        </is>
      </c>
      <c r="L748" s="84" t="inlineStr">
        <is>
          <t>HDFC Bank</t>
        </is>
      </c>
      <c r="M748" s="84" t="inlineStr"/>
    </row>
    <row r="749">
      <c r="A749" s="83" t="n">
        <v>45667</v>
      </c>
      <c r="B749" s="83" t="n">
        <v>45667</v>
      </c>
      <c r="C749" s="84" t="n">
        <v>19082.76</v>
      </c>
      <c r="D749" s="84" t="n">
        <v>0</v>
      </c>
      <c r="E749" s="84" t="inlineStr"/>
      <c r="F749" s="84" t="inlineStr">
        <is>
          <t>HDFC Securities - Buy</t>
        </is>
      </c>
      <c r="G749" s="32" t="n">
        <v>0.97</v>
      </c>
      <c r="H749" s="84" t="inlineStr">
        <is>
          <t>HDFC Securities</t>
        </is>
      </c>
      <c r="I749" s="84" t="inlineStr">
        <is>
          <t>HDFC 0094</t>
        </is>
      </c>
      <c r="J749" s="84" t="inlineStr">
        <is>
          <t>HSL</t>
        </is>
      </c>
      <c r="K749" s="84" t="inlineStr">
        <is>
          <t>NET PI TO HSL SEC A/C 523686-00602340029434</t>
        </is>
      </c>
      <c r="L749" s="84" t="inlineStr">
        <is>
          <t>HDFC Bank</t>
        </is>
      </c>
      <c r="M749" s="84" t="inlineStr"/>
    </row>
    <row r="750">
      <c r="A750" s="83" t="n">
        <v>45667</v>
      </c>
      <c r="B750" s="83" t="n">
        <v>45667</v>
      </c>
      <c r="C750" s="84" t="n">
        <v>401.07</v>
      </c>
      <c r="D750" s="84" t="n">
        <v>0</v>
      </c>
      <c r="E750" s="84" t="inlineStr"/>
      <c r="F750" s="84" t="inlineStr">
        <is>
          <t>HDFC Securities - Buy</t>
        </is>
      </c>
      <c r="G750" s="32" t="n">
        <v>0.97</v>
      </c>
      <c r="H750" s="84" t="inlineStr">
        <is>
          <t>HDFC Securities</t>
        </is>
      </c>
      <c r="I750" s="84" t="inlineStr">
        <is>
          <t>HDFC 0094</t>
        </is>
      </c>
      <c r="J750" s="84" t="inlineStr">
        <is>
          <t>HSL</t>
        </is>
      </c>
      <c r="K750" s="84" t="inlineStr">
        <is>
          <t>NET PI TO HSL SEC A/C 523686-00602340029434</t>
        </is>
      </c>
      <c r="L750" s="84" t="inlineStr">
        <is>
          <t>HDFC Bank</t>
        </is>
      </c>
      <c r="M750" s="84" t="inlineStr"/>
    </row>
    <row r="751">
      <c r="A751" s="30" t="n">
        <v>45667</v>
      </c>
      <c r="B751" s="30" t="n">
        <v>45667</v>
      </c>
      <c r="C751" s="31" t="n">
        <v>20000</v>
      </c>
      <c r="D751" s="31" t="n">
        <v>0</v>
      </c>
      <c r="E751" s="31" t="inlineStr"/>
      <c r="F751" s="31" t="inlineStr">
        <is>
          <t>Cash Withdrawal</t>
        </is>
      </c>
      <c r="G751" s="32" t="n">
        <v>0.92</v>
      </c>
      <c r="H751" s="31" t="inlineStr">
        <is>
          <t>Cash</t>
        </is>
      </c>
      <c r="I751" s="31" t="inlineStr">
        <is>
          <t>HDFC 0094</t>
        </is>
      </c>
      <c r="J751" s="31" t="inlineStr">
        <is>
          <t>ATM Withdrawal</t>
        </is>
      </c>
      <c r="K751" s="31" t="inlineStr">
        <is>
          <t>ATW-498792XXXXXX0500-S1ANRS37-KOTA</t>
        </is>
      </c>
      <c r="L751" s="31" t="inlineStr">
        <is>
          <t>HDFC Bank</t>
        </is>
      </c>
      <c r="M751" s="31" t="inlineStr"/>
    </row>
    <row r="752">
      <c r="A752" s="83" t="n">
        <v>45670</v>
      </c>
      <c r="B752" s="83" t="n">
        <v>45670</v>
      </c>
      <c r="C752" s="84" t="n">
        <v>34962.56</v>
      </c>
      <c r="D752" s="84" t="n">
        <v>0</v>
      </c>
      <c r="E752" s="84" t="inlineStr"/>
      <c r="F752" s="84" t="inlineStr">
        <is>
          <t>HDFC Securities - Buy</t>
        </is>
      </c>
      <c r="G752" s="32" t="n">
        <v>0.97</v>
      </c>
      <c r="H752" s="84" t="inlineStr">
        <is>
          <t>HDFC Securities</t>
        </is>
      </c>
      <c r="I752" s="84" t="inlineStr">
        <is>
          <t>HDFC 0094</t>
        </is>
      </c>
      <c r="J752" s="84" t="inlineStr">
        <is>
          <t>HSL</t>
        </is>
      </c>
      <c r="K752" s="84" t="inlineStr">
        <is>
          <t>NET PI TO HSL SEC A/C 523686-00602340029434</t>
        </is>
      </c>
      <c r="L752" s="84" t="inlineStr">
        <is>
          <t>HDFC Bank</t>
        </is>
      </c>
      <c r="M752" s="84" t="inlineStr"/>
    </row>
    <row r="753">
      <c r="A753" s="89" t="n">
        <v>45670</v>
      </c>
      <c r="B753" s="89" t="n">
        <v>45670</v>
      </c>
      <c r="C753" s="90" t="n">
        <v>672.6</v>
      </c>
      <c r="D753" s="90" t="n">
        <v>0</v>
      </c>
      <c r="E753" s="90" t="inlineStr"/>
      <c r="F753" s="90" t="inlineStr">
        <is>
          <t>Depository Charges</t>
        </is>
      </c>
      <c r="G753" s="32" t="n">
        <v>0.93</v>
      </c>
      <c r="H753" s="90" t="inlineStr">
        <is>
          <t>Depository Charges</t>
        </is>
      </c>
      <c r="I753" s="90" t="inlineStr">
        <is>
          <t>HDFC 0094</t>
        </is>
      </c>
      <c r="J753" s="90" t="inlineStr">
        <is>
          <t>Depository Charges</t>
        </is>
      </c>
      <c r="K753" s="90" t="inlineStr">
        <is>
          <t>DEPOSITORY CHARGES DEC24 - 41060499</t>
        </is>
      </c>
      <c r="L753" s="90" t="inlineStr">
        <is>
          <t>HDFC Bank</t>
        </is>
      </c>
      <c r="M753" s="90" t="inlineStr"/>
    </row>
    <row r="754">
      <c r="A754" s="83" t="n">
        <v>45670</v>
      </c>
      <c r="B754" s="83" t="n">
        <v>45670</v>
      </c>
      <c r="C754" s="84" t="n">
        <v>1182.84</v>
      </c>
      <c r="D754" s="84" t="n">
        <v>0</v>
      </c>
      <c r="E754" s="84" t="inlineStr"/>
      <c r="F754" s="84" t="inlineStr">
        <is>
          <t>HDFC Securities - Buy</t>
        </is>
      </c>
      <c r="G754" s="32" t="n">
        <v>0.97</v>
      </c>
      <c r="H754" s="84" t="inlineStr">
        <is>
          <t>HDFC Securities</t>
        </is>
      </c>
      <c r="I754" s="84" t="inlineStr">
        <is>
          <t>HDFC 0094</t>
        </is>
      </c>
      <c r="J754" s="84" t="inlineStr">
        <is>
          <t>HSL</t>
        </is>
      </c>
      <c r="K754" s="84" t="inlineStr">
        <is>
          <t>NET PI TO HSL SEC A/C 523686-00602340029434</t>
        </is>
      </c>
      <c r="L754" s="84" t="inlineStr">
        <is>
          <t>HDFC Bank</t>
        </is>
      </c>
      <c r="M754" s="84" t="inlineStr"/>
    </row>
    <row r="755">
      <c r="A755" s="83" t="n">
        <v>45671</v>
      </c>
      <c r="B755" s="83" t="n">
        <v>45671</v>
      </c>
      <c r="C755" s="84" t="n">
        <v>381.83</v>
      </c>
      <c r="D755" s="84" t="n">
        <v>0</v>
      </c>
      <c r="E755" s="84" t="inlineStr"/>
      <c r="F755" s="84" t="inlineStr">
        <is>
          <t>HDFC Securities - Buy</t>
        </is>
      </c>
      <c r="G755" s="32" t="n">
        <v>0.97</v>
      </c>
      <c r="H755" s="84" t="inlineStr">
        <is>
          <t>HDFC Securities</t>
        </is>
      </c>
      <c r="I755" s="84" t="inlineStr">
        <is>
          <t>HDFC 0094</t>
        </is>
      </c>
      <c r="J755" s="84" t="inlineStr">
        <is>
          <t>HSL</t>
        </is>
      </c>
      <c r="K755" s="84" t="inlineStr">
        <is>
          <t>NET PI TO HSL SEC A/C 523686-00602340029434</t>
        </is>
      </c>
      <c r="L755" s="84" t="inlineStr">
        <is>
          <t>HDFC Bank</t>
        </is>
      </c>
      <c r="M755" s="84" t="inlineStr"/>
    </row>
    <row r="756">
      <c r="A756" s="83" t="n">
        <v>45672</v>
      </c>
      <c r="B756" s="83" t="n">
        <v>45672</v>
      </c>
      <c r="C756" s="84" t="n">
        <v>381.83</v>
      </c>
      <c r="D756" s="84" t="n">
        <v>0</v>
      </c>
      <c r="E756" s="84" t="inlineStr"/>
      <c r="F756" s="84" t="inlineStr">
        <is>
          <t>HDFC Securities - Buy</t>
        </is>
      </c>
      <c r="G756" s="32" t="n">
        <v>0.97</v>
      </c>
      <c r="H756" s="84" t="inlineStr">
        <is>
          <t>HDFC Securities</t>
        </is>
      </c>
      <c r="I756" s="84" t="inlineStr">
        <is>
          <t>HDFC 0094</t>
        </is>
      </c>
      <c r="J756" s="84" t="inlineStr">
        <is>
          <t>HSL</t>
        </is>
      </c>
      <c r="K756" s="84" t="inlineStr">
        <is>
          <t>NET PI TO HSL SEC A/C 523686-00602340029434</t>
        </is>
      </c>
      <c r="L756" s="84" t="inlineStr">
        <is>
          <t>HDFC Bank</t>
        </is>
      </c>
      <c r="M756" s="84" t="inlineStr"/>
    </row>
    <row r="757">
      <c r="A757" s="30" t="n">
        <v>45672</v>
      </c>
      <c r="B757" s="30" t="n">
        <v>45672</v>
      </c>
      <c r="C757" s="31" t="n">
        <v>0</v>
      </c>
      <c r="D757" s="31" t="n">
        <v>24711.87</v>
      </c>
      <c r="E757" s="31" t="inlineStr"/>
      <c r="F757" s="31" t="inlineStr">
        <is>
          <t>HDFC Securities - Settlement</t>
        </is>
      </c>
      <c r="G757" s="32" t="n">
        <v>0.93</v>
      </c>
      <c r="H757" s="31" t="inlineStr">
        <is>
          <t>HDFC Securities</t>
        </is>
      </c>
      <c r="I757" s="31" t="inlineStr">
        <is>
          <t>HDFC 0094</t>
        </is>
      </c>
      <c r="J757" s="31" t="inlineStr">
        <is>
          <t>HDFC Sec</t>
        </is>
      </c>
      <c r="K757" s="31" t="inlineStr">
        <is>
          <t>FT- 600825987-50200085415108 - HDFC SECURITIES LTD-CLIENT DSCNB A/C -</t>
        </is>
      </c>
      <c r="L757" s="31" t="inlineStr">
        <is>
          <t>HDFC Bank</t>
        </is>
      </c>
      <c r="M757" s="31" t="inlineStr"/>
    </row>
    <row r="758">
      <c r="A758" s="64" t="n">
        <v>45672</v>
      </c>
      <c r="B758" s="64" t="n">
        <v>45672</v>
      </c>
      <c r="C758" s="65" t="n">
        <v>5000</v>
      </c>
      <c r="D758" s="65" t="n">
        <v>0</v>
      </c>
      <c r="E758" s="65" t="inlineStr"/>
      <c r="F758" s="65" t="inlineStr">
        <is>
          <t>SIP</t>
        </is>
      </c>
      <c r="G758" s="32" t="n">
        <v>0.95</v>
      </c>
      <c r="H758" s="65" t="inlineStr">
        <is>
          <t>SIP</t>
        </is>
      </c>
      <c r="I758" s="65" t="inlineStr">
        <is>
          <t>HDFC 0094</t>
        </is>
      </c>
      <c r="J758" s="65" t="inlineStr">
        <is>
          <t>SIP  - 5000</t>
        </is>
      </c>
      <c r="K758" s="65" t="inlineStr">
        <is>
          <t>ACH D- TP ACH INDIANESIGN-1689209396</t>
        </is>
      </c>
      <c r="L758" s="65" t="inlineStr">
        <is>
          <t>HDFC Bank</t>
        </is>
      </c>
      <c r="M758" s="65" t="inlineStr"/>
    </row>
    <row r="759">
      <c r="A759" s="83" t="n">
        <v>45673</v>
      </c>
      <c r="B759" s="83" t="n">
        <v>45673</v>
      </c>
      <c r="C759" s="84" t="n">
        <v>390.63</v>
      </c>
      <c r="D759" s="84" t="n">
        <v>0</v>
      </c>
      <c r="E759" s="84" t="inlineStr"/>
      <c r="F759" s="84" t="inlineStr">
        <is>
          <t>HDFC Securities - Buy</t>
        </is>
      </c>
      <c r="G759" s="32" t="n">
        <v>0.97</v>
      </c>
      <c r="H759" s="84" t="inlineStr">
        <is>
          <t>HDFC Securities</t>
        </is>
      </c>
      <c r="I759" s="84" t="inlineStr">
        <is>
          <t>HDFC 0094</t>
        </is>
      </c>
      <c r="J759" s="84" t="inlineStr">
        <is>
          <t>HSL</t>
        </is>
      </c>
      <c r="K759" s="84" t="inlineStr">
        <is>
          <t>NET PI TO HSL SEC A/C 523686-00602340029434</t>
        </is>
      </c>
      <c r="L759" s="84" t="inlineStr">
        <is>
          <t>HDFC Bank</t>
        </is>
      </c>
      <c r="M759" s="84" t="inlineStr"/>
    </row>
    <row r="760">
      <c r="A760" s="30" t="n">
        <v>45673</v>
      </c>
      <c r="B760" s="30" t="n">
        <v>45673</v>
      </c>
      <c r="C760" s="31" t="n">
        <v>0</v>
      </c>
      <c r="D760" s="31" t="n">
        <v>1280.39</v>
      </c>
      <c r="E760" s="31" t="inlineStr"/>
      <c r="F760" s="31" t="inlineStr">
        <is>
          <t>HDFC Securities - Settlement</t>
        </is>
      </c>
      <c r="G760" s="32" t="n">
        <v>0.93</v>
      </c>
      <c r="H760" s="31" t="inlineStr">
        <is>
          <t>HDFC Securities</t>
        </is>
      </c>
      <c r="I760" s="31" t="inlineStr">
        <is>
          <t>HDFC 0094</t>
        </is>
      </c>
      <c r="J760" s="31" t="inlineStr">
        <is>
          <t>HDFC Sec</t>
        </is>
      </c>
      <c r="K760" s="31" t="inlineStr">
        <is>
          <t>FT- 601273702-50200085415108 - HDFC SECURITIES LTD-CLIENT DSCNB A/C -</t>
        </is>
      </c>
      <c r="L760" s="31" t="inlineStr">
        <is>
          <t>HDFC Bank</t>
        </is>
      </c>
      <c r="M760" s="31" t="inlineStr"/>
    </row>
    <row r="761">
      <c r="A761" s="83" t="n">
        <v>45674</v>
      </c>
      <c r="B761" s="83" t="n">
        <v>45674</v>
      </c>
      <c r="C761" s="84" t="n">
        <v>391.08</v>
      </c>
      <c r="D761" s="84" t="n">
        <v>0</v>
      </c>
      <c r="E761" s="84" t="inlineStr"/>
      <c r="F761" s="84" t="inlineStr">
        <is>
          <t>HDFC Securities - Buy</t>
        </is>
      </c>
      <c r="G761" s="32" t="n">
        <v>0.97</v>
      </c>
      <c r="H761" s="84" t="inlineStr">
        <is>
          <t>HDFC Securities</t>
        </is>
      </c>
      <c r="I761" s="84" t="inlineStr">
        <is>
          <t>HDFC 0094</t>
        </is>
      </c>
      <c r="J761" s="84" t="inlineStr">
        <is>
          <t>HSL</t>
        </is>
      </c>
      <c r="K761" s="84" t="inlineStr">
        <is>
          <t>NET PI TO HSL SEC A/C 523686-00602340029434</t>
        </is>
      </c>
      <c r="L761" s="84" t="inlineStr">
        <is>
          <t>HDFC Bank</t>
        </is>
      </c>
      <c r="M761" s="84" t="inlineStr"/>
    </row>
    <row r="762">
      <c r="A762" s="30" t="n">
        <v>45674</v>
      </c>
      <c r="B762" s="30" t="n">
        <v>45674</v>
      </c>
      <c r="C762" s="31" t="n">
        <v>0</v>
      </c>
      <c r="D762" s="31" t="n">
        <v>16238.56</v>
      </c>
      <c r="E762" s="31" t="inlineStr"/>
      <c r="F762" s="31" t="inlineStr">
        <is>
          <t>HDFC Securities - Settlement</t>
        </is>
      </c>
      <c r="G762" s="32" t="n">
        <v>0.93</v>
      </c>
      <c r="H762" s="31" t="inlineStr">
        <is>
          <t>HDFC Securities</t>
        </is>
      </c>
      <c r="I762" s="31" t="inlineStr">
        <is>
          <t>HDFC 0094</t>
        </is>
      </c>
      <c r="J762" s="31" t="inlineStr">
        <is>
          <t>HDFC Sec</t>
        </is>
      </c>
      <c r="K762" s="31" t="inlineStr">
        <is>
          <t>FT- 601652980-50200085415108 - HDFC SECURITIES LTD-CLIENT DSCNB A/C -</t>
        </is>
      </c>
      <c r="L762" s="31" t="inlineStr">
        <is>
          <t>HDFC Bank</t>
        </is>
      </c>
      <c r="M762" s="31" t="inlineStr"/>
    </row>
    <row r="763">
      <c r="A763" s="30" t="n">
        <v>45677</v>
      </c>
      <c r="B763" s="30" t="n">
        <v>45677</v>
      </c>
      <c r="C763" s="31" t="n">
        <v>0</v>
      </c>
      <c r="D763" s="31" t="n">
        <v>1432.58</v>
      </c>
      <c r="E763" s="31" t="inlineStr"/>
      <c r="F763" s="31" t="inlineStr">
        <is>
          <t>HDFC Securities - Settlement</t>
        </is>
      </c>
      <c r="G763" s="32" t="n">
        <v>0.93</v>
      </c>
      <c r="H763" s="31" t="inlineStr">
        <is>
          <t>HDFC Securities</t>
        </is>
      </c>
      <c r="I763" s="31" t="inlineStr">
        <is>
          <t>HDFC 0094</t>
        </is>
      </c>
      <c r="J763" s="31" t="inlineStr">
        <is>
          <t>HDFC Sec</t>
        </is>
      </c>
      <c r="K763" s="31" t="inlineStr">
        <is>
          <t>FT- 602049692-50200085415108 - HDFC SECURITIES LTD-CLIENT DSCNB A/C -</t>
        </is>
      </c>
      <c r="L763" s="31" t="inlineStr">
        <is>
          <t>HDFC Bank</t>
        </is>
      </c>
      <c r="M763" s="31" t="inlineStr"/>
    </row>
    <row r="764">
      <c r="A764" s="83" t="n">
        <v>45677</v>
      </c>
      <c r="B764" s="83" t="n">
        <v>45677</v>
      </c>
      <c r="C764" s="84" t="n">
        <v>1190.61</v>
      </c>
      <c r="D764" s="84" t="n">
        <v>0</v>
      </c>
      <c r="E764" s="84" t="inlineStr"/>
      <c r="F764" s="84" t="inlineStr">
        <is>
          <t>HDFC Securities - Buy</t>
        </is>
      </c>
      <c r="G764" s="32" t="n">
        <v>0.97</v>
      </c>
      <c r="H764" s="84" t="inlineStr">
        <is>
          <t>HDFC Securities</t>
        </is>
      </c>
      <c r="I764" s="84" t="inlineStr">
        <is>
          <t>HDFC 0094</t>
        </is>
      </c>
      <c r="J764" s="84" t="inlineStr">
        <is>
          <t>HSL</t>
        </is>
      </c>
      <c r="K764" s="84" t="inlineStr">
        <is>
          <t>NET PI TO HSL SEC A/C 523686-00602340029434</t>
        </is>
      </c>
      <c r="L764" s="84" t="inlineStr">
        <is>
          <t>HDFC Bank</t>
        </is>
      </c>
      <c r="M764" s="84" t="inlineStr"/>
    </row>
    <row r="765">
      <c r="A765" s="30" t="n">
        <v>45678</v>
      </c>
      <c r="B765" s="30" t="n">
        <v>45678</v>
      </c>
      <c r="C765" s="31" t="n">
        <v>0</v>
      </c>
      <c r="D765" s="31" t="n">
        <v>1579.59</v>
      </c>
      <c r="E765" s="31" t="inlineStr"/>
      <c r="F765" s="31" t="inlineStr">
        <is>
          <t>HDFC Securities - Settlement</t>
        </is>
      </c>
      <c r="G765" s="32" t="n">
        <v>0.93</v>
      </c>
      <c r="H765" s="31" t="inlineStr">
        <is>
          <t>HDFC Securities</t>
        </is>
      </c>
      <c r="I765" s="31" t="inlineStr">
        <is>
          <t>HDFC 0094</t>
        </is>
      </c>
      <c r="J765" s="31" t="inlineStr">
        <is>
          <t>HDFC Sec</t>
        </is>
      </c>
      <c r="K765" s="31" t="inlineStr">
        <is>
          <t>FT- 602479922-50200085415108 - HDFC SECURITIES LTD-CLIENT DSCNB A/C -</t>
        </is>
      </c>
      <c r="L765" s="31" t="inlineStr">
        <is>
          <t>HDFC Bank</t>
        </is>
      </c>
      <c r="M765" s="31" t="inlineStr"/>
    </row>
    <row r="766">
      <c r="A766" s="83" t="n">
        <v>45678</v>
      </c>
      <c r="B766" s="83" t="n">
        <v>45678</v>
      </c>
      <c r="C766" s="84" t="n">
        <v>397.38</v>
      </c>
      <c r="D766" s="84" t="n">
        <v>0</v>
      </c>
      <c r="E766" s="84" t="inlineStr"/>
      <c r="F766" s="84" t="inlineStr">
        <is>
          <t>HDFC Securities - Buy</t>
        </is>
      </c>
      <c r="G766" s="32" t="n">
        <v>0.97</v>
      </c>
      <c r="H766" s="84" t="inlineStr">
        <is>
          <t>HDFC Securities</t>
        </is>
      </c>
      <c r="I766" s="84" t="inlineStr">
        <is>
          <t>HDFC 0094</t>
        </is>
      </c>
      <c r="J766" s="84" t="inlineStr">
        <is>
          <t>HSL</t>
        </is>
      </c>
      <c r="K766" s="84" t="inlineStr">
        <is>
          <t>NET PI TO HSL SEC A/C 523686-00602340029434</t>
        </is>
      </c>
      <c r="L766" s="84" t="inlineStr">
        <is>
          <t>HDFC Bank</t>
        </is>
      </c>
      <c r="M766" s="84" t="inlineStr"/>
    </row>
    <row r="767">
      <c r="A767" s="83" t="n">
        <v>45678</v>
      </c>
      <c r="B767" s="83" t="n">
        <v>45678</v>
      </c>
      <c r="C767" s="84" t="n">
        <v>14686.8</v>
      </c>
      <c r="D767" s="84" t="n">
        <v>0</v>
      </c>
      <c r="E767" s="84" t="inlineStr"/>
      <c r="F767" s="84" t="inlineStr">
        <is>
          <t>HDFC Securities - Buy</t>
        </is>
      </c>
      <c r="G767" s="32" t="n">
        <v>0.97</v>
      </c>
      <c r="H767" s="84" t="inlineStr">
        <is>
          <t>HDFC Securities</t>
        </is>
      </c>
      <c r="I767" s="84" t="inlineStr">
        <is>
          <t>HDFC 0094</t>
        </is>
      </c>
      <c r="J767" s="84" t="inlineStr">
        <is>
          <t>HSL</t>
        </is>
      </c>
      <c r="K767" s="84" t="inlineStr">
        <is>
          <t>NET PI TO HSL SEC A/C 523686-00602340029434</t>
        </is>
      </c>
      <c r="L767" s="84" t="inlineStr">
        <is>
          <t>HDFC Bank</t>
        </is>
      </c>
      <c r="M767" s="84" t="inlineStr"/>
    </row>
    <row r="768">
      <c r="A768" s="42" t="n">
        <v>45678</v>
      </c>
      <c r="B768" s="42" t="n">
        <v>45678</v>
      </c>
      <c r="C768" s="43" t="n">
        <v>0</v>
      </c>
      <c r="D768" s="43" t="n">
        <v>905.21</v>
      </c>
      <c r="E768" s="43" t="inlineStr"/>
      <c r="F768" s="43" t="inlineStr">
        <is>
          <t>Dividend Income</t>
        </is>
      </c>
      <c r="G768" s="32" t="n">
        <v>0.85</v>
      </c>
      <c r="H768" s="43" t="inlineStr">
        <is>
          <t>Dividend Income</t>
        </is>
      </c>
      <c r="I768" s="43" t="inlineStr">
        <is>
          <t>HDFC 0094</t>
        </is>
      </c>
      <c r="J768" s="43" t="inlineStr">
        <is>
          <t>Dividend Income</t>
        </is>
      </c>
      <c r="K768" s="43" t="inlineStr">
        <is>
          <t>NEFT CR-UTIB0000004-AXIS MUTUAL FUND DIVIDEND A/C-SUNITA GUPTA-UTIBN62025012165110745</t>
        </is>
      </c>
      <c r="L768" s="43" t="inlineStr">
        <is>
          <t>HDFC Bank</t>
        </is>
      </c>
      <c r="M768" s="43" t="inlineStr"/>
    </row>
    <row r="769">
      <c r="A769" s="83" t="n">
        <v>45679</v>
      </c>
      <c r="B769" s="83" t="n">
        <v>45679</v>
      </c>
      <c r="C769" s="84" t="n">
        <v>4737.94</v>
      </c>
      <c r="D769" s="84" t="n">
        <v>0</v>
      </c>
      <c r="E769" s="84" t="inlineStr"/>
      <c r="F769" s="84" t="inlineStr">
        <is>
          <t>HDFC Securities - Buy</t>
        </is>
      </c>
      <c r="G769" s="32" t="n">
        <v>0.97</v>
      </c>
      <c r="H769" s="84" t="inlineStr">
        <is>
          <t>HDFC Securities</t>
        </is>
      </c>
      <c r="I769" s="84" t="inlineStr">
        <is>
          <t>HDFC 0094</t>
        </is>
      </c>
      <c r="J769" s="84" t="inlineStr">
        <is>
          <t>HSL</t>
        </is>
      </c>
      <c r="K769" s="84" t="inlineStr">
        <is>
          <t>NET PI TO HSL SEC A/C 523686-00602340029434</t>
        </is>
      </c>
      <c r="L769" s="84" t="inlineStr">
        <is>
          <t>HDFC Bank</t>
        </is>
      </c>
      <c r="M769" s="84" t="inlineStr"/>
    </row>
    <row r="770">
      <c r="A770" s="83" t="n">
        <v>45679</v>
      </c>
      <c r="B770" s="83" t="n">
        <v>45679</v>
      </c>
      <c r="C770" s="84" t="n">
        <v>392.71</v>
      </c>
      <c r="D770" s="84" t="n">
        <v>0</v>
      </c>
      <c r="E770" s="84" t="inlineStr"/>
      <c r="F770" s="84" t="inlineStr">
        <is>
          <t>HDFC Securities - Buy</t>
        </is>
      </c>
      <c r="G770" s="32" t="n">
        <v>0.97</v>
      </c>
      <c r="H770" s="84" t="inlineStr">
        <is>
          <t>HDFC Securities</t>
        </is>
      </c>
      <c r="I770" s="84" t="inlineStr">
        <is>
          <t>HDFC 0094</t>
        </is>
      </c>
      <c r="J770" s="84" t="inlineStr">
        <is>
          <t>HSL</t>
        </is>
      </c>
      <c r="K770" s="84" t="inlineStr">
        <is>
          <t>NET PI TO HSL SEC A/C 523686-00602340029434</t>
        </is>
      </c>
      <c r="L770" s="84" t="inlineStr">
        <is>
          <t>HDFC Bank</t>
        </is>
      </c>
      <c r="M770" s="84" t="inlineStr"/>
    </row>
    <row r="771">
      <c r="A771" s="83" t="n">
        <v>45680</v>
      </c>
      <c r="B771" s="83" t="n">
        <v>45680</v>
      </c>
      <c r="C771" s="84" t="n">
        <v>391.02</v>
      </c>
      <c r="D771" s="84" t="n">
        <v>0</v>
      </c>
      <c r="E771" s="84" t="inlineStr"/>
      <c r="F771" s="84" t="inlineStr">
        <is>
          <t>HDFC Securities - Buy</t>
        </is>
      </c>
      <c r="G771" s="32" t="n">
        <v>0.97</v>
      </c>
      <c r="H771" s="84" t="inlineStr">
        <is>
          <t>HDFC Securities</t>
        </is>
      </c>
      <c r="I771" s="84" t="inlineStr">
        <is>
          <t>HDFC 0094</t>
        </is>
      </c>
      <c r="J771" s="84" t="inlineStr">
        <is>
          <t>HSL</t>
        </is>
      </c>
      <c r="K771" s="84" t="inlineStr">
        <is>
          <t>NET PI TO HSL SEC A/C 523686-00602340029434</t>
        </is>
      </c>
      <c r="L771" s="84" t="inlineStr">
        <is>
          <t>HDFC Bank</t>
        </is>
      </c>
      <c r="M771" s="84" t="inlineStr"/>
    </row>
    <row r="772">
      <c r="A772" s="30" t="n">
        <v>45681</v>
      </c>
      <c r="B772" s="30" t="n">
        <v>45681</v>
      </c>
      <c r="C772" s="31" t="n">
        <v>0</v>
      </c>
      <c r="D772" s="31" t="n">
        <v>17068.84</v>
      </c>
      <c r="E772" s="31" t="inlineStr"/>
      <c r="F772" s="31" t="inlineStr">
        <is>
          <t>HDFC Securities - Settlement</t>
        </is>
      </c>
      <c r="G772" s="32" t="n">
        <v>0.93</v>
      </c>
      <c r="H772" s="31" t="inlineStr">
        <is>
          <t>HDFC Securities</t>
        </is>
      </c>
      <c r="I772" s="31" t="inlineStr">
        <is>
          <t>HDFC 0094</t>
        </is>
      </c>
      <c r="J772" s="31" t="inlineStr">
        <is>
          <t>HDFC Sec</t>
        </is>
      </c>
      <c r="K772" s="31" t="inlineStr">
        <is>
          <t>FT- 603769079-50200085415108 - HDFC SECURITIES LTD-CLIENT DSCNB A/C -</t>
        </is>
      </c>
      <c r="L772" s="31" t="inlineStr">
        <is>
          <t>HDFC Bank</t>
        </is>
      </c>
      <c r="M772" s="31" t="inlineStr"/>
    </row>
    <row r="773">
      <c r="A773" s="83" t="n">
        <v>45681</v>
      </c>
      <c r="B773" s="83" t="n">
        <v>45681</v>
      </c>
      <c r="C773" s="84" t="n">
        <v>391.02</v>
      </c>
      <c r="D773" s="84" t="n">
        <v>0</v>
      </c>
      <c r="E773" s="84" t="inlineStr"/>
      <c r="F773" s="84" t="inlineStr">
        <is>
          <t>HDFC Securities - Buy</t>
        </is>
      </c>
      <c r="G773" s="32" t="n">
        <v>0.97</v>
      </c>
      <c r="H773" s="84" t="inlineStr">
        <is>
          <t>HDFC Securities</t>
        </is>
      </c>
      <c r="I773" s="84" t="inlineStr">
        <is>
          <t>HDFC 0094</t>
        </is>
      </c>
      <c r="J773" s="84" t="inlineStr">
        <is>
          <t>HSL</t>
        </is>
      </c>
      <c r="K773" s="84" t="inlineStr">
        <is>
          <t>NET PI TO HSL SEC A/C 523686-00602340029434</t>
        </is>
      </c>
      <c r="L773" s="84" t="inlineStr">
        <is>
          <t>HDFC Bank</t>
        </is>
      </c>
      <c r="M773" s="84" t="inlineStr"/>
    </row>
    <row r="774">
      <c r="A774" s="48" t="n">
        <v>45681</v>
      </c>
      <c r="B774" s="48" t="n">
        <v>45681</v>
      </c>
      <c r="C774" s="49" t="n">
        <v>20000</v>
      </c>
      <c r="D774" s="49" t="n">
        <v>0</v>
      </c>
      <c r="E774" s="49" t="inlineStr">
        <is>
          <t>Bidyut  Haldar</t>
        </is>
      </c>
      <c r="F774" s="49" t="inlineStr">
        <is>
          <t>UPI Payment</t>
        </is>
      </c>
      <c r="G774" s="50" t="n">
        <v>0.55</v>
      </c>
      <c r="H774" s="49" t="inlineStr">
        <is>
          <t>Personal</t>
        </is>
      </c>
      <c r="I774" s="49" t="inlineStr">
        <is>
          <t>HDFC 0094</t>
        </is>
      </c>
      <c r="J774" s="49" t="inlineStr">
        <is>
          <t>Shaadi Kharcha</t>
        </is>
      </c>
      <c r="K774" s="49" t="inlineStr">
        <is>
          <t>UPI-BIDYUT  HALDAR-7014298146@AXL-SBIN0031251-220367711683-LEMON TEA</t>
        </is>
      </c>
      <c r="L774" s="49" t="inlineStr">
        <is>
          <t>HDFC Bank</t>
        </is>
      </c>
      <c r="M774" s="49" t="inlineStr"/>
    </row>
    <row r="775">
      <c r="A775" s="64" t="n">
        <v>45681</v>
      </c>
      <c r="B775" s="64" t="n">
        <v>45681</v>
      </c>
      <c r="C775" s="65" t="n">
        <v>10164</v>
      </c>
      <c r="D775" s="65" t="n">
        <v>0</v>
      </c>
      <c r="E775" s="65" t="inlineStr"/>
      <c r="F775" s="65" t="inlineStr">
        <is>
          <t>SIP</t>
        </is>
      </c>
      <c r="G775" s="32" t="n">
        <v>0.9</v>
      </c>
      <c r="H775" s="65" t="inlineStr">
        <is>
          <t>SIP</t>
        </is>
      </c>
      <c r="I775" s="65" t="inlineStr">
        <is>
          <t>HDFC 0094</t>
        </is>
      </c>
      <c r="J775" s="65" t="inlineStr">
        <is>
          <t>Electricity Bill</t>
        </is>
      </c>
      <c r="K775" s="65" t="inlineStr">
        <is>
          <t>YHDF2518408318/BILLDKTHECALCUTTAELE</t>
        </is>
      </c>
      <c r="L775" s="65" t="inlineStr">
        <is>
          <t>HDFC Bank</t>
        </is>
      </c>
      <c r="M775" s="65" t="inlineStr"/>
    </row>
    <row r="776">
      <c r="A776" s="83" t="n">
        <v>45681</v>
      </c>
      <c r="B776" s="83" t="n">
        <v>45681</v>
      </c>
      <c r="C776" s="84" t="n">
        <v>7692.58</v>
      </c>
      <c r="D776" s="84" t="n">
        <v>0</v>
      </c>
      <c r="E776" s="84" t="inlineStr"/>
      <c r="F776" s="84" t="inlineStr">
        <is>
          <t>HDFC Securities - Buy</t>
        </is>
      </c>
      <c r="G776" s="32" t="n">
        <v>0.97</v>
      </c>
      <c r="H776" s="84" t="inlineStr">
        <is>
          <t>HDFC Securities</t>
        </is>
      </c>
      <c r="I776" s="84" t="inlineStr">
        <is>
          <t>HDFC 0094</t>
        </is>
      </c>
      <c r="J776" s="84" t="inlineStr">
        <is>
          <t>HSL</t>
        </is>
      </c>
      <c r="K776" s="84" t="inlineStr">
        <is>
          <t>NET PI TO HSL SEC A/C 523686-00602340029434</t>
        </is>
      </c>
      <c r="L776" s="84" t="inlineStr">
        <is>
          <t>HDFC Bank</t>
        </is>
      </c>
      <c r="M776" s="84" t="inlineStr"/>
    </row>
    <row r="777">
      <c r="A777" s="48" t="n">
        <v>45684</v>
      </c>
      <c r="B777" s="48" t="n">
        <v>45684</v>
      </c>
      <c r="C777" s="49" t="n">
        <v>20000</v>
      </c>
      <c r="D777" s="49" t="n">
        <v>0</v>
      </c>
      <c r="E777" s="49" t="inlineStr">
        <is>
          <t>Madhuri Sen</t>
        </is>
      </c>
      <c r="F777" s="49" t="inlineStr">
        <is>
          <t>UPI Payment</t>
        </is>
      </c>
      <c r="G777" s="50" t="n">
        <v>0.55</v>
      </c>
      <c r="H777" s="49" t="inlineStr">
        <is>
          <t>Personal</t>
        </is>
      </c>
      <c r="I777" s="49" t="inlineStr">
        <is>
          <t>AXIS 7042</t>
        </is>
      </c>
      <c r="J777" s="49" t="inlineStr">
        <is>
          <t>UPI</t>
        </is>
      </c>
      <c r="K777" s="49" t="inlineStr">
        <is>
          <t>UPI/P2A/539337800613/MADHURI SEN          /UPI/BANK OF INDIA</t>
        </is>
      </c>
      <c r="L777" s="49" t="inlineStr">
        <is>
          <t>Axis Bank</t>
        </is>
      </c>
      <c r="M777" s="49" t="inlineStr"/>
    </row>
    <row r="778">
      <c r="A778" s="64" t="n">
        <v>45684</v>
      </c>
      <c r="B778" s="64" t="n">
        <v>45684</v>
      </c>
      <c r="C778" s="65" t="n">
        <v>10000</v>
      </c>
      <c r="D778" s="65" t="n">
        <v>0</v>
      </c>
      <c r="E778" s="65" t="inlineStr"/>
      <c r="F778" s="65" t="inlineStr">
        <is>
          <t>SIP</t>
        </is>
      </c>
      <c r="G778" s="32" t="n">
        <v>0.95</v>
      </c>
      <c r="H778" s="65" t="inlineStr">
        <is>
          <t>SIP</t>
        </is>
      </c>
      <c r="I778" s="65" t="inlineStr">
        <is>
          <t>HDFC 0094</t>
        </is>
      </c>
      <c r="J778" s="65" t="inlineStr">
        <is>
          <t>SIP  - 10000</t>
        </is>
      </c>
      <c r="K778" s="65" t="inlineStr">
        <is>
          <t>ACH D- TP ACH INDIANESIGN-1692517311</t>
        </is>
      </c>
      <c r="L778" s="65" t="inlineStr">
        <is>
          <t>HDFC Bank</t>
        </is>
      </c>
      <c r="M778" s="65" t="inlineStr"/>
    </row>
    <row r="779">
      <c r="A779" s="83" t="n">
        <v>45684</v>
      </c>
      <c r="B779" s="83" t="n">
        <v>45684</v>
      </c>
      <c r="C779" s="84" t="n">
        <v>1183.08</v>
      </c>
      <c r="D779" s="84" t="n">
        <v>0</v>
      </c>
      <c r="E779" s="84" t="inlineStr"/>
      <c r="F779" s="84" t="inlineStr">
        <is>
          <t>HDFC Securities - Buy</t>
        </is>
      </c>
      <c r="G779" s="32" t="n">
        <v>0.97</v>
      </c>
      <c r="H779" s="84" t="inlineStr">
        <is>
          <t>HDFC Securities</t>
        </is>
      </c>
      <c r="I779" s="84" t="inlineStr">
        <is>
          <t>HDFC 0094</t>
        </is>
      </c>
      <c r="J779" s="84" t="inlineStr">
        <is>
          <t>HSL</t>
        </is>
      </c>
      <c r="K779" s="84" t="inlineStr">
        <is>
          <t>NET PI TO HSL SEC A/C 523686-00602340029434</t>
        </is>
      </c>
      <c r="L779" s="84" t="inlineStr">
        <is>
          <t>HDFC Bank</t>
        </is>
      </c>
      <c r="M779" s="84" t="inlineStr"/>
    </row>
    <row r="780">
      <c r="A780" s="83" t="n">
        <v>45684</v>
      </c>
      <c r="B780" s="83" t="n">
        <v>45684</v>
      </c>
      <c r="C780" s="84" t="n">
        <v>5114.93</v>
      </c>
      <c r="D780" s="84" t="n">
        <v>0</v>
      </c>
      <c r="E780" s="84" t="inlineStr"/>
      <c r="F780" s="84" t="inlineStr">
        <is>
          <t>HDFC Securities - Buy</t>
        </is>
      </c>
      <c r="G780" s="32" t="n">
        <v>0.97</v>
      </c>
      <c r="H780" s="84" t="inlineStr">
        <is>
          <t>HDFC Securities</t>
        </is>
      </c>
      <c r="I780" s="84" t="inlineStr">
        <is>
          <t>HDFC 0094</t>
        </is>
      </c>
      <c r="J780" s="84" t="inlineStr">
        <is>
          <t>HSL</t>
        </is>
      </c>
      <c r="K780" s="84" t="inlineStr">
        <is>
          <t>NET PI TO HSL SEC A/C 523686-00602340029434</t>
        </is>
      </c>
      <c r="L780" s="84" t="inlineStr">
        <is>
          <t>HDFC Bank</t>
        </is>
      </c>
      <c r="M780" s="84" t="inlineStr"/>
    </row>
    <row r="781">
      <c r="A781" s="83" t="n">
        <v>45686</v>
      </c>
      <c r="B781" s="83" t="n">
        <v>45686</v>
      </c>
      <c r="C781" s="84" t="n">
        <v>84.56999999999999</v>
      </c>
      <c r="D781" s="84" t="n">
        <v>0</v>
      </c>
      <c r="E781" s="84" t="inlineStr"/>
      <c r="F781" s="84" t="inlineStr">
        <is>
          <t>HDFC Securities - Buy</t>
        </is>
      </c>
      <c r="G781" s="32" t="n">
        <v>0.97</v>
      </c>
      <c r="H781" s="84" t="inlineStr">
        <is>
          <t>HDFC Securities</t>
        </is>
      </c>
      <c r="I781" s="84" t="inlineStr">
        <is>
          <t>HDFC 0094</t>
        </is>
      </c>
      <c r="J781" s="84" t="inlineStr">
        <is>
          <t>HSL</t>
        </is>
      </c>
      <c r="K781" s="84" t="inlineStr">
        <is>
          <t>NET PI TO HSL SEC A/C 523686-00602340029434</t>
        </is>
      </c>
      <c r="L781" s="84" t="inlineStr">
        <is>
          <t>HDFC Bank</t>
        </is>
      </c>
      <c r="M781" s="84" t="inlineStr"/>
    </row>
    <row r="782">
      <c r="A782" s="42" t="n">
        <v>45686</v>
      </c>
      <c r="B782" s="42" t="n">
        <v>45686</v>
      </c>
      <c r="C782" s="43" t="n">
        <v>0</v>
      </c>
      <c r="D782" s="43" t="n">
        <v>84.56999999999999</v>
      </c>
      <c r="E782" s="43" t="inlineStr"/>
      <c r="F782" s="43" t="inlineStr">
        <is>
          <t>Dividend Income</t>
        </is>
      </c>
      <c r="G782" s="32" t="n">
        <v>0.85</v>
      </c>
      <c r="H782" s="43" t="inlineStr">
        <is>
          <t>Dividend Income</t>
        </is>
      </c>
      <c r="I782" s="43" t="inlineStr">
        <is>
          <t>HDFC 0094</t>
        </is>
      </c>
      <c r="J782" s="43" t="inlineStr">
        <is>
          <t>Dividend Income</t>
        </is>
      </c>
      <c r="K782" s="43" t="inlineStr">
        <is>
          <t>NEFT CR-UTIB0000004-AXIS MUTUAL FUND DIVIDEND A/C-SUNITA GUPTA-UTIBN62025012940337499</t>
        </is>
      </c>
      <c r="L782" s="43" t="inlineStr">
        <is>
          <t>HDFC Bank</t>
        </is>
      </c>
      <c r="M782" s="43" t="inlineStr"/>
    </row>
    <row r="783">
      <c r="A783" s="30" t="n">
        <v>45687</v>
      </c>
      <c r="B783" s="30" t="n">
        <v>45687</v>
      </c>
      <c r="C783" s="31" t="n">
        <v>0</v>
      </c>
      <c r="D783" s="31" t="n">
        <v>28044.51</v>
      </c>
      <c r="E783" s="31" t="inlineStr"/>
      <c r="F783" s="31" t="inlineStr">
        <is>
          <t>HDFC Securities - Settlement</t>
        </is>
      </c>
      <c r="G783" s="32" t="n">
        <v>0.93</v>
      </c>
      <c r="H783" s="31" t="inlineStr">
        <is>
          <t>HDFC Securities</t>
        </is>
      </c>
      <c r="I783" s="31" t="inlineStr">
        <is>
          <t>HDFC 0094</t>
        </is>
      </c>
      <c r="J783" s="31" t="inlineStr">
        <is>
          <t>HDFC Sec</t>
        </is>
      </c>
      <c r="K783" s="31" t="inlineStr">
        <is>
          <t>FT- 605558165-50200085415108 - HDFC SECURITIES LTD-CLIENT DSCNB A/C -</t>
        </is>
      </c>
      <c r="L783" s="31" t="inlineStr">
        <is>
          <t>HDFC Bank</t>
        </is>
      </c>
      <c r="M783" s="31" t="inlineStr"/>
    </row>
    <row r="784">
      <c r="A784" s="36" t="n">
        <v>45687</v>
      </c>
      <c r="B784" s="36" t="n">
        <v>45687</v>
      </c>
      <c r="C784" s="37" t="n">
        <v>0</v>
      </c>
      <c r="D784" s="37" t="n">
        <v>20000</v>
      </c>
      <c r="E784" s="37" t="inlineStr"/>
      <c r="F784" s="37" t="inlineStr">
        <is>
          <t>Received - Ajay Gupta</t>
        </is>
      </c>
      <c r="G784" s="32" t="n">
        <v>0.88</v>
      </c>
      <c r="H784" s="37" t="inlineStr">
        <is>
          <t>Ajay Gupta</t>
        </is>
      </c>
      <c r="I784" s="37" t="inlineStr">
        <is>
          <t>HDFC 0094</t>
        </is>
      </c>
      <c r="J784" s="37" t="inlineStr">
        <is>
          <t>UPI</t>
        </is>
      </c>
      <c r="K784" s="37" t="inlineStr">
        <is>
          <t>UPI-AJAY KUMAR GUPTA-AJAYGUPTANEL@IBL-HDFC0000167-810561957614-PAYMENT FROM PHONE</t>
        </is>
      </c>
      <c r="L784" s="37" t="inlineStr">
        <is>
          <t>HDFC Bank</t>
        </is>
      </c>
      <c r="M784" s="37" t="inlineStr"/>
    </row>
    <row r="785">
      <c r="A785" s="83" t="n">
        <v>45687</v>
      </c>
      <c r="B785" s="83" t="n">
        <v>45687</v>
      </c>
      <c r="C785" s="84" t="n">
        <v>19819.29</v>
      </c>
      <c r="D785" s="84" t="n">
        <v>0</v>
      </c>
      <c r="E785" s="84" t="inlineStr"/>
      <c r="F785" s="84" t="inlineStr">
        <is>
          <t>HDFC Securities - Buy</t>
        </is>
      </c>
      <c r="G785" s="32" t="n">
        <v>0.97</v>
      </c>
      <c r="H785" s="84" t="inlineStr">
        <is>
          <t>HDFC Securities</t>
        </is>
      </c>
      <c r="I785" s="84" t="inlineStr">
        <is>
          <t>HDFC 0094</t>
        </is>
      </c>
      <c r="J785" s="84" t="inlineStr">
        <is>
          <t>HSL</t>
        </is>
      </c>
      <c r="K785" s="84" t="inlineStr">
        <is>
          <t>NET PI TO HSL SEC A/C 523686-00602340029434</t>
        </is>
      </c>
      <c r="L785" s="84" t="inlineStr">
        <is>
          <t>HDFC Bank</t>
        </is>
      </c>
      <c r="M785" s="84" t="inlineStr"/>
    </row>
    <row r="786">
      <c r="A786" s="116" t="n">
        <v>45687</v>
      </c>
      <c r="B786" s="116" t="n">
        <v>45687</v>
      </c>
      <c r="C786" s="117" t="n">
        <v>0</v>
      </c>
      <c r="D786" s="117" t="n">
        <v>2738</v>
      </c>
      <c r="E786" s="117" t="inlineStr"/>
      <c r="F786" s="117" t="inlineStr">
        <is>
          <t>Received - Sunita Gupta</t>
        </is>
      </c>
      <c r="G786" s="32" t="n">
        <v>0.88</v>
      </c>
      <c r="H786" s="117" t="inlineStr">
        <is>
          <t>Sunita Gupta</t>
        </is>
      </c>
      <c r="I786" s="117" t="inlineStr">
        <is>
          <t>HDFC 0094</t>
        </is>
      </c>
      <c r="J786" s="117" t="inlineStr">
        <is>
          <t>Rental Income</t>
        </is>
      </c>
      <c r="K786" s="117" t="inlineStr">
        <is>
          <t>NEFT CR-SBIN0004266-SBI GENERAL INSURANCE CO LTDSBI GEN-SUNITA GUPTA 0000000002717756-SBINN52025013077176630</t>
        </is>
      </c>
      <c r="L786" s="117" t="inlineStr">
        <is>
          <t>HDFC Bank</t>
        </is>
      </c>
      <c r="M786" s="117" t="inlineStr"/>
    </row>
    <row r="787">
      <c r="A787" s="83" t="n">
        <v>45687</v>
      </c>
      <c r="B787" s="83" t="n">
        <v>45687</v>
      </c>
      <c r="C787" s="84" t="n">
        <v>3162.79</v>
      </c>
      <c r="D787" s="84" t="n">
        <v>0</v>
      </c>
      <c r="E787" s="84" t="inlineStr"/>
      <c r="F787" s="84" t="inlineStr">
        <is>
          <t>HDFC Securities - Buy</t>
        </is>
      </c>
      <c r="G787" s="32" t="n">
        <v>0.97</v>
      </c>
      <c r="H787" s="84" t="inlineStr">
        <is>
          <t>HDFC Securities</t>
        </is>
      </c>
      <c r="I787" s="84" t="inlineStr">
        <is>
          <t>HDFC 0094</t>
        </is>
      </c>
      <c r="J787" s="84" t="inlineStr">
        <is>
          <t>HSL</t>
        </is>
      </c>
      <c r="K787" s="84" t="inlineStr">
        <is>
          <t>NET PI TO HSL SEC A/C 523686-00602340029434</t>
        </is>
      </c>
      <c r="L787" s="84" t="inlineStr">
        <is>
          <t>HDFC Bank</t>
        </is>
      </c>
      <c r="M787" s="84" t="inlineStr"/>
    </row>
    <row r="788">
      <c r="A788" s="83" t="n">
        <v>45687</v>
      </c>
      <c r="B788" s="83" t="n">
        <v>45687</v>
      </c>
      <c r="C788" s="84" t="n">
        <v>392.82</v>
      </c>
      <c r="D788" s="84" t="n">
        <v>0</v>
      </c>
      <c r="E788" s="84" t="inlineStr"/>
      <c r="F788" s="84" t="inlineStr">
        <is>
          <t>HDFC Securities - Buy</t>
        </is>
      </c>
      <c r="G788" s="32" t="n">
        <v>0.97</v>
      </c>
      <c r="H788" s="84" t="inlineStr">
        <is>
          <t>HDFC Securities</t>
        </is>
      </c>
      <c r="I788" s="84" t="inlineStr">
        <is>
          <t>HDFC 0094</t>
        </is>
      </c>
      <c r="J788" s="84" t="inlineStr">
        <is>
          <t>HSL</t>
        </is>
      </c>
      <c r="K788" s="84" t="inlineStr">
        <is>
          <t>NET PI TO HSL SEC A/C 523686-00602340029434</t>
        </is>
      </c>
      <c r="L788" s="84" t="inlineStr">
        <is>
          <t>HDFC Bank</t>
        </is>
      </c>
      <c r="M788" s="84" t="inlineStr"/>
    </row>
    <row r="789">
      <c r="A789" s="30" t="n">
        <v>45688</v>
      </c>
      <c r="B789" s="30" t="n">
        <v>45688</v>
      </c>
      <c r="C789" s="31" t="n">
        <v>0</v>
      </c>
      <c r="D789" s="31" t="n">
        <v>5948.06</v>
      </c>
      <c r="E789" s="31" t="inlineStr"/>
      <c r="F789" s="31" t="inlineStr">
        <is>
          <t>HDFC Securities - Settlement</t>
        </is>
      </c>
      <c r="G789" s="32" t="n">
        <v>0.93</v>
      </c>
      <c r="H789" s="31" t="inlineStr">
        <is>
          <t>HDFC Securities</t>
        </is>
      </c>
      <c r="I789" s="31" t="inlineStr">
        <is>
          <t>HDFC 0094</t>
        </is>
      </c>
      <c r="J789" s="31" t="inlineStr">
        <is>
          <t>HDFC Sec</t>
        </is>
      </c>
      <c r="K789" s="31" t="inlineStr">
        <is>
          <t>FT- 606018689-50200085415108 - HDFC SECURITIES LTD-CLIENT DSCNB A/C -</t>
        </is>
      </c>
      <c r="L789" s="31" t="inlineStr">
        <is>
          <t>HDFC Bank</t>
        </is>
      </c>
      <c r="M789" s="31" t="inlineStr"/>
    </row>
    <row r="790">
      <c r="A790" s="83" t="n">
        <v>45688</v>
      </c>
      <c r="B790" s="83" t="n">
        <v>45688</v>
      </c>
      <c r="C790" s="84" t="n">
        <v>366.51</v>
      </c>
      <c r="D790" s="84" t="n">
        <v>0</v>
      </c>
      <c r="E790" s="84" t="inlineStr"/>
      <c r="F790" s="84" t="inlineStr">
        <is>
          <t>HDFC Securities - Buy</t>
        </is>
      </c>
      <c r="G790" s="32" t="n">
        <v>0.97</v>
      </c>
      <c r="H790" s="84" t="inlineStr">
        <is>
          <t>HDFC Securities</t>
        </is>
      </c>
      <c r="I790" s="84" t="inlineStr">
        <is>
          <t>HDFC 0094</t>
        </is>
      </c>
      <c r="J790" s="84" t="inlineStr">
        <is>
          <t>HSL</t>
        </is>
      </c>
      <c r="K790" s="84" t="inlineStr">
        <is>
          <t>NET PI TO HSL SEC A/C 523686-00602340029434</t>
        </is>
      </c>
      <c r="L790" s="84" t="inlineStr">
        <is>
          <t>HDFC Bank</t>
        </is>
      </c>
      <c r="M790" s="84" t="inlineStr"/>
    </row>
    <row r="791">
      <c r="A791" s="83" t="n">
        <v>45691</v>
      </c>
      <c r="B791" s="83" t="n">
        <v>45691</v>
      </c>
      <c r="C791" s="84" t="n">
        <v>28353.38</v>
      </c>
      <c r="D791" s="84" t="n">
        <v>0</v>
      </c>
      <c r="E791" s="84" t="inlineStr"/>
      <c r="F791" s="84" t="inlineStr">
        <is>
          <t>HDFC Securities - Buy</t>
        </is>
      </c>
      <c r="G791" s="32" t="n">
        <v>0.97</v>
      </c>
      <c r="H791" s="84" t="inlineStr">
        <is>
          <t>HDFC Securities</t>
        </is>
      </c>
      <c r="I791" s="84" t="inlineStr">
        <is>
          <t>HDFC 0094</t>
        </is>
      </c>
      <c r="J791" s="84" t="inlineStr">
        <is>
          <t>HSL</t>
        </is>
      </c>
      <c r="K791" s="84" t="inlineStr">
        <is>
          <t>NET PI TO HSL SEC A/C 523686-00602340029434</t>
        </is>
      </c>
      <c r="L791" s="84" t="inlineStr">
        <is>
          <t>HDFC Bank</t>
        </is>
      </c>
      <c r="M791" s="84" t="inlineStr"/>
    </row>
    <row r="792">
      <c r="A792" s="30" t="n">
        <v>45691</v>
      </c>
      <c r="B792" s="30" t="n">
        <v>45691</v>
      </c>
      <c r="C792" s="31" t="n">
        <v>0</v>
      </c>
      <c r="D792" s="31" t="n">
        <v>105.23</v>
      </c>
      <c r="E792" s="31" t="inlineStr"/>
      <c r="F792" s="31" t="inlineStr">
        <is>
          <t>HDFC Securities - Settlement</t>
        </is>
      </c>
      <c r="G792" s="32" t="n">
        <v>0.93</v>
      </c>
      <c r="H792" s="31" t="inlineStr">
        <is>
          <t>HDFC Securities</t>
        </is>
      </c>
      <c r="I792" s="31" t="inlineStr">
        <is>
          <t>HDFC 0094</t>
        </is>
      </c>
      <c r="J792" s="31" t="inlineStr">
        <is>
          <t>HDFC Sec</t>
        </is>
      </c>
      <c r="K792" s="31" t="inlineStr">
        <is>
          <t>FT- 606603295-50200085415108 - HDFC SECURITIES LTD-CLIENT DSCNB A/C -</t>
        </is>
      </c>
      <c r="L792" s="31" t="inlineStr">
        <is>
          <t>HDFC Bank</t>
        </is>
      </c>
      <c r="M792" s="31" t="inlineStr"/>
    </row>
    <row r="793">
      <c r="A793" s="30" t="n">
        <v>45691</v>
      </c>
      <c r="B793" s="30" t="n">
        <v>45691</v>
      </c>
      <c r="C793" s="31" t="n">
        <v>0</v>
      </c>
      <c r="D793" s="31" t="n">
        <v>34295.84</v>
      </c>
      <c r="E793" s="31" t="inlineStr"/>
      <c r="F793" s="31" t="inlineStr">
        <is>
          <t>HDFC Securities - Settlement</t>
        </is>
      </c>
      <c r="G793" s="32" t="n">
        <v>0.93</v>
      </c>
      <c r="H793" s="31" t="inlineStr">
        <is>
          <t>HDFC Securities</t>
        </is>
      </c>
      <c r="I793" s="31" t="inlineStr">
        <is>
          <t>HDFC 0094</t>
        </is>
      </c>
      <c r="J793" s="31" t="inlineStr">
        <is>
          <t>HDFC Sec</t>
        </is>
      </c>
      <c r="K793" s="31" t="inlineStr">
        <is>
          <t>FT- 606642758-50200085415108 - HDFC SECURITIES LTD-CLIENT DSCNB A/C -</t>
        </is>
      </c>
      <c r="L793" s="31" t="inlineStr">
        <is>
          <t>HDFC Bank</t>
        </is>
      </c>
      <c r="M793" s="31" t="inlineStr"/>
    </row>
    <row r="794">
      <c r="A794" s="42" t="n">
        <v>45691</v>
      </c>
      <c r="B794" s="42" t="n">
        <v>45691</v>
      </c>
      <c r="C794" s="43" t="n">
        <v>0</v>
      </c>
      <c r="D794" s="43" t="n">
        <v>3496</v>
      </c>
      <c r="E794" s="43" t="inlineStr"/>
      <c r="F794" s="43" t="inlineStr">
        <is>
          <t>Dividend Income</t>
        </is>
      </c>
      <c r="G794" s="32" t="n">
        <v>0.88</v>
      </c>
      <c r="H794" s="43" t="inlineStr">
        <is>
          <t>Dividend Income</t>
        </is>
      </c>
      <c r="I794" s="43" t="inlineStr">
        <is>
          <t>HDFC 0094</t>
        </is>
      </c>
      <c r="J794" s="43" t="inlineStr">
        <is>
          <t>Dividend Income</t>
        </is>
      </c>
      <c r="K794" s="43" t="inlineStr">
        <is>
          <t>ACH C- TCS3INTSPLDIV030225-789082</t>
        </is>
      </c>
      <c r="L794" s="43" t="inlineStr">
        <is>
          <t>HDFC Bank</t>
        </is>
      </c>
      <c r="M794" s="43" t="inlineStr"/>
    </row>
    <row r="795">
      <c r="A795" s="83" t="n">
        <v>45692</v>
      </c>
      <c r="B795" s="83" t="n">
        <v>45692</v>
      </c>
      <c r="C795" s="84" t="n">
        <v>7755.45</v>
      </c>
      <c r="D795" s="84" t="n">
        <v>0</v>
      </c>
      <c r="E795" s="84" t="inlineStr"/>
      <c r="F795" s="84" t="inlineStr">
        <is>
          <t>HDFC Securities - Buy</t>
        </is>
      </c>
      <c r="G795" s="32" t="n">
        <v>0.97</v>
      </c>
      <c r="H795" s="84" t="inlineStr">
        <is>
          <t>HDFC Securities</t>
        </is>
      </c>
      <c r="I795" s="84" t="inlineStr">
        <is>
          <t>HDFC 0094</t>
        </is>
      </c>
      <c r="J795" s="84" t="inlineStr">
        <is>
          <t>HSL</t>
        </is>
      </c>
      <c r="K795" s="84" t="inlineStr">
        <is>
          <t>NET PI TO HSL SEC A/C 523686-00602340029434</t>
        </is>
      </c>
      <c r="L795" s="84" t="inlineStr">
        <is>
          <t>HDFC Bank</t>
        </is>
      </c>
      <c r="M795" s="84" t="inlineStr"/>
    </row>
    <row r="796">
      <c r="A796" s="30" t="n">
        <v>45692</v>
      </c>
      <c r="B796" s="30" t="n">
        <v>45692</v>
      </c>
      <c r="C796" s="31" t="n">
        <v>0</v>
      </c>
      <c r="D796" s="31" t="n">
        <v>46286.58</v>
      </c>
      <c r="E796" s="31" t="inlineStr"/>
      <c r="F796" s="31" t="inlineStr">
        <is>
          <t>HDFC Securities - Settlement</t>
        </is>
      </c>
      <c r="G796" s="32" t="n">
        <v>0.93</v>
      </c>
      <c r="H796" s="31" t="inlineStr">
        <is>
          <t>HDFC Securities</t>
        </is>
      </c>
      <c r="I796" s="31" t="inlineStr">
        <is>
          <t>HDFC 0094</t>
        </is>
      </c>
      <c r="J796" s="31" t="inlineStr">
        <is>
          <t>HDFC Sec</t>
        </is>
      </c>
      <c r="K796" s="31" t="inlineStr">
        <is>
          <t>FT- 607119671-50200085415108 - HDFC SECURITIES LTD-CLIENT DSCNB A/C -</t>
        </is>
      </c>
      <c r="L796" s="31" t="inlineStr">
        <is>
          <t>HDFC Bank</t>
        </is>
      </c>
      <c r="M796" s="31" t="inlineStr"/>
    </row>
    <row r="797">
      <c r="A797" s="83" t="n">
        <v>45692</v>
      </c>
      <c r="B797" s="83" t="n">
        <v>45692</v>
      </c>
      <c r="C797" s="84" t="n">
        <v>357.49</v>
      </c>
      <c r="D797" s="84" t="n">
        <v>0</v>
      </c>
      <c r="E797" s="84" t="inlineStr"/>
      <c r="F797" s="84" t="inlineStr">
        <is>
          <t>HDFC Securities - Buy</t>
        </is>
      </c>
      <c r="G797" s="32" t="n">
        <v>0.97</v>
      </c>
      <c r="H797" s="84" t="inlineStr">
        <is>
          <t>HDFC Securities</t>
        </is>
      </c>
      <c r="I797" s="84" t="inlineStr">
        <is>
          <t>HDFC 0094</t>
        </is>
      </c>
      <c r="J797" s="84" t="inlineStr">
        <is>
          <t>HSL</t>
        </is>
      </c>
      <c r="K797" s="84" t="inlineStr">
        <is>
          <t>NET PI TO HSL SEC A/C 523686-00602340029434</t>
        </is>
      </c>
      <c r="L797" s="84" t="inlineStr">
        <is>
          <t>HDFC Bank</t>
        </is>
      </c>
      <c r="M797" s="84" t="inlineStr"/>
    </row>
    <row r="798">
      <c r="A798" s="83" t="n">
        <v>45693</v>
      </c>
      <c r="B798" s="83" t="n">
        <v>45693</v>
      </c>
      <c r="C798" s="84" t="n">
        <v>28518.15</v>
      </c>
      <c r="D798" s="84" t="n">
        <v>0</v>
      </c>
      <c r="E798" s="84" t="inlineStr"/>
      <c r="F798" s="84" t="inlineStr">
        <is>
          <t>HDFC Securities - Buy</t>
        </is>
      </c>
      <c r="G798" s="32" t="n">
        <v>0.97</v>
      </c>
      <c r="H798" s="84" t="inlineStr">
        <is>
          <t>HDFC Securities</t>
        </is>
      </c>
      <c r="I798" s="84" t="inlineStr">
        <is>
          <t>HDFC 0094</t>
        </is>
      </c>
      <c r="J798" s="84" t="inlineStr">
        <is>
          <t>HSL</t>
        </is>
      </c>
      <c r="K798" s="84" t="inlineStr">
        <is>
          <t>NET PI TO HSL SEC A/C 523686-00602340029434</t>
        </is>
      </c>
      <c r="L798" s="84" t="inlineStr">
        <is>
          <t>HDFC Bank</t>
        </is>
      </c>
      <c r="M798" s="84" t="inlineStr"/>
    </row>
    <row r="799">
      <c r="A799" s="116" t="n">
        <v>45693</v>
      </c>
      <c r="B799" s="116" t="n">
        <v>45693</v>
      </c>
      <c r="C799" s="117" t="n">
        <v>0</v>
      </c>
      <c r="D799" s="117" t="n">
        <v>10164</v>
      </c>
      <c r="E799" s="117" t="inlineStr"/>
      <c r="F799" s="117" t="inlineStr">
        <is>
          <t>Received - Sunita Gupta</t>
        </is>
      </c>
      <c r="G799" s="32" t="n">
        <v>0.88</v>
      </c>
      <c r="H799" s="117" t="inlineStr">
        <is>
          <t>Sunita Gupta</t>
        </is>
      </c>
      <c r="I799" s="117" t="inlineStr">
        <is>
          <t>HDFC 0094</t>
        </is>
      </c>
      <c r="J799" s="117" t="inlineStr">
        <is>
          <t>Rental Income</t>
        </is>
      </c>
      <c r="K799" s="117" t="inlineStr">
        <is>
          <t>NEFT CR-SBIN0004266-SBI GENERAL INSURANCE CO LTDSBI GEN-SUNITA GUPTA 0000000002717756-SBINN52025020592093945</t>
        </is>
      </c>
      <c r="L799" s="117" t="inlineStr">
        <is>
          <t>HDFC Bank</t>
        </is>
      </c>
      <c r="M799" s="117" t="inlineStr"/>
    </row>
    <row r="800">
      <c r="A800" s="83" t="n">
        <v>45693</v>
      </c>
      <c r="B800" s="83" t="n">
        <v>45693</v>
      </c>
      <c r="C800" s="84" t="n">
        <v>366.99</v>
      </c>
      <c r="D800" s="84" t="n">
        <v>0</v>
      </c>
      <c r="E800" s="84" t="inlineStr"/>
      <c r="F800" s="84" t="inlineStr">
        <is>
          <t>HDFC Securities - Buy</t>
        </is>
      </c>
      <c r="G800" s="32" t="n">
        <v>0.97</v>
      </c>
      <c r="H800" s="84" t="inlineStr">
        <is>
          <t>HDFC Securities</t>
        </is>
      </c>
      <c r="I800" s="84" t="inlineStr">
        <is>
          <t>HDFC 0094</t>
        </is>
      </c>
      <c r="J800" s="84" t="inlineStr">
        <is>
          <t>HSL</t>
        </is>
      </c>
      <c r="K800" s="84" t="inlineStr">
        <is>
          <t>NET PI TO HSL SEC A/C 523686-00602340029434</t>
        </is>
      </c>
      <c r="L800" s="84" t="inlineStr">
        <is>
          <t>HDFC Bank</t>
        </is>
      </c>
      <c r="M800" s="84" t="inlineStr"/>
    </row>
    <row r="801">
      <c r="A801" s="83" t="n">
        <v>45694</v>
      </c>
      <c r="B801" s="83" t="n">
        <v>45694</v>
      </c>
      <c r="C801" s="84" t="n">
        <v>3322.57</v>
      </c>
      <c r="D801" s="84" t="n">
        <v>0</v>
      </c>
      <c r="E801" s="84" t="inlineStr"/>
      <c r="F801" s="84" t="inlineStr">
        <is>
          <t>HDFC Securities - Buy</t>
        </is>
      </c>
      <c r="G801" s="32" t="n">
        <v>0.97</v>
      </c>
      <c r="H801" s="84" t="inlineStr">
        <is>
          <t>HDFC Securities</t>
        </is>
      </c>
      <c r="I801" s="84" t="inlineStr">
        <is>
          <t>HDFC 0094</t>
        </is>
      </c>
      <c r="J801" s="84" t="inlineStr">
        <is>
          <t>HSL</t>
        </is>
      </c>
      <c r="K801" s="84" t="inlineStr">
        <is>
          <t>NET PI TO HSL SEC A/C 523686-00602340029434</t>
        </is>
      </c>
      <c r="L801" s="84" t="inlineStr">
        <is>
          <t>HDFC Bank</t>
        </is>
      </c>
      <c r="M801" s="84" t="inlineStr"/>
    </row>
    <row r="802">
      <c r="A802" s="30" t="n">
        <v>45694</v>
      </c>
      <c r="B802" s="30" t="n">
        <v>45694</v>
      </c>
      <c r="C802" s="31" t="n">
        <v>0</v>
      </c>
      <c r="D802" s="31" t="n">
        <v>42371.2</v>
      </c>
      <c r="E802" s="31" t="inlineStr"/>
      <c r="F802" s="31" t="inlineStr">
        <is>
          <t>HDFC Securities - Settlement</t>
        </is>
      </c>
      <c r="G802" s="32" t="n">
        <v>0.93</v>
      </c>
      <c r="H802" s="31" t="inlineStr">
        <is>
          <t>HDFC Securities</t>
        </is>
      </c>
      <c r="I802" s="31" t="inlineStr">
        <is>
          <t>HDFC 0094</t>
        </is>
      </c>
      <c r="J802" s="31" t="inlineStr">
        <is>
          <t>HDFC Sec</t>
        </is>
      </c>
      <c r="K802" s="31" t="inlineStr">
        <is>
          <t>FT- 607956203-50200085415108 - HDFC SECURITIES LTD-CLIENT DSCNB A/C -</t>
        </is>
      </c>
      <c r="L802" s="31" t="inlineStr">
        <is>
          <t>HDFC Bank</t>
        </is>
      </c>
      <c r="M802" s="31" t="inlineStr"/>
    </row>
    <row r="803">
      <c r="A803" s="83" t="n">
        <v>45694</v>
      </c>
      <c r="B803" s="83" t="n">
        <v>45694</v>
      </c>
      <c r="C803" s="84" t="n">
        <v>379.21</v>
      </c>
      <c r="D803" s="84" t="n">
        <v>0</v>
      </c>
      <c r="E803" s="84" t="inlineStr"/>
      <c r="F803" s="84" t="inlineStr">
        <is>
          <t>HDFC Securities - Buy</t>
        </is>
      </c>
      <c r="G803" s="32" t="n">
        <v>0.97</v>
      </c>
      <c r="H803" s="84" t="inlineStr">
        <is>
          <t>HDFC Securities</t>
        </is>
      </c>
      <c r="I803" s="84" t="inlineStr">
        <is>
          <t>HDFC 0094</t>
        </is>
      </c>
      <c r="J803" s="84" t="inlineStr">
        <is>
          <t>HSL</t>
        </is>
      </c>
      <c r="K803" s="84" t="inlineStr">
        <is>
          <t>NET PI TO HSL SEC A/C 523686-00602340029434</t>
        </is>
      </c>
      <c r="L803" s="84" t="inlineStr">
        <is>
          <t>HDFC Bank</t>
        </is>
      </c>
      <c r="M803" s="84" t="inlineStr"/>
    </row>
    <row r="804">
      <c r="A804" s="83" t="n">
        <v>45695</v>
      </c>
      <c r="B804" s="83" t="n">
        <v>45695</v>
      </c>
      <c r="C804" s="84" t="n">
        <v>33071.58</v>
      </c>
      <c r="D804" s="84" t="n">
        <v>0</v>
      </c>
      <c r="E804" s="84" t="inlineStr"/>
      <c r="F804" s="84" t="inlineStr">
        <is>
          <t>HDFC Securities - Buy</t>
        </is>
      </c>
      <c r="G804" s="32" t="n">
        <v>0.97</v>
      </c>
      <c r="H804" s="84" t="inlineStr">
        <is>
          <t>HDFC Securities</t>
        </is>
      </c>
      <c r="I804" s="84" t="inlineStr">
        <is>
          <t>HDFC 0094</t>
        </is>
      </c>
      <c r="J804" s="84" t="inlineStr">
        <is>
          <t>HSL</t>
        </is>
      </c>
      <c r="K804" s="84" t="inlineStr">
        <is>
          <t>NET PI TO HSL SEC A/C 523686-00602340029434</t>
        </is>
      </c>
      <c r="L804" s="84" t="inlineStr">
        <is>
          <t>HDFC Bank</t>
        </is>
      </c>
      <c r="M804" s="84" t="inlineStr"/>
    </row>
    <row r="805">
      <c r="A805" s="83" t="n">
        <v>45695</v>
      </c>
      <c r="B805" s="83" t="n">
        <v>45695</v>
      </c>
      <c r="C805" s="84" t="n">
        <v>378.02</v>
      </c>
      <c r="D805" s="84" t="n">
        <v>0</v>
      </c>
      <c r="E805" s="84" t="inlineStr"/>
      <c r="F805" s="84" t="inlineStr">
        <is>
          <t>HDFC Securities - Buy</t>
        </is>
      </c>
      <c r="G805" s="32" t="n">
        <v>0.97</v>
      </c>
      <c r="H805" s="84" t="inlineStr">
        <is>
          <t>HDFC Securities</t>
        </is>
      </c>
      <c r="I805" s="84" t="inlineStr">
        <is>
          <t>HDFC 0094</t>
        </is>
      </c>
      <c r="J805" s="84" t="inlineStr">
        <is>
          <t>HSL</t>
        </is>
      </c>
      <c r="K805" s="84" t="inlineStr">
        <is>
          <t>NET PI TO HSL SEC A/C 523686-00602340029434</t>
        </is>
      </c>
      <c r="L805" s="84" t="inlineStr">
        <is>
          <t>HDFC Bank</t>
        </is>
      </c>
      <c r="M805" s="84" t="inlineStr"/>
    </row>
    <row r="806">
      <c r="A806" s="116" t="n">
        <v>45695</v>
      </c>
      <c r="B806" s="116" t="n">
        <v>45695</v>
      </c>
      <c r="C806" s="117" t="n">
        <v>0</v>
      </c>
      <c r="D806" s="117" t="n">
        <v>34220</v>
      </c>
      <c r="E806" s="117" t="inlineStr"/>
      <c r="F806" s="117" t="inlineStr">
        <is>
          <t>Received - Sunita Gupta</t>
        </is>
      </c>
      <c r="G806" s="32" t="n">
        <v>0.88</v>
      </c>
      <c r="H806" s="117" t="inlineStr">
        <is>
          <t>Sunita Gupta</t>
        </is>
      </c>
      <c r="I806" s="117" t="inlineStr">
        <is>
          <t>HDFC 0094</t>
        </is>
      </c>
      <c r="J806" s="117" t="inlineStr">
        <is>
          <t>Rental Income</t>
        </is>
      </c>
      <c r="K806" s="117" t="inlineStr">
        <is>
          <t>NEFT CR-SBIN0004266-SBI GENERAL INSURANCE CO LTDSBI GEN-SUNITA GUPTA 0000000002717756-SBINN52025020795304462</t>
        </is>
      </c>
      <c r="L806" s="117" t="inlineStr">
        <is>
          <t>HDFC Bank</t>
        </is>
      </c>
      <c r="M806" s="117" t="inlineStr"/>
    </row>
    <row r="807">
      <c r="A807" s="30" t="n">
        <v>45698</v>
      </c>
      <c r="B807" s="30" t="n">
        <v>45698</v>
      </c>
      <c r="C807" s="31" t="n">
        <v>0</v>
      </c>
      <c r="D807" s="31" t="n">
        <v>86601.53</v>
      </c>
      <c r="E807" s="31" t="inlineStr"/>
      <c r="F807" s="31" t="inlineStr">
        <is>
          <t>HDFC Securities - Settlement</t>
        </is>
      </c>
      <c r="G807" s="32" t="n">
        <v>0.93</v>
      </c>
      <c r="H807" s="31" t="inlineStr">
        <is>
          <t>HDFC Securities</t>
        </is>
      </c>
      <c r="I807" s="31" t="inlineStr">
        <is>
          <t>HDFC 0094</t>
        </is>
      </c>
      <c r="J807" s="31" t="inlineStr">
        <is>
          <t>HDFC Sec</t>
        </is>
      </c>
      <c r="K807" s="31" t="inlineStr">
        <is>
          <t>FT- 608796900-50200085415108 - HDFC SECURITIES LTD-CLIENT DSCNB A/C -</t>
        </is>
      </c>
      <c r="L807" s="31" t="inlineStr">
        <is>
          <t>HDFC Bank</t>
        </is>
      </c>
      <c r="M807" s="31" t="inlineStr"/>
    </row>
    <row r="808">
      <c r="A808" s="83" t="n">
        <v>45698</v>
      </c>
      <c r="B808" s="83" t="n">
        <v>45698</v>
      </c>
      <c r="C808" s="84" t="n">
        <v>1098.72</v>
      </c>
      <c r="D808" s="84" t="n">
        <v>0</v>
      </c>
      <c r="E808" s="84" t="inlineStr"/>
      <c r="F808" s="84" t="inlineStr">
        <is>
          <t>HDFC Securities - Buy</t>
        </is>
      </c>
      <c r="G808" s="32" t="n">
        <v>0.97</v>
      </c>
      <c r="H808" s="84" t="inlineStr">
        <is>
          <t>HDFC Securities</t>
        </is>
      </c>
      <c r="I808" s="84" t="inlineStr">
        <is>
          <t>HDFC 0094</t>
        </is>
      </c>
      <c r="J808" s="84" t="inlineStr">
        <is>
          <t>HSL</t>
        </is>
      </c>
      <c r="K808" s="84" t="inlineStr">
        <is>
          <t>NET PI TO HSL SEC A/C 523686-00602340029434</t>
        </is>
      </c>
      <c r="L808" s="84" t="inlineStr">
        <is>
          <t>HDFC Bank</t>
        </is>
      </c>
      <c r="M808" s="84" t="inlineStr"/>
    </row>
    <row r="809">
      <c r="A809" s="48" t="n">
        <v>45698</v>
      </c>
      <c r="B809" s="48" t="n">
        <v>45698</v>
      </c>
      <c r="C809" s="49" t="n">
        <v>1200</v>
      </c>
      <c r="D809" s="49" t="n">
        <v>0</v>
      </c>
      <c r="E809" s="49" t="inlineStr">
        <is>
          <t>Ashlesha Ramdas  Wagh</t>
        </is>
      </c>
      <c r="F809" s="49" t="inlineStr">
        <is>
          <t>UPI Payment</t>
        </is>
      </c>
      <c r="G809" s="50" t="n">
        <v>0.55</v>
      </c>
      <c r="H809" s="49" t="inlineStr">
        <is>
          <t>Personal</t>
        </is>
      </c>
      <c r="I809" s="49" t="inlineStr">
        <is>
          <t>AXIS 7042</t>
        </is>
      </c>
      <c r="J809" s="49" t="inlineStr">
        <is>
          <t>UPI</t>
        </is>
      </c>
      <c r="K809" s="49" t="inlineStr">
        <is>
          <t>UPI/P2A/540741534158/ASHLESHA RAMDAS  WAGH/UPI/State Bank Of India</t>
        </is>
      </c>
      <c r="L809" s="49" t="inlineStr">
        <is>
          <t>Axis Bank</t>
        </is>
      </c>
      <c r="M809" s="49" t="inlineStr"/>
    </row>
    <row r="810">
      <c r="A810" s="83" t="n">
        <v>45699</v>
      </c>
      <c r="B810" s="83" t="n">
        <v>45699</v>
      </c>
      <c r="C810" s="84" t="n">
        <v>378.42</v>
      </c>
      <c r="D810" s="84" t="n">
        <v>0</v>
      </c>
      <c r="E810" s="84" t="inlineStr"/>
      <c r="F810" s="84" t="inlineStr">
        <is>
          <t>HDFC Securities - Buy</t>
        </is>
      </c>
      <c r="G810" s="32" t="n">
        <v>0.97</v>
      </c>
      <c r="H810" s="84" t="inlineStr">
        <is>
          <t>HDFC Securities</t>
        </is>
      </c>
      <c r="I810" s="84" t="inlineStr">
        <is>
          <t>HDFC 0094</t>
        </is>
      </c>
      <c r="J810" s="84" t="inlineStr">
        <is>
          <t>HSL</t>
        </is>
      </c>
      <c r="K810" s="84" t="inlineStr">
        <is>
          <t>NET PI TO HSL SEC A/C 523686-00602340029434</t>
        </is>
      </c>
      <c r="L810" s="84" t="inlineStr">
        <is>
          <t>HDFC Bank</t>
        </is>
      </c>
      <c r="M810" s="84" t="inlineStr"/>
    </row>
    <row r="811">
      <c r="A811" s="83" t="n">
        <v>45699</v>
      </c>
      <c r="B811" s="83" t="n">
        <v>45699</v>
      </c>
      <c r="C811" s="84" t="n">
        <v>37144.79</v>
      </c>
      <c r="D811" s="84" t="n">
        <v>0</v>
      </c>
      <c r="E811" s="84" t="inlineStr"/>
      <c r="F811" s="84" t="inlineStr">
        <is>
          <t>HDFC Securities - Buy</t>
        </is>
      </c>
      <c r="G811" s="32" t="n">
        <v>0.97</v>
      </c>
      <c r="H811" s="84" t="inlineStr">
        <is>
          <t>HDFC Securities</t>
        </is>
      </c>
      <c r="I811" s="84" t="inlineStr">
        <is>
          <t>HDFC 0094</t>
        </is>
      </c>
      <c r="J811" s="84" t="inlineStr">
        <is>
          <t>HSL</t>
        </is>
      </c>
      <c r="K811" s="84" t="inlineStr">
        <is>
          <t>NET PI TO HSL SEC A/C 523686-00602340029434</t>
        </is>
      </c>
      <c r="L811" s="84" t="inlineStr">
        <is>
          <t>HDFC Bank</t>
        </is>
      </c>
      <c r="M811" s="84" t="inlineStr"/>
    </row>
    <row r="812">
      <c r="A812" s="83" t="n">
        <v>45699</v>
      </c>
      <c r="B812" s="83" t="n">
        <v>45699</v>
      </c>
      <c r="C812" s="84" t="n">
        <v>32793.15</v>
      </c>
      <c r="D812" s="84" t="n">
        <v>0</v>
      </c>
      <c r="E812" s="84" t="inlineStr"/>
      <c r="F812" s="84" t="inlineStr">
        <is>
          <t>HDFC Securities - Buy</t>
        </is>
      </c>
      <c r="G812" s="32" t="n">
        <v>0.97</v>
      </c>
      <c r="H812" s="84" t="inlineStr">
        <is>
          <t>HDFC Securities</t>
        </is>
      </c>
      <c r="I812" s="84" t="inlineStr">
        <is>
          <t>HDFC 0094</t>
        </is>
      </c>
      <c r="J812" s="84" t="inlineStr">
        <is>
          <t>HSL</t>
        </is>
      </c>
      <c r="K812" s="84" t="inlineStr">
        <is>
          <t>NET PI TO HSL SEC A/C 523686-00602340029434</t>
        </is>
      </c>
      <c r="L812" s="84" t="inlineStr">
        <is>
          <t>HDFC Bank</t>
        </is>
      </c>
      <c r="M812" s="84" t="inlineStr"/>
    </row>
    <row r="813">
      <c r="A813" s="83" t="n">
        <v>45700</v>
      </c>
      <c r="B813" s="83" t="n">
        <v>45700</v>
      </c>
      <c r="C813" s="84" t="n">
        <v>379.99</v>
      </c>
      <c r="D813" s="84" t="n">
        <v>0</v>
      </c>
      <c r="E813" s="84" t="inlineStr"/>
      <c r="F813" s="84" t="inlineStr">
        <is>
          <t>HDFC Securities - Buy</t>
        </is>
      </c>
      <c r="G813" s="32" t="n">
        <v>0.97</v>
      </c>
      <c r="H813" s="84" t="inlineStr">
        <is>
          <t>HDFC Securities</t>
        </is>
      </c>
      <c r="I813" s="84" t="inlineStr">
        <is>
          <t>HDFC 0094</t>
        </is>
      </c>
      <c r="J813" s="84" t="inlineStr">
        <is>
          <t>HSL</t>
        </is>
      </c>
      <c r="K813" s="84" t="inlineStr">
        <is>
          <t>NET PI TO HSL SEC A/C 523686-00602340029434</t>
        </is>
      </c>
      <c r="L813" s="84" t="inlineStr">
        <is>
          <t>HDFC Bank</t>
        </is>
      </c>
      <c r="M813" s="84" t="inlineStr"/>
    </row>
    <row r="814">
      <c r="A814" s="83" t="n">
        <v>45700</v>
      </c>
      <c r="B814" s="83" t="n">
        <v>45700</v>
      </c>
      <c r="C814" s="84" t="n">
        <v>43612.42</v>
      </c>
      <c r="D814" s="84" t="n">
        <v>0</v>
      </c>
      <c r="E814" s="84" t="inlineStr"/>
      <c r="F814" s="84" t="inlineStr">
        <is>
          <t>HDFC Securities - Buy</t>
        </is>
      </c>
      <c r="G814" s="32" t="n">
        <v>0.97</v>
      </c>
      <c r="H814" s="84" t="inlineStr">
        <is>
          <t>HDFC Securities</t>
        </is>
      </c>
      <c r="I814" s="84" t="inlineStr">
        <is>
          <t>HDFC 0094</t>
        </is>
      </c>
      <c r="J814" s="84" t="inlineStr">
        <is>
          <t>HSL</t>
        </is>
      </c>
      <c r="K814" s="84" t="inlineStr">
        <is>
          <t>NET PI TO HSL SEC A/C 523686-00602340029434</t>
        </is>
      </c>
      <c r="L814" s="84" t="inlineStr">
        <is>
          <t>HDFC Bank</t>
        </is>
      </c>
      <c r="M814" s="84" t="inlineStr"/>
    </row>
    <row r="815">
      <c r="A815" s="83" t="n">
        <v>45701</v>
      </c>
      <c r="B815" s="83" t="n">
        <v>45701</v>
      </c>
      <c r="C815" s="84" t="n">
        <v>369.32</v>
      </c>
      <c r="D815" s="84" t="n">
        <v>0</v>
      </c>
      <c r="E815" s="84" t="inlineStr"/>
      <c r="F815" s="84" t="inlineStr">
        <is>
          <t>HDFC Securities - Buy</t>
        </is>
      </c>
      <c r="G815" s="32" t="n">
        <v>0.97</v>
      </c>
      <c r="H815" s="84" t="inlineStr">
        <is>
          <t>HDFC Securities</t>
        </is>
      </c>
      <c r="I815" s="84" t="inlineStr">
        <is>
          <t>HDFC 0094</t>
        </is>
      </c>
      <c r="J815" s="84" t="inlineStr">
        <is>
          <t>HSL</t>
        </is>
      </c>
      <c r="K815" s="84" t="inlineStr">
        <is>
          <t>NET PI TO HSL SEC A/C 523686-00602340029434</t>
        </is>
      </c>
      <c r="L815" s="84" t="inlineStr">
        <is>
          <t>HDFC Bank</t>
        </is>
      </c>
      <c r="M815" s="84" t="inlineStr"/>
    </row>
    <row r="816">
      <c r="A816" s="42" t="n">
        <v>45701</v>
      </c>
      <c r="B816" s="42" t="n">
        <v>45701</v>
      </c>
      <c r="C816" s="43" t="n">
        <v>0</v>
      </c>
      <c r="D816" s="43" t="n">
        <v>627</v>
      </c>
      <c r="E816" s="43" t="inlineStr"/>
      <c r="F816" s="43" t="inlineStr">
        <is>
          <t>Dividend Income</t>
        </is>
      </c>
      <c r="G816" s="32" t="n">
        <v>0.88</v>
      </c>
      <c r="H816" s="43" t="inlineStr">
        <is>
          <t>Dividend Income</t>
        </is>
      </c>
      <c r="I816" s="43" t="inlineStr">
        <is>
          <t>HDFC 0094</t>
        </is>
      </c>
      <c r="J816" s="43" t="inlineStr">
        <is>
          <t>Dividend Income</t>
        </is>
      </c>
      <c r="K816" s="43" t="inlineStr">
        <is>
          <t>ACH C- COFORGE LTD-95252</t>
        </is>
      </c>
      <c r="L816" s="43" t="inlineStr">
        <is>
          <t>HDFC Bank</t>
        </is>
      </c>
      <c r="M816" s="43" t="inlineStr"/>
    </row>
    <row r="817">
      <c r="A817" s="83" t="n">
        <v>45701</v>
      </c>
      <c r="B817" s="83" t="n">
        <v>45701</v>
      </c>
      <c r="C817" s="84" t="n">
        <v>3599.59</v>
      </c>
      <c r="D817" s="84" t="n">
        <v>0</v>
      </c>
      <c r="E817" s="84" t="inlineStr"/>
      <c r="F817" s="84" t="inlineStr">
        <is>
          <t>HDFC Securities - Buy</t>
        </is>
      </c>
      <c r="G817" s="32" t="n">
        <v>0.97</v>
      </c>
      <c r="H817" s="84" t="inlineStr">
        <is>
          <t>HDFC Securities</t>
        </is>
      </c>
      <c r="I817" s="84" t="inlineStr">
        <is>
          <t>HDFC 0094</t>
        </is>
      </c>
      <c r="J817" s="84" t="inlineStr">
        <is>
          <t>HSL</t>
        </is>
      </c>
      <c r="K817" s="84" t="inlineStr">
        <is>
          <t>NET PI TO HSL SEC A/C 523686-00602340029434</t>
        </is>
      </c>
      <c r="L817" s="84" t="inlineStr">
        <is>
          <t>HDFC Bank</t>
        </is>
      </c>
      <c r="M817" s="84" t="inlineStr"/>
    </row>
    <row r="818">
      <c r="A818" s="48" t="n">
        <v>45702</v>
      </c>
      <c r="B818" s="48" t="n">
        <v>45702</v>
      </c>
      <c r="C818" s="49" t="n">
        <v>320</v>
      </c>
      <c r="D818" s="49" t="n">
        <v>0</v>
      </c>
      <c r="E818" s="49" t="inlineStr">
        <is>
          <t>Bharti Ratan Devnani</t>
        </is>
      </c>
      <c r="F818" s="49" t="inlineStr">
        <is>
          <t>UPI Payment</t>
        </is>
      </c>
      <c r="G818" s="50" t="n">
        <v>0.55</v>
      </c>
      <c r="H818" s="49" t="inlineStr">
        <is>
          <t>Personal</t>
        </is>
      </c>
      <c r="I818" s="49" t="inlineStr">
        <is>
          <t>AXIS 7042</t>
        </is>
      </c>
      <c r="J818" s="49" t="inlineStr">
        <is>
          <t>UPI</t>
        </is>
      </c>
      <c r="K818" s="49" t="inlineStr">
        <is>
          <t>UPI/P2A/504523848997/BHARTI RATAN DEVNANI /UPI/UNION BANK OF INDIA</t>
        </is>
      </c>
      <c r="L818" s="49" t="inlineStr">
        <is>
          <t>Axis Bank</t>
        </is>
      </c>
      <c r="M818" s="49" t="inlineStr"/>
    </row>
    <row r="819">
      <c r="A819" s="42" t="n">
        <v>45702</v>
      </c>
      <c r="B819" s="42" t="n">
        <v>45702</v>
      </c>
      <c r="C819" s="43" t="n">
        <v>0</v>
      </c>
      <c r="D819" s="43" t="n">
        <v>210</v>
      </c>
      <c r="E819" s="43" t="inlineStr"/>
      <c r="F819" s="43" t="inlineStr">
        <is>
          <t>Dividend Income</t>
        </is>
      </c>
      <c r="G819" s="32" t="n">
        <v>0.85</v>
      </c>
      <c r="H819" s="43" t="inlineStr">
        <is>
          <t>Dividend Income</t>
        </is>
      </c>
      <c r="I819" s="43" t="inlineStr">
        <is>
          <t>HDFC 0094</t>
        </is>
      </c>
      <c r="J819" s="43" t="inlineStr">
        <is>
          <t>Dividend Income</t>
        </is>
      </c>
      <c r="K819" s="43" t="inlineStr">
        <is>
          <t>DR LAL PATHLDIV24 2500000000000000008368</t>
        </is>
      </c>
      <c r="L819" s="43" t="inlineStr">
        <is>
          <t>HDFC Bank</t>
        </is>
      </c>
      <c r="M819" s="43" t="inlineStr"/>
    </row>
    <row r="820">
      <c r="A820" s="83" t="n">
        <v>45702</v>
      </c>
      <c r="B820" s="83" t="n">
        <v>45702</v>
      </c>
      <c r="C820" s="84" t="n">
        <v>402.64</v>
      </c>
      <c r="D820" s="84" t="n">
        <v>0</v>
      </c>
      <c r="E820" s="84" t="inlineStr"/>
      <c r="F820" s="84" t="inlineStr">
        <is>
          <t>HDFC Securities - Buy</t>
        </is>
      </c>
      <c r="G820" s="32" t="n">
        <v>0.97</v>
      </c>
      <c r="H820" s="84" t="inlineStr">
        <is>
          <t>HDFC Securities</t>
        </is>
      </c>
      <c r="I820" s="84" t="inlineStr">
        <is>
          <t>HDFC 0094</t>
        </is>
      </c>
      <c r="J820" s="84" t="inlineStr">
        <is>
          <t>HSL</t>
        </is>
      </c>
      <c r="K820" s="84" t="inlineStr">
        <is>
          <t>NET PI TO HSL SEC A/C 523686-00602340029434</t>
        </is>
      </c>
      <c r="L820" s="84" t="inlineStr">
        <is>
          <t>HDFC Bank</t>
        </is>
      </c>
      <c r="M820" s="84" t="inlineStr"/>
    </row>
    <row r="821">
      <c r="A821" s="89" t="n">
        <v>45702</v>
      </c>
      <c r="B821" s="89" t="n">
        <v>45702</v>
      </c>
      <c r="C821" s="90" t="n">
        <v>247.8</v>
      </c>
      <c r="D821" s="90" t="n">
        <v>0</v>
      </c>
      <c r="E821" s="90" t="inlineStr"/>
      <c r="F821" s="90" t="inlineStr">
        <is>
          <t>Depository Charges</t>
        </is>
      </c>
      <c r="G821" s="32" t="n">
        <v>0.93</v>
      </c>
      <c r="H821" s="90" t="inlineStr">
        <is>
          <t>Depository Charges</t>
        </is>
      </c>
      <c r="I821" s="90" t="inlineStr">
        <is>
          <t>HDFC 0094</t>
        </is>
      </c>
      <c r="J821" s="90" t="inlineStr">
        <is>
          <t>Depository Charges</t>
        </is>
      </c>
      <c r="K821" s="90" t="inlineStr">
        <is>
          <t>DEPOSITORY CHARGES JAN25 - 41060499</t>
        </is>
      </c>
      <c r="L821" s="90" t="inlineStr">
        <is>
          <t>HDFC Bank</t>
        </is>
      </c>
      <c r="M821" s="90" t="inlineStr"/>
    </row>
    <row r="822">
      <c r="A822" s="83" t="n">
        <v>45702</v>
      </c>
      <c r="B822" s="83" t="n">
        <v>45702</v>
      </c>
      <c r="C822" s="84" t="n">
        <v>21070.58</v>
      </c>
      <c r="D822" s="84" t="n">
        <v>0</v>
      </c>
      <c r="E822" s="84" t="inlineStr"/>
      <c r="F822" s="84" t="inlineStr">
        <is>
          <t>HDFC Securities - Buy</t>
        </is>
      </c>
      <c r="G822" s="32" t="n">
        <v>0.97</v>
      </c>
      <c r="H822" s="84" t="inlineStr">
        <is>
          <t>HDFC Securities</t>
        </is>
      </c>
      <c r="I822" s="84" t="inlineStr">
        <is>
          <t>HDFC 0094</t>
        </is>
      </c>
      <c r="J822" s="84" t="inlineStr">
        <is>
          <t>HSL</t>
        </is>
      </c>
      <c r="K822" s="84" t="inlineStr">
        <is>
          <t>NET PI TO HSL SEC A/C 523686-00602340029434</t>
        </is>
      </c>
      <c r="L822" s="84" t="inlineStr">
        <is>
          <t>HDFC Bank</t>
        </is>
      </c>
      <c r="M822" s="84" t="inlineStr"/>
    </row>
    <row r="823">
      <c r="A823" s="83" t="n">
        <v>45703</v>
      </c>
      <c r="B823" s="83" t="n">
        <v>45703</v>
      </c>
      <c r="C823" s="84" t="n">
        <v>5298.4</v>
      </c>
      <c r="D823" s="84" t="n">
        <v>0</v>
      </c>
      <c r="E823" s="84" t="inlineStr"/>
      <c r="F823" s="84" t="inlineStr">
        <is>
          <t>HDFC Securities - Buy</t>
        </is>
      </c>
      <c r="G823" s="32" t="n">
        <v>0.97</v>
      </c>
      <c r="H823" s="84" t="inlineStr">
        <is>
          <t>HDFC Securities</t>
        </is>
      </c>
      <c r="I823" s="84" t="inlineStr">
        <is>
          <t>HDFC 0094</t>
        </is>
      </c>
      <c r="J823" s="84" t="inlineStr">
        <is>
          <t>HSL</t>
        </is>
      </c>
      <c r="K823" s="84" t="inlineStr">
        <is>
          <t>NET PI TO HSL SEC A/C 523686-00602340029434</t>
        </is>
      </c>
      <c r="L823" s="84" t="inlineStr">
        <is>
          <t>HDFC Bank</t>
        </is>
      </c>
      <c r="M823" s="84" t="inlineStr"/>
    </row>
    <row r="824">
      <c r="A824" s="42" t="n">
        <v>45705</v>
      </c>
      <c r="B824" s="42" t="n">
        <v>45705</v>
      </c>
      <c r="C824" s="43" t="n">
        <v>0</v>
      </c>
      <c r="D824" s="43" t="n">
        <v>475</v>
      </c>
      <c r="E824" s="43" t="inlineStr"/>
      <c r="F824" s="43" t="inlineStr">
        <is>
          <t>Dividend Income</t>
        </is>
      </c>
      <c r="G824" s="32" t="n">
        <v>0.88</v>
      </c>
      <c r="H824" s="43" t="inlineStr">
        <is>
          <t>Dividend Income</t>
        </is>
      </c>
      <c r="I824" s="43" t="inlineStr">
        <is>
          <t>HDFC 0094</t>
        </is>
      </c>
      <c r="J824" s="43" t="inlineStr">
        <is>
          <t>Dividend Income</t>
        </is>
      </c>
      <c r="K824" s="43" t="inlineStr">
        <is>
          <t>ACH C- SHRIRAM.FINLTD I2DV2-STFIN3004764</t>
        </is>
      </c>
      <c r="L824" s="43" t="inlineStr">
        <is>
          <t>HDFC Bank</t>
        </is>
      </c>
      <c r="M824" s="43" t="inlineStr"/>
    </row>
    <row r="825">
      <c r="A825" s="83" t="n">
        <v>45705</v>
      </c>
      <c r="B825" s="83" t="n">
        <v>45705</v>
      </c>
      <c r="C825" s="84" t="n">
        <v>17237.03</v>
      </c>
      <c r="D825" s="84" t="n">
        <v>0</v>
      </c>
      <c r="E825" s="84" t="inlineStr"/>
      <c r="F825" s="84" t="inlineStr">
        <is>
          <t>HDFC Securities - Buy</t>
        </is>
      </c>
      <c r="G825" s="32" t="n">
        <v>0.97</v>
      </c>
      <c r="H825" s="84" t="inlineStr">
        <is>
          <t>HDFC Securities</t>
        </is>
      </c>
      <c r="I825" s="84" t="inlineStr">
        <is>
          <t>HDFC 0094</t>
        </is>
      </c>
      <c r="J825" s="84" t="inlineStr">
        <is>
          <t>HSL</t>
        </is>
      </c>
      <c r="K825" s="84" t="inlineStr">
        <is>
          <t>NET PI TO HSL SEC A/C 523686-00602340029434</t>
        </is>
      </c>
      <c r="L825" s="84" t="inlineStr">
        <is>
          <t>HDFC Bank</t>
        </is>
      </c>
      <c r="M825" s="84" t="inlineStr"/>
    </row>
    <row r="826">
      <c r="A826" s="83" t="n">
        <v>45705</v>
      </c>
      <c r="B826" s="83" t="n">
        <v>45705</v>
      </c>
      <c r="C826" s="84" t="n">
        <v>1179.75</v>
      </c>
      <c r="D826" s="84" t="n">
        <v>0</v>
      </c>
      <c r="E826" s="84" t="inlineStr"/>
      <c r="F826" s="84" t="inlineStr">
        <is>
          <t>HDFC Securities - Buy</t>
        </is>
      </c>
      <c r="G826" s="32" t="n">
        <v>0.97</v>
      </c>
      <c r="H826" s="84" t="inlineStr">
        <is>
          <t>HDFC Securities</t>
        </is>
      </c>
      <c r="I826" s="84" t="inlineStr">
        <is>
          <t>HDFC 0094</t>
        </is>
      </c>
      <c r="J826" s="84" t="inlineStr">
        <is>
          <t>HSL</t>
        </is>
      </c>
      <c r="K826" s="84" t="inlineStr">
        <is>
          <t>NET PI TO HSL SEC A/C 523686-00602340029434</t>
        </is>
      </c>
      <c r="L826" s="84" t="inlineStr">
        <is>
          <t>HDFC Bank</t>
        </is>
      </c>
      <c r="M826" s="84" t="inlineStr"/>
    </row>
    <row r="827">
      <c r="A827" s="83" t="n">
        <v>45705</v>
      </c>
      <c r="B827" s="83" t="n">
        <v>45705</v>
      </c>
      <c r="C827" s="84" t="n">
        <v>6502.29</v>
      </c>
      <c r="D827" s="84" t="n">
        <v>0</v>
      </c>
      <c r="E827" s="84" t="inlineStr"/>
      <c r="F827" s="84" t="inlineStr">
        <is>
          <t>HDFC Securities - Buy</t>
        </is>
      </c>
      <c r="G827" s="32" t="n">
        <v>0.97</v>
      </c>
      <c r="H827" s="84" t="inlineStr">
        <is>
          <t>HDFC Securities</t>
        </is>
      </c>
      <c r="I827" s="84" t="inlineStr">
        <is>
          <t>HDFC 0094</t>
        </is>
      </c>
      <c r="J827" s="84" t="inlineStr">
        <is>
          <t>HSL</t>
        </is>
      </c>
      <c r="K827" s="84" t="inlineStr">
        <is>
          <t>NET PI TO HSL SEC A/C 523686-00602340029434</t>
        </is>
      </c>
      <c r="L827" s="84" t="inlineStr">
        <is>
          <t>HDFC Bank</t>
        </is>
      </c>
      <c r="M827" s="84" t="inlineStr"/>
    </row>
    <row r="828">
      <c r="A828" s="64" t="n">
        <v>45705</v>
      </c>
      <c r="B828" s="64" t="n">
        <v>45705</v>
      </c>
      <c r="C828" s="65" t="n">
        <v>5000</v>
      </c>
      <c r="D828" s="65" t="n">
        <v>0</v>
      </c>
      <c r="E828" s="65" t="inlineStr"/>
      <c r="F828" s="65" t="inlineStr">
        <is>
          <t>SIP</t>
        </is>
      </c>
      <c r="G828" s="32" t="n">
        <v>0.95</v>
      </c>
      <c r="H828" s="65" t="inlineStr">
        <is>
          <t>SIP</t>
        </is>
      </c>
      <c r="I828" s="65" t="inlineStr">
        <is>
          <t>HDFC 0094</t>
        </is>
      </c>
      <c r="J828" s="65" t="inlineStr">
        <is>
          <t>SIP  - 5000</t>
        </is>
      </c>
      <c r="K828" s="65" t="inlineStr">
        <is>
          <t>ACH D- TP ACH INDIANESIGN-1720937443</t>
        </is>
      </c>
      <c r="L828" s="65" t="inlineStr">
        <is>
          <t>HDFC Bank</t>
        </is>
      </c>
      <c r="M828" s="65" t="inlineStr"/>
    </row>
    <row r="829">
      <c r="A829" s="30" t="n">
        <v>45705</v>
      </c>
      <c r="B829" s="30" t="n">
        <v>45705</v>
      </c>
      <c r="C829" s="31" t="n">
        <v>0</v>
      </c>
      <c r="D829" s="31" t="n">
        <v>5298.4</v>
      </c>
      <c r="E829" s="31" t="inlineStr"/>
      <c r="F829" s="31" t="inlineStr">
        <is>
          <t>HDFC Securities - Settlement</t>
        </is>
      </c>
      <c r="G829" s="32" t="n">
        <v>0.93</v>
      </c>
      <c r="H829" s="31" t="inlineStr">
        <is>
          <t>HDFC Securities</t>
        </is>
      </c>
      <c r="I829" s="31" t="inlineStr">
        <is>
          <t>HDFC 0094</t>
        </is>
      </c>
      <c r="J829" s="31" t="inlineStr">
        <is>
          <t>HDFC Sec</t>
        </is>
      </c>
      <c r="K829" s="31" t="inlineStr">
        <is>
          <t>FT- 611101707-50200085415108 - HDFC SECURITIES LTD-CLIENT DSCNB A/C -</t>
        </is>
      </c>
      <c r="L829" s="31" t="inlineStr">
        <is>
          <t>HDFC Bank</t>
        </is>
      </c>
      <c r="M829" s="31" t="inlineStr"/>
    </row>
    <row r="830">
      <c r="A830" s="30" t="n">
        <v>45705</v>
      </c>
      <c r="B830" s="30" t="n">
        <v>45705</v>
      </c>
      <c r="C830" s="31" t="n">
        <v>0</v>
      </c>
      <c r="D830" s="31" t="n">
        <v>834.62</v>
      </c>
      <c r="E830" s="31" t="inlineStr"/>
      <c r="F830" s="31" t="inlineStr">
        <is>
          <t>HDFC Securities - Settlement</t>
        </is>
      </c>
      <c r="G830" s="32" t="n">
        <v>0.93</v>
      </c>
      <c r="H830" s="31" t="inlineStr">
        <is>
          <t>HDFC Securities</t>
        </is>
      </c>
      <c r="I830" s="31" t="inlineStr">
        <is>
          <t>HDFC 0094</t>
        </is>
      </c>
      <c r="J830" s="31" t="inlineStr">
        <is>
          <t>HDFC Sec</t>
        </is>
      </c>
      <c r="K830" s="31" t="inlineStr">
        <is>
          <t>FT- 611101706-50200085415108 - HDFC SECURITIES LTD-CLIENT DSCNB A/C -</t>
        </is>
      </c>
      <c r="L830" s="31" t="inlineStr">
        <is>
          <t>HDFC Bank</t>
        </is>
      </c>
      <c r="M830" s="31" t="inlineStr"/>
    </row>
    <row r="831">
      <c r="A831" s="83" t="n">
        <v>45706</v>
      </c>
      <c r="B831" s="83" t="n">
        <v>45706</v>
      </c>
      <c r="C831" s="84" t="n">
        <v>32910.82</v>
      </c>
      <c r="D831" s="84" t="n">
        <v>0</v>
      </c>
      <c r="E831" s="84" t="inlineStr"/>
      <c r="F831" s="84" t="inlineStr">
        <is>
          <t>HDFC Securities - Buy</t>
        </is>
      </c>
      <c r="G831" s="32" t="n">
        <v>0.97</v>
      </c>
      <c r="H831" s="84" t="inlineStr">
        <is>
          <t>HDFC Securities</t>
        </is>
      </c>
      <c r="I831" s="84" t="inlineStr">
        <is>
          <t>HDFC 0094</t>
        </is>
      </c>
      <c r="J831" s="84" t="inlineStr">
        <is>
          <t>HSL</t>
        </is>
      </c>
      <c r="K831" s="84" t="inlineStr">
        <is>
          <t>NET PI TO HSL SEC A/C 523686-00602340029434</t>
        </is>
      </c>
      <c r="L831" s="84" t="inlineStr">
        <is>
          <t>HDFC Bank</t>
        </is>
      </c>
      <c r="M831" s="84" t="inlineStr"/>
    </row>
    <row r="832">
      <c r="A832" s="30" t="n">
        <v>45706</v>
      </c>
      <c r="B832" s="30" t="n">
        <v>45706</v>
      </c>
      <c r="C832" s="31" t="n">
        <v>0</v>
      </c>
      <c r="D832" s="31" t="n">
        <v>40874.93</v>
      </c>
      <c r="E832" s="31" t="inlineStr"/>
      <c r="F832" s="31" t="inlineStr">
        <is>
          <t>HDFC Securities - Settlement</t>
        </is>
      </c>
      <c r="G832" s="32" t="n">
        <v>0.93</v>
      </c>
      <c r="H832" s="31" t="inlineStr">
        <is>
          <t>HDFC Securities</t>
        </is>
      </c>
      <c r="I832" s="31" t="inlineStr">
        <is>
          <t>HDFC 0094</t>
        </is>
      </c>
      <c r="J832" s="31" t="inlineStr">
        <is>
          <t>HDFC Sec</t>
        </is>
      </c>
      <c r="K832" s="31" t="inlineStr">
        <is>
          <t>FT- 611623287-50200085415108 - HDFC SECURITIES LTD-CLIENT DSCNB A/C -</t>
        </is>
      </c>
      <c r="L832" s="31" t="inlineStr">
        <is>
          <t>HDFC Bank</t>
        </is>
      </c>
      <c r="M832" s="31" t="inlineStr"/>
    </row>
    <row r="833">
      <c r="A833" s="83" t="n">
        <v>45706</v>
      </c>
      <c r="B833" s="83" t="n">
        <v>45706</v>
      </c>
      <c r="C833" s="84" t="n">
        <v>386.68</v>
      </c>
      <c r="D833" s="84" t="n">
        <v>0</v>
      </c>
      <c r="E833" s="84" t="inlineStr"/>
      <c r="F833" s="84" t="inlineStr">
        <is>
          <t>HDFC Securities - Buy</t>
        </is>
      </c>
      <c r="G833" s="32" t="n">
        <v>0.97</v>
      </c>
      <c r="H833" s="84" t="inlineStr">
        <is>
          <t>HDFC Securities</t>
        </is>
      </c>
      <c r="I833" s="84" t="inlineStr">
        <is>
          <t>HDFC 0094</t>
        </is>
      </c>
      <c r="J833" s="84" t="inlineStr">
        <is>
          <t>HSL</t>
        </is>
      </c>
      <c r="K833" s="84" t="inlineStr">
        <is>
          <t>NET PI TO HSL SEC A/C 523686-00602340029434</t>
        </is>
      </c>
      <c r="L833" s="84" t="inlineStr">
        <is>
          <t>HDFC Bank</t>
        </is>
      </c>
      <c r="M833" s="84" t="inlineStr"/>
    </row>
    <row r="834">
      <c r="A834" s="42" t="n">
        <v>45706</v>
      </c>
      <c r="B834" s="42" t="n">
        <v>45706</v>
      </c>
      <c r="C834" s="43" t="n">
        <v>0</v>
      </c>
      <c r="D834" s="43" t="n">
        <v>17</v>
      </c>
      <c r="E834" s="43" t="inlineStr"/>
      <c r="F834" s="43" t="inlineStr">
        <is>
          <t>Dividend Income</t>
        </is>
      </c>
      <c r="G834" s="32" t="n">
        <v>0.88</v>
      </c>
      <c r="H834" s="43" t="inlineStr">
        <is>
          <t>Dividend Income</t>
        </is>
      </c>
      <c r="I834" s="43" t="inlineStr">
        <is>
          <t>HDFC 0094</t>
        </is>
      </c>
      <c r="J834" s="43" t="inlineStr">
        <is>
          <t>Dividend Income</t>
        </is>
      </c>
      <c r="K834" s="43" t="inlineStr">
        <is>
          <t>ACH C- COAL INDIA LTD-1765532</t>
        </is>
      </c>
      <c r="L834" s="43" t="inlineStr">
        <is>
          <t>HDFC Bank</t>
        </is>
      </c>
      <c r="M834" s="43" t="inlineStr"/>
    </row>
    <row r="835">
      <c r="A835" s="42" t="n">
        <v>45706</v>
      </c>
      <c r="B835" s="42" t="n">
        <v>45706</v>
      </c>
      <c r="C835" s="43" t="n">
        <v>0</v>
      </c>
      <c r="D835" s="43" t="n">
        <v>525</v>
      </c>
      <c r="E835" s="43" t="inlineStr"/>
      <c r="F835" s="43" t="inlineStr">
        <is>
          <t>Dividend Income</t>
        </is>
      </c>
      <c r="G835" s="32" t="n">
        <v>0.88</v>
      </c>
      <c r="H835" s="43" t="inlineStr">
        <is>
          <t>Dividend Income</t>
        </is>
      </c>
      <c r="I835" s="43" t="inlineStr">
        <is>
          <t>HDFC 0094</t>
        </is>
      </c>
      <c r="J835" s="43" t="inlineStr">
        <is>
          <t>Dividend Income</t>
        </is>
      </c>
      <c r="K835" s="43" t="inlineStr">
        <is>
          <t>ACH C- CAMS 3INTDIV 24 25-179387</t>
        </is>
      </c>
      <c r="L835" s="43" t="inlineStr">
        <is>
          <t>HDFC Bank</t>
        </is>
      </c>
      <c r="M835" s="43" t="inlineStr"/>
    </row>
    <row r="836">
      <c r="A836" s="83" t="n">
        <v>45706</v>
      </c>
      <c r="B836" s="83" t="n">
        <v>45706</v>
      </c>
      <c r="C836" s="84" t="n">
        <v>10680.72</v>
      </c>
      <c r="D836" s="84" t="n">
        <v>0</v>
      </c>
      <c r="E836" s="84" t="inlineStr"/>
      <c r="F836" s="84" t="inlineStr">
        <is>
          <t>HDFC Securities - Buy</t>
        </is>
      </c>
      <c r="G836" s="32" t="n">
        <v>0.97</v>
      </c>
      <c r="H836" s="84" t="inlineStr">
        <is>
          <t>HDFC Securities</t>
        </is>
      </c>
      <c r="I836" s="84" t="inlineStr">
        <is>
          <t>HDFC 0094</t>
        </is>
      </c>
      <c r="J836" s="84" t="inlineStr">
        <is>
          <t>HSL</t>
        </is>
      </c>
      <c r="K836" s="84" t="inlineStr">
        <is>
          <t>NET PI TO HSL SEC A/C 523686-00602340029434</t>
        </is>
      </c>
      <c r="L836" s="84" t="inlineStr">
        <is>
          <t>HDFC Bank</t>
        </is>
      </c>
      <c r="M836" s="84" t="inlineStr"/>
    </row>
    <row r="837">
      <c r="A837" s="83" t="n">
        <v>45707</v>
      </c>
      <c r="B837" s="83" t="n">
        <v>45707</v>
      </c>
      <c r="C837" s="84" t="n">
        <v>13065.24</v>
      </c>
      <c r="D837" s="84" t="n">
        <v>0</v>
      </c>
      <c r="E837" s="84" t="inlineStr"/>
      <c r="F837" s="84" t="inlineStr">
        <is>
          <t>HDFC Securities - Buy</t>
        </is>
      </c>
      <c r="G837" s="32" t="n">
        <v>0.97</v>
      </c>
      <c r="H837" s="84" t="inlineStr">
        <is>
          <t>HDFC Securities</t>
        </is>
      </c>
      <c r="I837" s="84" t="inlineStr">
        <is>
          <t>HDFC 0094</t>
        </is>
      </c>
      <c r="J837" s="84" t="inlineStr">
        <is>
          <t>HSL</t>
        </is>
      </c>
      <c r="K837" s="84" t="inlineStr">
        <is>
          <t>NET PI TO HSL SEC A/C 523686-00602340029434</t>
        </is>
      </c>
      <c r="L837" s="84" t="inlineStr">
        <is>
          <t>HDFC Bank</t>
        </is>
      </c>
      <c r="M837" s="84" t="inlineStr"/>
    </row>
    <row r="838">
      <c r="A838" s="83" t="n">
        <v>45707</v>
      </c>
      <c r="B838" s="83" t="n">
        <v>45707</v>
      </c>
      <c r="C838" s="84" t="n">
        <v>397.02</v>
      </c>
      <c r="D838" s="84" t="n">
        <v>0</v>
      </c>
      <c r="E838" s="84" t="inlineStr"/>
      <c r="F838" s="84" t="inlineStr">
        <is>
          <t>HDFC Securities - Buy</t>
        </is>
      </c>
      <c r="G838" s="32" t="n">
        <v>0.97</v>
      </c>
      <c r="H838" s="84" t="inlineStr">
        <is>
          <t>HDFC Securities</t>
        </is>
      </c>
      <c r="I838" s="84" t="inlineStr">
        <is>
          <t>HDFC 0094</t>
        </is>
      </c>
      <c r="J838" s="84" t="inlineStr">
        <is>
          <t>HSL</t>
        </is>
      </c>
      <c r="K838" s="84" t="inlineStr">
        <is>
          <t>NET PI TO HSL SEC A/C 523686-00602340029434</t>
        </is>
      </c>
      <c r="L838" s="84" t="inlineStr">
        <is>
          <t>HDFC Bank</t>
        </is>
      </c>
      <c r="M838" s="84" t="inlineStr"/>
    </row>
    <row r="839">
      <c r="A839" s="30" t="n">
        <v>45708</v>
      </c>
      <c r="B839" s="30" t="n">
        <v>45708</v>
      </c>
      <c r="C839" s="31" t="n">
        <v>0</v>
      </c>
      <c r="D839" s="31" t="n">
        <v>12303.96</v>
      </c>
      <c r="E839" s="31" t="inlineStr"/>
      <c r="F839" s="31" t="inlineStr">
        <is>
          <t>HDFC Securities - Settlement</t>
        </is>
      </c>
      <c r="G839" s="32" t="n">
        <v>0.93</v>
      </c>
      <c r="H839" s="31" t="inlineStr">
        <is>
          <t>HDFC Securities</t>
        </is>
      </c>
      <c r="I839" s="31" t="inlineStr">
        <is>
          <t>HDFC 0094</t>
        </is>
      </c>
      <c r="J839" s="31" t="inlineStr">
        <is>
          <t>HDFC Sec</t>
        </is>
      </c>
      <c r="K839" s="31" t="inlineStr">
        <is>
          <t>FT- 612389928-50200085415108 - HDFC SECURITIES LTD-CLIENT DSCNB A/C -</t>
        </is>
      </c>
      <c r="L839" s="31" t="inlineStr">
        <is>
          <t>HDFC Bank</t>
        </is>
      </c>
      <c r="M839" s="31" t="inlineStr"/>
    </row>
    <row r="840">
      <c r="A840" s="42" t="n">
        <v>45708</v>
      </c>
      <c r="B840" s="42" t="n">
        <v>45708</v>
      </c>
      <c r="C840" s="43" t="n">
        <v>0</v>
      </c>
      <c r="D840" s="43" t="n">
        <v>573.75</v>
      </c>
      <c r="E840" s="43" t="inlineStr"/>
      <c r="F840" s="43" t="inlineStr">
        <is>
          <t>Dividend Income</t>
        </is>
      </c>
      <c r="G840" s="32" t="n">
        <v>0.88</v>
      </c>
      <c r="H840" s="43" t="inlineStr">
        <is>
          <t>Dividend Income</t>
        </is>
      </c>
      <c r="I840" s="43" t="inlineStr">
        <is>
          <t>HDFC 0094</t>
        </is>
      </c>
      <c r="J840" s="43" t="inlineStr">
        <is>
          <t>Dividend Income</t>
        </is>
      </c>
      <c r="K840" s="43" t="inlineStr">
        <is>
          <t>ACH C- CONCOR 3RD INT DIV-CN060225004173</t>
        </is>
      </c>
      <c r="L840" s="43" t="inlineStr">
        <is>
          <t>HDFC Bank</t>
        </is>
      </c>
      <c r="M840" s="43" t="inlineStr"/>
    </row>
    <row r="841">
      <c r="A841" s="83" t="n">
        <v>45708</v>
      </c>
      <c r="B841" s="83" t="n">
        <v>45708</v>
      </c>
      <c r="C841" s="84" t="n">
        <v>392.37</v>
      </c>
      <c r="D841" s="84" t="n">
        <v>0</v>
      </c>
      <c r="E841" s="84" t="inlineStr"/>
      <c r="F841" s="84" t="inlineStr">
        <is>
          <t>HDFC Securities - Buy</t>
        </is>
      </c>
      <c r="G841" s="32" t="n">
        <v>0.97</v>
      </c>
      <c r="H841" s="84" t="inlineStr">
        <is>
          <t>HDFC Securities</t>
        </is>
      </c>
      <c r="I841" s="84" t="inlineStr">
        <is>
          <t>HDFC 0094</t>
        </is>
      </c>
      <c r="J841" s="84" t="inlineStr">
        <is>
          <t>HSL</t>
        </is>
      </c>
      <c r="K841" s="84" t="inlineStr">
        <is>
          <t>NET PI TO HSL SEC A/C 523686-00602340029434</t>
        </is>
      </c>
      <c r="L841" s="84" t="inlineStr">
        <is>
          <t>HDFC Bank</t>
        </is>
      </c>
      <c r="M841" s="84" t="inlineStr"/>
    </row>
    <row r="842">
      <c r="A842" s="64" t="n">
        <v>45708</v>
      </c>
      <c r="B842" s="64" t="n">
        <v>45708</v>
      </c>
      <c r="C842" s="65" t="n">
        <v>7632</v>
      </c>
      <c r="D842" s="65" t="n">
        <v>0</v>
      </c>
      <c r="E842" s="65" t="inlineStr"/>
      <c r="F842" s="65" t="inlineStr">
        <is>
          <t>SIP</t>
        </is>
      </c>
      <c r="G842" s="32" t="n">
        <v>0.9</v>
      </c>
      <c r="H842" s="65" t="inlineStr">
        <is>
          <t>SIP</t>
        </is>
      </c>
      <c r="I842" s="65" t="inlineStr">
        <is>
          <t>HDFC 0094</t>
        </is>
      </c>
      <c r="J842" s="65" t="inlineStr">
        <is>
          <t>Electricity Bill</t>
        </is>
      </c>
      <c r="K842" s="65" t="inlineStr">
        <is>
          <t>YHDF2532495131/BILLDKTHECALCUTTAELE</t>
        </is>
      </c>
      <c r="L842" s="65" t="inlineStr">
        <is>
          <t>HDFC Bank</t>
        </is>
      </c>
      <c r="M842" s="65" t="inlineStr"/>
    </row>
    <row r="843">
      <c r="A843" s="120" t="n">
        <v>45708</v>
      </c>
      <c r="B843" s="120" t="n">
        <v>45708</v>
      </c>
      <c r="C843" s="121" t="n">
        <v>0</v>
      </c>
      <c r="D843" s="121" t="n">
        <v>100000</v>
      </c>
      <c r="E843" s="121" t="inlineStr"/>
      <c r="F843" s="121" t="inlineStr">
        <is>
          <t>What is this?</t>
        </is>
      </c>
      <c r="G843" s="50" t="n">
        <v>0</v>
      </c>
      <c r="H843" s="121" t="inlineStr">
        <is>
          <t>Suspense</t>
        </is>
      </c>
      <c r="I843" s="121" t="inlineStr">
        <is>
          <t>SBI 7685</t>
        </is>
      </c>
      <c r="J843" s="121" t="inlineStr">
        <is>
          <t>Transfer from Ajay</t>
        </is>
      </c>
      <c r="K843" s="121" t="inlineStr">
        <is>
          <t xml:space="preserve">   BY TRANSFER-INB borrow--</t>
        </is>
      </c>
      <c r="L843" s="121" t="inlineStr">
        <is>
          <t>State Bank of India</t>
        </is>
      </c>
      <c r="M843" s="121" t="inlineStr"/>
    </row>
    <row r="844">
      <c r="A844" s="120" t="n">
        <v>45709</v>
      </c>
      <c r="B844" s="120" t="n">
        <v>45709</v>
      </c>
      <c r="C844" s="121" t="n">
        <v>100000</v>
      </c>
      <c r="D844" s="121" t="n">
        <v>0</v>
      </c>
      <c r="E844" s="121" t="inlineStr"/>
      <c r="F844" s="121" t="inlineStr">
        <is>
          <t>What is this?</t>
        </is>
      </c>
      <c r="G844" s="50" t="n">
        <v>0</v>
      </c>
      <c r="H844" s="121" t="inlineStr">
        <is>
          <t>Suspense</t>
        </is>
      </c>
      <c r="I844" s="121" t="inlineStr">
        <is>
          <t>SBI 7685</t>
        </is>
      </c>
      <c r="J844" s="121" t="inlineStr">
        <is>
          <t>Security Deposit Returned</t>
        </is>
      </c>
      <c r="K844" s="121" t="inlineStr">
        <is>
          <t xml:space="preserve">   TO TRANSFER-INB Security deposit return--</t>
        </is>
      </c>
      <c r="L844" s="121" t="inlineStr">
        <is>
          <t>State Bank of India</t>
        </is>
      </c>
      <c r="M844" s="121" t="inlineStr"/>
    </row>
    <row r="845">
      <c r="A845" s="30" t="n">
        <v>45709</v>
      </c>
      <c r="B845" s="30" t="n">
        <v>45709</v>
      </c>
      <c r="C845" s="31" t="n">
        <v>0</v>
      </c>
      <c r="D845" s="31" t="n">
        <v>14833.79</v>
      </c>
      <c r="E845" s="31" t="inlineStr"/>
      <c r="F845" s="31" t="inlineStr">
        <is>
          <t>HDFC Securities - Settlement</t>
        </is>
      </c>
      <c r="G845" s="32" t="n">
        <v>0.93</v>
      </c>
      <c r="H845" s="31" t="inlineStr">
        <is>
          <t>HDFC Securities</t>
        </is>
      </c>
      <c r="I845" s="31" t="inlineStr">
        <is>
          <t>HDFC 0094</t>
        </is>
      </c>
      <c r="J845" s="31" t="inlineStr">
        <is>
          <t>HDFC Sec</t>
        </is>
      </c>
      <c r="K845" s="31" t="inlineStr">
        <is>
          <t>FT- 612817930-50200085415108 - HDFC SECURITIES LTD-CLIENT DSCNB A/C -</t>
        </is>
      </c>
      <c r="L845" s="31" t="inlineStr">
        <is>
          <t>HDFC Bank</t>
        </is>
      </c>
      <c r="M845" s="31" t="inlineStr"/>
    </row>
    <row r="846">
      <c r="A846" s="30" t="n">
        <v>45709</v>
      </c>
      <c r="B846" s="30" t="n">
        <v>45709</v>
      </c>
      <c r="C846" s="31" t="n">
        <v>0</v>
      </c>
      <c r="D846" s="31" t="n">
        <v>15852.28</v>
      </c>
      <c r="E846" s="31" t="inlineStr"/>
      <c r="F846" s="31" t="inlineStr">
        <is>
          <t>HDFC Securities - Settlement</t>
        </is>
      </c>
      <c r="G846" s="32" t="n">
        <v>0.93</v>
      </c>
      <c r="H846" s="31" t="inlineStr">
        <is>
          <t>HDFC Securities</t>
        </is>
      </c>
      <c r="I846" s="31" t="inlineStr">
        <is>
          <t>HDFC 0094</t>
        </is>
      </c>
      <c r="J846" s="31" t="inlineStr">
        <is>
          <t>HDFC Sec</t>
        </is>
      </c>
      <c r="K846" s="31" t="inlineStr">
        <is>
          <t>FT- 612789373-50200085415108 - HDFC SECURITIES LTD-CLIENT DSCNB A/C -</t>
        </is>
      </c>
      <c r="L846" s="31" t="inlineStr">
        <is>
          <t>HDFC Bank</t>
        </is>
      </c>
      <c r="M846" s="31" t="inlineStr"/>
    </row>
    <row r="847">
      <c r="A847" s="83" t="n">
        <v>45709</v>
      </c>
      <c r="B847" s="83" t="n">
        <v>45709</v>
      </c>
      <c r="C847" s="84" t="n">
        <v>413.13</v>
      </c>
      <c r="D847" s="84" t="n">
        <v>0</v>
      </c>
      <c r="E847" s="84" t="inlineStr"/>
      <c r="F847" s="84" t="inlineStr">
        <is>
          <t>HDFC Securities - Buy</t>
        </is>
      </c>
      <c r="G847" s="32" t="n">
        <v>0.97</v>
      </c>
      <c r="H847" s="84" t="inlineStr">
        <is>
          <t>HDFC Securities</t>
        </is>
      </c>
      <c r="I847" s="84" t="inlineStr">
        <is>
          <t>HDFC 0094</t>
        </is>
      </c>
      <c r="J847" s="84" t="inlineStr">
        <is>
          <t>HSL</t>
        </is>
      </c>
      <c r="K847" s="84" t="inlineStr">
        <is>
          <t>NET PI TO HSL SEC A/C 523686-00602340029434</t>
        </is>
      </c>
      <c r="L847" s="84" t="inlineStr">
        <is>
          <t>HDFC Bank</t>
        </is>
      </c>
      <c r="M847" s="84" t="inlineStr"/>
    </row>
    <row r="848">
      <c r="A848" s="83" t="n">
        <v>45709</v>
      </c>
      <c r="B848" s="83" t="n">
        <v>45709</v>
      </c>
      <c r="C848" s="84" t="n">
        <v>591.59</v>
      </c>
      <c r="D848" s="84" t="n">
        <v>0</v>
      </c>
      <c r="E848" s="84" t="inlineStr"/>
      <c r="F848" s="84" t="inlineStr">
        <is>
          <t>HDFC Securities - Buy</t>
        </is>
      </c>
      <c r="G848" s="32" t="n">
        <v>0.97</v>
      </c>
      <c r="H848" s="84" t="inlineStr">
        <is>
          <t>HDFC Securities</t>
        </is>
      </c>
      <c r="I848" s="84" t="inlineStr">
        <is>
          <t>HDFC 0094</t>
        </is>
      </c>
      <c r="J848" s="84" t="inlineStr">
        <is>
          <t>HSL</t>
        </is>
      </c>
      <c r="K848" s="84" t="inlineStr">
        <is>
          <t>NET PI TO HSL SEC A/C 523686-00602340029434</t>
        </is>
      </c>
      <c r="L848" s="84" t="inlineStr">
        <is>
          <t>HDFC Bank</t>
        </is>
      </c>
      <c r="M848" s="84" t="inlineStr"/>
    </row>
    <row r="849">
      <c r="A849" s="83" t="n">
        <v>45709</v>
      </c>
      <c r="B849" s="83" t="n">
        <v>45709</v>
      </c>
      <c r="C849" s="84" t="n">
        <v>14592.03</v>
      </c>
      <c r="D849" s="84" t="n">
        <v>0</v>
      </c>
      <c r="E849" s="84" t="inlineStr"/>
      <c r="F849" s="84" t="inlineStr">
        <is>
          <t>HDFC Securities - Buy</t>
        </is>
      </c>
      <c r="G849" s="32" t="n">
        <v>0.97</v>
      </c>
      <c r="H849" s="84" t="inlineStr">
        <is>
          <t>HDFC Securities</t>
        </is>
      </c>
      <c r="I849" s="84" t="inlineStr">
        <is>
          <t>HDFC 0094</t>
        </is>
      </c>
      <c r="J849" s="84" t="inlineStr">
        <is>
          <t>HSL</t>
        </is>
      </c>
      <c r="K849" s="84" t="inlineStr">
        <is>
          <t>NET PI TO HSL SEC A/C 523686-00602340029434</t>
        </is>
      </c>
      <c r="L849" s="84" t="inlineStr">
        <is>
          <t>HDFC Bank</t>
        </is>
      </c>
      <c r="M849" s="84" t="inlineStr"/>
    </row>
    <row r="850">
      <c r="A850" s="83" t="n">
        <v>45712</v>
      </c>
      <c r="B850" s="83" t="n">
        <v>45712</v>
      </c>
      <c r="C850" s="84" t="n">
        <v>1240.11</v>
      </c>
      <c r="D850" s="84" t="n">
        <v>0</v>
      </c>
      <c r="E850" s="84" t="inlineStr"/>
      <c r="F850" s="84" t="inlineStr">
        <is>
          <t>HDFC Securities - Buy</t>
        </is>
      </c>
      <c r="G850" s="32" t="n">
        <v>0.97</v>
      </c>
      <c r="H850" s="84" t="inlineStr">
        <is>
          <t>HDFC Securities</t>
        </is>
      </c>
      <c r="I850" s="84" t="inlineStr">
        <is>
          <t>HDFC 0094</t>
        </is>
      </c>
      <c r="J850" s="84" t="inlineStr">
        <is>
          <t>HSL</t>
        </is>
      </c>
      <c r="K850" s="84" t="inlineStr">
        <is>
          <t>NET PI TO HSL SEC A/C 523686-00602340029434</t>
        </is>
      </c>
      <c r="L850" s="84" t="inlineStr">
        <is>
          <t>HDFC Bank</t>
        </is>
      </c>
      <c r="M850" s="84" t="inlineStr"/>
    </row>
    <row r="851">
      <c r="A851" s="42" t="n">
        <v>45712</v>
      </c>
      <c r="B851" s="42" t="n">
        <v>45712</v>
      </c>
      <c r="C851" s="43" t="n">
        <v>0</v>
      </c>
      <c r="D851" s="43" t="n">
        <v>144</v>
      </c>
      <c r="E851" s="43" t="inlineStr"/>
      <c r="F851" s="43" t="inlineStr">
        <is>
          <t>Dividend Income</t>
        </is>
      </c>
      <c r="G851" s="32" t="n">
        <v>0.88</v>
      </c>
      <c r="H851" s="43" t="inlineStr">
        <is>
          <t>Dividend Income</t>
        </is>
      </c>
      <c r="I851" s="43" t="inlineStr">
        <is>
          <t>HDFC 0094</t>
        </is>
      </c>
      <c r="J851" s="43" t="inlineStr">
        <is>
          <t>Dividend Income</t>
        </is>
      </c>
      <c r="K851" s="43" t="inlineStr">
        <is>
          <t>ACH C- PI INDUSTRIES LTD-3738446</t>
        </is>
      </c>
      <c r="L851" s="43" t="inlineStr">
        <is>
          <t>HDFC Bank</t>
        </is>
      </c>
      <c r="M851" s="43" t="inlineStr"/>
    </row>
    <row r="852">
      <c r="A852" s="83" t="n">
        <v>45712</v>
      </c>
      <c r="B852" s="83" t="n">
        <v>45712</v>
      </c>
      <c r="C852" s="84" t="n">
        <v>20231.34</v>
      </c>
      <c r="D852" s="84" t="n">
        <v>0</v>
      </c>
      <c r="E852" s="84" t="inlineStr"/>
      <c r="F852" s="84" t="inlineStr">
        <is>
          <t>HDFC Securities - Buy</t>
        </is>
      </c>
      <c r="G852" s="32" t="n">
        <v>0.97</v>
      </c>
      <c r="H852" s="84" t="inlineStr">
        <is>
          <t>HDFC Securities</t>
        </is>
      </c>
      <c r="I852" s="84" t="inlineStr">
        <is>
          <t>HDFC 0094</t>
        </is>
      </c>
      <c r="J852" s="84" t="inlineStr">
        <is>
          <t>HSL</t>
        </is>
      </c>
      <c r="K852" s="84" t="inlineStr">
        <is>
          <t>NET PI TO HSL SEC A/C 523686-00602340029434</t>
        </is>
      </c>
      <c r="L852" s="84" t="inlineStr">
        <is>
          <t>HDFC Bank</t>
        </is>
      </c>
      <c r="M852" s="84" t="inlineStr"/>
    </row>
    <row r="853">
      <c r="A853" s="42" t="n">
        <v>45713</v>
      </c>
      <c r="B853" s="42" t="n">
        <v>45713</v>
      </c>
      <c r="C853" s="43" t="n">
        <v>0</v>
      </c>
      <c r="D853" s="43" t="n">
        <v>300</v>
      </c>
      <c r="E853" s="43" t="inlineStr"/>
      <c r="F853" s="43" t="inlineStr">
        <is>
          <t>Dividend Income</t>
        </is>
      </c>
      <c r="G853" s="32" t="n">
        <v>0.88</v>
      </c>
      <c r="H853" s="43" t="inlineStr">
        <is>
          <t>Dividend Income</t>
        </is>
      </c>
      <c r="I853" s="43" t="inlineStr">
        <is>
          <t>HDFC 0094</t>
        </is>
      </c>
      <c r="J853" s="43" t="inlineStr">
        <is>
          <t>Dividend Income</t>
        </is>
      </c>
      <c r="K853" s="43" t="inlineStr">
        <is>
          <t>ACH C- HEROMOTOCORPLTD-00000000000007133</t>
        </is>
      </c>
      <c r="L853" s="43" t="inlineStr">
        <is>
          <t>HDFC Bank</t>
        </is>
      </c>
      <c r="M853" s="43" t="inlineStr"/>
    </row>
    <row r="854">
      <c r="A854" s="83" t="n">
        <v>45713</v>
      </c>
      <c r="B854" s="83" t="n">
        <v>45713</v>
      </c>
      <c r="C854" s="84" t="n">
        <v>411.36</v>
      </c>
      <c r="D854" s="84" t="n">
        <v>0</v>
      </c>
      <c r="E854" s="84" t="inlineStr"/>
      <c r="F854" s="84" t="inlineStr">
        <is>
          <t>HDFC Securities - Buy</t>
        </is>
      </c>
      <c r="G854" s="32" t="n">
        <v>0.97</v>
      </c>
      <c r="H854" s="84" t="inlineStr">
        <is>
          <t>HDFC Securities</t>
        </is>
      </c>
      <c r="I854" s="84" t="inlineStr">
        <is>
          <t>HDFC 0094</t>
        </is>
      </c>
      <c r="J854" s="84" t="inlineStr">
        <is>
          <t>HSL</t>
        </is>
      </c>
      <c r="K854" s="84" t="inlineStr">
        <is>
          <t>NET PI TO HSL SEC A/C 523686-00602340029434</t>
        </is>
      </c>
      <c r="L854" s="84" t="inlineStr">
        <is>
          <t>HDFC Bank</t>
        </is>
      </c>
      <c r="M854" s="84" t="inlineStr"/>
    </row>
    <row r="855">
      <c r="A855" s="126" t="n">
        <v>45713</v>
      </c>
      <c r="B855" s="126" t="n">
        <v>45713</v>
      </c>
      <c r="C855" s="127" t="n">
        <v>0</v>
      </c>
      <c r="D855" s="127" t="n">
        <v>10000</v>
      </c>
      <c r="E855" s="127" t="inlineStr"/>
      <c r="F855" s="127" t="inlineStr">
        <is>
          <t>SIP Refund / Reversal</t>
        </is>
      </c>
      <c r="G855" s="32" t="n">
        <v>0.9</v>
      </c>
      <c r="H855" s="127" t="inlineStr">
        <is>
          <t>Mutual Funds</t>
        </is>
      </c>
      <c r="I855" s="127" t="inlineStr">
        <is>
          <t>HDFC 0094</t>
        </is>
      </c>
      <c r="J855" s="127" t="inlineStr">
        <is>
          <t>Plus -Minus</t>
        </is>
      </c>
      <c r="K855" s="127" t="inlineStr">
        <is>
          <t>ACH D- TP ACH INDIANESIGN-1724388224</t>
        </is>
      </c>
      <c r="L855" s="127" t="inlineStr">
        <is>
          <t>HDFC Bank</t>
        </is>
      </c>
      <c r="M855" s="127" t="inlineStr"/>
    </row>
    <row r="856">
      <c r="A856" s="64" t="n">
        <v>45713</v>
      </c>
      <c r="B856" s="64" t="n">
        <v>45713</v>
      </c>
      <c r="C856" s="65" t="n">
        <v>10000</v>
      </c>
      <c r="D856" s="65" t="n">
        <v>0</v>
      </c>
      <c r="E856" s="65" t="inlineStr"/>
      <c r="F856" s="65" t="inlineStr">
        <is>
          <t>SIP</t>
        </is>
      </c>
      <c r="G856" s="32" t="n">
        <v>0.95</v>
      </c>
      <c r="H856" s="65" t="inlineStr">
        <is>
          <t>SIP</t>
        </is>
      </c>
      <c r="I856" s="65" t="inlineStr">
        <is>
          <t>HDFC 0094</t>
        </is>
      </c>
      <c r="J856" s="65" t="inlineStr">
        <is>
          <t>Plus -Minus</t>
        </is>
      </c>
      <c r="K856" s="65" t="inlineStr">
        <is>
          <t>ACH D- TP ACH INDIANESIGN-1724388224</t>
        </is>
      </c>
      <c r="L856" s="65" t="inlineStr">
        <is>
          <t>HDFC Bank</t>
        </is>
      </c>
      <c r="M856" s="65" t="inlineStr"/>
    </row>
    <row r="857">
      <c r="A857" s="83" t="n">
        <v>45714</v>
      </c>
      <c r="B857" s="83" t="n">
        <v>45714</v>
      </c>
      <c r="C857" s="84" t="n">
        <v>1637.13</v>
      </c>
      <c r="D857" s="84" t="n">
        <v>0</v>
      </c>
      <c r="E857" s="84" t="inlineStr"/>
      <c r="F857" s="84" t="inlineStr">
        <is>
          <t>HDFC Securities - Buy</t>
        </is>
      </c>
      <c r="G857" s="32" t="n">
        <v>0.97</v>
      </c>
      <c r="H857" s="84" t="inlineStr">
        <is>
          <t>HDFC Securities</t>
        </is>
      </c>
      <c r="I857" s="84" t="inlineStr">
        <is>
          <t>HDFC 0094</t>
        </is>
      </c>
      <c r="J857" s="84" t="inlineStr">
        <is>
          <t>HSL</t>
        </is>
      </c>
      <c r="K857" s="84" t="inlineStr">
        <is>
          <t>NET PI TO HSL SEC A/C 523686-00602340029434</t>
        </is>
      </c>
      <c r="L857" s="84" t="inlineStr">
        <is>
          <t>HDFC Bank</t>
        </is>
      </c>
      <c r="M857" s="84" t="inlineStr"/>
    </row>
    <row r="858">
      <c r="A858" s="30" t="n">
        <v>45716</v>
      </c>
      <c r="B858" s="30" t="n">
        <v>45716</v>
      </c>
      <c r="C858" s="31" t="n">
        <v>0</v>
      </c>
      <c r="D858" s="31" t="n">
        <v>5258.39</v>
      </c>
      <c r="E858" s="31" t="inlineStr"/>
      <c r="F858" s="31" t="inlineStr">
        <is>
          <t>HDFC Securities - Settlement</t>
        </is>
      </c>
      <c r="G858" s="32" t="n">
        <v>0.93</v>
      </c>
      <c r="H858" s="31" t="inlineStr">
        <is>
          <t>HDFC Securities</t>
        </is>
      </c>
      <c r="I858" s="31" t="inlineStr">
        <is>
          <t>HDFC 0094</t>
        </is>
      </c>
      <c r="J858" s="31" t="inlineStr">
        <is>
          <t>HDFC Sec</t>
        </is>
      </c>
      <c r="K858" s="31" t="inlineStr">
        <is>
          <t>FT- 614513900-50200085415108 - HDFC SECURITIES LTD-CLIENT DSCNB A/C -</t>
        </is>
      </c>
      <c r="L858" s="31" t="inlineStr">
        <is>
          <t>HDFC Bank</t>
        </is>
      </c>
      <c r="M858" s="31" t="inlineStr"/>
    </row>
    <row r="859">
      <c r="A859" s="83" t="n">
        <v>45716</v>
      </c>
      <c r="B859" s="83" t="n">
        <v>45716</v>
      </c>
      <c r="C859" s="84" t="n">
        <v>411.07</v>
      </c>
      <c r="D859" s="84" t="n">
        <v>0</v>
      </c>
      <c r="E859" s="84" t="inlineStr"/>
      <c r="F859" s="84" t="inlineStr">
        <is>
          <t>HDFC Securities - Buy</t>
        </is>
      </c>
      <c r="G859" s="32" t="n">
        <v>0.97</v>
      </c>
      <c r="H859" s="84" t="inlineStr">
        <is>
          <t>HDFC Securities</t>
        </is>
      </c>
      <c r="I859" s="84" t="inlineStr">
        <is>
          <t>HDFC 0094</t>
        </is>
      </c>
      <c r="J859" s="84" t="inlineStr">
        <is>
          <t>HSL</t>
        </is>
      </c>
      <c r="K859" s="84" t="inlineStr">
        <is>
          <t>NET PI TO HSL SEC A/C 523686-00602340029434</t>
        </is>
      </c>
      <c r="L859" s="84" t="inlineStr">
        <is>
          <t>HDFC Bank</t>
        </is>
      </c>
      <c r="M859" s="84" t="inlineStr"/>
    </row>
    <row r="860">
      <c r="A860" s="42" t="n">
        <v>45716</v>
      </c>
      <c r="B860" s="42" t="n">
        <v>45716</v>
      </c>
      <c r="C860" s="43" t="n">
        <v>0</v>
      </c>
      <c r="D860" s="43" t="n">
        <v>325</v>
      </c>
      <c r="E860" s="43" t="inlineStr"/>
      <c r="F860" s="43" t="inlineStr">
        <is>
          <t>Dividend Income</t>
        </is>
      </c>
      <c r="G860" s="32" t="n">
        <v>0.88</v>
      </c>
      <c r="H860" s="43" t="inlineStr">
        <is>
          <t>Dividend Income</t>
        </is>
      </c>
      <c r="I860" s="43" t="inlineStr">
        <is>
          <t>HDFC 0094</t>
        </is>
      </c>
      <c r="J860" s="43" t="inlineStr">
        <is>
          <t>Dividend Income</t>
        </is>
      </c>
      <c r="K860" s="43" t="inlineStr">
        <is>
          <t>ACH C- POWER GRID CORPORATI-98355423</t>
        </is>
      </c>
      <c r="L860" s="43" t="inlineStr">
        <is>
          <t>HDFC Bank</t>
        </is>
      </c>
      <c r="M860" s="43" t="inlineStr"/>
    </row>
    <row r="861">
      <c r="A861" s="116" t="n">
        <v>45716</v>
      </c>
      <c r="B861" s="116" t="n">
        <v>45716</v>
      </c>
      <c r="C861" s="117" t="n">
        <v>0</v>
      </c>
      <c r="D861" s="117" t="n">
        <v>2738</v>
      </c>
      <c r="E861" s="117" t="inlineStr"/>
      <c r="F861" s="117" t="inlineStr">
        <is>
          <t>Received - Sunita Gupta</t>
        </is>
      </c>
      <c r="G861" s="32" t="n">
        <v>0.88</v>
      </c>
      <c r="H861" s="117" t="inlineStr">
        <is>
          <t>Sunita Gupta</t>
        </is>
      </c>
      <c r="I861" s="117" t="inlineStr">
        <is>
          <t>HDFC 0094</t>
        </is>
      </c>
      <c r="J861" s="117" t="inlineStr">
        <is>
          <t>Rental Income</t>
        </is>
      </c>
      <c r="K861" s="117" t="inlineStr">
        <is>
          <t>NEFT CR-SBIN0004266-SBI GENERAL INSURANCE CO LTDSBI GEN-SUNITA GUPTA 0000000002717756-SBINN52025022832582513</t>
        </is>
      </c>
      <c r="L861" s="117" t="inlineStr">
        <is>
          <t>HDFC Bank</t>
        </is>
      </c>
      <c r="M861" s="117" t="inlineStr"/>
    </row>
    <row r="862">
      <c r="A862" s="42" t="n">
        <v>45716</v>
      </c>
      <c r="B862" s="42" t="n">
        <v>45716</v>
      </c>
      <c r="C862" s="43" t="n">
        <v>0</v>
      </c>
      <c r="D862" s="43" t="n">
        <v>84.56999999999999</v>
      </c>
      <c r="E862" s="43" t="inlineStr"/>
      <c r="F862" s="43" t="inlineStr">
        <is>
          <t>Dividend Income</t>
        </is>
      </c>
      <c r="G862" s="32" t="n">
        <v>0.85</v>
      </c>
      <c r="H862" s="43" t="inlineStr">
        <is>
          <t>Dividend Income</t>
        </is>
      </c>
      <c r="I862" s="43" t="inlineStr">
        <is>
          <t>HDFC 0094</t>
        </is>
      </c>
      <c r="J862" s="43" t="inlineStr">
        <is>
          <t>Dividend Income</t>
        </is>
      </c>
      <c r="K862" s="43" t="inlineStr">
        <is>
          <t>NEFT CR-UTIB0000004-AXIS MUTUAL FUND DIVIDEND A/C-SUNITA GUPTA-UTIBN62025022834402533</t>
        </is>
      </c>
      <c r="L862" s="43" t="inlineStr">
        <is>
          <t>HDFC Bank</t>
        </is>
      </c>
      <c r="M862" s="43" t="inlineStr"/>
    </row>
    <row r="863">
      <c r="A863" s="116" t="n">
        <v>45716</v>
      </c>
      <c r="B863" s="116" t="n">
        <v>45716</v>
      </c>
      <c r="C863" s="117" t="n">
        <v>0</v>
      </c>
      <c r="D863" s="117" t="n">
        <v>7632</v>
      </c>
      <c r="E863" s="117" t="inlineStr"/>
      <c r="F863" s="117" t="inlineStr">
        <is>
          <t>Received - Sunita Gupta</t>
        </is>
      </c>
      <c r="G863" s="32" t="n">
        <v>0.88</v>
      </c>
      <c r="H863" s="117" t="inlineStr">
        <is>
          <t>Sunita Gupta</t>
        </is>
      </c>
      <c r="I863" s="117" t="inlineStr">
        <is>
          <t>HDFC 0094</t>
        </is>
      </c>
      <c r="J863" s="117" t="inlineStr">
        <is>
          <t>Rental Income</t>
        </is>
      </c>
      <c r="K863" s="117" t="inlineStr">
        <is>
          <t>NEFT CR-SBIN0004266-SBI GENERAL INSURANCE CO LTDSBI GEN-SUNITA GUPTA 0000000002717756-SBINN52025022834304792</t>
        </is>
      </c>
      <c r="L863" s="117" t="inlineStr">
        <is>
          <t>HDFC Bank</t>
        </is>
      </c>
      <c r="M863" s="117" t="inlineStr"/>
    </row>
    <row r="864">
      <c r="A864" s="83" t="n">
        <v>45717</v>
      </c>
      <c r="B864" s="83" t="n">
        <v>45717</v>
      </c>
      <c r="C864" s="84" t="n">
        <v>15626.89</v>
      </c>
      <c r="D864" s="84" t="n">
        <v>0</v>
      </c>
      <c r="E864" s="84" t="inlineStr"/>
      <c r="F864" s="84" t="inlineStr">
        <is>
          <t>HDFC Securities - Buy</t>
        </is>
      </c>
      <c r="G864" s="32" t="n">
        <v>0.97</v>
      </c>
      <c r="H864" s="84" t="inlineStr">
        <is>
          <t>HDFC Securities</t>
        </is>
      </c>
      <c r="I864" s="84" t="inlineStr">
        <is>
          <t>HDFC 0094</t>
        </is>
      </c>
      <c r="J864" s="84" t="inlineStr">
        <is>
          <t>HSL</t>
        </is>
      </c>
      <c r="K864" s="84" t="inlineStr">
        <is>
          <t>NET PI TO HSL SEC A/C 523686-00602340029434</t>
        </is>
      </c>
      <c r="L864" s="84" t="inlineStr">
        <is>
          <t>HDFC Bank</t>
        </is>
      </c>
      <c r="M864" s="84" t="inlineStr"/>
    </row>
    <row r="865">
      <c r="A865" s="42" t="n">
        <v>45717</v>
      </c>
      <c r="B865" s="42" t="n">
        <v>45717</v>
      </c>
      <c r="C865" s="43" t="n">
        <v>0</v>
      </c>
      <c r="D865" s="43" t="n">
        <v>950</v>
      </c>
      <c r="E865" s="43" t="inlineStr"/>
      <c r="F865" s="43" t="inlineStr">
        <is>
          <t>Dividend Income</t>
        </is>
      </c>
      <c r="G865" s="32" t="n">
        <v>0.88</v>
      </c>
      <c r="H865" s="43" t="inlineStr">
        <is>
          <t>Dividend Income</t>
        </is>
      </c>
      <c r="I865" s="43" t="inlineStr">
        <is>
          <t>HDFC 0094</t>
        </is>
      </c>
      <c r="J865" s="43" t="inlineStr">
        <is>
          <t>Dividend Income</t>
        </is>
      </c>
      <c r="K865" s="43" t="inlineStr">
        <is>
          <t>ACH C- HINDUSTAN AERONAUTIC-5997828</t>
        </is>
      </c>
      <c r="L865" s="43" t="inlineStr">
        <is>
          <t>HDFC Bank</t>
        </is>
      </c>
      <c r="M865" s="43" t="inlineStr"/>
    </row>
    <row r="866">
      <c r="A866" s="116" t="n">
        <v>45718</v>
      </c>
      <c r="B866" s="116" t="n">
        <v>45718</v>
      </c>
      <c r="C866" s="117" t="n">
        <v>0</v>
      </c>
      <c r="D866" s="117" t="n">
        <v>25000</v>
      </c>
      <c r="E866" s="117" t="inlineStr"/>
      <c r="F866" s="117" t="inlineStr">
        <is>
          <t>Received - Sunita Gupta</t>
        </is>
      </c>
      <c r="G866" s="32" t="n">
        <v>0.88</v>
      </c>
      <c r="H866" s="117" t="inlineStr">
        <is>
          <t>Sunita Gupta</t>
        </is>
      </c>
      <c r="I866" s="117" t="inlineStr">
        <is>
          <t>HDFC 0094</t>
        </is>
      </c>
      <c r="J866" s="117" t="inlineStr">
        <is>
          <t>Transfer by Ajay</t>
        </is>
      </c>
      <c r="K866" s="117" t="inlineStr">
        <is>
          <t>01671000085930-TPT-BORROW FROM SUNITA-AJAY KUMAR GUPTA</t>
        </is>
      </c>
      <c r="L866" s="117" t="inlineStr">
        <is>
          <t>HDFC Bank</t>
        </is>
      </c>
      <c r="M866" s="117" t="inlineStr"/>
    </row>
    <row r="867">
      <c r="A867" s="83" t="n">
        <v>45719</v>
      </c>
      <c r="B867" s="83" t="n">
        <v>45719</v>
      </c>
      <c r="C867" s="84" t="n">
        <v>6444.18</v>
      </c>
      <c r="D867" s="84" t="n">
        <v>0</v>
      </c>
      <c r="E867" s="84" t="inlineStr"/>
      <c r="F867" s="84" t="inlineStr">
        <is>
          <t>HDFC Securities - Buy</t>
        </is>
      </c>
      <c r="G867" s="32" t="n">
        <v>0.97</v>
      </c>
      <c r="H867" s="84" t="inlineStr">
        <is>
          <t>HDFC Securities</t>
        </is>
      </c>
      <c r="I867" s="84" t="inlineStr">
        <is>
          <t>HDFC 0094</t>
        </is>
      </c>
      <c r="J867" s="84" t="inlineStr">
        <is>
          <t>HSL</t>
        </is>
      </c>
      <c r="K867" s="84" t="inlineStr">
        <is>
          <t>NET PI TO HSL SEC A/C 523686-00602340029434</t>
        </is>
      </c>
      <c r="L867" s="84" t="inlineStr">
        <is>
          <t>HDFC Bank</t>
        </is>
      </c>
      <c r="M867" s="84" t="inlineStr"/>
    </row>
    <row r="868">
      <c r="A868" s="56" t="n">
        <v>45719</v>
      </c>
      <c r="B868" s="56" t="n">
        <v>45719</v>
      </c>
      <c r="C868" s="57" t="n">
        <v>1258</v>
      </c>
      <c r="D868" s="57" t="n">
        <v>0</v>
      </c>
      <c r="E868" s="57" t="inlineStr"/>
      <c r="F868" s="57" t="inlineStr">
        <is>
          <t>UPI - Flipkart</t>
        </is>
      </c>
      <c r="G868" s="53" t="n">
        <v>0.68</v>
      </c>
      <c r="H868" s="57" t="inlineStr">
        <is>
          <t>Shopping</t>
        </is>
      </c>
      <c r="I868" s="57" t="inlineStr">
        <is>
          <t>AXIS 7042</t>
        </is>
      </c>
      <c r="J868" s="57" t="inlineStr">
        <is>
          <t>UPI</t>
        </is>
      </c>
      <c r="K868" s="57" t="inlineStr">
        <is>
          <t>UPI/P2M/506269427837/Flipkart Payments    /UPI/YES BANK LIMITED YBS</t>
        </is>
      </c>
      <c r="L868" s="57" t="inlineStr">
        <is>
          <t>Axis Bank</t>
        </is>
      </c>
      <c r="M868" s="57" t="inlineStr"/>
    </row>
    <row r="869">
      <c r="A869" s="56" t="n">
        <v>45719</v>
      </c>
      <c r="B869" s="56" t="n">
        <v>45719</v>
      </c>
      <c r="C869" s="57" t="n">
        <v>0</v>
      </c>
      <c r="D869" s="57" t="n">
        <v>965</v>
      </c>
      <c r="E869" s="57" t="inlineStr"/>
      <c r="F869" s="57" t="inlineStr">
        <is>
          <t>UPI - Flipkart</t>
        </is>
      </c>
      <c r="G869" s="53" t="n">
        <v>0.68</v>
      </c>
      <c r="H869" s="57" t="inlineStr">
        <is>
          <t>Shopping</t>
        </is>
      </c>
      <c r="I869" s="57" t="inlineStr">
        <is>
          <t>AXIS 7042</t>
        </is>
      </c>
      <c r="J869" s="57" t="inlineStr">
        <is>
          <t>UPI</t>
        </is>
      </c>
      <c r="K869" s="57" t="inlineStr">
        <is>
          <t>UPI/P2A/506209457462/Flipkart /YES BANK /express/</t>
        </is>
      </c>
      <c r="L869" s="57" t="inlineStr">
        <is>
          <t>Axis Bank</t>
        </is>
      </c>
      <c r="M869" s="57" t="inlineStr"/>
    </row>
    <row r="870">
      <c r="A870" s="83" t="n">
        <v>45719</v>
      </c>
      <c r="B870" s="83" t="n">
        <v>45719</v>
      </c>
      <c r="C870" s="84" t="n">
        <v>1190.49</v>
      </c>
      <c r="D870" s="84" t="n">
        <v>0</v>
      </c>
      <c r="E870" s="84" t="inlineStr"/>
      <c r="F870" s="84" t="inlineStr">
        <is>
          <t>HDFC Securities - Buy</t>
        </is>
      </c>
      <c r="G870" s="32" t="n">
        <v>0.97</v>
      </c>
      <c r="H870" s="84" t="inlineStr">
        <is>
          <t>HDFC Securities</t>
        </is>
      </c>
      <c r="I870" s="84" t="inlineStr">
        <is>
          <t>HDFC 0094</t>
        </is>
      </c>
      <c r="J870" s="84" t="inlineStr">
        <is>
          <t>HSL</t>
        </is>
      </c>
      <c r="K870" s="84" t="inlineStr">
        <is>
          <t>NET PI TO HSL SEC A/C 523686-00602340029434</t>
        </is>
      </c>
      <c r="L870" s="84" t="inlineStr">
        <is>
          <t>HDFC Bank</t>
        </is>
      </c>
      <c r="M870" s="84" t="inlineStr"/>
    </row>
    <row r="871">
      <c r="A871" s="56" t="n">
        <v>45719</v>
      </c>
      <c r="B871" s="56" t="n">
        <v>45719</v>
      </c>
      <c r="C871" s="57" t="n">
        <v>0</v>
      </c>
      <c r="D871" s="57" t="n">
        <v>305</v>
      </c>
      <c r="E871" s="57" t="inlineStr"/>
      <c r="F871" s="57" t="inlineStr">
        <is>
          <t>UPI - Flipkart</t>
        </is>
      </c>
      <c r="G871" s="53" t="n">
        <v>0.68</v>
      </c>
      <c r="H871" s="57" t="inlineStr">
        <is>
          <t>Shopping</t>
        </is>
      </c>
      <c r="I871" s="57" t="inlineStr">
        <is>
          <t>AXIS 7042</t>
        </is>
      </c>
      <c r="J871" s="57" t="inlineStr">
        <is>
          <t>UPI</t>
        </is>
      </c>
      <c r="K871" s="57" t="inlineStr">
        <is>
          <t>UPI/P2A/506209459641/Flipkart /YES BANK /express/</t>
        </is>
      </c>
      <c r="L871" s="57" t="inlineStr">
        <is>
          <t>Axis Bank</t>
        </is>
      </c>
      <c r="M871" s="57" t="inlineStr"/>
    </row>
    <row r="872">
      <c r="A872" s="83" t="n">
        <v>45719</v>
      </c>
      <c r="B872" s="83" t="n">
        <v>45719</v>
      </c>
      <c r="C872" s="84" t="n">
        <v>18225.8</v>
      </c>
      <c r="D872" s="84" t="n">
        <v>0</v>
      </c>
      <c r="E872" s="84" t="inlineStr"/>
      <c r="F872" s="84" t="inlineStr">
        <is>
          <t>HDFC Securities - Buy</t>
        </is>
      </c>
      <c r="G872" s="32" t="n">
        <v>0.97</v>
      </c>
      <c r="H872" s="84" t="inlineStr">
        <is>
          <t>HDFC Securities</t>
        </is>
      </c>
      <c r="I872" s="84" t="inlineStr">
        <is>
          <t>HDFC 0094</t>
        </is>
      </c>
      <c r="J872" s="84" t="inlineStr">
        <is>
          <t>HSL</t>
        </is>
      </c>
      <c r="K872" s="84" t="inlineStr">
        <is>
          <t>NET PI TO HSL SEC A/C 523686-00602340029434</t>
        </is>
      </c>
      <c r="L872" s="84" t="inlineStr">
        <is>
          <t>HDFC Bank</t>
        </is>
      </c>
      <c r="M872" s="84" t="inlineStr"/>
    </row>
    <row r="873">
      <c r="A873" s="56" t="n">
        <v>45719</v>
      </c>
      <c r="B873" s="56" t="n">
        <v>45719</v>
      </c>
      <c r="C873" s="57" t="n">
        <v>1270</v>
      </c>
      <c r="D873" s="57" t="n">
        <v>0</v>
      </c>
      <c r="E873" s="57" t="inlineStr"/>
      <c r="F873" s="57" t="inlineStr">
        <is>
          <t>UPI - Flipkart</t>
        </is>
      </c>
      <c r="G873" s="53" t="n">
        <v>0.68</v>
      </c>
      <c r="H873" s="57" t="inlineStr">
        <is>
          <t>Shopping</t>
        </is>
      </c>
      <c r="I873" s="57" t="inlineStr">
        <is>
          <t>AXIS 7042</t>
        </is>
      </c>
      <c r="J873" s="57" t="inlineStr">
        <is>
          <t>UPI</t>
        </is>
      </c>
      <c r="K873" s="57" t="inlineStr">
        <is>
          <t>UPI/P2M/542879469211/Flipkart Payments    /UPI/YES BANK LIMITED YBS</t>
        </is>
      </c>
      <c r="L873" s="57" t="inlineStr">
        <is>
          <t>Axis Bank</t>
        </is>
      </c>
      <c r="M873" s="57" t="inlineStr"/>
    </row>
    <row r="874">
      <c r="A874" s="48" t="n">
        <v>45719</v>
      </c>
      <c r="B874" s="48" t="n">
        <v>45719</v>
      </c>
      <c r="C874" s="49" t="n">
        <v>50</v>
      </c>
      <c r="D874" s="49" t="n">
        <v>0</v>
      </c>
      <c r="E874" s="49" t="inlineStr">
        <is>
          <t>K V Gayathri</t>
        </is>
      </c>
      <c r="F874" s="49" t="inlineStr">
        <is>
          <t>UPI Payment</t>
        </is>
      </c>
      <c r="G874" s="50" t="n">
        <v>0.55</v>
      </c>
      <c r="H874" s="49" t="inlineStr">
        <is>
          <t>Personal</t>
        </is>
      </c>
      <c r="I874" s="49" t="inlineStr">
        <is>
          <t>AXIS 7042</t>
        </is>
      </c>
      <c r="J874" s="49" t="inlineStr">
        <is>
          <t>UPI</t>
        </is>
      </c>
      <c r="K874" s="49" t="inlineStr">
        <is>
          <t>UPI/P2M/542808073747/K V GAYATHRI         /milk/YES BANK LIMITED YBS</t>
        </is>
      </c>
      <c r="L874" s="49" t="inlineStr">
        <is>
          <t>Axis Bank</t>
        </is>
      </c>
      <c r="M874" s="49" t="inlineStr"/>
    </row>
    <row r="875">
      <c r="A875" s="42" t="n">
        <v>45719</v>
      </c>
      <c r="B875" s="42" t="n">
        <v>45719</v>
      </c>
      <c r="C875" s="43" t="n">
        <v>0</v>
      </c>
      <c r="D875" s="43" t="n">
        <v>180</v>
      </c>
      <c r="E875" s="43" t="inlineStr"/>
      <c r="F875" s="43" t="inlineStr">
        <is>
          <t>Dividend Income</t>
        </is>
      </c>
      <c r="G875" s="32" t="n">
        <v>0.85</v>
      </c>
      <c r="H875" s="43" t="inlineStr">
        <is>
          <t>Dividend Income</t>
        </is>
      </c>
      <c r="I875" s="43" t="inlineStr">
        <is>
          <t>HDFC 0094</t>
        </is>
      </c>
      <c r="J875" s="43" t="inlineStr">
        <is>
          <t>Dividend Income</t>
        </is>
      </c>
      <c r="K875" s="43" t="inlineStr">
        <is>
          <t>CUMMINS IND DIV24 2500000000000000009129</t>
        </is>
      </c>
      <c r="L875" s="43" t="inlineStr">
        <is>
          <t>HDFC Bank</t>
        </is>
      </c>
      <c r="M875" s="43" t="inlineStr"/>
    </row>
    <row r="876">
      <c r="A876" s="56" t="n">
        <v>45719</v>
      </c>
      <c r="B876" s="56" t="n">
        <v>45719</v>
      </c>
      <c r="C876" s="57" t="n">
        <v>305</v>
      </c>
      <c r="D876" s="57" t="n">
        <v>0</v>
      </c>
      <c r="E876" s="57" t="inlineStr"/>
      <c r="F876" s="57" t="inlineStr">
        <is>
          <t>UPI - Flipkart</t>
        </is>
      </c>
      <c r="G876" s="53" t="n">
        <v>0.68</v>
      </c>
      <c r="H876" s="57" t="inlineStr">
        <is>
          <t>Shopping</t>
        </is>
      </c>
      <c r="I876" s="57" t="inlineStr">
        <is>
          <t>AXIS 7042</t>
        </is>
      </c>
      <c r="J876" s="57" t="inlineStr">
        <is>
          <t>UPI</t>
        </is>
      </c>
      <c r="K876" s="57" t="inlineStr">
        <is>
          <t>UPI/P2M/542807574465/FLIPKART PAYMENTS    /UPIInt/HDFC BANK LTD</t>
        </is>
      </c>
      <c r="L876" s="57" t="inlineStr">
        <is>
          <t>Axis Bank</t>
        </is>
      </c>
      <c r="M876" s="57" t="inlineStr"/>
    </row>
    <row r="877">
      <c r="A877" s="83" t="n">
        <v>45720</v>
      </c>
      <c r="B877" s="83" t="n">
        <v>45720</v>
      </c>
      <c r="C877" s="84" t="n">
        <v>269.53</v>
      </c>
      <c r="D877" s="84" t="n">
        <v>0</v>
      </c>
      <c r="E877" s="84" t="inlineStr"/>
      <c r="F877" s="84" t="inlineStr">
        <is>
          <t>HDFC Securities - Buy</t>
        </is>
      </c>
      <c r="G877" s="32" t="n">
        <v>0.97</v>
      </c>
      <c r="H877" s="84" t="inlineStr">
        <is>
          <t>HDFC Securities</t>
        </is>
      </c>
      <c r="I877" s="84" t="inlineStr">
        <is>
          <t>HDFC 0094</t>
        </is>
      </c>
      <c r="J877" s="84" t="inlineStr">
        <is>
          <t>HSL</t>
        </is>
      </c>
      <c r="K877" s="84" t="inlineStr">
        <is>
          <t>NET PI TO HSL SEC A/C 523686-00602340029434</t>
        </is>
      </c>
      <c r="L877" s="84" t="inlineStr">
        <is>
          <t>HDFC Bank</t>
        </is>
      </c>
      <c r="M877" s="84" t="inlineStr"/>
    </row>
    <row r="878">
      <c r="A878" s="30" t="n">
        <v>45721</v>
      </c>
      <c r="B878" s="30" t="n">
        <v>45721</v>
      </c>
      <c r="C878" s="31" t="n">
        <v>0</v>
      </c>
      <c r="D878" s="31" t="n">
        <v>27222.37</v>
      </c>
      <c r="E878" s="31" t="inlineStr"/>
      <c r="F878" s="31" t="inlineStr">
        <is>
          <t>HDFC Securities - Settlement</t>
        </is>
      </c>
      <c r="G878" s="32" t="n">
        <v>0.93</v>
      </c>
      <c r="H878" s="31" t="inlineStr">
        <is>
          <t>HDFC Securities</t>
        </is>
      </c>
      <c r="I878" s="31" t="inlineStr">
        <is>
          <t>HDFC 0094</t>
        </is>
      </c>
      <c r="J878" s="31" t="inlineStr">
        <is>
          <t>HDFC Sec</t>
        </is>
      </c>
      <c r="K878" s="31" t="inlineStr">
        <is>
          <t>FT- 615954992-50200085415108 - HDFC SECURITIES LTD-CLIENT DSCNB A/C -</t>
        </is>
      </c>
      <c r="L878" s="31" t="inlineStr">
        <is>
          <t>HDFC Bank</t>
        </is>
      </c>
      <c r="M878" s="31" t="inlineStr"/>
    </row>
    <row r="879">
      <c r="A879" s="83" t="n">
        <v>45721</v>
      </c>
      <c r="B879" s="83" t="n">
        <v>45721</v>
      </c>
      <c r="C879" s="84" t="n">
        <v>388.08</v>
      </c>
      <c r="D879" s="84" t="n">
        <v>0</v>
      </c>
      <c r="E879" s="84" t="inlineStr"/>
      <c r="F879" s="84" t="inlineStr">
        <is>
          <t>HDFC Securities - Buy</t>
        </is>
      </c>
      <c r="G879" s="32" t="n">
        <v>0.97</v>
      </c>
      <c r="H879" s="84" t="inlineStr">
        <is>
          <t>HDFC Securities</t>
        </is>
      </c>
      <c r="I879" s="84" t="inlineStr">
        <is>
          <t>HDFC 0094</t>
        </is>
      </c>
      <c r="J879" s="84" t="inlineStr">
        <is>
          <t>HSL</t>
        </is>
      </c>
      <c r="K879" s="84" t="inlineStr">
        <is>
          <t>NET PI TO HSL SEC A/C 523686-00602340029434</t>
        </is>
      </c>
      <c r="L879" s="84" t="inlineStr">
        <is>
          <t>HDFC Bank</t>
        </is>
      </c>
      <c r="M879" s="84" t="inlineStr"/>
    </row>
    <row r="880">
      <c r="A880" s="30" t="n">
        <v>45722</v>
      </c>
      <c r="B880" s="30" t="n">
        <v>45722</v>
      </c>
      <c r="C880" s="31" t="n">
        <v>0</v>
      </c>
      <c r="D880" s="31" t="n">
        <v>30246.56</v>
      </c>
      <c r="E880" s="31" t="inlineStr"/>
      <c r="F880" s="31" t="inlineStr">
        <is>
          <t>HDFC Securities - Settlement</t>
        </is>
      </c>
      <c r="G880" s="32" t="n">
        <v>0.93</v>
      </c>
      <c r="H880" s="31" t="inlineStr">
        <is>
          <t>HDFC Securities</t>
        </is>
      </c>
      <c r="I880" s="31" t="inlineStr">
        <is>
          <t>HDFC 0094</t>
        </is>
      </c>
      <c r="J880" s="31" t="inlineStr">
        <is>
          <t>HDFC Sec</t>
        </is>
      </c>
      <c r="K880" s="31" t="inlineStr">
        <is>
          <t>FT- 616353489-50200085415108 - HDFC SECURITIES LTD-CLIENT DSCNB A/C -</t>
        </is>
      </c>
      <c r="L880" s="31" t="inlineStr">
        <is>
          <t>HDFC Bank</t>
        </is>
      </c>
      <c r="M880" s="31" t="inlineStr"/>
    </row>
    <row r="881">
      <c r="A881" s="83" t="n">
        <v>45722</v>
      </c>
      <c r="B881" s="83" t="n">
        <v>45722</v>
      </c>
      <c r="C881" s="84" t="n">
        <v>367.7</v>
      </c>
      <c r="D881" s="84" t="n">
        <v>0</v>
      </c>
      <c r="E881" s="84" t="inlineStr"/>
      <c r="F881" s="84" t="inlineStr">
        <is>
          <t>HDFC Securities - Buy</t>
        </is>
      </c>
      <c r="G881" s="32" t="n">
        <v>0.97</v>
      </c>
      <c r="H881" s="84" t="inlineStr">
        <is>
          <t>HDFC Securities</t>
        </is>
      </c>
      <c r="I881" s="84" t="inlineStr">
        <is>
          <t>HDFC 0094</t>
        </is>
      </c>
      <c r="J881" s="84" t="inlineStr">
        <is>
          <t>HSL</t>
        </is>
      </c>
      <c r="K881" s="84" t="inlineStr">
        <is>
          <t>NET PI TO HSL SEC A/C 523686-00602340029434</t>
        </is>
      </c>
      <c r="L881" s="84" t="inlineStr">
        <is>
          <t>HDFC Bank</t>
        </is>
      </c>
      <c r="M881" s="84" t="inlineStr"/>
    </row>
    <row r="882">
      <c r="A882" s="83" t="n">
        <v>45723</v>
      </c>
      <c r="B882" s="83" t="n">
        <v>45723</v>
      </c>
      <c r="C882" s="84" t="n">
        <v>25484.58</v>
      </c>
      <c r="D882" s="84" t="n">
        <v>0</v>
      </c>
      <c r="E882" s="84" t="inlineStr"/>
      <c r="F882" s="84" t="inlineStr">
        <is>
          <t>HDFC Securities - Buy</t>
        </is>
      </c>
      <c r="G882" s="32" t="n">
        <v>0.97</v>
      </c>
      <c r="H882" s="84" t="inlineStr">
        <is>
          <t>HDFC Securities</t>
        </is>
      </c>
      <c r="I882" s="84" t="inlineStr">
        <is>
          <t>HDFC 0094</t>
        </is>
      </c>
      <c r="J882" s="84" t="inlineStr">
        <is>
          <t>HSL</t>
        </is>
      </c>
      <c r="K882" s="84" t="inlineStr">
        <is>
          <t>NET PI TO HSL SEC A/C 523686-00602340029434</t>
        </is>
      </c>
      <c r="L882" s="84" t="inlineStr">
        <is>
          <t>HDFC Bank</t>
        </is>
      </c>
      <c r="M882" s="84" t="inlineStr"/>
    </row>
    <row r="883">
      <c r="A883" s="83" t="n">
        <v>45723</v>
      </c>
      <c r="B883" s="83" t="n">
        <v>45723</v>
      </c>
      <c r="C883" s="84" t="n">
        <v>378.47</v>
      </c>
      <c r="D883" s="84" t="n">
        <v>0</v>
      </c>
      <c r="E883" s="84" t="inlineStr"/>
      <c r="F883" s="84" t="inlineStr">
        <is>
          <t>HDFC Securities - Buy</t>
        </is>
      </c>
      <c r="G883" s="32" t="n">
        <v>0.97</v>
      </c>
      <c r="H883" s="84" t="inlineStr">
        <is>
          <t>HDFC Securities</t>
        </is>
      </c>
      <c r="I883" s="84" t="inlineStr">
        <is>
          <t>HDFC 0094</t>
        </is>
      </c>
      <c r="J883" s="84" t="inlineStr">
        <is>
          <t>HSL</t>
        </is>
      </c>
      <c r="K883" s="84" t="inlineStr">
        <is>
          <t>NET PI TO HSL SEC A/C 523686-00602340029434</t>
        </is>
      </c>
      <c r="L883" s="84" t="inlineStr">
        <is>
          <t>HDFC Bank</t>
        </is>
      </c>
      <c r="M883" s="84" t="inlineStr"/>
    </row>
    <row r="884">
      <c r="A884" s="30" t="n">
        <v>45723</v>
      </c>
      <c r="B884" s="30" t="n">
        <v>45723</v>
      </c>
      <c r="C884" s="31" t="n">
        <v>0</v>
      </c>
      <c r="D884" s="31" t="n">
        <v>14134.77</v>
      </c>
      <c r="E884" s="31" t="inlineStr"/>
      <c r="F884" s="31" t="inlineStr">
        <is>
          <t>HDFC Securities - Settlement</t>
        </is>
      </c>
      <c r="G884" s="32" t="n">
        <v>0.93</v>
      </c>
      <c r="H884" s="31" t="inlineStr">
        <is>
          <t>HDFC Securities</t>
        </is>
      </c>
      <c r="I884" s="31" t="inlineStr">
        <is>
          <t>HDFC 0094</t>
        </is>
      </c>
      <c r="J884" s="31" t="inlineStr">
        <is>
          <t>HDFC Sec</t>
        </is>
      </c>
      <c r="K884" s="31" t="inlineStr">
        <is>
          <t>FT- 616737413-50200085415108 - HDFC SECURITIES LTD-CLIENT DSCNB A/C -</t>
        </is>
      </c>
      <c r="L884" s="31" t="inlineStr">
        <is>
          <t>HDFC Bank</t>
        </is>
      </c>
      <c r="M884" s="31" t="inlineStr"/>
    </row>
    <row r="885">
      <c r="A885" s="116" t="n">
        <v>45724</v>
      </c>
      <c r="B885" s="116" t="n">
        <v>45725</v>
      </c>
      <c r="C885" s="117" t="n">
        <v>0</v>
      </c>
      <c r="D885" s="117" t="n">
        <v>34220</v>
      </c>
      <c r="E885" s="117" t="inlineStr"/>
      <c r="F885" s="117" t="inlineStr">
        <is>
          <t>Received - Sunita Gupta</t>
        </is>
      </c>
      <c r="G885" s="32" t="n">
        <v>0.88</v>
      </c>
      <c r="H885" s="117" t="inlineStr">
        <is>
          <t>Sunita Gupta</t>
        </is>
      </c>
      <c r="I885" s="117" t="inlineStr">
        <is>
          <t>HDFC 0094</t>
        </is>
      </c>
      <c r="J885" s="117" t="inlineStr">
        <is>
          <t>Rental Income</t>
        </is>
      </c>
      <c r="K885" s="117" t="inlineStr">
        <is>
          <t>NEFT CR-SBIN0004266-SBI GENERAL INSURANCE CO LTDSBI GEN-SUNITA GUPTA 0000000002717756-SBINN52025030852329749</t>
        </is>
      </c>
      <c r="L885" s="117" t="inlineStr">
        <is>
          <t>HDFC Bank</t>
        </is>
      </c>
      <c r="M885" s="117" t="inlineStr"/>
    </row>
    <row r="886">
      <c r="A886" s="116" t="n">
        <v>45724</v>
      </c>
      <c r="B886" s="116" t="n">
        <v>45724</v>
      </c>
      <c r="C886" s="117" t="n">
        <v>0</v>
      </c>
      <c r="D886" s="117" t="n">
        <v>32000</v>
      </c>
      <c r="E886" s="117" t="inlineStr"/>
      <c r="F886" s="117" t="inlineStr">
        <is>
          <t>Received - Sunita Gupta</t>
        </is>
      </c>
      <c r="G886" s="32" t="n">
        <v>0.88</v>
      </c>
      <c r="H886" s="117" t="inlineStr">
        <is>
          <t>Sunita Gupta</t>
        </is>
      </c>
      <c r="I886" s="117" t="inlineStr">
        <is>
          <t>SBI 7685</t>
        </is>
      </c>
      <c r="J886" s="117" t="inlineStr">
        <is>
          <t>Transfer from Ajay</t>
        </is>
      </c>
      <c r="K886" s="117" t="inlineStr">
        <is>
          <t xml:space="preserve">   BY TRANSFER-INB borrow from Sunita--</t>
        </is>
      </c>
      <c r="L886" s="117" t="inlineStr">
        <is>
          <t>State Bank of India</t>
        </is>
      </c>
      <c r="M886" s="117" t="inlineStr"/>
    </row>
    <row r="887">
      <c r="A887" s="120" t="n">
        <v>45724</v>
      </c>
      <c r="B887" s="120" t="n">
        <v>45724</v>
      </c>
      <c r="C887" s="121" t="n">
        <v>43000</v>
      </c>
      <c r="D887" s="121" t="n">
        <v>0</v>
      </c>
      <c r="E887" s="121" t="inlineStr"/>
      <c r="F887" s="121" t="inlineStr">
        <is>
          <t>What is this?</t>
        </is>
      </c>
      <c r="G887" s="50" t="n">
        <v>0</v>
      </c>
      <c r="H887" s="121" t="inlineStr">
        <is>
          <t>Suspense</t>
        </is>
      </c>
      <c r="I887" s="121" t="inlineStr">
        <is>
          <t>SBI 7685</t>
        </is>
      </c>
      <c r="J887" s="121" t="inlineStr">
        <is>
          <t>Asset Purchase</t>
        </is>
      </c>
      <c r="K887" s="121" t="inlineStr">
        <is>
          <t xml:space="preserve">   TO TRANSFER-INB Pymt twrds scrap material--</t>
        </is>
      </c>
      <c r="L887" s="121" t="inlineStr">
        <is>
          <t>State Bank of India</t>
        </is>
      </c>
      <c r="M887" s="121" t="inlineStr"/>
    </row>
    <row r="888">
      <c r="A888" s="112" t="n">
        <v>45726</v>
      </c>
      <c r="B888" s="112" t="n">
        <v>45726</v>
      </c>
      <c r="C888" s="113" t="n">
        <v>21955</v>
      </c>
      <c r="D888" s="113" t="n">
        <v>0</v>
      </c>
      <c r="E888" s="113" t="inlineStr"/>
      <c r="F888" s="113" t="inlineStr">
        <is>
          <t>Rent</t>
        </is>
      </c>
      <c r="G888" s="32" t="n">
        <v>0.9</v>
      </c>
      <c r="H888" s="113" t="inlineStr">
        <is>
          <t>Rent</t>
        </is>
      </c>
      <c r="I888" s="113" t="inlineStr">
        <is>
          <t>SBI 7685</t>
        </is>
      </c>
      <c r="J888" s="113" t="n">
        <v/>
      </c>
      <c r="K888" s="113" t="inlineStr">
        <is>
          <t xml:space="preserve">   TO TRANSFER-INB Rent--</t>
        </is>
      </c>
      <c r="L888" s="113" t="inlineStr">
        <is>
          <t>State Bank of India</t>
        </is>
      </c>
      <c r="M888" s="113" t="inlineStr"/>
    </row>
    <row r="889">
      <c r="A889" s="48" t="n">
        <v>45726</v>
      </c>
      <c r="B889" s="48" t="n">
        <v>45726</v>
      </c>
      <c r="C889" s="49" t="n">
        <v>960</v>
      </c>
      <c r="D889" s="49" t="n">
        <v>0</v>
      </c>
      <c r="E889" s="49" t="inlineStr">
        <is>
          <t>Bharti Ratan Devnani</t>
        </is>
      </c>
      <c r="F889" s="49" t="inlineStr">
        <is>
          <t>UPI Payment</t>
        </is>
      </c>
      <c r="G889" s="50" t="n">
        <v>0.55</v>
      </c>
      <c r="H889" s="49" t="inlineStr">
        <is>
          <t>Personal</t>
        </is>
      </c>
      <c r="I889" s="49" t="inlineStr">
        <is>
          <t>AXIS 7042</t>
        </is>
      </c>
      <c r="J889" s="49" t="inlineStr">
        <is>
          <t>UPI</t>
        </is>
      </c>
      <c r="K889" s="49" t="inlineStr">
        <is>
          <t>UPI/P2A/506968468841/BHARTI RATAN DEVNANI /tiffin/UNION BANK OF INDIA</t>
        </is>
      </c>
      <c r="L889" s="49" t="inlineStr">
        <is>
          <t>Axis Bank</t>
        </is>
      </c>
      <c r="M889" s="49" t="inlineStr"/>
    </row>
    <row r="890">
      <c r="A890" s="116" t="n">
        <v>45726</v>
      </c>
      <c r="B890" s="116" t="n">
        <v>45726</v>
      </c>
      <c r="C890" s="117" t="n">
        <v>0</v>
      </c>
      <c r="D890" s="117" t="n">
        <v>30000</v>
      </c>
      <c r="E890" s="117" t="inlineStr"/>
      <c r="F890" s="117" t="inlineStr">
        <is>
          <t>Received - Sunita Gupta</t>
        </is>
      </c>
      <c r="G890" s="32" t="n">
        <v>0.88</v>
      </c>
      <c r="H890" s="117" t="inlineStr">
        <is>
          <t>Sunita Gupta</t>
        </is>
      </c>
      <c r="I890" s="117" t="inlineStr">
        <is>
          <t>SBI 7685</t>
        </is>
      </c>
      <c r="J890" s="117" t="inlineStr">
        <is>
          <t>Rent Income</t>
        </is>
      </c>
      <c r="K890" s="117" t="inlineStr">
        <is>
          <t xml:space="preserve">   BY TRANSFER-NEFT*HDFC0000001*HDFCH00113163511*SUNITA GUPTA*BAT--</t>
        </is>
      </c>
      <c r="L890" s="117" t="inlineStr">
        <is>
          <t>State Bank of India</t>
        </is>
      </c>
      <c r="M890" s="117" t="inlineStr"/>
    </row>
    <row r="891">
      <c r="A891" s="83" t="n">
        <v>45726</v>
      </c>
      <c r="B891" s="83" t="n">
        <v>45726</v>
      </c>
      <c r="C891" s="84" t="n">
        <v>15384.37</v>
      </c>
      <c r="D891" s="84" t="n">
        <v>0</v>
      </c>
      <c r="E891" s="84" t="inlineStr"/>
      <c r="F891" s="84" t="inlineStr">
        <is>
          <t>HDFC Securities - Buy</t>
        </is>
      </c>
      <c r="G891" s="32" t="n">
        <v>0.97</v>
      </c>
      <c r="H891" s="84" t="inlineStr">
        <is>
          <t>HDFC Securities</t>
        </is>
      </c>
      <c r="I891" s="84" t="inlineStr">
        <is>
          <t>HDFC 0094</t>
        </is>
      </c>
      <c r="J891" s="84" t="inlineStr">
        <is>
          <t>HSL</t>
        </is>
      </c>
      <c r="K891" s="84" t="inlineStr">
        <is>
          <t>NET PI TO HSL SEC A/C 523686-00602340029434</t>
        </is>
      </c>
      <c r="L891" s="84" t="inlineStr">
        <is>
          <t>HDFC Bank</t>
        </is>
      </c>
      <c r="M891" s="84" t="inlineStr"/>
    </row>
    <row r="892">
      <c r="A892" s="116" t="n">
        <v>45726</v>
      </c>
      <c r="B892" s="116" t="n">
        <v>45726</v>
      </c>
      <c r="C892" s="117" t="n">
        <v>30000</v>
      </c>
      <c r="D892" s="117" t="n">
        <v>0</v>
      </c>
      <c r="E892" s="117" t="inlineStr"/>
      <c r="F892" s="117" t="inlineStr">
        <is>
          <t>Transfer - Sunita Gupta</t>
        </is>
      </c>
      <c r="G892" s="32" t="n">
        <v>0.88</v>
      </c>
      <c r="H892" s="117" t="inlineStr">
        <is>
          <t>Sunita Gupta</t>
        </is>
      </c>
      <c r="I892" s="117" t="inlineStr">
        <is>
          <t>HDFC 0094</t>
        </is>
      </c>
      <c r="J892" s="117" t="inlineStr">
        <is>
          <t>Contra</t>
        </is>
      </c>
      <c r="K892" s="117" t="inlineStr">
        <is>
          <t>NEFT DR-SBIN0011669-SUNITA GUPTA-NETBANK, MUM-HDFCN52025031010201759-TRFR FR SUNITA HDF</t>
        </is>
      </c>
      <c r="L892" s="117" t="inlineStr">
        <is>
          <t>HDFC Bank</t>
        </is>
      </c>
      <c r="M892" s="117" t="inlineStr"/>
    </row>
    <row r="893">
      <c r="A893" s="83" t="n">
        <v>45726</v>
      </c>
      <c r="B893" s="83" t="n">
        <v>45726</v>
      </c>
      <c r="C893" s="84" t="n">
        <v>1123.29</v>
      </c>
      <c r="D893" s="84" t="n">
        <v>0</v>
      </c>
      <c r="E893" s="84" t="inlineStr"/>
      <c r="F893" s="84" t="inlineStr">
        <is>
          <t>HDFC Securities - Buy</t>
        </is>
      </c>
      <c r="G893" s="32" t="n">
        <v>0.97</v>
      </c>
      <c r="H893" s="84" t="inlineStr">
        <is>
          <t>HDFC Securities</t>
        </is>
      </c>
      <c r="I893" s="84" t="inlineStr">
        <is>
          <t>HDFC 0094</t>
        </is>
      </c>
      <c r="J893" s="84" t="inlineStr">
        <is>
          <t>HSL</t>
        </is>
      </c>
      <c r="K893" s="84" t="inlineStr">
        <is>
          <t>NET PI TO HSL SEC A/C 523686-00602340029434</t>
        </is>
      </c>
      <c r="L893" s="84" t="inlineStr">
        <is>
          <t>HDFC Bank</t>
        </is>
      </c>
      <c r="M893" s="84" t="inlineStr"/>
    </row>
    <row r="894">
      <c r="A894" s="38" t="n">
        <v>45726</v>
      </c>
      <c r="B894" s="38" t="n">
        <v>45726</v>
      </c>
      <c r="C894" s="39" t="n">
        <v>531</v>
      </c>
      <c r="D894" s="39" t="n">
        <v>0</v>
      </c>
      <c r="E894" s="39" t="inlineStr"/>
      <c r="F894" s="39" t="inlineStr">
        <is>
          <t>Bank Charges</t>
        </is>
      </c>
      <c r="G894" s="32" t="n">
        <v>0.9</v>
      </c>
      <c r="H894" s="39" t="inlineStr">
        <is>
          <t>Bank Charges</t>
        </is>
      </c>
      <c r="I894" s="39" t="inlineStr">
        <is>
          <t>HDFC 0094</t>
        </is>
      </c>
      <c r="J894" s="39" t="inlineStr">
        <is>
          <t>Bank Charges</t>
        </is>
      </c>
      <c r="K894" s="39" t="inlineStr">
        <is>
          <t>.ACH DEBIT RETURN CHARGES 250225 250225-MIR2506812943710</t>
        </is>
      </c>
      <c r="L894" s="39" t="inlineStr">
        <is>
          <t>HDFC Bank</t>
        </is>
      </c>
      <c r="M894" s="39" t="inlineStr"/>
    </row>
    <row r="895">
      <c r="A895" s="83" t="n">
        <v>45727</v>
      </c>
      <c r="B895" s="83" t="n">
        <v>45727</v>
      </c>
      <c r="C895" s="84" t="n">
        <v>12503.5</v>
      </c>
      <c r="D895" s="84" t="n">
        <v>0</v>
      </c>
      <c r="E895" s="84" t="inlineStr"/>
      <c r="F895" s="84" t="inlineStr">
        <is>
          <t>HDFC Securities - Buy</t>
        </is>
      </c>
      <c r="G895" s="32" t="n">
        <v>0.97</v>
      </c>
      <c r="H895" s="84" t="inlineStr">
        <is>
          <t>HDFC Securities</t>
        </is>
      </c>
      <c r="I895" s="84" t="inlineStr">
        <is>
          <t>HDFC 0094</t>
        </is>
      </c>
      <c r="J895" s="84" t="inlineStr">
        <is>
          <t>HSL</t>
        </is>
      </c>
      <c r="K895" s="84" t="inlineStr">
        <is>
          <t>NET PI TO HSL SEC A/C 523686-00602340029434</t>
        </is>
      </c>
      <c r="L895" s="84" t="inlineStr">
        <is>
          <t>HDFC Bank</t>
        </is>
      </c>
      <c r="M895" s="84" t="inlineStr"/>
    </row>
    <row r="896">
      <c r="A896" s="83" t="n">
        <v>45727</v>
      </c>
      <c r="B896" s="83" t="n">
        <v>45727</v>
      </c>
      <c r="C896" s="84" t="n">
        <v>368.95</v>
      </c>
      <c r="D896" s="84" t="n">
        <v>0</v>
      </c>
      <c r="E896" s="84" t="inlineStr"/>
      <c r="F896" s="84" t="inlineStr">
        <is>
          <t>HDFC Securities - Buy</t>
        </is>
      </c>
      <c r="G896" s="32" t="n">
        <v>0.97</v>
      </c>
      <c r="H896" s="84" t="inlineStr">
        <is>
          <t>HDFC Securities</t>
        </is>
      </c>
      <c r="I896" s="84" t="inlineStr">
        <is>
          <t>HDFC 0094</t>
        </is>
      </c>
      <c r="J896" s="84" t="inlineStr">
        <is>
          <t>HSL</t>
        </is>
      </c>
      <c r="K896" s="84" t="inlineStr">
        <is>
          <t>NET PI TO HSL SEC A/C 523686-00602340029434</t>
        </is>
      </c>
      <c r="L896" s="84" t="inlineStr">
        <is>
          <t>HDFC Bank</t>
        </is>
      </c>
      <c r="M896" s="84" t="inlineStr"/>
    </row>
    <row r="897">
      <c r="A897" s="83" t="n">
        <v>45728</v>
      </c>
      <c r="B897" s="83" t="n">
        <v>45728</v>
      </c>
      <c r="C897" s="84" t="n">
        <v>9109.33</v>
      </c>
      <c r="D897" s="84" t="n">
        <v>0</v>
      </c>
      <c r="E897" s="84" t="inlineStr"/>
      <c r="F897" s="84" t="inlineStr">
        <is>
          <t>HDFC Securities - Buy</t>
        </is>
      </c>
      <c r="G897" s="32" t="n">
        <v>0.97</v>
      </c>
      <c r="H897" s="84" t="inlineStr">
        <is>
          <t>HDFC Securities</t>
        </is>
      </c>
      <c r="I897" s="84" t="inlineStr">
        <is>
          <t>HDFC 0094</t>
        </is>
      </c>
      <c r="J897" s="84" t="inlineStr">
        <is>
          <t>HSL</t>
        </is>
      </c>
      <c r="K897" s="84" t="inlineStr">
        <is>
          <t>NET PI TO HSL SEC A/C 523686-00602340029434</t>
        </is>
      </c>
      <c r="L897" s="84" t="inlineStr">
        <is>
          <t>HDFC Bank</t>
        </is>
      </c>
      <c r="M897" s="84" t="inlineStr"/>
    </row>
    <row r="898">
      <c r="A898" s="112" t="n">
        <v>45728</v>
      </c>
      <c r="B898" s="112" t="n">
        <v>45728</v>
      </c>
      <c r="C898" s="113" t="n">
        <v>2499</v>
      </c>
      <c r="D898" s="113" t="n">
        <v>0</v>
      </c>
      <c r="E898" s="113" t="inlineStr"/>
      <c r="F898" s="113" t="inlineStr">
        <is>
          <t>Health Insurance</t>
        </is>
      </c>
      <c r="G898" s="32" t="n">
        <v>0.92</v>
      </c>
      <c r="H898" s="113" t="inlineStr">
        <is>
          <t>Health Insurance</t>
        </is>
      </c>
      <c r="I898" s="113" t="inlineStr">
        <is>
          <t>AXIS 7042</t>
        </is>
      </c>
      <c r="J898" s="113" t="inlineStr">
        <is>
          <t>80 - D?</t>
        </is>
      </c>
      <c r="K898" s="113" t="inlineStr">
        <is>
          <t>ECS/1009552582/Max Bupa Health Insurance Company</t>
        </is>
      </c>
      <c r="L898" s="113" t="inlineStr">
        <is>
          <t>Axis Bank</t>
        </is>
      </c>
      <c r="M898" s="113" t="inlineStr"/>
    </row>
    <row r="899">
      <c r="A899" s="83" t="n">
        <v>45728</v>
      </c>
      <c r="B899" s="83" t="n">
        <v>45728</v>
      </c>
      <c r="C899" s="84" t="n">
        <v>364.5</v>
      </c>
      <c r="D899" s="84" t="n">
        <v>0</v>
      </c>
      <c r="E899" s="84" t="inlineStr"/>
      <c r="F899" s="84" t="inlineStr">
        <is>
          <t>HDFC Securities - Buy</t>
        </is>
      </c>
      <c r="G899" s="32" t="n">
        <v>0.97</v>
      </c>
      <c r="H899" s="84" t="inlineStr">
        <is>
          <t>HDFC Securities</t>
        </is>
      </c>
      <c r="I899" s="84" t="inlineStr">
        <is>
          <t>HDFC 0094</t>
        </is>
      </c>
      <c r="J899" s="84" t="inlineStr">
        <is>
          <t>HSL</t>
        </is>
      </c>
      <c r="K899" s="84" t="inlineStr">
        <is>
          <t>NET PI TO HSL SEC A/C 523686-00602340029434</t>
        </is>
      </c>
      <c r="L899" s="84" t="inlineStr">
        <is>
          <t>HDFC Bank</t>
        </is>
      </c>
      <c r="M899" s="84" t="inlineStr"/>
    </row>
    <row r="900">
      <c r="A900" s="83" t="n">
        <v>45729</v>
      </c>
      <c r="B900" s="83" t="n">
        <v>45729</v>
      </c>
      <c r="C900" s="84" t="n">
        <v>361.26</v>
      </c>
      <c r="D900" s="84" t="n">
        <v>0</v>
      </c>
      <c r="E900" s="84" t="inlineStr"/>
      <c r="F900" s="84" t="inlineStr">
        <is>
          <t>HDFC Securities - Buy</t>
        </is>
      </c>
      <c r="G900" s="32" t="n">
        <v>0.97</v>
      </c>
      <c r="H900" s="84" t="inlineStr">
        <is>
          <t>HDFC Securities</t>
        </is>
      </c>
      <c r="I900" s="84" t="inlineStr">
        <is>
          <t>HDFC 0094</t>
        </is>
      </c>
      <c r="J900" s="84" t="inlineStr">
        <is>
          <t>HSL</t>
        </is>
      </c>
      <c r="K900" s="84" t="inlineStr">
        <is>
          <t>NET PI TO HSL SEC A/C 523686-00602340029434</t>
        </is>
      </c>
      <c r="L900" s="84" t="inlineStr">
        <is>
          <t>HDFC Bank</t>
        </is>
      </c>
      <c r="M900" s="84" t="inlineStr"/>
    </row>
    <row r="901">
      <c r="A901" s="89" t="n">
        <v>45731</v>
      </c>
      <c r="B901" s="89" t="n">
        <v>45731</v>
      </c>
      <c r="C901" s="90" t="n">
        <v>861.4</v>
      </c>
      <c r="D901" s="90" t="n">
        <v>0</v>
      </c>
      <c r="E901" s="90" t="inlineStr"/>
      <c r="F901" s="90" t="inlineStr">
        <is>
          <t>Depository Charges</t>
        </is>
      </c>
      <c r="G901" s="32" t="n">
        <v>0.93</v>
      </c>
      <c r="H901" s="90" t="inlineStr">
        <is>
          <t>Depository Charges</t>
        </is>
      </c>
      <c r="I901" s="90" t="inlineStr">
        <is>
          <t>HDFC 0094</t>
        </is>
      </c>
      <c r="J901" s="90" t="inlineStr">
        <is>
          <t>Depository Charges</t>
        </is>
      </c>
      <c r="K901" s="90" t="inlineStr">
        <is>
          <t>DEPOSITORY CHARGES FEB25 - 41060499</t>
        </is>
      </c>
      <c r="L901" s="90" t="inlineStr">
        <is>
          <t>HDFC Bank</t>
        </is>
      </c>
      <c r="M901" s="90" t="inlineStr"/>
    </row>
    <row r="902">
      <c r="A902" s="30" t="n">
        <v>45733</v>
      </c>
      <c r="B902" s="30" t="n">
        <v>45733</v>
      </c>
      <c r="C902" s="31" t="n">
        <v>0</v>
      </c>
      <c r="D902" s="31" t="n">
        <v>5950.61</v>
      </c>
      <c r="E902" s="31" t="inlineStr"/>
      <c r="F902" s="31" t="inlineStr">
        <is>
          <t>HDFC Securities - Settlement</t>
        </is>
      </c>
      <c r="G902" s="32" t="n">
        <v>0.93</v>
      </c>
      <c r="H902" s="31" t="inlineStr">
        <is>
          <t>HDFC Securities</t>
        </is>
      </c>
      <c r="I902" s="31" t="inlineStr">
        <is>
          <t>HDFC 0094</t>
        </is>
      </c>
      <c r="J902" s="31" t="inlineStr">
        <is>
          <t>HDFC Sec</t>
        </is>
      </c>
      <c r="K902" s="31" t="inlineStr">
        <is>
          <t>FT- 618929987-50200085415108 - HDFC SECURITIES LTD-CLIENT DSCNB A/C -</t>
        </is>
      </c>
      <c r="L902" s="31" t="inlineStr">
        <is>
          <t>HDFC Bank</t>
        </is>
      </c>
      <c r="M902" s="31" t="inlineStr"/>
    </row>
    <row r="903">
      <c r="A903" s="64" t="n">
        <v>45733</v>
      </c>
      <c r="B903" s="64" t="n">
        <v>45733</v>
      </c>
      <c r="C903" s="65" t="n">
        <v>5000</v>
      </c>
      <c r="D903" s="65" t="n">
        <v>0</v>
      </c>
      <c r="E903" s="65" t="inlineStr"/>
      <c r="F903" s="65" t="inlineStr">
        <is>
          <t>SIP</t>
        </is>
      </c>
      <c r="G903" s="32" t="n">
        <v>0.95</v>
      </c>
      <c r="H903" s="65" t="inlineStr">
        <is>
          <t>SIP</t>
        </is>
      </c>
      <c r="I903" s="65" t="inlineStr">
        <is>
          <t>HDFC 0094</t>
        </is>
      </c>
      <c r="J903" s="65" t="inlineStr">
        <is>
          <t>SIP  - 5000</t>
        </is>
      </c>
      <c r="K903" s="65" t="inlineStr">
        <is>
          <t>ACH D- TP ACH INDIANESIGN-1752676394</t>
        </is>
      </c>
      <c r="L903" s="65" t="inlineStr">
        <is>
          <t>HDFC Bank</t>
        </is>
      </c>
      <c r="M903" s="65" t="inlineStr"/>
    </row>
    <row r="904">
      <c r="A904" s="83" t="n">
        <v>45733</v>
      </c>
      <c r="B904" s="83" t="n">
        <v>45733</v>
      </c>
      <c r="C904" s="84" t="n">
        <v>1445.04</v>
      </c>
      <c r="D904" s="84" t="n">
        <v>0</v>
      </c>
      <c r="E904" s="84" t="inlineStr"/>
      <c r="F904" s="84" t="inlineStr">
        <is>
          <t>HDFC Securities - Buy</t>
        </is>
      </c>
      <c r="G904" s="32" t="n">
        <v>0.97</v>
      </c>
      <c r="H904" s="84" t="inlineStr">
        <is>
          <t>HDFC Securities</t>
        </is>
      </c>
      <c r="I904" s="84" t="inlineStr">
        <is>
          <t>HDFC 0094</t>
        </is>
      </c>
      <c r="J904" s="84" t="inlineStr">
        <is>
          <t>HSL</t>
        </is>
      </c>
      <c r="K904" s="84" t="inlineStr">
        <is>
          <t>NET PI TO HSL SEC A/C 523686-00602340029434</t>
        </is>
      </c>
      <c r="L904" s="84" t="inlineStr">
        <is>
          <t>HDFC Bank</t>
        </is>
      </c>
      <c r="M904" s="84" t="inlineStr"/>
    </row>
    <row r="905">
      <c r="A905" s="48" t="n">
        <v>45734</v>
      </c>
      <c r="B905" s="48" t="n">
        <v>45734</v>
      </c>
      <c r="C905" s="49" t="n">
        <v>1</v>
      </c>
      <c r="D905" s="49" t="n">
        <v>0</v>
      </c>
      <c r="E905" s="49" t="inlineStr">
        <is>
          <t>Madhu Gupta</t>
        </is>
      </c>
      <c r="F905" s="49" t="inlineStr">
        <is>
          <t>UPI Payment</t>
        </is>
      </c>
      <c r="G905" s="50" t="n">
        <v>0.55</v>
      </c>
      <c r="H905" s="49" t="inlineStr">
        <is>
          <t>Personal</t>
        </is>
      </c>
      <c r="I905" s="49" t="inlineStr">
        <is>
          <t>AXIS 7042</t>
        </is>
      </c>
      <c r="J905" s="49" t="inlineStr">
        <is>
          <t>UPI</t>
        </is>
      </c>
      <c r="K905" s="49" t="inlineStr">
        <is>
          <t>UPI/P2A/507761157224/MADHU GUPTA          /UPI/ICICI Bank</t>
        </is>
      </c>
      <c r="L905" s="49" t="inlineStr">
        <is>
          <t>Axis Bank</t>
        </is>
      </c>
      <c r="M905" s="49" t="inlineStr"/>
    </row>
    <row r="906">
      <c r="A906" s="48" t="n">
        <v>45734</v>
      </c>
      <c r="B906" s="48" t="n">
        <v>45734</v>
      </c>
      <c r="C906" s="49" t="n">
        <v>17550</v>
      </c>
      <c r="D906" s="49" t="n">
        <v>0</v>
      </c>
      <c r="E906" s="49" t="inlineStr">
        <is>
          <t>Madhu Gupta</t>
        </is>
      </c>
      <c r="F906" s="49" t="inlineStr">
        <is>
          <t>UPI Payment</t>
        </is>
      </c>
      <c r="G906" s="50" t="n">
        <v>0.55</v>
      </c>
      <c r="H906" s="49" t="inlineStr">
        <is>
          <t>Personal</t>
        </is>
      </c>
      <c r="I906" s="49" t="inlineStr">
        <is>
          <t>AXIS 7042</t>
        </is>
      </c>
      <c r="J906" s="49" t="inlineStr">
        <is>
          <t>UPI</t>
        </is>
      </c>
      <c r="K906" s="49" t="inlineStr">
        <is>
          <t>UPI/P2A/507753564612/MADHU GUPTA          /neckle/ICICI Bank</t>
        </is>
      </c>
      <c r="L906" s="49" t="inlineStr">
        <is>
          <t>Axis Bank</t>
        </is>
      </c>
      <c r="M906" s="49" t="inlineStr"/>
    </row>
    <row r="907">
      <c r="A907" s="30" t="n">
        <v>45734</v>
      </c>
      <c r="B907" s="30" t="n">
        <v>45734</v>
      </c>
      <c r="C907" s="31" t="n">
        <v>0</v>
      </c>
      <c r="D907" s="31" t="n">
        <v>1118.28</v>
      </c>
      <c r="E907" s="31" t="inlineStr"/>
      <c r="F907" s="31" t="inlineStr">
        <is>
          <t>HDFC Securities - Settlement</t>
        </is>
      </c>
      <c r="G907" s="32" t="n">
        <v>0.93</v>
      </c>
      <c r="H907" s="31" t="inlineStr">
        <is>
          <t>HDFC Securities</t>
        </is>
      </c>
      <c r="I907" s="31" t="inlineStr">
        <is>
          <t>HDFC 0094</t>
        </is>
      </c>
      <c r="J907" s="31" t="inlineStr">
        <is>
          <t>HDFC Sec</t>
        </is>
      </c>
      <c r="K907" s="31" t="inlineStr">
        <is>
          <t>FT- 619390903-50200085415108 - HDFC SECURITIES LTD-CLIENT DSCNB A/C -</t>
        </is>
      </c>
      <c r="L907" s="31" t="inlineStr">
        <is>
          <t>HDFC Bank</t>
        </is>
      </c>
      <c r="M907" s="31" t="inlineStr"/>
    </row>
    <row r="908">
      <c r="A908" s="83" t="n">
        <v>45734</v>
      </c>
      <c r="B908" s="83" t="n">
        <v>45734</v>
      </c>
      <c r="C908" s="84" t="n">
        <v>351.67</v>
      </c>
      <c r="D908" s="84" t="n">
        <v>0</v>
      </c>
      <c r="E908" s="84" t="inlineStr"/>
      <c r="F908" s="84" t="inlineStr">
        <is>
          <t>HDFC Securities - Buy</t>
        </is>
      </c>
      <c r="G908" s="32" t="n">
        <v>0.97</v>
      </c>
      <c r="H908" s="84" t="inlineStr">
        <is>
          <t>HDFC Securities</t>
        </is>
      </c>
      <c r="I908" s="84" t="inlineStr">
        <is>
          <t>HDFC 0094</t>
        </is>
      </c>
      <c r="J908" s="84" t="inlineStr">
        <is>
          <t>HSL</t>
        </is>
      </c>
      <c r="K908" s="84" t="inlineStr">
        <is>
          <t>NET PI TO HSL SEC A/C 523686-00602340029434</t>
        </is>
      </c>
      <c r="L908" s="84" t="inlineStr">
        <is>
          <t>HDFC Bank</t>
        </is>
      </c>
      <c r="M908" s="84" t="inlineStr"/>
    </row>
    <row r="909">
      <c r="A909" s="83" t="n">
        <v>45734</v>
      </c>
      <c r="B909" s="83" t="n">
        <v>45734</v>
      </c>
      <c r="C909" s="84" t="n">
        <v>7670.71</v>
      </c>
      <c r="D909" s="84" t="n">
        <v>0</v>
      </c>
      <c r="E909" s="84" t="inlineStr"/>
      <c r="F909" s="84" t="inlineStr">
        <is>
          <t>HDFC Securities - Buy</t>
        </is>
      </c>
      <c r="G909" s="32" t="n">
        <v>0.97</v>
      </c>
      <c r="H909" s="84" t="inlineStr">
        <is>
          <t>HDFC Securities</t>
        </is>
      </c>
      <c r="I909" s="84" t="inlineStr">
        <is>
          <t>HDFC 0094</t>
        </is>
      </c>
      <c r="J909" s="84" t="inlineStr">
        <is>
          <t>HSL</t>
        </is>
      </c>
      <c r="K909" s="84" t="inlineStr">
        <is>
          <t>NET PI TO HSL SEC A/C 523686-00602340029434</t>
        </is>
      </c>
      <c r="L909" s="84" t="inlineStr">
        <is>
          <t>HDFC Bank</t>
        </is>
      </c>
      <c r="M909" s="84" t="inlineStr"/>
    </row>
    <row r="910">
      <c r="A910" s="83" t="n">
        <v>45735</v>
      </c>
      <c r="B910" s="83" t="n">
        <v>45735</v>
      </c>
      <c r="C910" s="84" t="n">
        <v>349.34</v>
      </c>
      <c r="D910" s="84" t="n">
        <v>0</v>
      </c>
      <c r="E910" s="84" t="inlineStr"/>
      <c r="F910" s="84" t="inlineStr">
        <is>
          <t>HDFC Securities - Buy</t>
        </is>
      </c>
      <c r="G910" s="32" t="n">
        <v>0.97</v>
      </c>
      <c r="H910" s="84" t="inlineStr">
        <is>
          <t>HDFC Securities</t>
        </is>
      </c>
      <c r="I910" s="84" t="inlineStr">
        <is>
          <t>HDFC 0094</t>
        </is>
      </c>
      <c r="J910" s="84" t="inlineStr">
        <is>
          <t>HSL</t>
        </is>
      </c>
      <c r="K910" s="84" t="inlineStr">
        <is>
          <t>NET PI TO HSL SEC A/C 523686-00602340029434</t>
        </is>
      </c>
      <c r="L910" s="84" t="inlineStr">
        <is>
          <t>HDFC Bank</t>
        </is>
      </c>
      <c r="M910" s="84" t="inlineStr"/>
    </row>
    <row r="911">
      <c r="A911" s="30" t="n">
        <v>45736</v>
      </c>
      <c r="B911" s="30" t="n">
        <v>45736</v>
      </c>
      <c r="C911" s="31" t="n">
        <v>0</v>
      </c>
      <c r="D911" s="31" t="n">
        <v>15924.95</v>
      </c>
      <c r="E911" s="31" t="inlineStr"/>
      <c r="F911" s="31" t="inlineStr">
        <is>
          <t>HDFC Securities - Settlement</t>
        </is>
      </c>
      <c r="G911" s="32" t="n">
        <v>0.93</v>
      </c>
      <c r="H911" s="31" t="inlineStr">
        <is>
          <t>HDFC Securities</t>
        </is>
      </c>
      <c r="I911" s="31" t="inlineStr">
        <is>
          <t>HDFC 0094</t>
        </is>
      </c>
      <c r="J911" s="31" t="inlineStr">
        <is>
          <t>HDFC Sec</t>
        </is>
      </c>
      <c r="K911" s="31" t="inlineStr">
        <is>
          <t>FT- 620122043-50200085415108 - HDFC SECURITIES LTD-CLIENT DSCNB A/C -</t>
        </is>
      </c>
      <c r="L911" s="31" t="inlineStr">
        <is>
          <t>HDFC Bank</t>
        </is>
      </c>
      <c r="M911" s="31" t="inlineStr"/>
    </row>
    <row r="912">
      <c r="A912" s="116" t="n">
        <v>45736</v>
      </c>
      <c r="B912" s="116" t="n">
        <v>45736</v>
      </c>
      <c r="C912" s="117" t="n">
        <v>0</v>
      </c>
      <c r="D912" s="117" t="n">
        <v>75000</v>
      </c>
      <c r="E912" s="117" t="inlineStr"/>
      <c r="F912" s="117" t="inlineStr">
        <is>
          <t>Received - Sunita Gupta</t>
        </is>
      </c>
      <c r="G912" s="32" t="n">
        <v>0.88</v>
      </c>
      <c r="H912" s="117" t="inlineStr">
        <is>
          <t>Sunita Gupta</t>
        </is>
      </c>
      <c r="I912" s="117" t="inlineStr">
        <is>
          <t>HDFC 0094</t>
        </is>
      </c>
      <c r="J912" s="117" t="inlineStr">
        <is>
          <t>Transfer by Ajay</t>
        </is>
      </c>
      <c r="K912" s="117" t="inlineStr">
        <is>
          <t>01671000085930-TPT-BORROW FROM SUNITA-AJAY KUMAR GUPTA</t>
        </is>
      </c>
      <c r="L912" s="117" t="inlineStr">
        <is>
          <t>HDFC Bank</t>
        </is>
      </c>
      <c r="M912" s="117" t="inlineStr"/>
    </row>
    <row r="913">
      <c r="A913" s="83" t="n">
        <v>45736</v>
      </c>
      <c r="B913" s="83" t="n">
        <v>45736</v>
      </c>
      <c r="C913" s="84" t="n">
        <v>377.93</v>
      </c>
      <c r="D913" s="84" t="n">
        <v>0</v>
      </c>
      <c r="E913" s="84" t="inlineStr"/>
      <c r="F913" s="84" t="inlineStr">
        <is>
          <t>HDFC Securities - Buy</t>
        </is>
      </c>
      <c r="G913" s="32" t="n">
        <v>0.97</v>
      </c>
      <c r="H913" s="84" t="inlineStr">
        <is>
          <t>HDFC Securities</t>
        </is>
      </c>
      <c r="I913" s="84" t="inlineStr">
        <is>
          <t>HDFC 0094</t>
        </is>
      </c>
      <c r="J913" s="84" t="inlineStr">
        <is>
          <t>HSL</t>
        </is>
      </c>
      <c r="K913" s="84" t="inlineStr">
        <is>
          <t>NET PI TO HSL SEC A/C 523686-00602340029434</t>
        </is>
      </c>
      <c r="L913" s="84" t="inlineStr">
        <is>
          <t>HDFC Bank</t>
        </is>
      </c>
      <c r="M913" s="84" t="inlineStr"/>
    </row>
    <row r="914">
      <c r="A914" s="83" t="n">
        <v>45736</v>
      </c>
      <c r="B914" s="83" t="n">
        <v>45736</v>
      </c>
      <c r="C914" s="84" t="n">
        <v>16460.12</v>
      </c>
      <c r="D914" s="84" t="n">
        <v>0</v>
      </c>
      <c r="E914" s="84" t="inlineStr"/>
      <c r="F914" s="84" t="inlineStr">
        <is>
          <t>HDFC Securities - Buy</t>
        </is>
      </c>
      <c r="G914" s="32" t="n">
        <v>0.97</v>
      </c>
      <c r="H914" s="84" t="inlineStr">
        <is>
          <t>HDFC Securities</t>
        </is>
      </c>
      <c r="I914" s="84" t="inlineStr">
        <is>
          <t>HDFC 0094</t>
        </is>
      </c>
      <c r="J914" s="84" t="inlineStr">
        <is>
          <t>HSL</t>
        </is>
      </c>
      <c r="K914" s="84" t="inlineStr">
        <is>
          <t>NET PI TO HSL SEC A/C 523686-00602340029434</t>
        </is>
      </c>
      <c r="L914" s="84" t="inlineStr">
        <is>
          <t>HDFC Bank</t>
        </is>
      </c>
      <c r="M914" s="84" t="inlineStr"/>
    </row>
    <row r="915">
      <c r="A915" s="107" t="n">
        <v>45736</v>
      </c>
      <c r="B915" s="107" t="n">
        <v>45736</v>
      </c>
      <c r="C915" s="108" t="n">
        <v>0</v>
      </c>
      <c r="D915" s="108" t="n">
        <v>1</v>
      </c>
      <c r="E915" s="108" t="inlineStr"/>
      <c r="F915" s="108" t="inlineStr">
        <is>
          <t>Misc Income</t>
        </is>
      </c>
      <c r="G915" s="50" t="n">
        <v>0.55</v>
      </c>
      <c r="H915" s="108" t="inlineStr">
        <is>
          <t>Misc Income</t>
        </is>
      </c>
      <c r="I915" s="108" t="inlineStr">
        <is>
          <t>HDFC 0094</t>
        </is>
      </c>
      <c r="J915" s="108" t="inlineStr">
        <is>
          <t>Misc Income</t>
        </is>
      </c>
      <c r="K915" s="108" t="inlineStr">
        <is>
          <t>IMPS-507918394917-SBI GENERAL INSURANC-IDFB-XXXXXXX8671-IMPSTXN</t>
        </is>
      </c>
      <c r="L915" s="108" t="inlineStr">
        <is>
          <t>HDFC Bank</t>
        </is>
      </c>
      <c r="M915" s="108" t="inlineStr"/>
    </row>
    <row r="916">
      <c r="A916" s="85" t="n">
        <v>45737</v>
      </c>
      <c r="B916" s="85" t="n">
        <v>45737</v>
      </c>
      <c r="C916" s="86" t="n">
        <v>0</v>
      </c>
      <c r="D916" s="86" t="n">
        <v>18737.64</v>
      </c>
      <c r="E916" s="86" t="inlineStr"/>
      <c r="F916" s="86" t="inlineStr">
        <is>
          <t>HDFC Securities - Sell</t>
        </is>
      </c>
      <c r="G916" s="32" t="n">
        <v>0.97</v>
      </c>
      <c r="H916" s="86" t="inlineStr">
        <is>
          <t>HDFC Securities</t>
        </is>
      </c>
      <c r="I916" s="86" t="inlineStr">
        <is>
          <t>HDFC 0094</t>
        </is>
      </c>
      <c r="J916" s="86" t="inlineStr">
        <is>
          <t>HSL</t>
        </is>
      </c>
      <c r="K916" s="86" t="inlineStr">
        <is>
          <t>NET PO FROM HSL A/C 523686-50200085415108</t>
        </is>
      </c>
      <c r="L916" s="86" t="inlineStr">
        <is>
          <t>HDFC Bank</t>
        </is>
      </c>
      <c r="M916" s="86" t="inlineStr"/>
    </row>
    <row r="917">
      <c r="A917" s="83" t="n">
        <v>45737</v>
      </c>
      <c r="B917" s="83" t="n">
        <v>45737</v>
      </c>
      <c r="C917" s="84" t="n">
        <v>54024.08</v>
      </c>
      <c r="D917" s="84" t="n">
        <v>0</v>
      </c>
      <c r="E917" s="84" t="inlineStr"/>
      <c r="F917" s="84" t="inlineStr">
        <is>
          <t>HDFC Securities - Buy</t>
        </is>
      </c>
      <c r="G917" s="32" t="n">
        <v>0.97</v>
      </c>
      <c r="H917" s="84" t="inlineStr">
        <is>
          <t>HDFC Securities</t>
        </is>
      </c>
      <c r="I917" s="84" t="inlineStr">
        <is>
          <t>HDFC 0094</t>
        </is>
      </c>
      <c r="J917" s="84" t="inlineStr">
        <is>
          <t>HSL</t>
        </is>
      </c>
      <c r="K917" s="84" t="inlineStr">
        <is>
          <t>NET PI TO HSL SEC A/C 523686-00602340029434</t>
        </is>
      </c>
      <c r="L917" s="84" t="inlineStr">
        <is>
          <t>HDFC Bank</t>
        </is>
      </c>
      <c r="M917" s="84" t="inlineStr"/>
    </row>
    <row r="918">
      <c r="A918" s="83" t="n">
        <v>45737</v>
      </c>
      <c r="B918" s="83" t="n">
        <v>45737</v>
      </c>
      <c r="C918" s="84" t="n">
        <v>20913.22</v>
      </c>
      <c r="D918" s="84" t="n">
        <v>0</v>
      </c>
      <c r="E918" s="84" t="inlineStr"/>
      <c r="F918" s="84" t="inlineStr">
        <is>
          <t>HDFC Securities - Buy</t>
        </is>
      </c>
      <c r="G918" s="32" t="n">
        <v>0.97</v>
      </c>
      <c r="H918" s="84" t="inlineStr">
        <is>
          <t>HDFC Securities</t>
        </is>
      </c>
      <c r="I918" s="84" t="inlineStr">
        <is>
          <t>HDFC 0094</t>
        </is>
      </c>
      <c r="J918" s="84" t="inlineStr">
        <is>
          <t>HSL</t>
        </is>
      </c>
      <c r="K918" s="84" t="inlineStr">
        <is>
          <t>NET PI TO HSL SEC A/C 523686-00602340029434</t>
        </is>
      </c>
      <c r="L918" s="84" t="inlineStr">
        <is>
          <t>HDFC Bank</t>
        </is>
      </c>
      <c r="M918" s="84" t="inlineStr"/>
    </row>
    <row r="919">
      <c r="A919" s="64" t="n">
        <v>45738</v>
      </c>
      <c r="B919" s="64" t="n">
        <v>45738</v>
      </c>
      <c r="C919" s="65" t="n">
        <v>2732</v>
      </c>
      <c r="D919" s="65" t="n">
        <v>0</v>
      </c>
      <c r="E919" s="65" t="inlineStr"/>
      <c r="F919" s="65" t="inlineStr">
        <is>
          <t>SIP</t>
        </is>
      </c>
      <c r="G919" s="32" t="n">
        <v>0.9</v>
      </c>
      <c r="H919" s="65" t="inlineStr">
        <is>
          <t>SIP</t>
        </is>
      </c>
      <c r="I919" s="65" t="inlineStr">
        <is>
          <t>HDFC 0094</t>
        </is>
      </c>
      <c r="J919" s="65" t="inlineStr">
        <is>
          <t>Electricity Bill</t>
        </is>
      </c>
      <c r="K919" s="65" t="inlineStr">
        <is>
          <t>YHDF2547685358/BILLDKTHECALCUTTAELE</t>
        </is>
      </c>
      <c r="L919" s="65" t="inlineStr">
        <is>
          <t>HDFC Bank</t>
        </is>
      </c>
      <c r="M919" s="65" t="inlineStr"/>
    </row>
    <row r="920">
      <c r="A920" s="83" t="n">
        <v>45740</v>
      </c>
      <c r="B920" s="83" t="n">
        <v>45740</v>
      </c>
      <c r="C920" s="84" t="n">
        <v>1278.96</v>
      </c>
      <c r="D920" s="84" t="n">
        <v>0</v>
      </c>
      <c r="E920" s="84" t="inlineStr"/>
      <c r="F920" s="84" t="inlineStr">
        <is>
          <t>HDFC Securities - Buy</t>
        </is>
      </c>
      <c r="G920" s="32" t="n">
        <v>0.97</v>
      </c>
      <c r="H920" s="84" t="inlineStr">
        <is>
          <t>HDFC Securities</t>
        </is>
      </c>
      <c r="I920" s="84" t="inlineStr">
        <is>
          <t>HDFC 0094</t>
        </is>
      </c>
      <c r="J920" s="84" t="inlineStr">
        <is>
          <t>HSL</t>
        </is>
      </c>
      <c r="K920" s="84" t="inlineStr">
        <is>
          <t>NET PI TO HSL SEC A/C 523686-00602340029434</t>
        </is>
      </c>
      <c r="L920" s="84" t="inlineStr">
        <is>
          <t>HDFC Bank</t>
        </is>
      </c>
      <c r="M920" s="84" t="inlineStr"/>
    </row>
    <row r="921">
      <c r="A921" s="40" t="n">
        <v>45741</v>
      </c>
      <c r="B921" s="40" t="n">
        <v>45741</v>
      </c>
      <c r="C921" s="41" t="n">
        <v>0</v>
      </c>
      <c r="D921" s="41" t="n">
        <v>151</v>
      </c>
      <c r="E921" s="41" t="inlineStr"/>
      <c r="F921" s="41" t="inlineStr">
        <is>
          <t>Bank Interest</t>
        </is>
      </c>
      <c r="G921" s="32" t="n">
        <v>0.9</v>
      </c>
      <c r="H921" s="41" t="inlineStr">
        <is>
          <t>Bank Interest</t>
        </is>
      </c>
      <c r="I921" s="41" t="inlineStr">
        <is>
          <t>SBI 7685</t>
        </is>
      </c>
      <c r="J921" s="41" t="inlineStr">
        <is>
          <t>Bank Interest</t>
        </is>
      </c>
      <c r="K921" s="41" t="inlineStr">
        <is>
          <t xml:space="preserve">   CREDIT INTEREST---</t>
        </is>
      </c>
      <c r="L921" s="41" t="inlineStr">
        <is>
          <t>State Bank of India</t>
        </is>
      </c>
      <c r="M921" s="41" t="inlineStr"/>
    </row>
    <row r="922">
      <c r="A922" s="30" t="n">
        <v>45741</v>
      </c>
      <c r="B922" s="30" t="n">
        <v>45741</v>
      </c>
      <c r="C922" s="31" t="n">
        <v>0</v>
      </c>
      <c r="D922" s="31" t="n">
        <v>27412.47</v>
      </c>
      <c r="E922" s="31" t="inlineStr"/>
      <c r="F922" s="31" t="inlineStr">
        <is>
          <t>HDFC Securities - Settlement</t>
        </is>
      </c>
      <c r="G922" s="32" t="n">
        <v>0.93</v>
      </c>
      <c r="H922" s="31" t="inlineStr">
        <is>
          <t>HDFC Securities</t>
        </is>
      </c>
      <c r="I922" s="31" t="inlineStr">
        <is>
          <t>HDFC 0094</t>
        </is>
      </c>
      <c r="J922" s="31" t="inlineStr">
        <is>
          <t>HDFC Sec</t>
        </is>
      </c>
      <c r="K922" s="31" t="inlineStr">
        <is>
          <t>FT- 621348015-50200085415108 - HDFC SECURITIES LTD-CLIENT DSCNB A/C -</t>
        </is>
      </c>
      <c r="L922" s="31" t="inlineStr">
        <is>
          <t>HDFC Bank</t>
        </is>
      </c>
      <c r="M922" s="31" t="inlineStr"/>
    </row>
    <row r="923">
      <c r="A923" s="64" t="n">
        <v>45741</v>
      </c>
      <c r="B923" s="64" t="n">
        <v>45741</v>
      </c>
      <c r="C923" s="65" t="n">
        <v>10000</v>
      </c>
      <c r="D923" s="65" t="n">
        <v>0</v>
      </c>
      <c r="E923" s="65" t="inlineStr"/>
      <c r="F923" s="65" t="inlineStr">
        <is>
          <t>SIP</t>
        </is>
      </c>
      <c r="G923" s="32" t="n">
        <v>0.95</v>
      </c>
      <c r="H923" s="65" t="inlineStr">
        <is>
          <t>SIP</t>
        </is>
      </c>
      <c r="I923" s="65" t="inlineStr">
        <is>
          <t>HDFC 0094</t>
        </is>
      </c>
      <c r="J923" s="65" t="inlineStr">
        <is>
          <t>SIP  - 10000</t>
        </is>
      </c>
      <c r="K923" s="65" t="inlineStr">
        <is>
          <t>ACH D- TP ACH INDIANESIGN-1756309312</t>
        </is>
      </c>
      <c r="L923" s="65" t="inlineStr">
        <is>
          <t>HDFC Bank</t>
        </is>
      </c>
      <c r="M923" s="65" t="inlineStr"/>
    </row>
    <row r="924">
      <c r="A924" s="83" t="n">
        <v>45741</v>
      </c>
      <c r="B924" s="83" t="n">
        <v>45741</v>
      </c>
      <c r="C924" s="84" t="n">
        <v>437.86</v>
      </c>
      <c r="D924" s="84" t="n">
        <v>0</v>
      </c>
      <c r="E924" s="84" t="inlineStr"/>
      <c r="F924" s="84" t="inlineStr">
        <is>
          <t>HDFC Securities - Buy</t>
        </is>
      </c>
      <c r="G924" s="32" t="n">
        <v>0.97</v>
      </c>
      <c r="H924" s="84" t="inlineStr">
        <is>
          <t>HDFC Securities</t>
        </is>
      </c>
      <c r="I924" s="84" t="inlineStr">
        <is>
          <t>HDFC 0094</t>
        </is>
      </c>
      <c r="J924" s="84" t="inlineStr">
        <is>
          <t>HSL</t>
        </is>
      </c>
      <c r="K924" s="84" t="inlineStr">
        <is>
          <t>NET PI TO HSL SEC A/C 523686-00602340029434</t>
        </is>
      </c>
      <c r="L924" s="84" t="inlineStr">
        <is>
          <t>HDFC Bank</t>
        </is>
      </c>
      <c r="M924" s="84" t="inlineStr"/>
    </row>
    <row r="925">
      <c r="A925" s="83" t="n">
        <v>45741</v>
      </c>
      <c r="B925" s="83" t="n">
        <v>45741</v>
      </c>
      <c r="C925" s="84" t="n">
        <v>5764.56</v>
      </c>
      <c r="D925" s="84" t="n">
        <v>0</v>
      </c>
      <c r="E925" s="84" t="inlineStr"/>
      <c r="F925" s="84" t="inlineStr">
        <is>
          <t>HDFC Securities - Buy</t>
        </is>
      </c>
      <c r="G925" s="32" t="n">
        <v>0.97</v>
      </c>
      <c r="H925" s="84" t="inlineStr">
        <is>
          <t>HDFC Securities</t>
        </is>
      </c>
      <c r="I925" s="84" t="inlineStr">
        <is>
          <t>HDFC 0094</t>
        </is>
      </c>
      <c r="J925" s="84" t="inlineStr">
        <is>
          <t>HSL</t>
        </is>
      </c>
      <c r="K925" s="84" t="inlineStr">
        <is>
          <t>NET PI TO HSL SEC A/C 523686-00602340029434</t>
        </is>
      </c>
      <c r="L925" s="84" t="inlineStr">
        <is>
          <t>HDFC Bank</t>
        </is>
      </c>
      <c r="M925" s="84" t="inlineStr"/>
    </row>
    <row r="926">
      <c r="A926" s="83" t="n">
        <v>45742</v>
      </c>
      <c r="B926" s="83" t="n">
        <v>45742</v>
      </c>
      <c r="C926" s="84" t="n">
        <v>433.89</v>
      </c>
      <c r="D926" s="84" t="n">
        <v>0</v>
      </c>
      <c r="E926" s="84" t="inlineStr"/>
      <c r="F926" s="84" t="inlineStr">
        <is>
          <t>HDFC Securities - Buy</t>
        </is>
      </c>
      <c r="G926" s="32" t="n">
        <v>0.97</v>
      </c>
      <c r="H926" s="84" t="inlineStr">
        <is>
          <t>HDFC Securities</t>
        </is>
      </c>
      <c r="I926" s="84" t="inlineStr">
        <is>
          <t>HDFC 0094</t>
        </is>
      </c>
      <c r="J926" s="84" t="inlineStr">
        <is>
          <t>HSL</t>
        </is>
      </c>
      <c r="K926" s="84" t="inlineStr">
        <is>
          <t>NET PI TO HSL SEC A/C 523686-00602340029434</t>
        </is>
      </c>
      <c r="L926" s="84" t="inlineStr">
        <is>
          <t>HDFC Bank</t>
        </is>
      </c>
      <c r="M926" s="84" t="inlineStr"/>
    </row>
    <row r="927">
      <c r="A927" s="83" t="n">
        <v>45742</v>
      </c>
      <c r="B927" s="83" t="n">
        <v>45742</v>
      </c>
      <c r="C927" s="84" t="n">
        <v>8577.92</v>
      </c>
      <c r="D927" s="84" t="n">
        <v>0</v>
      </c>
      <c r="E927" s="84" t="inlineStr"/>
      <c r="F927" s="84" t="inlineStr">
        <is>
          <t>HDFC Securities - Buy</t>
        </is>
      </c>
      <c r="G927" s="32" t="n">
        <v>0.97</v>
      </c>
      <c r="H927" s="84" t="inlineStr">
        <is>
          <t>HDFC Securities</t>
        </is>
      </c>
      <c r="I927" s="84" t="inlineStr">
        <is>
          <t>HDFC 0094</t>
        </is>
      </c>
      <c r="J927" s="84" t="inlineStr">
        <is>
          <t>HSL</t>
        </is>
      </c>
      <c r="K927" s="84" t="inlineStr">
        <is>
          <t>NET PI TO HSL SEC A/C 523686-00602340029434</t>
        </is>
      </c>
      <c r="L927" s="84" t="inlineStr">
        <is>
          <t>HDFC Bank</t>
        </is>
      </c>
      <c r="M927" s="84" t="inlineStr"/>
    </row>
    <row r="928">
      <c r="A928" s="30" t="n">
        <v>45742</v>
      </c>
      <c r="B928" s="30" t="n">
        <v>45742</v>
      </c>
      <c r="C928" s="31" t="n">
        <v>0</v>
      </c>
      <c r="D928" s="31" t="n">
        <v>17430.4</v>
      </c>
      <c r="E928" s="31" t="inlineStr"/>
      <c r="F928" s="31" t="inlineStr">
        <is>
          <t>HDFC Securities - Settlement</t>
        </is>
      </c>
      <c r="G928" s="32" t="n">
        <v>0.93</v>
      </c>
      <c r="H928" s="31" t="inlineStr">
        <is>
          <t>HDFC Securities</t>
        </is>
      </c>
      <c r="I928" s="31" t="inlineStr">
        <is>
          <t>HDFC 0094</t>
        </is>
      </c>
      <c r="J928" s="31" t="inlineStr">
        <is>
          <t>HDFC Sec</t>
        </is>
      </c>
      <c r="K928" s="31" t="inlineStr">
        <is>
          <t>FT- 621822800-50200085415108 - HDFC SECURITIES LTD-CLIENT DSCNB A/C -</t>
        </is>
      </c>
      <c r="L928" s="31" t="inlineStr">
        <is>
          <t>HDFC Bank</t>
        </is>
      </c>
      <c r="M928" s="31" t="inlineStr"/>
    </row>
    <row r="929">
      <c r="A929" s="30" t="n">
        <v>45742</v>
      </c>
      <c r="B929" s="30" t="n">
        <v>45742</v>
      </c>
      <c r="C929" s="31" t="n">
        <v>0</v>
      </c>
      <c r="D929" s="31" t="n">
        <v>911.1</v>
      </c>
      <c r="E929" s="31" t="inlineStr"/>
      <c r="F929" s="31" t="inlineStr">
        <is>
          <t>HDFC Securities - Settlement</t>
        </is>
      </c>
      <c r="G929" s="32" t="n">
        <v>0.93</v>
      </c>
      <c r="H929" s="31" t="inlineStr">
        <is>
          <t>HDFC Securities</t>
        </is>
      </c>
      <c r="I929" s="31" t="inlineStr">
        <is>
          <t>HDFC 0094</t>
        </is>
      </c>
      <c r="J929" s="31" t="inlineStr">
        <is>
          <t>HDFC Sec</t>
        </is>
      </c>
      <c r="K929" s="31" t="inlineStr">
        <is>
          <t>FT- 621799157-50200085415108 - HDFC SECURITIES LTD-CLIENT DSCNB A/C -</t>
        </is>
      </c>
      <c r="L929" s="31" t="inlineStr">
        <is>
          <t>HDFC Bank</t>
        </is>
      </c>
      <c r="M929" s="31" t="inlineStr"/>
    </row>
    <row r="930">
      <c r="A930" s="83" t="n">
        <v>45743</v>
      </c>
      <c r="B930" s="83" t="n">
        <v>45743</v>
      </c>
      <c r="C930" s="84" t="n">
        <v>1302.61</v>
      </c>
      <c r="D930" s="84" t="n">
        <v>0</v>
      </c>
      <c r="E930" s="84" t="inlineStr"/>
      <c r="F930" s="84" t="inlineStr">
        <is>
          <t>HDFC Securities - Buy</t>
        </is>
      </c>
      <c r="G930" s="32" t="n">
        <v>0.97</v>
      </c>
      <c r="H930" s="84" t="inlineStr">
        <is>
          <t>HDFC Securities</t>
        </is>
      </c>
      <c r="I930" s="84" t="inlineStr">
        <is>
          <t>HDFC 0094</t>
        </is>
      </c>
      <c r="J930" s="84" t="inlineStr">
        <is>
          <t>HSL</t>
        </is>
      </c>
      <c r="K930" s="84" t="inlineStr">
        <is>
          <t>NET PI TO HSL SEC A/C 523686-00602340029434</t>
        </is>
      </c>
      <c r="L930" s="84" t="inlineStr">
        <is>
          <t>HDFC Bank</t>
        </is>
      </c>
      <c r="M930" s="84" t="inlineStr"/>
    </row>
    <row r="931">
      <c r="A931" s="42" t="n">
        <v>45743</v>
      </c>
      <c r="B931" s="42" t="n">
        <v>45743</v>
      </c>
      <c r="C931" s="43" t="n">
        <v>0</v>
      </c>
      <c r="D931" s="43" t="n">
        <v>240</v>
      </c>
      <c r="E931" s="43" t="inlineStr"/>
      <c r="F931" s="43" t="inlineStr">
        <is>
          <t>Dividend Income</t>
        </is>
      </c>
      <c r="G931" s="32" t="n">
        <v>0.88</v>
      </c>
      <c r="H931" s="43" t="inlineStr">
        <is>
          <t>Dividend Income</t>
        </is>
      </c>
      <c r="I931" s="43" t="inlineStr">
        <is>
          <t>HDFC 0094</t>
        </is>
      </c>
      <c r="J931" s="43" t="inlineStr">
        <is>
          <t>Dividend Income</t>
        </is>
      </c>
      <c r="K931" s="43" t="inlineStr">
        <is>
          <t>ACH C- IRFC LTD-IR2103250146332</t>
        </is>
      </c>
      <c r="L931" s="43" t="inlineStr">
        <is>
          <t>HDFC Bank</t>
        </is>
      </c>
      <c r="M931" s="43" t="inlineStr"/>
    </row>
    <row r="932">
      <c r="A932" s="83" t="n">
        <v>45743</v>
      </c>
      <c r="B932" s="83" t="n">
        <v>45743</v>
      </c>
      <c r="C932" s="84" t="n">
        <v>426.77</v>
      </c>
      <c r="D932" s="84" t="n">
        <v>0</v>
      </c>
      <c r="E932" s="84" t="inlineStr"/>
      <c r="F932" s="84" t="inlineStr">
        <is>
          <t>HDFC Securities - Buy</t>
        </is>
      </c>
      <c r="G932" s="32" t="n">
        <v>0.97</v>
      </c>
      <c r="H932" s="84" t="inlineStr">
        <is>
          <t>HDFC Securities</t>
        </is>
      </c>
      <c r="I932" s="84" t="inlineStr">
        <is>
          <t>HDFC 0094</t>
        </is>
      </c>
      <c r="J932" s="84" t="inlineStr">
        <is>
          <t>HSL</t>
        </is>
      </c>
      <c r="K932" s="84" t="inlineStr">
        <is>
          <t>NET PI TO HSL SEC A/C 523686-00602340029434</t>
        </is>
      </c>
      <c r="L932" s="84" t="inlineStr">
        <is>
          <t>HDFC Bank</t>
        </is>
      </c>
      <c r="M932" s="84" t="inlineStr"/>
    </row>
    <row r="933">
      <c r="A933" s="30" t="n">
        <v>45744</v>
      </c>
      <c r="B933" s="30" t="n">
        <v>45744</v>
      </c>
      <c r="C933" s="31" t="n">
        <v>0</v>
      </c>
      <c r="D933" s="31" t="n">
        <v>32508.09</v>
      </c>
      <c r="E933" s="31" t="inlineStr"/>
      <c r="F933" s="31" t="inlineStr">
        <is>
          <t>HDFC Securities - Settlement</t>
        </is>
      </c>
      <c r="G933" s="32" t="n">
        <v>0.93</v>
      </c>
      <c r="H933" s="31" t="inlineStr">
        <is>
          <t>HDFC Securities</t>
        </is>
      </c>
      <c r="I933" s="31" t="inlineStr">
        <is>
          <t>HDFC 0094</t>
        </is>
      </c>
      <c r="J933" s="31" t="inlineStr">
        <is>
          <t>HDFC Sec</t>
        </is>
      </c>
      <c r="K933" s="31" t="inlineStr">
        <is>
          <t>FT- 622645959-50200085415108 - HDFC SECURITIES LTD-CLIENT DSCNB A/C -</t>
        </is>
      </c>
      <c r="L933" s="31" t="inlineStr">
        <is>
          <t>HDFC Bank</t>
        </is>
      </c>
      <c r="M933" s="31" t="inlineStr"/>
    </row>
    <row r="934">
      <c r="A934" s="83" t="n">
        <v>45744</v>
      </c>
      <c r="B934" s="83" t="n">
        <v>45744</v>
      </c>
      <c r="C934" s="84" t="n">
        <v>6570.74</v>
      </c>
      <c r="D934" s="84" t="n">
        <v>0</v>
      </c>
      <c r="E934" s="84" t="inlineStr"/>
      <c r="F934" s="84" t="inlineStr">
        <is>
          <t>HDFC Securities - Buy</t>
        </is>
      </c>
      <c r="G934" s="32" t="n">
        <v>0.97</v>
      </c>
      <c r="H934" s="84" t="inlineStr">
        <is>
          <t>HDFC Securities</t>
        </is>
      </c>
      <c r="I934" s="84" t="inlineStr">
        <is>
          <t>HDFC 0094</t>
        </is>
      </c>
      <c r="J934" s="84" t="inlineStr">
        <is>
          <t>HSL</t>
        </is>
      </c>
      <c r="K934" s="84" t="inlineStr">
        <is>
          <t>NET PI TO HSL SEC A/C 523686-00602340029434</t>
        </is>
      </c>
      <c r="L934" s="84" t="inlineStr">
        <is>
          <t>HDFC Bank</t>
        </is>
      </c>
      <c r="M934" s="84" t="inlineStr"/>
    </row>
    <row r="935">
      <c r="A935" s="42" t="n">
        <v>45744</v>
      </c>
      <c r="B935" s="42" t="n">
        <v>45744</v>
      </c>
      <c r="C935" s="43" t="n">
        <v>0</v>
      </c>
      <c r="D935" s="43" t="n">
        <v>84.56999999999999</v>
      </c>
      <c r="E935" s="43" t="inlineStr"/>
      <c r="F935" s="43" t="inlineStr">
        <is>
          <t>Dividend Income</t>
        </is>
      </c>
      <c r="G935" s="32" t="n">
        <v>0.85</v>
      </c>
      <c r="H935" s="43" t="inlineStr">
        <is>
          <t>Dividend Income</t>
        </is>
      </c>
      <c r="I935" s="43" t="inlineStr">
        <is>
          <t>HDFC 0094</t>
        </is>
      </c>
      <c r="J935" s="43" t="inlineStr">
        <is>
          <t>Dividend Income</t>
        </is>
      </c>
      <c r="K935" s="43" t="inlineStr">
        <is>
          <t>NEFT CR-UTIB0000004-AXIS MUTUAL FUND DIVIDEND A/C-SUNITA GUPTA-UTIBN62025032810896860</t>
        </is>
      </c>
      <c r="L935" s="43" t="inlineStr">
        <is>
          <t>HDFC Bank</t>
        </is>
      </c>
      <c r="M935" s="43" t="inlineStr"/>
    </row>
    <row r="936">
      <c r="A936" s="42" t="n">
        <v>45744</v>
      </c>
      <c r="B936" s="42" t="n">
        <v>45744</v>
      </c>
      <c r="C936" s="43" t="n">
        <v>0</v>
      </c>
      <c r="D936" s="43" t="n">
        <v>4065</v>
      </c>
      <c r="E936" s="43" t="inlineStr"/>
      <c r="F936" s="43" t="inlineStr">
        <is>
          <t>Dividend Income</t>
        </is>
      </c>
      <c r="G936" s="32" t="n">
        <v>0.88</v>
      </c>
      <c r="H936" s="43" t="inlineStr">
        <is>
          <t>Dividend Income</t>
        </is>
      </c>
      <c r="I936" s="43" t="inlineStr">
        <is>
          <t>HDFC 0094</t>
        </is>
      </c>
      <c r="J936" s="43" t="inlineStr">
        <is>
          <t>Dividend Income</t>
        </is>
      </c>
      <c r="K936" s="43" t="inlineStr">
        <is>
          <t>ACH C- NMDC LTD-0000030388452</t>
        </is>
      </c>
      <c r="L936" s="43" t="inlineStr">
        <is>
          <t>HDFC Bank</t>
        </is>
      </c>
      <c r="M936" s="43" t="inlineStr"/>
    </row>
    <row r="937">
      <c r="A937" s="83" t="n">
        <v>45744</v>
      </c>
      <c r="B937" s="83" t="n">
        <v>45744</v>
      </c>
      <c r="C937" s="84" t="n">
        <v>426.31</v>
      </c>
      <c r="D937" s="84" t="n">
        <v>0</v>
      </c>
      <c r="E937" s="84" t="inlineStr"/>
      <c r="F937" s="84" t="inlineStr">
        <is>
          <t>HDFC Securities - Buy</t>
        </is>
      </c>
      <c r="G937" s="32" t="n">
        <v>0.97</v>
      </c>
      <c r="H937" s="84" t="inlineStr">
        <is>
          <t>HDFC Securities</t>
        </is>
      </c>
      <c r="I937" s="84" t="inlineStr">
        <is>
          <t>HDFC 0094</t>
        </is>
      </c>
      <c r="J937" s="84" t="inlineStr">
        <is>
          <t>HSL</t>
        </is>
      </c>
      <c r="K937" s="84" t="inlineStr">
        <is>
          <t>NET PI TO HSL SEC A/C 523686-00602340029434</t>
        </is>
      </c>
      <c r="L937" s="84" t="inlineStr">
        <is>
          <t>HDFC Bank</t>
        </is>
      </c>
      <c r="M937" s="84" t="inlineStr"/>
    </row>
    <row r="938">
      <c r="A938" s="38" t="n">
        <v>45745</v>
      </c>
      <c r="B938" s="38" t="n">
        <v>45745</v>
      </c>
      <c r="C938" s="39" t="n">
        <v>295</v>
      </c>
      <c r="D938" s="39" t="n">
        <v>0</v>
      </c>
      <c r="E938" s="39" t="inlineStr"/>
      <c r="F938" s="39" t="inlineStr">
        <is>
          <t>Bank Charges</t>
        </is>
      </c>
      <c r="G938" s="32" t="n">
        <v>0.9</v>
      </c>
      <c r="H938" s="39" t="inlineStr">
        <is>
          <t>Bank Charges</t>
        </is>
      </c>
      <c r="I938" s="39" t="inlineStr">
        <is>
          <t>HDFC 0094</t>
        </is>
      </c>
      <c r="J938" s="39" t="inlineStr">
        <is>
          <t>Bank Charges</t>
        </is>
      </c>
      <c r="K938" s="39" t="inlineStr">
        <is>
          <t>ISAQMC-JUL-SEP24-323600 070325-MIR2508872188526</t>
        </is>
      </c>
      <c r="L938" s="39" t="inlineStr">
        <is>
          <t>HDFC Bank</t>
        </is>
      </c>
      <c r="M938" s="39" t="inlineStr"/>
    </row>
  </sheetData>
  <autoFilter ref="A13:M9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6" customWidth="1" min="1" max="1"/>
    <col width="50" customWidth="1" min="2" max="2"/>
    <col hidden="1" width="20" customWidth="1" min="3" max="3"/>
    <col width="14" customWidth="1" min="4" max="4"/>
    <col width="14" customWidth="1" min="5" max="5"/>
    <col hidden="1" width="14" customWidth="1" min="6" max="6"/>
    <col width="22" customWidth="1" min="7" max="7"/>
    <col width="14" customWidth="1" min="8" max="8"/>
  </cols>
  <sheetData>
    <row r="1">
      <c r="A1" s="128" t="inlineStr">
        <is>
          <t>Aayush Kumar Gupta</t>
        </is>
      </c>
    </row>
    <row r="2">
      <c r="A2" s="129" t="inlineStr">
        <is>
          <t>Account of Statements from 01-Apr-2024 to 29-Mar-2025</t>
        </is>
      </c>
      <c r="D2">
        <f>SUM(D5:D929)</f>
        <v/>
      </c>
      <c r="E2">
        <f>SUM(E5:E929)</f>
        <v/>
      </c>
      <c r="F2">
        <f>E2-D2</f>
        <v/>
      </c>
    </row>
    <row r="4">
      <c r="A4" s="21" t="inlineStr">
        <is>
          <t>TX Date</t>
        </is>
      </c>
      <c r="B4" s="21" t="inlineStr">
        <is>
          <t>Particulars</t>
        </is>
      </c>
      <c r="C4" s="21" t="inlineStr">
        <is>
          <t>Ref</t>
        </is>
      </c>
      <c r="D4" s="21" t="inlineStr">
        <is>
          <t>DR</t>
        </is>
      </c>
      <c r="E4" s="21" t="inlineStr">
        <is>
          <t>CR</t>
        </is>
      </c>
      <c r="F4" s="21" t="inlineStr">
        <is>
          <t>Balance</t>
        </is>
      </c>
      <c r="G4" s="21" t="inlineStr">
        <is>
          <t>Account Head</t>
        </is>
      </c>
      <c r="H4" s="21" t="inlineStr">
        <is>
          <t>Account No</t>
        </is>
      </c>
    </row>
    <row r="5">
      <c r="A5" s="130" t="n">
        <v>45383</v>
      </c>
      <c r="B5" s="131" t="inlineStr">
        <is>
          <t>NET PI TO HSL SEC A/C 523686-00602340029434</t>
        </is>
      </c>
      <c r="C5" s="131" t="inlineStr">
        <is>
          <t>0000000508932363</t>
        </is>
      </c>
      <c r="D5" s="131" t="n">
        <v>1672</v>
      </c>
      <c r="E5" s="131" t="n">
        <v>0</v>
      </c>
      <c r="F5" s="131" t="n">
        <v>31564</v>
      </c>
      <c r="G5" s="131" t="inlineStr">
        <is>
          <t>HDFC Securities</t>
        </is>
      </c>
      <c r="H5" s="131" t="inlineStr">
        <is>
          <t>HDFC 0094</t>
        </is>
      </c>
    </row>
    <row r="6">
      <c r="A6" s="130" t="n">
        <v>45384</v>
      </c>
      <c r="B6" s="131" t="inlineStr">
        <is>
          <t>NET PO FROM HSL A/C 523686-50200085415108</t>
        </is>
      </c>
      <c r="C6" s="131" t="inlineStr">
        <is>
          <t>0000000509188445</t>
        </is>
      </c>
      <c r="D6" s="131" t="n">
        <v>0</v>
      </c>
      <c r="E6" s="131" t="n">
        <v>16753.39</v>
      </c>
      <c r="F6" s="131" t="n">
        <v>48317.39</v>
      </c>
      <c r="G6" s="131" t="inlineStr">
        <is>
          <t>HDFC Securities</t>
        </is>
      </c>
      <c r="H6" s="131" t="inlineStr">
        <is>
          <t>HDFC 0094</t>
        </is>
      </c>
    </row>
    <row r="7">
      <c r="A7" s="130" t="n">
        <v>45384</v>
      </c>
      <c r="B7" s="131" t="inlineStr">
        <is>
          <t>NET PO FROM HSL A/C 523686-50200085415108</t>
        </is>
      </c>
      <c r="C7" s="131" t="inlineStr">
        <is>
          <t>0000000509246217</t>
        </is>
      </c>
      <c r="D7" s="131" t="n">
        <v>0</v>
      </c>
      <c r="E7" s="131" t="n">
        <v>97641.5</v>
      </c>
      <c r="F7" s="131" t="n">
        <v>145958.89</v>
      </c>
      <c r="G7" s="131" t="inlineStr">
        <is>
          <t>HDFC Securities</t>
        </is>
      </c>
      <c r="H7" s="131" t="inlineStr">
        <is>
          <t>HDFC 0094</t>
        </is>
      </c>
    </row>
    <row r="8">
      <c r="A8" s="130" t="n">
        <v>45384</v>
      </c>
      <c r="B8" s="131" t="inlineStr">
        <is>
          <t>NET PI TO HSL SEC A/C 523686-00602340029434</t>
        </is>
      </c>
      <c r="C8" s="131" t="inlineStr">
        <is>
          <t>0000000509399140</t>
        </is>
      </c>
      <c r="D8" s="131" t="n">
        <v>418</v>
      </c>
      <c r="E8" s="131" t="n">
        <v>0</v>
      </c>
      <c r="F8" s="131" t="n">
        <v>145540.89</v>
      </c>
      <c r="G8" s="131" t="inlineStr">
        <is>
          <t>HDFC Securities</t>
        </is>
      </c>
      <c r="H8" s="131" t="inlineStr">
        <is>
          <t>HDFC 0094</t>
        </is>
      </c>
    </row>
    <row r="9">
      <c r="A9" s="130" t="n">
        <v>45384</v>
      </c>
      <c r="B9" s="131" t="inlineStr">
        <is>
          <t>NET PI TO HSL SEC A/C 523686-00602340029434</t>
        </is>
      </c>
      <c r="C9" s="131" t="inlineStr">
        <is>
          <t>0000000509532005</t>
        </is>
      </c>
      <c r="D9" s="131" t="n">
        <v>103098.99</v>
      </c>
      <c r="E9" s="131" t="n">
        <v>0</v>
      </c>
      <c r="F9" s="131" t="n">
        <v>42441.9</v>
      </c>
      <c r="G9" s="131" t="inlineStr">
        <is>
          <t>HDFC Securities</t>
        </is>
      </c>
      <c r="H9" s="131" t="inlineStr">
        <is>
          <t>HDFC 0094</t>
        </is>
      </c>
    </row>
    <row r="10">
      <c r="A10" s="130" t="n">
        <v>45385</v>
      </c>
      <c r="B10" s="131" t="inlineStr">
        <is>
          <t>NET PO FROM HSL A/C 523686-50200085415108</t>
        </is>
      </c>
      <c r="C10" s="131" t="inlineStr">
        <is>
          <t>0000000509650601</t>
        </is>
      </c>
      <c r="D10" s="131" t="n">
        <v>0</v>
      </c>
      <c r="E10" s="131" t="n">
        <v>1514.95</v>
      </c>
      <c r="F10" s="131" t="n">
        <v>43956.85</v>
      </c>
      <c r="G10" s="131" t="inlineStr">
        <is>
          <t>HDFC Securities</t>
        </is>
      </c>
      <c r="H10" s="131" t="inlineStr">
        <is>
          <t>HDFC 0094</t>
        </is>
      </c>
    </row>
    <row r="11">
      <c r="A11" s="130" t="n">
        <v>45385</v>
      </c>
      <c r="B11" s="131" t="inlineStr">
        <is>
          <t>NET PI TO HSL SEC A/C 523686-00602340029434</t>
        </is>
      </c>
      <c r="C11" s="131" t="inlineStr">
        <is>
          <t>0000000509793906</t>
        </is>
      </c>
      <c r="D11" s="131" t="n">
        <v>379.22</v>
      </c>
      <c r="E11" s="131" t="n">
        <v>0</v>
      </c>
      <c r="F11" s="131" t="n">
        <v>43577.63</v>
      </c>
      <c r="G11" s="131" t="inlineStr">
        <is>
          <t>HDFC Securities</t>
        </is>
      </c>
      <c r="H11" s="131" t="inlineStr">
        <is>
          <t>HDFC 0094</t>
        </is>
      </c>
    </row>
    <row r="12">
      <c r="A12" s="130" t="n">
        <v>45386</v>
      </c>
      <c r="B12" s="131" t="inlineStr">
        <is>
          <t>NET PO FROM HSL A/C 523686-50200085415108</t>
        </is>
      </c>
      <c r="C12" s="131" t="inlineStr">
        <is>
          <t>0000000510056916</t>
        </is>
      </c>
      <c r="D12" s="131" t="n">
        <v>0</v>
      </c>
      <c r="E12" s="131" t="n">
        <v>6701.42</v>
      </c>
      <c r="F12" s="131" t="n">
        <v>50279.05</v>
      </c>
      <c r="G12" s="131" t="inlineStr">
        <is>
          <t>HDFC Securities</t>
        </is>
      </c>
      <c r="H12" s="131" t="inlineStr">
        <is>
          <t>HDFC 0094</t>
        </is>
      </c>
    </row>
    <row r="13">
      <c r="A13" s="130" t="n">
        <v>45386</v>
      </c>
      <c r="B13" s="131" t="inlineStr">
        <is>
          <t>50100128155413-TPT-TO MUMMY-AAYUSH KUMAR GUPTA</t>
        </is>
      </c>
      <c r="C13" s="131" t="inlineStr">
        <is>
          <t>0000000526007002</t>
        </is>
      </c>
      <c r="D13" s="131" t="n">
        <v>0</v>
      </c>
      <c r="E13" s="131" t="n">
        <v>30000</v>
      </c>
      <c r="F13" s="131" t="n">
        <v>80279.05</v>
      </c>
      <c r="G13" s="131" t="inlineStr">
        <is>
          <t>Transfer</t>
        </is>
      </c>
      <c r="H13" s="131" t="inlineStr">
        <is>
          <t>HDFC 0094</t>
        </is>
      </c>
    </row>
    <row r="14">
      <c r="A14" s="130" t="n">
        <v>45386</v>
      </c>
      <c r="B14" s="131" t="inlineStr">
        <is>
          <t>NET PI TO HSL SEC A/C 523686-00602340029434</t>
        </is>
      </c>
      <c r="C14" s="131" t="inlineStr">
        <is>
          <t>0000000510198174</t>
        </is>
      </c>
      <c r="D14" s="131" t="n">
        <v>425.81</v>
      </c>
      <c r="E14" s="131" t="n">
        <v>0</v>
      </c>
      <c r="F14" s="131" t="n">
        <v>79853.24000000001</v>
      </c>
      <c r="G14" s="131" t="inlineStr">
        <is>
          <t>HDFC Securities</t>
        </is>
      </c>
      <c r="H14" s="131" t="inlineStr">
        <is>
          <t>HDFC 0094</t>
        </is>
      </c>
    </row>
    <row r="15">
      <c r="A15" s="130" t="n">
        <v>45386</v>
      </c>
      <c r="B15" s="131" t="inlineStr">
        <is>
          <t>NET PI TO HSL SEC A/C 523686-00602340029434</t>
        </is>
      </c>
      <c r="C15" s="131" t="inlineStr">
        <is>
          <t>0000000510339907</t>
        </is>
      </c>
      <c r="D15" s="131" t="n">
        <v>72828.22</v>
      </c>
      <c r="E15" s="131" t="n">
        <v>0</v>
      </c>
      <c r="F15" s="131" t="n">
        <v>7025.02</v>
      </c>
      <c r="G15" s="131" t="inlineStr">
        <is>
          <t>HDFC Securities</t>
        </is>
      </c>
      <c r="H15" s="131" t="inlineStr">
        <is>
          <t>HDFC 0094</t>
        </is>
      </c>
    </row>
    <row r="16">
      <c r="A16" s="130" t="n">
        <v>45387</v>
      </c>
      <c r="B16" s="131" t="inlineStr">
        <is>
          <t>NET PI TO HSL SEC A/C 523686-00602340029434</t>
        </is>
      </c>
      <c r="C16" s="131" t="inlineStr">
        <is>
          <t>0000000510610766</t>
        </is>
      </c>
      <c r="D16" s="131" t="n">
        <v>402.46</v>
      </c>
      <c r="E16" s="131" t="n">
        <v>0</v>
      </c>
      <c r="F16" s="131" t="n">
        <v>6622.56</v>
      </c>
      <c r="G16" s="131" t="inlineStr">
        <is>
          <t>HDFC Securities</t>
        </is>
      </c>
      <c r="H16" s="131" t="inlineStr">
        <is>
          <t>HDFC 0094</t>
        </is>
      </c>
    </row>
    <row r="17">
      <c r="A17" s="130" t="n">
        <v>45387</v>
      </c>
      <c r="B17" s="131" t="inlineStr">
        <is>
          <t>DEPOSITORY CHARGES MAR24 - 41060499</t>
        </is>
      </c>
      <c r="C17" s="131" t="inlineStr">
        <is>
          <t>000000000000000</t>
        </is>
      </c>
      <c r="D17" s="131" t="n">
        <v>1270.62</v>
      </c>
      <c r="E17" s="131" t="n">
        <v>0</v>
      </c>
      <c r="F17" s="131" t="n">
        <v>5351.94</v>
      </c>
      <c r="G17" s="131" t="inlineStr">
        <is>
          <t>Depository Charges</t>
        </is>
      </c>
      <c r="H17" s="131" t="inlineStr">
        <is>
          <t>HDFC 0094</t>
        </is>
      </c>
    </row>
    <row r="18">
      <c r="A18" s="130" t="n">
        <v>45387</v>
      </c>
      <c r="B18" s="131" t="inlineStr">
        <is>
          <t>NET PO FROM HSL A/C 523686-50200085415108</t>
        </is>
      </c>
      <c r="C18" s="131" t="inlineStr">
        <is>
          <t>0000000510792018</t>
        </is>
      </c>
      <c r="D18" s="131" t="n">
        <v>0</v>
      </c>
      <c r="E18" s="131" t="n">
        <v>42585.27</v>
      </c>
      <c r="F18" s="131" t="n">
        <v>47937.21</v>
      </c>
      <c r="G18" s="131" t="inlineStr">
        <is>
          <t>HDFC Securities</t>
        </is>
      </c>
      <c r="H18" s="131" t="inlineStr">
        <is>
          <t>HDFC 0094</t>
        </is>
      </c>
    </row>
    <row r="19">
      <c r="A19" s="130" t="n">
        <v>45388</v>
      </c>
      <c r="B19" s="131" t="inlineStr">
        <is>
          <t>UPI/P2M/409717050341/SHIVBHOLA VEGETABLE E/veg/Yes Bank Ltd</t>
        </is>
      </c>
      <c r="C19" s="131" t="inlineStr">
        <is>
          <t>-</t>
        </is>
      </c>
      <c r="D19" s="131" t="n">
        <v>30</v>
      </c>
      <c r="E19" s="131" t="n">
        <v>0</v>
      </c>
      <c r="F19" s="131" t="n">
        <v>9444.620000000001</v>
      </c>
      <c r="G19" s="131" t="inlineStr">
        <is>
          <t>Groceries</t>
        </is>
      </c>
      <c r="H19" s="131" t="inlineStr">
        <is>
          <t>AXIS 7042</t>
        </is>
      </c>
    </row>
    <row r="20">
      <c r="A20" s="130" t="n">
        <v>45388</v>
      </c>
      <c r="B20" s="131" t="inlineStr">
        <is>
          <t>DEPOSITORY CHARGES MAR24 - 41060499</t>
        </is>
      </c>
      <c r="C20" s="131" t="inlineStr">
        <is>
          <t>000000000000000</t>
        </is>
      </c>
      <c r="D20" s="131" t="n">
        <v>239.78</v>
      </c>
      <c r="E20" s="131" t="n">
        <v>0</v>
      </c>
      <c r="F20" s="131" t="n">
        <v>47697.43</v>
      </c>
      <c r="G20" s="131" t="inlineStr">
        <is>
          <t>Depository Charges</t>
        </is>
      </c>
      <c r="H20" s="131" t="inlineStr">
        <is>
          <t>HDFC 0094</t>
        </is>
      </c>
    </row>
    <row r="21">
      <c r="A21" s="130" t="n">
        <v>45390</v>
      </c>
      <c r="B21" s="131" t="inlineStr">
        <is>
          <t>NET PO FROM HSL A/C 523686-50200085415108</t>
        </is>
      </c>
      <c r="C21" s="131" t="inlineStr">
        <is>
          <t>0000000510966332</t>
        </is>
      </c>
      <c r="D21" s="131" t="n">
        <v>0</v>
      </c>
      <c r="E21" s="131" t="n">
        <v>6712.4</v>
      </c>
      <c r="F21" s="131" t="n">
        <v>54409.83</v>
      </c>
      <c r="G21" s="131" t="inlineStr">
        <is>
          <t>HDFC Securities</t>
        </is>
      </c>
      <c r="H21" s="131" t="inlineStr">
        <is>
          <t>HDFC 0094</t>
        </is>
      </c>
    </row>
    <row r="22">
      <c r="A22" s="130" t="n">
        <v>45390</v>
      </c>
      <c r="B22" s="131" t="inlineStr">
        <is>
          <t>NET PI TO HSL SEC A/C 523686-00602340029434</t>
        </is>
      </c>
      <c r="C22" s="131" t="inlineStr">
        <is>
          <t>0000000511154309</t>
        </is>
      </c>
      <c r="D22" s="131" t="n">
        <v>1477.11</v>
      </c>
      <c r="E22" s="131" t="n">
        <v>0</v>
      </c>
      <c r="F22" s="131" t="n">
        <v>78859.49000000001</v>
      </c>
      <c r="G22" s="131" t="inlineStr">
        <is>
          <t>HDFC Securities</t>
        </is>
      </c>
      <c r="H22" s="131" t="inlineStr">
        <is>
          <t>HDFC 0094</t>
        </is>
      </c>
    </row>
    <row r="23">
      <c r="A23" s="130" t="n">
        <v>45390</v>
      </c>
      <c r="B23" s="131" t="inlineStr">
        <is>
          <t>NET PI TO HSL SEC A/C 523686-00602340029434</t>
        </is>
      </c>
      <c r="C23" s="131" t="inlineStr">
        <is>
          <t>0000000511326571</t>
        </is>
      </c>
      <c r="D23" s="131" t="n">
        <v>47223.12</v>
      </c>
      <c r="E23" s="131" t="n">
        <v>0</v>
      </c>
      <c r="F23" s="131" t="n">
        <v>31636.37</v>
      </c>
      <c r="G23" s="131" t="inlineStr">
        <is>
          <t>HDFC Securities</t>
        </is>
      </c>
      <c r="H23" s="131" t="inlineStr">
        <is>
          <t>HDFC 0094</t>
        </is>
      </c>
    </row>
    <row r="24">
      <c r="A24" s="130" t="n">
        <v>45390</v>
      </c>
      <c r="B24" s="131" t="inlineStr">
        <is>
          <t>NEFT CR-SBIN0004266-SBI GENERAL INSURANCE CO LTDSBI GEN-SUNITA GUPTA 0000000002717756-SBIN424099209370</t>
        </is>
      </c>
      <c r="C24" s="131" t="inlineStr">
        <is>
          <t>SBIN424099209370</t>
        </is>
      </c>
      <c r="D24" s="131" t="n">
        <v>0</v>
      </c>
      <c r="E24" s="131" t="n">
        <v>32137</v>
      </c>
      <c r="F24" s="131" t="n">
        <v>63773.37</v>
      </c>
      <c r="G24" s="131" t="inlineStr">
        <is>
          <t>Sunita Gupta</t>
        </is>
      </c>
      <c r="H24" s="131" t="inlineStr">
        <is>
          <t>HDFC 0094</t>
        </is>
      </c>
    </row>
    <row r="25">
      <c r="A25" s="130" t="n">
        <v>45390</v>
      </c>
      <c r="B25" s="131" t="inlineStr">
        <is>
          <t>NET PO FROM HSL A/C 523686-50200085415108</t>
        </is>
      </c>
      <c r="C25" s="131" t="inlineStr">
        <is>
          <t>0000000510997687</t>
        </is>
      </c>
      <c r="D25" s="131" t="n">
        <v>0</v>
      </c>
      <c r="E25" s="131" t="n">
        <v>25926.77</v>
      </c>
      <c r="F25" s="131" t="n">
        <v>80336.60000000001</v>
      </c>
      <c r="G25" s="131" t="inlineStr">
        <is>
          <t>HDFC Securities</t>
        </is>
      </c>
      <c r="H25" s="131" t="inlineStr">
        <is>
          <t>HDFC 0094</t>
        </is>
      </c>
    </row>
    <row r="26">
      <c r="A26" s="130" t="n">
        <v>45391</v>
      </c>
      <c r="B26" s="131" t="inlineStr">
        <is>
          <t>NET PI TO HSL SEC A/C 523686-00602340029434</t>
        </is>
      </c>
      <c r="C26" s="131" t="inlineStr">
        <is>
          <t>0000000511647838</t>
        </is>
      </c>
      <c r="D26" s="131" t="n">
        <v>22012.34</v>
      </c>
      <c r="E26" s="131" t="n">
        <v>0</v>
      </c>
      <c r="F26" s="131" t="n">
        <v>41761.03</v>
      </c>
      <c r="G26" s="131" t="inlineStr">
        <is>
          <t>HDFC Securities</t>
        </is>
      </c>
      <c r="H26" s="131" t="inlineStr">
        <is>
          <t>HDFC 0094</t>
        </is>
      </c>
    </row>
    <row r="27">
      <c r="A27" s="130" t="n">
        <v>45392</v>
      </c>
      <c r="B27" s="131" t="inlineStr">
        <is>
          <t>NET PO FROM HSL A/C 523686-50200085415108</t>
        </is>
      </c>
      <c r="C27" s="131" t="inlineStr">
        <is>
          <t>0000000511759101</t>
        </is>
      </c>
      <c r="D27" s="131" t="n">
        <v>0</v>
      </c>
      <c r="E27" s="131" t="n">
        <v>11463.88</v>
      </c>
      <c r="F27" s="131" t="n">
        <v>53224.91</v>
      </c>
      <c r="G27" s="131" t="inlineStr">
        <is>
          <t>HDFC Securities</t>
        </is>
      </c>
      <c r="H27" s="131" t="inlineStr">
        <is>
          <t>HDFC 0094</t>
        </is>
      </c>
    </row>
    <row r="28">
      <c r="A28" s="130" t="n">
        <v>45392</v>
      </c>
      <c r="B28" s="131" t="inlineStr">
        <is>
          <t>NET PI TO HSL SEC A/C 523686-00602340029434</t>
        </is>
      </c>
      <c r="C28" s="131" t="inlineStr">
        <is>
          <t>0000000511949020</t>
        </is>
      </c>
      <c r="D28" s="131" t="n">
        <v>437.52</v>
      </c>
      <c r="E28" s="131" t="n">
        <v>0</v>
      </c>
      <c r="F28" s="131" t="n">
        <v>52787.39</v>
      </c>
      <c r="G28" s="131" t="inlineStr">
        <is>
          <t>HDFC Securities</t>
        </is>
      </c>
      <c r="H28" s="131" t="inlineStr">
        <is>
          <t>HDFC 0094</t>
        </is>
      </c>
    </row>
    <row r="29">
      <c r="A29" s="130" t="n">
        <v>45392</v>
      </c>
      <c r="B29" s="131" t="inlineStr">
        <is>
          <t>NET PI TO HSL SEC A/C 523686-00602340029434</t>
        </is>
      </c>
      <c r="C29" s="131" t="inlineStr">
        <is>
          <t>0000000512088171</t>
        </is>
      </c>
      <c r="D29" s="131" t="n">
        <v>4688.18</v>
      </c>
      <c r="E29" s="131" t="n">
        <v>0</v>
      </c>
      <c r="F29" s="131" t="n">
        <v>48099.21</v>
      </c>
      <c r="G29" s="131" t="inlineStr">
        <is>
          <t>HDFC Securities</t>
        </is>
      </c>
      <c r="H29" s="131" t="inlineStr">
        <is>
          <t>HDFC 0094</t>
        </is>
      </c>
    </row>
    <row r="30">
      <c r="A30" s="130" t="n">
        <v>45394</v>
      </c>
      <c r="B30" s="131" t="inlineStr">
        <is>
          <t>NET PI TO HSL SEC A/C 523686-00602340029434</t>
        </is>
      </c>
      <c r="C30" s="131" t="inlineStr">
        <is>
          <t>0000000512379724</t>
        </is>
      </c>
      <c r="D30" s="131" t="n">
        <v>939.76</v>
      </c>
      <c r="E30" s="131" t="n">
        <v>0</v>
      </c>
      <c r="F30" s="131" t="n">
        <v>82633.28999999999</v>
      </c>
      <c r="G30" s="131" t="inlineStr">
        <is>
          <t>HDFC Securities</t>
        </is>
      </c>
      <c r="H30" s="131" t="inlineStr">
        <is>
          <t>HDFC 0094</t>
        </is>
      </c>
    </row>
    <row r="31">
      <c r="A31" s="130" t="n">
        <v>45394</v>
      </c>
      <c r="B31" s="131" t="inlineStr">
        <is>
          <t>NET PO FROM HSL A/C 523686-50200085415108</t>
        </is>
      </c>
      <c r="C31" s="131" t="inlineStr">
        <is>
          <t>0000000512213650</t>
        </is>
      </c>
      <c r="D31" s="131" t="n">
        <v>0</v>
      </c>
      <c r="E31" s="131" t="n">
        <v>4970.09</v>
      </c>
      <c r="F31" s="131" t="n">
        <v>53069.3</v>
      </c>
      <c r="G31" s="131" t="inlineStr">
        <is>
          <t>HDFC Securities</t>
        </is>
      </c>
      <c r="H31" s="131" t="inlineStr">
        <is>
          <t>HDFC 0094</t>
        </is>
      </c>
    </row>
    <row r="32">
      <c r="A32" s="130" t="n">
        <v>45394</v>
      </c>
      <c r="B32" s="131" t="inlineStr">
        <is>
          <t>NET PO FROM HSL A/C 523686-50200085415108</t>
        </is>
      </c>
      <c r="C32" s="131" t="inlineStr">
        <is>
          <t>0000000512250338</t>
        </is>
      </c>
      <c r="D32" s="131" t="n">
        <v>0</v>
      </c>
      <c r="E32" s="131" t="n">
        <v>30503.75</v>
      </c>
      <c r="F32" s="131" t="n">
        <v>83573.05</v>
      </c>
      <c r="G32" s="131" t="inlineStr">
        <is>
          <t>HDFC Securities</t>
        </is>
      </c>
      <c r="H32" s="131" t="inlineStr">
        <is>
          <t>HDFC 0094</t>
        </is>
      </c>
    </row>
    <row r="33">
      <c r="A33" s="130" t="n">
        <v>45395</v>
      </c>
      <c r="B33" s="131" t="inlineStr">
        <is>
          <t>UPI/P2A/447025620282/DEEPIKA UMESH MUNDADA/kitty/State Bank Of India</t>
        </is>
      </c>
      <c r="C33" s="131" t="inlineStr">
        <is>
          <t>-</t>
        </is>
      </c>
      <c r="D33" s="131" t="n">
        <v>1000</v>
      </c>
      <c r="E33" s="131" t="n">
        <v>0</v>
      </c>
      <c r="F33" s="131" t="n">
        <v>8444.620000000001</v>
      </c>
      <c r="G33" s="131" t="inlineStr">
        <is>
          <t>Personal</t>
        </is>
      </c>
      <c r="H33" s="131" t="inlineStr">
        <is>
          <t>AXIS 7042</t>
        </is>
      </c>
    </row>
    <row r="34">
      <c r="A34" s="130" t="n">
        <v>45397</v>
      </c>
      <c r="B34" s="131" t="inlineStr">
        <is>
          <t>NET PO FROM HSL A/C 523686-50200085415108</t>
        </is>
      </c>
      <c r="C34" s="131" t="inlineStr">
        <is>
          <t>0000000512752725</t>
        </is>
      </c>
      <c r="D34" s="131" t="n">
        <v>0</v>
      </c>
      <c r="E34" s="131" t="n">
        <v>29255.99</v>
      </c>
      <c r="F34" s="131" t="n">
        <v>111889.28</v>
      </c>
      <c r="G34" s="131" t="inlineStr">
        <is>
          <t>HDFC Securities</t>
        </is>
      </c>
      <c r="H34" s="131" t="inlineStr">
        <is>
          <t>HDFC 0094</t>
        </is>
      </c>
    </row>
    <row r="35">
      <c r="A35" s="130" t="n">
        <v>45397</v>
      </c>
      <c r="B35" s="131" t="inlineStr">
        <is>
          <t>ACH D- INDIAN CLEARING CORP-P25847643X05</t>
        </is>
      </c>
      <c r="C35" s="131" t="inlineStr">
        <is>
          <t>0000002864355161</t>
        </is>
      </c>
      <c r="D35" s="131" t="n">
        <v>5000</v>
      </c>
      <c r="E35" s="131" t="n">
        <v>0</v>
      </c>
      <c r="F35" s="131" t="n">
        <v>106889.28</v>
      </c>
      <c r="G35" s="131" t="inlineStr">
        <is>
          <t>Mutual_Fund_Investments</t>
        </is>
      </c>
      <c r="H35" s="131" t="inlineStr">
        <is>
          <t>HDFC 0094</t>
        </is>
      </c>
    </row>
    <row r="36">
      <c r="A36" s="130" t="n">
        <v>45397</v>
      </c>
      <c r="B36" s="131" t="inlineStr">
        <is>
          <t>NET PI TO HSL SEC A/C 523686-00602340029434</t>
        </is>
      </c>
      <c r="C36" s="131" t="inlineStr">
        <is>
          <t>0000000512947666</t>
        </is>
      </c>
      <c r="D36" s="131" t="n">
        <v>1254.81</v>
      </c>
      <c r="E36" s="131" t="n">
        <v>0</v>
      </c>
      <c r="F36" s="131" t="n">
        <v>105634.47</v>
      </c>
      <c r="G36" s="131" t="inlineStr">
        <is>
          <t>HDFC Securities</t>
        </is>
      </c>
      <c r="H36" s="131" t="inlineStr">
        <is>
          <t>HDFC 0094</t>
        </is>
      </c>
    </row>
    <row r="37">
      <c r="A37" s="130" t="n">
        <v>45398</v>
      </c>
      <c r="B37" s="131" t="inlineStr">
        <is>
          <t>NET PI TO HSL SEC A/C 523686-00602340029434</t>
        </is>
      </c>
      <c r="C37" s="131" t="inlineStr">
        <is>
          <t>0000000513559992</t>
        </is>
      </c>
      <c r="D37" s="131" t="n">
        <v>32991.42</v>
      </c>
      <c r="E37" s="131" t="n">
        <v>0</v>
      </c>
      <c r="F37" s="131" t="n">
        <v>91383.72</v>
      </c>
      <c r="G37" s="131" t="inlineStr">
        <is>
          <t>HDFC Securities</t>
        </is>
      </c>
      <c r="H37" s="131" t="inlineStr">
        <is>
          <t>HDFC 0094</t>
        </is>
      </c>
    </row>
    <row r="38">
      <c r="A38" s="130" t="n">
        <v>45398</v>
      </c>
      <c r="B38" s="131" t="inlineStr">
        <is>
          <t>YHDF2301816719/BILLDKINDIANCLEARING</t>
        </is>
      </c>
      <c r="C38" s="131" t="inlineStr">
        <is>
          <t>0002410748129324</t>
        </is>
      </c>
      <c r="D38" s="131" t="n">
        <v>10000</v>
      </c>
      <c r="E38" s="131" t="n">
        <v>0</v>
      </c>
      <c r="F38" s="131" t="n">
        <v>124375.14</v>
      </c>
      <c r="G38" s="131" t="inlineStr">
        <is>
          <t>SIP</t>
        </is>
      </c>
      <c r="H38" s="131" t="inlineStr">
        <is>
          <t>HDFC 0094</t>
        </is>
      </c>
    </row>
    <row r="39">
      <c r="A39" s="130" t="n">
        <v>45398</v>
      </c>
      <c r="B39" s="131" t="inlineStr">
        <is>
          <t>NET PO FROM HSL A/C 523686-50200085415108</t>
        </is>
      </c>
      <c r="C39" s="131" t="inlineStr">
        <is>
          <t>0000000513278964</t>
        </is>
      </c>
      <c r="D39" s="131" t="n">
        <v>0</v>
      </c>
      <c r="E39" s="131" t="n">
        <v>29141.48</v>
      </c>
      <c r="F39" s="131" t="n">
        <v>134775.95</v>
      </c>
      <c r="G39" s="131" t="inlineStr">
        <is>
          <t>HDFC Securities</t>
        </is>
      </c>
      <c r="H39" s="131" t="inlineStr">
        <is>
          <t>HDFC 0094</t>
        </is>
      </c>
    </row>
    <row r="40">
      <c r="A40" s="130" t="n">
        <v>45398</v>
      </c>
      <c r="B40" s="131" t="inlineStr">
        <is>
          <t>NET PI TO HSL SEC A/C 523686-00602340029434</t>
        </is>
      </c>
      <c r="C40" s="131" t="inlineStr">
        <is>
          <t>0000000513409641</t>
        </is>
      </c>
      <c r="D40" s="131" t="n">
        <v>400.81</v>
      </c>
      <c r="E40" s="131" t="n">
        <v>0</v>
      </c>
      <c r="F40" s="131" t="n">
        <v>134375.14</v>
      </c>
      <c r="G40" s="131" t="inlineStr">
        <is>
          <t>HDFC Securities</t>
        </is>
      </c>
      <c r="H40" s="131" t="inlineStr">
        <is>
          <t>HDFC 0094</t>
        </is>
      </c>
    </row>
    <row r="41">
      <c r="A41" s="130" t="n">
        <v>45400</v>
      </c>
      <c r="B41" s="131" t="inlineStr">
        <is>
          <t>NET PO FROM HSL A/C 523686-50200085415108</t>
        </is>
      </c>
      <c r="C41" s="131" t="inlineStr">
        <is>
          <t>0000000513691594</t>
        </is>
      </c>
      <c r="D41" s="131" t="n">
        <v>0</v>
      </c>
      <c r="E41" s="131" t="n">
        <v>10255.18</v>
      </c>
      <c r="F41" s="131" t="n">
        <v>101638.9</v>
      </c>
      <c r="G41" s="131" t="inlineStr">
        <is>
          <t>HDFC Securities</t>
        </is>
      </c>
      <c r="H41" s="131" t="inlineStr">
        <is>
          <t>HDFC 0094</t>
        </is>
      </c>
    </row>
    <row r="42">
      <c r="A42" s="130" t="n">
        <v>45400</v>
      </c>
      <c r="B42" s="131" t="inlineStr">
        <is>
          <t>NET PI TO HSL SEC A/C 523686-00602340029434</t>
        </is>
      </c>
      <c r="C42" s="131" t="inlineStr">
        <is>
          <t>0000000513838583</t>
        </is>
      </c>
      <c r="D42" s="131" t="n">
        <v>731.0599999999999</v>
      </c>
      <c r="E42" s="131" t="n">
        <v>0</v>
      </c>
      <c r="F42" s="131" t="n">
        <v>100907.84</v>
      </c>
      <c r="G42" s="131" t="inlineStr">
        <is>
          <t>HDFC Securities</t>
        </is>
      </c>
      <c r="H42" s="131" t="inlineStr">
        <is>
          <t>HDFC 0094</t>
        </is>
      </c>
    </row>
    <row r="43">
      <c r="A43" s="130" t="n">
        <v>45400</v>
      </c>
      <c r="B43" s="131" t="inlineStr">
        <is>
          <t>NET PI TO HSL SEC A/C 523686-00602340029434</t>
        </is>
      </c>
      <c r="C43" s="131" t="inlineStr">
        <is>
          <t>0000000514014293</t>
        </is>
      </c>
      <c r="D43" s="131" t="n">
        <v>20472.73</v>
      </c>
      <c r="E43" s="131" t="n">
        <v>0</v>
      </c>
      <c r="F43" s="131" t="n">
        <v>80435.11</v>
      </c>
      <c r="G43" s="131" t="inlineStr">
        <is>
          <t>HDFC Securities</t>
        </is>
      </c>
      <c r="H43" s="131" t="inlineStr">
        <is>
          <t>HDFC 0094</t>
        </is>
      </c>
    </row>
    <row r="44">
      <c r="A44" s="130" t="n">
        <v>45401</v>
      </c>
      <c r="B44" s="131" t="inlineStr">
        <is>
          <t>NET PI TO HSL SEC A/C 523686-00602340029434</t>
        </is>
      </c>
      <c r="C44" s="131" t="inlineStr">
        <is>
          <t>0000000514434864</t>
        </is>
      </c>
      <c r="D44" s="131" t="n">
        <v>26524.15</v>
      </c>
      <c r="E44" s="131" t="n">
        <v>0</v>
      </c>
      <c r="F44" s="131" t="n">
        <v>53509.43</v>
      </c>
      <c r="G44" s="131" t="inlineStr">
        <is>
          <t>HDFC Securities</t>
        </is>
      </c>
      <c r="H44" s="131" t="inlineStr">
        <is>
          <t>HDFC 0094</t>
        </is>
      </c>
    </row>
    <row r="45">
      <c r="A45" s="130" t="n">
        <v>45401</v>
      </c>
      <c r="B45" s="131" t="inlineStr">
        <is>
          <t>NET PI TO HSL SEC A/C 523686-00602340029434</t>
        </is>
      </c>
      <c r="C45" s="131" t="inlineStr">
        <is>
          <t>0000000514269808</t>
        </is>
      </c>
      <c r="D45" s="131" t="n">
        <v>401.53</v>
      </c>
      <c r="E45" s="131" t="n">
        <v>0</v>
      </c>
      <c r="F45" s="131" t="n">
        <v>80033.58</v>
      </c>
      <c r="G45" s="131" t="inlineStr">
        <is>
          <t>HDFC Securities</t>
        </is>
      </c>
      <c r="H45" s="131" t="inlineStr">
        <is>
          <t>HDFC 0094</t>
        </is>
      </c>
    </row>
    <row r="46">
      <c r="A46" s="130" t="n">
        <v>45404</v>
      </c>
      <c r="B46" s="131" t="inlineStr">
        <is>
          <t>NET PI TO HSL SEC A/C 523686-00602340029434</t>
        </is>
      </c>
      <c r="C46" s="131" t="inlineStr">
        <is>
          <t>0000000514738398</t>
        </is>
      </c>
      <c r="D46" s="131" t="n">
        <v>1243.71</v>
      </c>
      <c r="E46" s="131" t="n">
        <v>0</v>
      </c>
      <c r="F46" s="131" t="n">
        <v>52265.72</v>
      </c>
      <c r="G46" s="131" t="inlineStr">
        <is>
          <t>HDFC Securities</t>
        </is>
      </c>
      <c r="H46" s="131" t="inlineStr">
        <is>
          <t>HDFC 0094</t>
        </is>
      </c>
    </row>
    <row r="47">
      <c r="A47" s="130" t="n">
        <v>45405</v>
      </c>
      <c r="B47" s="131" t="inlineStr">
        <is>
          <t>UPI/P2A/448073432191/BHARTI RATAN DEVNANI /tiffin/Union Bank of India</t>
        </is>
      </c>
      <c r="C47" s="131" t="inlineStr">
        <is>
          <t>-</t>
        </is>
      </c>
      <c r="D47" s="131" t="n">
        <v>390</v>
      </c>
      <c r="E47" s="131" t="n">
        <v>0</v>
      </c>
      <c r="F47" s="131" t="n">
        <v>8054.62</v>
      </c>
      <c r="G47" s="131" t="inlineStr">
        <is>
          <t>Personal</t>
        </is>
      </c>
      <c r="H47" s="131" t="inlineStr">
        <is>
          <t>AXIS 7042</t>
        </is>
      </c>
    </row>
    <row r="48">
      <c r="A48" s="130" t="n">
        <v>45405</v>
      </c>
      <c r="B48" s="131" t="inlineStr">
        <is>
          <t>01671000085930-TPT-MONEY RETURNED FROM SUNITA TO AKG-AJAY KUMAR GUPTA</t>
        </is>
      </c>
      <c r="C48" s="131" t="inlineStr">
        <is>
          <t>0000000111887665</t>
        </is>
      </c>
      <c r="D48" s="131" t="n">
        <v>100000</v>
      </c>
      <c r="E48" s="131" t="n">
        <v>0</v>
      </c>
      <c r="F48" s="131" t="n">
        <v>61120.39</v>
      </c>
      <c r="G48" s="131" t="inlineStr">
        <is>
          <t>Sunita Gupta</t>
        </is>
      </c>
      <c r="H48" s="131" t="inlineStr">
        <is>
          <t>HDFC 0094</t>
        </is>
      </c>
    </row>
    <row r="49">
      <c r="A49" s="130" t="n">
        <v>45405</v>
      </c>
      <c r="B49" s="131" t="inlineStr">
        <is>
          <t>NET PO FROM HSL A/C 523686-50200085415108</t>
        </is>
      </c>
      <c r="C49" s="131" t="inlineStr">
        <is>
          <t>0000000515001917</t>
        </is>
      </c>
      <c r="D49" s="131" t="n">
        <v>0</v>
      </c>
      <c r="E49" s="131" t="n">
        <v>89361.64999999999</v>
      </c>
      <c r="F49" s="131" t="n">
        <v>141627.37</v>
      </c>
      <c r="G49" s="131" t="inlineStr">
        <is>
          <t>HDFC Securities</t>
        </is>
      </c>
      <c r="H49" s="131" t="inlineStr">
        <is>
          <t>HDFC 0094</t>
        </is>
      </c>
    </row>
    <row r="50">
      <c r="A50" s="130" t="n">
        <v>45405</v>
      </c>
      <c r="B50" s="131" t="inlineStr">
        <is>
          <t>NET PO FROM HSL A/C 523686-50200085415108</t>
        </is>
      </c>
      <c r="C50" s="131" t="inlineStr">
        <is>
          <t>0000000515037945</t>
        </is>
      </c>
      <c r="D50" s="131" t="n">
        <v>0</v>
      </c>
      <c r="E50" s="131" t="n">
        <v>19918.93</v>
      </c>
      <c r="F50" s="131" t="n">
        <v>161546.3</v>
      </c>
      <c r="G50" s="131" t="inlineStr">
        <is>
          <t>HDFC Securities</t>
        </is>
      </c>
      <c r="H50" s="131" t="inlineStr">
        <is>
          <t>HDFC 0094</t>
        </is>
      </c>
    </row>
    <row r="51">
      <c r="A51" s="130" t="n">
        <v>45405</v>
      </c>
      <c r="B51" s="131" t="inlineStr">
        <is>
          <t>NET PI TO HSL SEC A/C 523686-00602340029434</t>
        </is>
      </c>
      <c r="C51" s="131" t="inlineStr">
        <is>
          <t>0000000515126606</t>
        </is>
      </c>
      <c r="D51" s="131" t="n">
        <v>425.91</v>
      </c>
      <c r="E51" s="131" t="n">
        <v>0</v>
      </c>
      <c r="F51" s="131" t="n">
        <v>161120.39</v>
      </c>
      <c r="G51" s="131" t="inlineStr">
        <is>
          <t>HDFC Securities</t>
        </is>
      </c>
      <c r="H51" s="131" t="inlineStr">
        <is>
          <t>HDFC 0094</t>
        </is>
      </c>
    </row>
    <row r="52">
      <c r="A52" s="130" t="n">
        <v>45406</v>
      </c>
      <c r="B52" s="131" t="inlineStr">
        <is>
          <t>NET PI TO HSL SEC A/C 523686-00602340029434</t>
        </is>
      </c>
      <c r="C52" s="131" t="inlineStr">
        <is>
          <t>0000000515525128</t>
        </is>
      </c>
      <c r="D52" s="131" t="n">
        <v>376.18</v>
      </c>
      <c r="E52" s="131" t="n">
        <v>0</v>
      </c>
      <c r="F52" s="131" t="n">
        <v>75843.84</v>
      </c>
      <c r="G52" s="131" t="inlineStr">
        <is>
          <t>HDFC Securities</t>
        </is>
      </c>
      <c r="H52" s="131" t="inlineStr">
        <is>
          <t>HDFC 0094</t>
        </is>
      </c>
    </row>
    <row r="53">
      <c r="A53" s="130" t="n">
        <v>45406</v>
      </c>
      <c r="B53" s="131" t="inlineStr">
        <is>
          <t>NET PO FROM HSL A/C 523686-50200085415108</t>
        </is>
      </c>
      <c r="C53" s="131" t="inlineStr">
        <is>
          <t>0000000515408008</t>
        </is>
      </c>
      <c r="D53" s="131" t="n">
        <v>0</v>
      </c>
      <c r="E53" s="131" t="n">
        <v>15099.63</v>
      </c>
      <c r="F53" s="131" t="n">
        <v>76220.02</v>
      </c>
      <c r="G53" s="131" t="inlineStr">
        <is>
          <t>HDFC Securities</t>
        </is>
      </c>
      <c r="H53" s="131" t="inlineStr">
        <is>
          <t>HDFC 0094</t>
        </is>
      </c>
    </row>
    <row r="54">
      <c r="A54" s="130" t="n">
        <v>45406</v>
      </c>
      <c r="B54" s="131" t="inlineStr">
        <is>
          <t>YHDF2309213912/BILLDKTHECALCUTTAELE</t>
        </is>
      </c>
      <c r="C54" s="131" t="inlineStr">
        <is>
          <t>0002411548840638</t>
        </is>
      </c>
      <c r="D54" s="131" t="n">
        <v>18664</v>
      </c>
      <c r="E54" s="131" t="n">
        <v>0</v>
      </c>
      <c r="F54" s="131" t="n">
        <v>57179.84</v>
      </c>
      <c r="G54" s="131" t="inlineStr">
        <is>
          <t>SIP</t>
        </is>
      </c>
      <c r="H54" s="131" t="inlineStr">
        <is>
          <t>HDFC 0094</t>
        </is>
      </c>
    </row>
    <row r="55">
      <c r="A55" s="130" t="n">
        <v>45406</v>
      </c>
      <c r="B55" s="131" t="inlineStr">
        <is>
          <t>UPI/P2M/448166340115/KUNAL EAKNATH MAKUNE /milk/Yes Bank Ltd</t>
        </is>
      </c>
      <c r="C55" s="131" t="inlineStr">
        <is>
          <t>-</t>
        </is>
      </c>
      <c r="D55" s="131" t="n">
        <v>150</v>
      </c>
      <c r="E55" s="131" t="n">
        <v>0</v>
      </c>
      <c r="F55" s="131" t="n">
        <v>7904.62</v>
      </c>
      <c r="G55" s="131" t="inlineStr">
        <is>
          <t>Personal</t>
        </is>
      </c>
      <c r="H55" s="131" t="inlineStr">
        <is>
          <t>AXIS 7042</t>
        </is>
      </c>
    </row>
    <row r="56">
      <c r="A56" s="130" t="n">
        <v>45407</v>
      </c>
      <c r="B56" s="131" t="inlineStr">
        <is>
          <t>NET PI TO HSL SEC A/C 523686-00602340029434</t>
        </is>
      </c>
      <c r="C56" s="131" t="inlineStr">
        <is>
          <t>0000000516120398</t>
        </is>
      </c>
      <c r="D56" s="131" t="n">
        <v>83979.75</v>
      </c>
      <c r="E56" s="131" t="n">
        <v>0</v>
      </c>
      <c r="F56" s="131" t="n">
        <v>79988.28</v>
      </c>
      <c r="G56" s="131" t="inlineStr">
        <is>
          <t>HDFC Securities</t>
        </is>
      </c>
      <c r="H56" s="131" t="inlineStr">
        <is>
          <t>HDFC 0094</t>
        </is>
      </c>
    </row>
    <row r="57">
      <c r="A57" s="130" t="n">
        <v>45407</v>
      </c>
      <c r="B57" s="131" t="inlineStr">
        <is>
          <t>NEFT CR-UTIB0000004-AXIS MUTUAL FUND DIVIDEND A/C-SUNITA GUPTA-AXISCN0597839178</t>
        </is>
      </c>
      <c r="C57" s="131" t="inlineStr">
        <is>
          <t>AXISCN0597839178</t>
        </is>
      </c>
      <c r="D57" s="131" t="n">
        <v>0</v>
      </c>
      <c r="E57" s="131" t="n">
        <v>84.56999999999999</v>
      </c>
      <c r="F57" s="131" t="n">
        <v>163968.03</v>
      </c>
      <c r="G57" s="131" t="inlineStr">
        <is>
          <t>Dividend Income</t>
        </is>
      </c>
      <c r="H57" s="131" t="inlineStr">
        <is>
          <t>HDFC 0094</t>
        </is>
      </c>
    </row>
    <row r="58">
      <c r="A58" s="130" t="n">
        <v>45407</v>
      </c>
      <c r="B58" s="131" t="inlineStr">
        <is>
          <t>NET PI TO HSL SEC A/C 523686-00602340029434</t>
        </is>
      </c>
      <c r="C58" s="131" t="inlineStr">
        <is>
          <t>0000000515969120</t>
        </is>
      </c>
      <c r="D58" s="131" t="n">
        <v>374.11</v>
      </c>
      <c r="E58" s="131" t="n">
        <v>0</v>
      </c>
      <c r="F58" s="131" t="n">
        <v>163883.46</v>
      </c>
      <c r="G58" s="131" t="inlineStr">
        <is>
          <t>HDFC Securities</t>
        </is>
      </c>
      <c r="H58" s="131" t="inlineStr">
        <is>
          <t>HDFC 0094</t>
        </is>
      </c>
    </row>
    <row r="59">
      <c r="A59" s="130" t="n">
        <v>45407</v>
      </c>
      <c r="B59" s="131" t="inlineStr">
        <is>
          <t>NET PO FROM HSL A/C 523686-50200085415108</t>
        </is>
      </c>
      <c r="C59" s="131" t="inlineStr">
        <is>
          <t>0000000515808361</t>
        </is>
      </c>
      <c r="D59" s="131" t="n">
        <v>0</v>
      </c>
      <c r="E59" s="131" t="n">
        <v>42290.74</v>
      </c>
      <c r="F59" s="131" t="n">
        <v>99470.58</v>
      </c>
      <c r="G59" s="131" t="inlineStr">
        <is>
          <t>HDFC Securities</t>
        </is>
      </c>
      <c r="H59" s="131" t="inlineStr">
        <is>
          <t>HDFC 0094</t>
        </is>
      </c>
    </row>
    <row r="60">
      <c r="A60" s="130" t="n">
        <v>45407</v>
      </c>
      <c r="B60" s="131" t="inlineStr">
        <is>
          <t>NET PO FROM HSL A/C 523686-50200085415108</t>
        </is>
      </c>
      <c r="C60" s="131" t="inlineStr">
        <is>
          <t>0000000515845203</t>
        </is>
      </c>
      <c r="D60" s="131" t="n">
        <v>0</v>
      </c>
      <c r="E60" s="131" t="n">
        <v>74786.99000000001</v>
      </c>
      <c r="F60" s="131" t="n">
        <v>174257.57</v>
      </c>
      <c r="G60" s="131" t="inlineStr">
        <is>
          <t>HDFC Securities</t>
        </is>
      </c>
      <c r="H60" s="131" t="inlineStr">
        <is>
          <t>HDFC 0094</t>
        </is>
      </c>
    </row>
    <row r="61">
      <c r="A61" s="130" t="n">
        <v>45407</v>
      </c>
      <c r="B61" s="131" t="inlineStr">
        <is>
          <t>ACH D- INDIAN CLEARING CORP-P25847643X05</t>
        </is>
      </c>
      <c r="C61" s="131" t="inlineStr">
        <is>
          <t>0000003252051331</t>
        </is>
      </c>
      <c r="D61" s="131" t="n">
        <v>10000</v>
      </c>
      <c r="E61" s="131" t="n">
        <v>0</v>
      </c>
      <c r="F61" s="131" t="n">
        <v>164257.57</v>
      </c>
      <c r="G61" s="131" t="inlineStr">
        <is>
          <t>Mutual_Fund_Investments</t>
        </is>
      </c>
      <c r="H61" s="131" t="inlineStr">
        <is>
          <t>HDFC 0094</t>
        </is>
      </c>
    </row>
    <row r="62">
      <c r="A62" s="130" t="n">
        <v>45408</v>
      </c>
      <c r="B62" s="131" t="inlineStr">
        <is>
          <t>NEFT/YESB41177892573/ZERODHA BROKING LTD-DSCNB A//YES BANK/YESB0000001</t>
        </is>
      </c>
      <c r="C62" s="131" t="inlineStr">
        <is>
          <t>-</t>
        </is>
      </c>
      <c r="D62" s="131" t="n">
        <v>0</v>
      </c>
      <c r="E62" s="131" t="n">
        <v>4251.5</v>
      </c>
      <c r="F62" s="131" t="n">
        <v>12156.12</v>
      </c>
      <c r="G62" s="131" t="inlineStr">
        <is>
          <t>Transfer</t>
        </is>
      </c>
      <c r="H62" s="131" t="inlineStr">
        <is>
          <t>AXIS 7042</t>
        </is>
      </c>
    </row>
    <row r="63">
      <c r="A63" s="130" t="n">
        <v>45408</v>
      </c>
      <c r="B63" s="131" t="inlineStr">
        <is>
          <t>NET PO FROM HSL A/C 523686-50200085415108</t>
        </is>
      </c>
      <c r="C63" s="131" t="inlineStr">
        <is>
          <t>0000000516245224</t>
        </is>
      </c>
      <c r="D63" s="131" t="n">
        <v>0</v>
      </c>
      <c r="E63" s="131" t="n">
        <v>1478.14</v>
      </c>
      <c r="F63" s="131" t="n">
        <v>81466.42</v>
      </c>
      <c r="G63" s="131" t="inlineStr">
        <is>
          <t>HDFC Securities</t>
        </is>
      </c>
      <c r="H63" s="131" t="inlineStr">
        <is>
          <t>HDFC 0094</t>
        </is>
      </c>
    </row>
    <row r="64">
      <c r="A64" s="130" t="n">
        <v>45408</v>
      </c>
      <c r="B64" s="131" t="inlineStr">
        <is>
          <t>NET PO FROM HSL A/C 523686-50200085415108</t>
        </is>
      </c>
      <c r="C64" s="131" t="inlineStr">
        <is>
          <t>0000000516290816</t>
        </is>
      </c>
      <c r="D64" s="131" t="n">
        <v>0</v>
      </c>
      <c r="E64" s="131" t="n">
        <v>19816.62</v>
      </c>
      <c r="F64" s="131" t="n">
        <v>101283.04</v>
      </c>
      <c r="G64" s="131" t="inlineStr">
        <is>
          <t>HDFC Securities</t>
        </is>
      </c>
      <c r="H64" s="131" t="inlineStr">
        <is>
          <t>HDFC 0094</t>
        </is>
      </c>
    </row>
    <row r="65">
      <c r="A65" s="130" t="n">
        <v>45408</v>
      </c>
      <c r="B65" s="131" t="inlineStr">
        <is>
          <t>NET PI TO HSL SEC A/C 523686-00602340029434</t>
        </is>
      </c>
      <c r="C65" s="131" t="inlineStr">
        <is>
          <t>0000000516392080</t>
        </is>
      </c>
      <c r="D65" s="131" t="n">
        <v>308.18</v>
      </c>
      <c r="E65" s="131" t="n">
        <v>0</v>
      </c>
      <c r="F65" s="131" t="n">
        <v>100974.86</v>
      </c>
      <c r="G65" s="131" t="inlineStr">
        <is>
          <t>HDFC Securities</t>
        </is>
      </c>
      <c r="H65" s="131" t="inlineStr">
        <is>
          <t>HDFC 0094</t>
        </is>
      </c>
    </row>
    <row r="66">
      <c r="A66" s="130" t="n">
        <v>45408</v>
      </c>
      <c r="B66" s="131" t="inlineStr">
        <is>
          <t>NET PI TO HSL SEC A/C 523686-00602340029434</t>
        </is>
      </c>
      <c r="C66" s="131" t="inlineStr">
        <is>
          <t>0000000516549844</t>
        </is>
      </c>
      <c r="D66" s="131" t="n">
        <v>41835.78</v>
      </c>
      <c r="E66" s="131" t="n">
        <v>0</v>
      </c>
      <c r="F66" s="131" t="n">
        <v>59139.08</v>
      </c>
      <c r="G66" s="131" t="inlineStr">
        <is>
          <t>HDFC Securities</t>
        </is>
      </c>
      <c r="H66" s="131" t="inlineStr">
        <is>
          <t>HDFC 0094</t>
        </is>
      </c>
    </row>
    <row r="67">
      <c r="A67" s="130" t="n">
        <v>45411</v>
      </c>
      <c r="B67" s="131" t="inlineStr">
        <is>
          <t>NET PO FROM HSL A/C 523686-50200085415108</t>
        </is>
      </c>
      <c r="C67" s="131" t="inlineStr">
        <is>
          <t>0000000516676963</t>
        </is>
      </c>
      <c r="D67" s="131" t="n">
        <v>0</v>
      </c>
      <c r="E67" s="131" t="n">
        <v>1181.14</v>
      </c>
      <c r="F67" s="131" t="n">
        <v>60320.22</v>
      </c>
      <c r="G67" s="131" t="inlineStr">
        <is>
          <t>HDFC Securities</t>
        </is>
      </c>
      <c r="H67" s="131" t="inlineStr">
        <is>
          <t>HDFC 0094</t>
        </is>
      </c>
    </row>
    <row r="68">
      <c r="A68" s="130" t="n">
        <v>45411</v>
      </c>
      <c r="B68" s="131" t="inlineStr">
        <is>
          <t>NET PI TO HSL SEC A/C 523686-00602340029434</t>
        </is>
      </c>
      <c r="C68" s="131" t="inlineStr">
        <is>
          <t>0000000516841538</t>
        </is>
      </c>
      <c r="D68" s="131" t="n">
        <v>854.79</v>
      </c>
      <c r="E68" s="131" t="n">
        <v>0</v>
      </c>
      <c r="F68" s="131" t="n">
        <v>59465.43</v>
      </c>
      <c r="G68" s="131" t="inlineStr">
        <is>
          <t>HDFC Securities</t>
        </is>
      </c>
      <c r="H68" s="131" t="inlineStr">
        <is>
          <t>HDFC 0094</t>
        </is>
      </c>
    </row>
    <row r="69">
      <c r="A69" s="130" t="n">
        <v>45411</v>
      </c>
      <c r="B69" s="131" t="inlineStr">
        <is>
          <t>NET PI TO HSL SEC A/C 523686-00602340029434</t>
        </is>
      </c>
      <c r="C69" s="131" t="inlineStr">
        <is>
          <t>0000000517008870</t>
        </is>
      </c>
      <c r="D69" s="131" t="n">
        <v>55580.94</v>
      </c>
      <c r="E69" s="131" t="n">
        <v>0</v>
      </c>
      <c r="F69" s="131" t="n">
        <v>3884.49</v>
      </c>
      <c r="G69" s="131" t="inlineStr">
        <is>
          <t>HDFC Securities</t>
        </is>
      </c>
      <c r="H69" s="131" t="inlineStr">
        <is>
          <t>HDFC 0094</t>
        </is>
      </c>
    </row>
    <row r="70">
      <c r="A70" s="130" t="n">
        <v>45412</v>
      </c>
      <c r="B70" s="131" t="inlineStr">
        <is>
          <t>NET PO FROM HSL A/C 523686-50200085415108</t>
        </is>
      </c>
      <c r="C70" s="131" t="inlineStr">
        <is>
          <t>0000000517185580</t>
        </is>
      </c>
      <c r="D70" s="131" t="n">
        <v>0</v>
      </c>
      <c r="E70" s="131" t="n">
        <v>59028.57</v>
      </c>
      <c r="F70" s="131" t="n">
        <v>65480.09</v>
      </c>
      <c r="G70" s="131" t="inlineStr">
        <is>
          <t>HDFC Securities</t>
        </is>
      </c>
      <c r="H70" s="131" t="inlineStr">
        <is>
          <t>HDFC 0094</t>
        </is>
      </c>
    </row>
    <row r="71">
      <c r="A71" s="130" t="n">
        <v>45412</v>
      </c>
      <c r="B71" s="131" t="inlineStr">
        <is>
          <t>NET PI TO HSL SEC A/C 523686-00602340029434</t>
        </is>
      </c>
      <c r="C71" s="131" t="inlineStr">
        <is>
          <t>0000000517428550</t>
        </is>
      </c>
      <c r="D71" s="131" t="n">
        <v>381.8</v>
      </c>
      <c r="E71" s="131" t="n">
        <v>0</v>
      </c>
      <c r="F71" s="131" t="n">
        <v>64849.88</v>
      </c>
      <c r="G71" s="131" t="inlineStr">
        <is>
          <t>HDFC Securities</t>
        </is>
      </c>
      <c r="H71" s="131" t="inlineStr">
        <is>
          <t>HDFC 0094</t>
        </is>
      </c>
    </row>
    <row r="72">
      <c r="A72" s="130" t="n">
        <v>45412</v>
      </c>
      <c r="B72" s="131" t="inlineStr">
        <is>
          <t>NET PI TO HSL SEC A/C 523686-00602340029434</t>
        </is>
      </c>
      <c r="C72" s="131" t="inlineStr">
        <is>
          <t>0000000517266464</t>
        </is>
      </c>
      <c r="D72" s="131" t="n">
        <v>248.41</v>
      </c>
      <c r="E72" s="131" t="n">
        <v>0</v>
      </c>
      <c r="F72" s="131" t="n">
        <v>65231.68</v>
      </c>
      <c r="G72" s="131" t="inlineStr">
        <is>
          <t>HDFC Securities</t>
        </is>
      </c>
      <c r="H72" s="131" t="inlineStr">
        <is>
          <t>HDFC 0094</t>
        </is>
      </c>
    </row>
    <row r="73">
      <c r="A73" s="130" t="n">
        <v>45412</v>
      </c>
      <c r="B73" s="131" t="inlineStr">
        <is>
          <t>NET PO FROM HSL A/C 523686-50200085415108</t>
        </is>
      </c>
      <c r="C73" s="131" t="inlineStr">
        <is>
          <t>0000000517147587</t>
        </is>
      </c>
      <c r="D73" s="131" t="n">
        <v>0</v>
      </c>
      <c r="E73" s="131" t="n">
        <v>2567.03</v>
      </c>
      <c r="F73" s="131" t="n">
        <v>6451.52</v>
      </c>
      <c r="G73" s="131" t="inlineStr">
        <is>
          <t>HDFC Securities</t>
        </is>
      </c>
      <c r="H73" s="131" t="inlineStr">
        <is>
          <t>HDFC 0094</t>
        </is>
      </c>
    </row>
    <row r="74">
      <c r="A74" s="130" t="n">
        <v>45414</v>
      </c>
      <c r="B74" s="131" t="inlineStr">
        <is>
          <t>NET PO FROM HSL A/C 523686-50200085415108</t>
        </is>
      </c>
      <c r="C74" s="131" t="inlineStr">
        <is>
          <t>0000000517570138</t>
        </is>
      </c>
      <c r="D74" s="131" t="n">
        <v>0</v>
      </c>
      <c r="E74" s="131" t="n">
        <v>13096.51</v>
      </c>
      <c r="F74" s="131" t="n">
        <v>77946.39</v>
      </c>
      <c r="G74" s="131" t="inlineStr">
        <is>
          <t>HDFC Securities</t>
        </is>
      </c>
      <c r="H74" s="131" t="inlineStr">
        <is>
          <t>HDFC 0094</t>
        </is>
      </c>
    </row>
    <row r="75">
      <c r="A75" s="130" t="n">
        <v>45414</v>
      </c>
      <c r="B75" s="131" t="inlineStr">
        <is>
          <t>NET PO FROM HSL A/C 523686-50200085415108</t>
        </is>
      </c>
      <c r="C75" s="131" t="inlineStr">
        <is>
          <t>0000000517608294</t>
        </is>
      </c>
      <c r="D75" s="131" t="n">
        <v>0</v>
      </c>
      <c r="E75" s="131" t="n">
        <v>29905.83</v>
      </c>
      <c r="F75" s="131" t="n">
        <v>107852.22</v>
      </c>
      <c r="G75" s="131" t="inlineStr">
        <is>
          <t>HDFC Securities</t>
        </is>
      </c>
      <c r="H75" s="131" t="inlineStr">
        <is>
          <t>HDFC 0094</t>
        </is>
      </c>
    </row>
    <row r="76">
      <c r="A76" s="130" t="n">
        <v>45414</v>
      </c>
      <c r="B76" s="131" t="inlineStr">
        <is>
          <t>NET PI TO HSL SEC A/C 523686-00602340029434</t>
        </is>
      </c>
      <c r="C76" s="131" t="inlineStr">
        <is>
          <t>0000000517782659</t>
        </is>
      </c>
      <c r="D76" s="131" t="n">
        <v>540.8200000000001</v>
      </c>
      <c r="E76" s="131" t="n">
        <v>0</v>
      </c>
      <c r="F76" s="131" t="n">
        <v>107311.4</v>
      </c>
      <c r="G76" s="131" t="inlineStr">
        <is>
          <t>HDFC Securities</t>
        </is>
      </c>
      <c r="H76" s="131" t="inlineStr">
        <is>
          <t>HDFC 0094</t>
        </is>
      </c>
    </row>
    <row r="77">
      <c r="A77" s="130" t="n">
        <v>45415</v>
      </c>
      <c r="B77" s="131" t="inlineStr">
        <is>
          <t>NET PO FROM HSL A/C 523686-50200085415108</t>
        </is>
      </c>
      <c r="C77" s="131" t="inlineStr">
        <is>
          <t>0000000518083972</t>
        </is>
      </c>
      <c r="D77" s="131" t="n">
        <v>0</v>
      </c>
      <c r="E77" s="131" t="n">
        <v>1350.04</v>
      </c>
      <c r="F77" s="131" t="n">
        <v>108661.44</v>
      </c>
      <c r="G77" s="131" t="inlineStr">
        <is>
          <t>HDFC Securities</t>
        </is>
      </c>
      <c r="H77" s="131" t="inlineStr">
        <is>
          <t>HDFC 0094</t>
        </is>
      </c>
    </row>
    <row r="78">
      <c r="A78" s="130" t="n">
        <v>45415</v>
      </c>
      <c r="B78" s="131" t="inlineStr">
        <is>
          <t>NET PO FROM HSL A/C 523686-50200085415108</t>
        </is>
      </c>
      <c r="C78" s="131" t="inlineStr">
        <is>
          <t>0000000518121945</t>
        </is>
      </c>
      <c r="D78" s="131" t="n">
        <v>0</v>
      </c>
      <c r="E78" s="131" t="n">
        <v>31409.53</v>
      </c>
      <c r="F78" s="131" t="n">
        <v>140070.97</v>
      </c>
      <c r="G78" s="131" t="inlineStr">
        <is>
          <t>HDFC Securities</t>
        </is>
      </c>
      <c r="H78" s="131" t="inlineStr">
        <is>
          <t>HDFC 0094</t>
        </is>
      </c>
    </row>
    <row r="79">
      <c r="A79" s="130" t="n">
        <v>45415</v>
      </c>
      <c r="B79" s="131" t="inlineStr">
        <is>
          <t>ISAQMC-JAN-MAR24-323600 260424-MIR2512490180092</t>
        </is>
      </c>
      <c r="C79" s="131" t="inlineStr">
        <is>
          <t>MIR2512490180092</t>
        </is>
      </c>
      <c r="D79" s="131" t="n">
        <v>295</v>
      </c>
      <c r="E79" s="131" t="n">
        <v>0</v>
      </c>
      <c r="F79" s="131" t="n">
        <v>139775.97</v>
      </c>
      <c r="G79" s="131" t="inlineStr">
        <is>
          <t>Bank Charges</t>
        </is>
      </c>
      <c r="H79" s="131" t="inlineStr">
        <is>
          <t>HDFC 0094</t>
        </is>
      </c>
    </row>
    <row r="80">
      <c r="A80" s="130" t="n">
        <v>45415</v>
      </c>
      <c r="B80" s="131" t="inlineStr">
        <is>
          <t>NET PI TO HSL SEC A/C 523686-00602340029434</t>
        </is>
      </c>
      <c r="C80" s="131" t="inlineStr">
        <is>
          <t>0000000518215448</t>
        </is>
      </c>
      <c r="D80" s="131" t="n">
        <v>210.54</v>
      </c>
      <c r="E80" s="131" t="n">
        <v>0</v>
      </c>
      <c r="F80" s="131" t="n">
        <v>139565.43</v>
      </c>
      <c r="G80" s="131" t="inlineStr">
        <is>
          <t>HDFC Securities</t>
        </is>
      </c>
      <c r="H80" s="131" t="inlineStr">
        <is>
          <t>HDFC 0094</t>
        </is>
      </c>
    </row>
    <row r="81">
      <c r="A81" s="130" t="n">
        <v>45415</v>
      </c>
      <c r="B81" s="131" t="inlineStr">
        <is>
          <t>NET PI TO HSL SEC A/C 523686-00602340029434</t>
        </is>
      </c>
      <c r="C81" s="131" t="inlineStr">
        <is>
          <t>0000000518339597</t>
        </is>
      </c>
      <c r="D81" s="131" t="n">
        <v>10104.28</v>
      </c>
      <c r="E81" s="131" t="n">
        <v>0</v>
      </c>
      <c r="F81" s="131" t="n">
        <v>129461.15</v>
      </c>
      <c r="G81" s="131" t="inlineStr">
        <is>
          <t>HDFC Securities</t>
        </is>
      </c>
      <c r="H81" s="131" t="inlineStr">
        <is>
          <t>HDFC 0094</t>
        </is>
      </c>
    </row>
    <row r="82">
      <c r="A82" s="130" t="n">
        <v>45415</v>
      </c>
      <c r="B82" s="131" t="inlineStr">
        <is>
          <t xml:space="preserve">   ATM WDL-ATM CASH 3233  SBI SHIVAJI NAGAR ATM NASHIK--</t>
        </is>
      </c>
      <c r="C82" s="131" t="n">
        <v/>
      </c>
      <c r="D82" s="131" t="n">
        <v>2000</v>
      </c>
      <c r="E82" s="131" t="n">
        <v>0</v>
      </c>
      <c r="F82" s="131" t="n">
        <v>24120.7</v>
      </c>
      <c r="G82" s="131" t="inlineStr">
        <is>
          <t>Cash</t>
        </is>
      </c>
      <c r="H82" s="131" t="inlineStr">
        <is>
          <t>SBI 7685</t>
        </is>
      </c>
    </row>
    <row r="83">
      <c r="A83" s="130" t="n">
        <v>45415</v>
      </c>
      <c r="B83" s="131" t="inlineStr">
        <is>
          <t>NET PI TO HSL SEC A/C 523686-00602340029434</t>
        </is>
      </c>
      <c r="C83" s="131" t="inlineStr">
        <is>
          <t>0000000518405610</t>
        </is>
      </c>
      <c r="D83" s="131" t="n">
        <v>56293.41</v>
      </c>
      <c r="E83" s="131" t="n">
        <v>0</v>
      </c>
      <c r="F83" s="131" t="n">
        <v>73167.74000000001</v>
      </c>
      <c r="G83" s="131" t="inlineStr">
        <is>
          <t>HDFC Securities</t>
        </is>
      </c>
      <c r="H83" s="131" t="inlineStr">
        <is>
          <t>HDFC 0094</t>
        </is>
      </c>
    </row>
    <row r="84">
      <c r="A84" s="130" t="n">
        <v>45415</v>
      </c>
      <c r="B84" s="131" t="inlineStr">
        <is>
          <t>ATM-CASH-AXIS/BPRH265601/1296/030524/NASHIK</t>
        </is>
      </c>
      <c r="C84" s="131" t="inlineStr">
        <is>
          <t>-</t>
        </is>
      </c>
      <c r="D84" s="131" t="n">
        <v>2000</v>
      </c>
      <c r="E84" s="131" t="n">
        <v>0</v>
      </c>
      <c r="F84" s="131" t="n">
        <v>10156.12</v>
      </c>
      <c r="G84" s="131" t="inlineStr">
        <is>
          <t>Cash</t>
        </is>
      </c>
      <c r="H84" s="131" t="inlineStr">
        <is>
          <t>AXIS 7042</t>
        </is>
      </c>
    </row>
    <row r="85">
      <c r="A85" s="130" t="n">
        <v>45418</v>
      </c>
      <c r="B85" s="131" t="inlineStr">
        <is>
          <t>NET PO FROM HSL A/C 523686-50200085415108</t>
        </is>
      </c>
      <c r="C85" s="131" t="inlineStr">
        <is>
          <t>0000000518591456</t>
        </is>
      </c>
      <c r="D85" s="131" t="n">
        <v>0</v>
      </c>
      <c r="E85" s="131" t="n">
        <v>4235.46</v>
      </c>
      <c r="F85" s="131" t="n">
        <v>77403.2</v>
      </c>
      <c r="G85" s="131" t="inlineStr">
        <is>
          <t>HDFC Securities</t>
        </is>
      </c>
      <c r="H85" s="131" t="inlineStr">
        <is>
          <t>HDFC 0094</t>
        </is>
      </c>
    </row>
    <row r="86">
      <c r="A86" s="130" t="n">
        <v>45418</v>
      </c>
      <c r="B86" s="131" t="inlineStr">
        <is>
          <t>NET PI TO HSL SEC A/C 523686-00602340029434</t>
        </is>
      </c>
      <c r="C86" s="131" t="inlineStr">
        <is>
          <t>0000000518796402</t>
        </is>
      </c>
      <c r="D86" s="131" t="n">
        <v>572.91</v>
      </c>
      <c r="E86" s="131" t="n">
        <v>0</v>
      </c>
      <c r="F86" s="131" t="n">
        <v>76830.28999999999</v>
      </c>
      <c r="G86" s="131" t="inlineStr">
        <is>
          <t>HDFC Securities</t>
        </is>
      </c>
      <c r="H86" s="131" t="inlineStr">
        <is>
          <t>HDFC 0094</t>
        </is>
      </c>
    </row>
    <row r="87">
      <c r="A87" s="130" t="n">
        <v>45419</v>
      </c>
      <c r="B87" s="131" t="inlineStr">
        <is>
          <t>NET PI TO HSL SEC A/C 523686-00602340029434</t>
        </is>
      </c>
      <c r="C87" s="131" t="inlineStr">
        <is>
          <t>0000000519455052</t>
        </is>
      </c>
      <c r="D87" s="131" t="n">
        <v>25590.3</v>
      </c>
      <c r="E87" s="131" t="n">
        <v>0</v>
      </c>
      <c r="F87" s="131" t="n">
        <v>79699.58</v>
      </c>
      <c r="G87" s="131" t="inlineStr">
        <is>
          <t>HDFC Securities</t>
        </is>
      </c>
      <c r="H87" s="131" t="inlineStr">
        <is>
          <t>HDFC 0094</t>
        </is>
      </c>
    </row>
    <row r="88">
      <c r="A88" s="130" t="n">
        <v>45419</v>
      </c>
      <c r="B88" s="131" t="inlineStr">
        <is>
          <t>NET PI TO HSL SEC A/C 523686-00602340029434</t>
        </is>
      </c>
      <c r="C88" s="131" t="inlineStr">
        <is>
          <t>0000000519502107</t>
        </is>
      </c>
      <c r="D88" s="131" t="n">
        <v>414.01</v>
      </c>
      <c r="E88" s="131" t="n">
        <v>0</v>
      </c>
      <c r="F88" s="131" t="n">
        <v>79285.57000000001</v>
      </c>
      <c r="G88" s="131" t="inlineStr">
        <is>
          <t>HDFC Securities</t>
        </is>
      </c>
      <c r="H88" s="131" t="inlineStr">
        <is>
          <t>HDFC 0094</t>
        </is>
      </c>
    </row>
    <row r="89">
      <c r="A89" s="130" t="n">
        <v>45419</v>
      </c>
      <c r="B89" s="131" t="inlineStr">
        <is>
          <t>NET PI TO HSL SEC A/C 523686-00602340029434</t>
        </is>
      </c>
      <c r="C89" s="131" t="inlineStr">
        <is>
          <t>0000000519276521</t>
        </is>
      </c>
      <c r="D89" s="131" t="n">
        <v>244.98</v>
      </c>
      <c r="E89" s="131" t="n">
        <v>0</v>
      </c>
      <c r="F89" s="131" t="n">
        <v>105289.88</v>
      </c>
      <c r="G89" s="131" t="inlineStr">
        <is>
          <t>HDFC Securities</t>
        </is>
      </c>
      <c r="H89" s="131" t="inlineStr">
        <is>
          <t>HDFC 0094</t>
        </is>
      </c>
    </row>
    <row r="90">
      <c r="A90" s="130" t="n">
        <v>45419</v>
      </c>
      <c r="B90" s="131" t="inlineStr">
        <is>
          <t>NET PO FROM HSL A/C 523686-50200085415108</t>
        </is>
      </c>
      <c r="C90" s="131" t="inlineStr">
        <is>
          <t>0000000519124423</t>
        </is>
      </c>
      <c r="D90" s="131" t="n">
        <v>0</v>
      </c>
      <c r="E90" s="131" t="n">
        <v>28704.57</v>
      </c>
      <c r="F90" s="131" t="n">
        <v>105534.86</v>
      </c>
      <c r="G90" s="131" t="inlineStr">
        <is>
          <t>HDFC Securities</t>
        </is>
      </c>
      <c r="H90" s="131" t="inlineStr">
        <is>
          <t>HDFC 0094</t>
        </is>
      </c>
    </row>
    <row r="91">
      <c r="A91" s="130" t="n">
        <v>45420</v>
      </c>
      <c r="B91" s="131" t="inlineStr">
        <is>
          <t>UPI/P2M/412955259759/Zerodha Broking Ltd  /001847/HDFC BANK LTD</t>
        </is>
      </c>
      <c r="C91" s="131" t="inlineStr">
        <is>
          <t>-</t>
        </is>
      </c>
      <c r="D91" s="131" t="n">
        <v>50000</v>
      </c>
      <c r="E91" s="131" t="n">
        <v>0</v>
      </c>
      <c r="F91" s="131" t="n">
        <v>10156.12</v>
      </c>
      <c r="G91" s="131" t="inlineStr">
        <is>
          <t>Zerodha Broking Limited</t>
        </is>
      </c>
      <c r="H91" s="131" t="inlineStr">
        <is>
          <t>AXIS 7042</t>
        </is>
      </c>
    </row>
    <row r="92">
      <c r="A92" s="130" t="n">
        <v>45420</v>
      </c>
      <c r="B92" s="131" t="inlineStr">
        <is>
          <t>NET PO FROM HSL A/C 523686-50200085415108</t>
        </is>
      </c>
      <c r="C92" s="131" t="inlineStr">
        <is>
          <t>0000000519626421</t>
        </is>
      </c>
      <c r="D92" s="131" t="n">
        <v>0</v>
      </c>
      <c r="E92" s="131" t="n">
        <v>100255.34</v>
      </c>
      <c r="F92" s="131" t="n">
        <v>179540.91</v>
      </c>
      <c r="G92" s="131" t="inlineStr">
        <is>
          <t>HDFC Securities</t>
        </is>
      </c>
      <c r="H92" s="131" t="inlineStr">
        <is>
          <t>HDFC 0094</t>
        </is>
      </c>
    </row>
    <row r="93">
      <c r="A93" s="130" t="n">
        <v>45420</v>
      </c>
      <c r="B93" s="131" t="inlineStr">
        <is>
          <t>NET PI TO HSL SEC A/C 523686-00602340029434</t>
        </is>
      </c>
      <c r="C93" s="131" t="inlineStr">
        <is>
          <t>0000000519739579</t>
        </is>
      </c>
      <c r="D93" s="131" t="n">
        <v>217.06</v>
      </c>
      <c r="E93" s="131" t="n">
        <v>0</v>
      </c>
      <c r="F93" s="131" t="n">
        <v>179323.85</v>
      </c>
      <c r="G93" s="131" t="inlineStr">
        <is>
          <t>HDFC Securities</t>
        </is>
      </c>
      <c r="H93" s="131" t="inlineStr">
        <is>
          <t>HDFC 0094</t>
        </is>
      </c>
    </row>
    <row r="94">
      <c r="A94" s="130" t="n">
        <v>45420</v>
      </c>
      <c r="B94" s="131" t="inlineStr">
        <is>
          <t>NEFT DR-UTIB0002656-SUNITA GUPTA-NETBANK, MUM-N129243028299413-TRANSFER FROM HDFC</t>
        </is>
      </c>
      <c r="C94" s="131" t="inlineStr">
        <is>
          <t>N129243028299413</t>
        </is>
      </c>
      <c r="D94" s="131" t="n">
        <v>50000</v>
      </c>
      <c r="E94" s="131" t="n">
        <v>0</v>
      </c>
      <c r="F94" s="131" t="n">
        <v>129323.85</v>
      </c>
      <c r="G94" s="131" t="inlineStr">
        <is>
          <t>Sunita Gupta</t>
        </is>
      </c>
      <c r="H94" s="131" t="inlineStr">
        <is>
          <t>HDFC 0094</t>
        </is>
      </c>
    </row>
    <row r="95">
      <c r="A95" s="130" t="n">
        <v>45420</v>
      </c>
      <c r="B95" s="131" t="inlineStr">
        <is>
          <t>NEFT/N129243028299413/SUNITA GUPTA/HDFC BANK/Transfer from HDFC</t>
        </is>
      </c>
      <c r="C95" s="131" t="inlineStr">
        <is>
          <t>-</t>
        </is>
      </c>
      <c r="D95" s="131" t="n">
        <v>0</v>
      </c>
      <c r="E95" s="131" t="n">
        <v>50000</v>
      </c>
      <c r="F95" s="131" t="n">
        <v>60156.12</v>
      </c>
      <c r="G95" s="131" t="inlineStr">
        <is>
          <t>Sunita Gupta</t>
        </is>
      </c>
      <c r="H95" s="131" t="inlineStr">
        <is>
          <t>AXIS 7042</t>
        </is>
      </c>
    </row>
    <row r="96">
      <c r="A96" s="130" t="n">
        <v>45421</v>
      </c>
      <c r="B96" s="131" t="inlineStr">
        <is>
          <t>DEPOSITORY CHARGES APR24 - 41060499</t>
        </is>
      </c>
      <c r="C96" s="131" t="inlineStr">
        <is>
          <t>000000000000000</t>
        </is>
      </c>
      <c r="D96" s="131" t="n">
        <v>4177.2</v>
      </c>
      <c r="E96" s="131" t="n">
        <v>0</v>
      </c>
      <c r="F96" s="131" t="n">
        <v>158820.17</v>
      </c>
      <c r="G96" s="131" t="inlineStr">
        <is>
          <t>Depository Charges</t>
        </is>
      </c>
      <c r="H96" s="131" t="inlineStr">
        <is>
          <t>HDFC 0094</t>
        </is>
      </c>
    </row>
    <row r="97">
      <c r="A97" s="130" t="n">
        <v>45421</v>
      </c>
      <c r="B97" s="131" t="inlineStr">
        <is>
          <t>NET PO FROM HSL A/C 523686-50200085415108</t>
        </is>
      </c>
      <c r="C97" s="131" t="inlineStr">
        <is>
          <t>0000000520006217</t>
        </is>
      </c>
      <c r="D97" s="131" t="n">
        <v>0</v>
      </c>
      <c r="E97" s="131" t="n">
        <v>4156.81</v>
      </c>
      <c r="F97" s="131" t="n">
        <v>133480.66</v>
      </c>
      <c r="G97" s="131" t="inlineStr">
        <is>
          <t>HDFC Securities</t>
        </is>
      </c>
      <c r="H97" s="131" t="inlineStr">
        <is>
          <t>HDFC 0094</t>
        </is>
      </c>
    </row>
    <row r="98">
      <c r="A98" s="130" t="n">
        <v>45421</v>
      </c>
      <c r="B98" s="131" t="inlineStr">
        <is>
          <t>NEFT CR-SBIN0004266-SBI GENERAL INSURANCE CO LTDSBI GEN-SUNITA GUPTA 0000000002717756-SBIN224130649205</t>
        </is>
      </c>
      <c r="C98" s="131" t="inlineStr">
        <is>
          <t>SBIN224130649205</t>
        </is>
      </c>
      <c r="D98" s="131" t="n">
        <v>0</v>
      </c>
      <c r="E98" s="131" t="n">
        <v>29757</v>
      </c>
      <c r="F98" s="131" t="n">
        <v>163237.66</v>
      </c>
      <c r="G98" s="131" t="inlineStr">
        <is>
          <t>Sunita Gupta</t>
        </is>
      </c>
      <c r="H98" s="131" t="inlineStr">
        <is>
          <t>HDFC 0094</t>
        </is>
      </c>
    </row>
    <row r="99">
      <c r="A99" s="130" t="n">
        <v>45421</v>
      </c>
      <c r="B99" s="131" t="inlineStr">
        <is>
          <t>NET PI TO HSL SEC A/C 523686-00602340029434</t>
        </is>
      </c>
      <c r="C99" s="131" t="inlineStr">
        <is>
          <t>0000000520117947</t>
        </is>
      </c>
      <c r="D99" s="131" t="n">
        <v>240.29</v>
      </c>
      <c r="E99" s="131" t="n">
        <v>0</v>
      </c>
      <c r="F99" s="131" t="n">
        <v>162997.37</v>
      </c>
      <c r="G99" s="131" t="inlineStr">
        <is>
          <t>HDFC Securities</t>
        </is>
      </c>
      <c r="H99" s="131" t="inlineStr">
        <is>
          <t>HDFC 0094</t>
        </is>
      </c>
    </row>
    <row r="100">
      <c r="A100" s="130" t="n">
        <v>45421</v>
      </c>
      <c r="B100" s="131" t="inlineStr">
        <is>
          <t>50100542230922-TPT-TRANSFER FROM MUMMY TO ARCHIT-ARCHIT GUPTA</t>
        </is>
      </c>
      <c r="C100" s="131" t="inlineStr">
        <is>
          <t>0000000689763431</t>
        </is>
      </c>
      <c r="D100" s="131" t="n">
        <v>25000</v>
      </c>
      <c r="E100" s="131" t="n">
        <v>0</v>
      </c>
      <c r="F100" s="131" t="n">
        <v>133820.17</v>
      </c>
      <c r="G100" s="131" t="inlineStr">
        <is>
          <t>Archit Gupta</t>
        </is>
      </c>
      <c r="H100" s="131" t="inlineStr">
        <is>
          <t>HDFC 0094</t>
        </is>
      </c>
    </row>
    <row r="101">
      <c r="A101" s="130" t="n">
        <v>45421</v>
      </c>
      <c r="B101" s="131" t="inlineStr">
        <is>
          <t>01671000085930-TPT-MNY RETURNED FROM SUNITA TO AKG-AJAY KUMAR GUPTA</t>
        </is>
      </c>
      <c r="C101" s="131" t="inlineStr">
        <is>
          <t>0000000689770386</t>
        </is>
      </c>
      <c r="D101" s="131" t="n">
        <v>25000</v>
      </c>
      <c r="E101" s="131" t="n">
        <v>0</v>
      </c>
      <c r="F101" s="131" t="n">
        <v>108820.17</v>
      </c>
      <c r="G101" s="131" t="inlineStr">
        <is>
          <t>Sunita Gupta</t>
        </is>
      </c>
      <c r="H101" s="131" t="inlineStr">
        <is>
          <t>HDFC 0094</t>
        </is>
      </c>
    </row>
    <row r="102">
      <c r="A102" s="130" t="n">
        <v>45421</v>
      </c>
      <c r="B102" s="131" t="inlineStr">
        <is>
          <t>NET PI TO HSL SEC A/C 523686-00602340029434</t>
        </is>
      </c>
      <c r="C102" s="131" t="inlineStr">
        <is>
          <t>0000000520331058</t>
        </is>
      </c>
      <c r="D102" s="131" t="n">
        <v>31074.79</v>
      </c>
      <c r="E102" s="131" t="n">
        <v>0</v>
      </c>
      <c r="F102" s="131" t="n">
        <v>77745.38</v>
      </c>
      <c r="G102" s="131" t="inlineStr">
        <is>
          <t>HDFC Securities</t>
        </is>
      </c>
      <c r="H102" s="131" t="inlineStr">
        <is>
          <t>HDFC 0094</t>
        </is>
      </c>
    </row>
    <row r="103">
      <c r="A103" s="130" t="n">
        <v>45422</v>
      </c>
      <c r="B103" s="131" t="inlineStr">
        <is>
          <t>NET PO FROM HSL A/C 523686-50200085415108</t>
        </is>
      </c>
      <c r="C103" s="131" t="inlineStr">
        <is>
          <t>0000000520494995</t>
        </is>
      </c>
      <c r="D103" s="131" t="n">
        <v>0</v>
      </c>
      <c r="E103" s="131" t="n">
        <v>61550.5</v>
      </c>
      <c r="F103" s="131" t="n">
        <v>139645.73</v>
      </c>
      <c r="G103" s="131" t="inlineStr">
        <is>
          <t>HDFC Securities</t>
        </is>
      </c>
      <c r="H103" s="131" t="inlineStr">
        <is>
          <t>HDFC 0094</t>
        </is>
      </c>
    </row>
    <row r="104">
      <c r="A104" s="130" t="n">
        <v>45422</v>
      </c>
      <c r="B104" s="131" t="inlineStr">
        <is>
          <t>NET PO FROM HSL A/C 523686-50200085415108</t>
        </is>
      </c>
      <c r="C104" s="131" t="inlineStr">
        <is>
          <t>0000000520471064</t>
        </is>
      </c>
      <c r="D104" s="131" t="n">
        <v>0</v>
      </c>
      <c r="E104" s="131" t="n">
        <v>349.85</v>
      </c>
      <c r="F104" s="131" t="n">
        <v>78095.23</v>
      </c>
      <c r="G104" s="131" t="inlineStr">
        <is>
          <t>HDFC Securities</t>
        </is>
      </c>
      <c r="H104" s="131" t="inlineStr">
        <is>
          <t>HDFC 0094</t>
        </is>
      </c>
    </row>
    <row r="105">
      <c r="A105" s="130" t="n">
        <v>45422</v>
      </c>
      <c r="B105" s="131" t="inlineStr">
        <is>
          <t>UPI/P2M/413124576623/PREMJI TRADERS       /UPI/Yes Bank Ltd</t>
        </is>
      </c>
      <c r="C105" s="131" t="inlineStr">
        <is>
          <t>-</t>
        </is>
      </c>
      <c r="D105" s="131" t="n">
        <v>1320</v>
      </c>
      <c r="E105" s="131" t="n">
        <v>0</v>
      </c>
      <c r="F105" s="131" t="n">
        <v>8836.120000000001</v>
      </c>
      <c r="G105" s="131" t="inlineStr">
        <is>
          <t>Personal</t>
        </is>
      </c>
      <c r="H105" s="131" t="inlineStr">
        <is>
          <t>AXIS 7042</t>
        </is>
      </c>
    </row>
    <row r="106">
      <c r="A106" s="130" t="n">
        <v>45422</v>
      </c>
      <c r="B106" s="131" t="inlineStr">
        <is>
          <t>NEFT CR-SBIN0004266-SBI GENERAL INSURANCE CO LTDSBI GEN-SUNITA GUPTA 0000000002717756-SBIN324131864994</t>
        </is>
      </c>
      <c r="C106" s="131" t="inlineStr">
        <is>
          <t>SBIN324131864994</t>
        </is>
      </c>
      <c r="D106" s="131" t="n">
        <v>0</v>
      </c>
      <c r="E106" s="131" t="n">
        <v>18664</v>
      </c>
      <c r="F106" s="131" t="n">
        <v>158309.73</v>
      </c>
      <c r="G106" s="131" t="inlineStr">
        <is>
          <t>Sunita Gupta</t>
        </is>
      </c>
      <c r="H106" s="131" t="inlineStr">
        <is>
          <t>HDFC 0094</t>
        </is>
      </c>
    </row>
    <row r="107">
      <c r="A107" s="130" t="n">
        <v>45422</v>
      </c>
      <c r="B107" s="131" t="inlineStr">
        <is>
          <t>NET PI TO HSL SEC A/C 523686-00602340029434</t>
        </is>
      </c>
      <c r="C107" s="131" t="inlineStr">
        <is>
          <t>0000000520627824</t>
        </is>
      </c>
      <c r="D107" s="131" t="n">
        <v>230.71</v>
      </c>
      <c r="E107" s="131" t="n">
        <v>0</v>
      </c>
      <c r="F107" s="131" t="n">
        <v>158079.02</v>
      </c>
      <c r="G107" s="131" t="inlineStr">
        <is>
          <t>HDFC Securities</t>
        </is>
      </c>
      <c r="H107" s="131" t="inlineStr">
        <is>
          <t>HDFC 0094</t>
        </is>
      </c>
    </row>
    <row r="108">
      <c r="A108" s="130" t="n">
        <v>45422</v>
      </c>
      <c r="B108" s="131" t="inlineStr">
        <is>
          <t>NET PI TO HSL SEC A/C 523686-00602340029434</t>
        </is>
      </c>
      <c r="C108" s="131" t="inlineStr">
        <is>
          <t>0000000520802448</t>
        </is>
      </c>
      <c r="D108" s="131" t="n">
        <v>12572.1</v>
      </c>
      <c r="E108" s="131" t="n">
        <v>0</v>
      </c>
      <c r="F108" s="131" t="n">
        <v>139126.18</v>
      </c>
      <c r="G108" s="131" t="inlineStr">
        <is>
          <t>HDFC Securities</t>
        </is>
      </c>
      <c r="H108" s="131" t="inlineStr">
        <is>
          <t>HDFC 0094</t>
        </is>
      </c>
    </row>
    <row r="109">
      <c r="A109" s="130" t="n">
        <v>45422</v>
      </c>
      <c r="B109" s="131" t="inlineStr">
        <is>
          <t>NET PI TO HSL SEC A/C 523686-00602340029434</t>
        </is>
      </c>
      <c r="C109" s="131" t="inlineStr">
        <is>
          <t>0000000520771593</t>
        </is>
      </c>
      <c r="D109" s="131" t="n">
        <v>6380.74</v>
      </c>
      <c r="E109" s="131" t="n">
        <v>0</v>
      </c>
      <c r="F109" s="131" t="n">
        <v>151698.28</v>
      </c>
      <c r="G109" s="131" t="inlineStr">
        <is>
          <t>HDFC Securities</t>
        </is>
      </c>
      <c r="H109" s="131" t="inlineStr">
        <is>
          <t>HDFC 0094</t>
        </is>
      </c>
    </row>
    <row r="110">
      <c r="A110" s="130" t="n">
        <v>45425</v>
      </c>
      <c r="B110" s="131" t="inlineStr">
        <is>
          <t>NET PI TO HSL SEC A/C 523686-00602340029434</t>
        </is>
      </c>
      <c r="C110" s="131" t="inlineStr">
        <is>
          <t>0000000521112188</t>
        </is>
      </c>
      <c r="D110" s="131" t="n">
        <v>759.6</v>
      </c>
      <c r="E110" s="131" t="n">
        <v>0</v>
      </c>
      <c r="F110" s="131" t="n">
        <v>138366.58</v>
      </c>
      <c r="G110" s="131" t="inlineStr">
        <is>
          <t>HDFC Securities</t>
        </is>
      </c>
      <c r="H110" s="131" t="inlineStr">
        <is>
          <t>HDFC 0094</t>
        </is>
      </c>
    </row>
    <row r="111">
      <c r="A111" s="130" t="n">
        <v>45425</v>
      </c>
      <c r="B111" s="131" t="inlineStr">
        <is>
          <t>NET PI TO HSL SEC A/C 523686-00602340029434</t>
        </is>
      </c>
      <c r="C111" s="131" t="inlineStr">
        <is>
          <t>0000000521274083</t>
        </is>
      </c>
      <c r="D111" s="131" t="n">
        <v>920.99</v>
      </c>
      <c r="E111" s="131" t="n">
        <v>0</v>
      </c>
      <c r="F111" s="131" t="n">
        <v>137445.59</v>
      </c>
      <c r="G111" s="131" t="inlineStr">
        <is>
          <t>HDFC Securities</t>
        </is>
      </c>
      <c r="H111" s="131" t="inlineStr">
        <is>
          <t>HDFC 0094</t>
        </is>
      </c>
    </row>
    <row r="112">
      <c r="A112" s="130" t="n">
        <v>45426</v>
      </c>
      <c r="B112" s="131" t="inlineStr">
        <is>
          <t>NET PI TO HSL SEC A/C 523686-00602340029434</t>
        </is>
      </c>
      <c r="C112" s="131" t="inlineStr">
        <is>
          <t>0000000521528316</t>
        </is>
      </c>
      <c r="D112" s="131" t="n">
        <v>272.35</v>
      </c>
      <c r="E112" s="131" t="n">
        <v>0</v>
      </c>
      <c r="F112" s="131" t="n">
        <v>139257.64</v>
      </c>
      <c r="G112" s="131" t="inlineStr">
        <is>
          <t>HDFC Securities</t>
        </is>
      </c>
      <c r="H112" s="131" t="inlineStr">
        <is>
          <t>HDFC 0094</t>
        </is>
      </c>
    </row>
    <row r="113">
      <c r="A113" s="130" t="n">
        <v>45426</v>
      </c>
      <c r="B113" s="131" t="inlineStr">
        <is>
          <t>NET PO FROM HSL A/C 523686-50200085415108</t>
        </is>
      </c>
      <c r="C113" s="131" t="inlineStr">
        <is>
          <t>0000000521414256</t>
        </is>
      </c>
      <c r="D113" s="131" t="n">
        <v>0</v>
      </c>
      <c r="E113" s="131" t="n">
        <v>2084.4</v>
      </c>
      <c r="F113" s="131" t="n">
        <v>139529.99</v>
      </c>
      <c r="G113" s="131" t="inlineStr">
        <is>
          <t>HDFC Securities</t>
        </is>
      </c>
      <c r="H113" s="131" t="inlineStr">
        <is>
          <t>HDFC 0094</t>
        </is>
      </c>
    </row>
    <row r="114">
      <c r="A114" s="130" t="n">
        <v>45427</v>
      </c>
      <c r="B114" s="131" t="inlineStr">
        <is>
          <t>NET PO FROM HSL A/C 523686-50200085415108</t>
        </is>
      </c>
      <c r="C114" s="131" t="inlineStr">
        <is>
          <t>0000000521789762</t>
        </is>
      </c>
      <c r="D114" s="131" t="n">
        <v>0</v>
      </c>
      <c r="E114" s="131" t="n">
        <v>10981.68</v>
      </c>
      <c r="F114" s="131" t="n">
        <v>150239.32</v>
      </c>
      <c r="G114" s="131" t="inlineStr">
        <is>
          <t>HDFC Securities</t>
        </is>
      </c>
      <c r="H114" s="131" t="inlineStr">
        <is>
          <t>HDFC 0094</t>
        </is>
      </c>
    </row>
    <row r="115">
      <c r="A115" s="130" t="n">
        <v>45427</v>
      </c>
      <c r="B115" s="131" t="inlineStr">
        <is>
          <t>NEFT/N136243040620640/SUNITA GUPTA/HDFC BANK/frm HDFC to Axis</t>
        </is>
      </c>
      <c r="C115" s="131" t="inlineStr">
        <is>
          <t>-</t>
        </is>
      </c>
      <c r="D115" s="131" t="n">
        <v>0</v>
      </c>
      <c r="E115" s="131" t="n">
        <v>100000</v>
      </c>
      <c r="F115" s="131" t="n">
        <v>108836.12</v>
      </c>
      <c r="G115" s="131" t="inlineStr">
        <is>
          <t>Sunita Gupta</t>
        </is>
      </c>
      <c r="H115" s="131" t="inlineStr">
        <is>
          <t>AXIS 7042</t>
        </is>
      </c>
    </row>
    <row r="116">
      <c r="A116" s="130" t="n">
        <v>45427</v>
      </c>
      <c r="B116" s="131" t="inlineStr">
        <is>
          <t>INB/IFT/Ajay Kumar Gupta/TPARTY TRANSFER</t>
        </is>
      </c>
      <c r="C116" s="131" t="inlineStr">
        <is>
          <t>-</t>
        </is>
      </c>
      <c r="D116" s="131" t="n">
        <v>40000</v>
      </c>
      <c r="E116" s="131" t="n">
        <v>0</v>
      </c>
      <c r="F116" s="131" t="n">
        <v>68836.12</v>
      </c>
      <c r="G116" s="131" t="inlineStr">
        <is>
          <t>Ajay Gupta</t>
        </is>
      </c>
      <c r="H116" s="131" t="inlineStr">
        <is>
          <t>AXIS 7042</t>
        </is>
      </c>
    </row>
    <row r="117">
      <c r="A117" s="130" t="n">
        <v>45427</v>
      </c>
      <c r="B117" s="131" t="inlineStr">
        <is>
          <t>NET PO FROM HSL A/C 523686-50200085415108</t>
        </is>
      </c>
      <c r="C117" s="131" t="inlineStr">
        <is>
          <t>0000000521824571</t>
        </is>
      </c>
      <c r="D117" s="131" t="n">
        <v>0</v>
      </c>
      <c r="E117" s="131" t="n">
        <v>134185.19</v>
      </c>
      <c r="F117" s="131" t="n">
        <v>284424.51</v>
      </c>
      <c r="G117" s="131" t="inlineStr">
        <is>
          <t>HDFC Securities</t>
        </is>
      </c>
      <c r="H117" s="131" t="inlineStr">
        <is>
          <t>HDFC 0094</t>
        </is>
      </c>
    </row>
    <row r="118">
      <c r="A118" s="130" t="n">
        <v>45427</v>
      </c>
      <c r="B118" s="131" t="inlineStr">
        <is>
          <t>ACH D- INDIAN CLEARING CORP-P25847643X05</t>
        </is>
      </c>
      <c r="C118" s="131" t="inlineStr">
        <is>
          <t>0000004003933231</t>
        </is>
      </c>
      <c r="D118" s="131" t="n">
        <v>5000</v>
      </c>
      <c r="E118" s="131" t="n">
        <v>0</v>
      </c>
      <c r="F118" s="131" t="n">
        <v>279424.51</v>
      </c>
      <c r="G118" s="131" t="inlineStr">
        <is>
          <t>Mutual_Fund_Investments</t>
        </is>
      </c>
      <c r="H118" s="131" t="inlineStr">
        <is>
          <t>HDFC 0094</t>
        </is>
      </c>
    </row>
    <row r="119">
      <c r="A119" s="130" t="n">
        <v>45427</v>
      </c>
      <c r="B119" s="131" t="inlineStr">
        <is>
          <t>NEFT DR-UTIB0002656-SUNITA GUPTA-NETBANK, MUM-N136243040620640-FRM HDFC TO AXIS</t>
        </is>
      </c>
      <c r="C119" s="131" t="inlineStr">
        <is>
          <t>N136243040620640</t>
        </is>
      </c>
      <c r="D119" s="131" t="n">
        <v>100000</v>
      </c>
      <c r="E119" s="131" t="n">
        <v>0</v>
      </c>
      <c r="F119" s="131" t="n">
        <v>179152.16</v>
      </c>
      <c r="G119" s="131" t="inlineStr">
        <is>
          <t>Sunita Gupta</t>
        </is>
      </c>
      <c r="H119" s="131" t="inlineStr">
        <is>
          <t>HDFC 0094</t>
        </is>
      </c>
    </row>
    <row r="120">
      <c r="A120" s="130" t="n">
        <v>45427</v>
      </c>
      <c r="B120" s="131" t="inlineStr">
        <is>
          <t>NET PI TO HSL SEC A/C 523686-00602340029434</t>
        </is>
      </c>
      <c r="C120" s="131" t="inlineStr">
        <is>
          <t>0000000521944984</t>
        </is>
      </c>
      <c r="D120" s="131" t="n">
        <v>272.35</v>
      </c>
      <c r="E120" s="131" t="n">
        <v>0</v>
      </c>
      <c r="F120" s="131" t="n">
        <v>279152.16</v>
      </c>
      <c r="G120" s="131" t="inlineStr">
        <is>
          <t>HDFC Securities</t>
        </is>
      </c>
      <c r="H120" s="131" t="inlineStr">
        <is>
          <t>HDFC 0094</t>
        </is>
      </c>
    </row>
    <row r="121">
      <c r="A121" s="130" t="n">
        <v>45428</v>
      </c>
      <c r="B121" s="131" t="inlineStr">
        <is>
          <t>NET PI TO HSL SEC A/C 523686-00602340029434</t>
        </is>
      </c>
      <c r="C121" s="131" t="inlineStr">
        <is>
          <t>0000000522487945</t>
        </is>
      </c>
      <c r="D121" s="131" t="n">
        <v>81859.92</v>
      </c>
      <c r="E121" s="131" t="n">
        <v>0</v>
      </c>
      <c r="F121" s="131" t="n">
        <v>112716.77</v>
      </c>
      <c r="G121" s="131" t="inlineStr">
        <is>
          <t>HDFC Securities</t>
        </is>
      </c>
      <c r="H121" s="131" t="inlineStr">
        <is>
          <t>HDFC 0094</t>
        </is>
      </c>
    </row>
    <row r="122">
      <c r="A122" s="130" t="n">
        <v>45428</v>
      </c>
      <c r="B122" s="131" t="inlineStr">
        <is>
          <t>ACH C- ORACLEFINANCIALSER-00000000000000</t>
        </is>
      </c>
      <c r="C122" s="131" t="inlineStr">
        <is>
          <t>0000007006414137</t>
        </is>
      </c>
      <c r="D122" s="131" t="n">
        <v>0</v>
      </c>
      <c r="E122" s="131" t="n">
        <v>6480</v>
      </c>
      <c r="F122" s="131" t="n">
        <v>194576.69</v>
      </c>
      <c r="G122" s="131" t="inlineStr">
        <is>
          <t>Dividend Income</t>
        </is>
      </c>
      <c r="H122" s="131" t="inlineStr">
        <is>
          <t>HDFC 0094</t>
        </is>
      </c>
    </row>
    <row r="123">
      <c r="A123" s="130" t="n">
        <v>45428</v>
      </c>
      <c r="B123" s="131" t="inlineStr">
        <is>
          <t>NEFT CR-SBIN0004266-SBI GENERAL INSURANCE CO LTDSBI GEN-SUNITA GUPTA 0000000002717756-SBIN324137943121</t>
        </is>
      </c>
      <c r="C123" s="131" t="inlineStr">
        <is>
          <t>SBIN324137943121</t>
        </is>
      </c>
      <c r="D123" s="131" t="n">
        <v>0</v>
      </c>
      <c r="E123" s="131" t="n">
        <v>2380</v>
      </c>
      <c r="F123" s="131" t="n">
        <v>188096.69</v>
      </c>
      <c r="G123" s="131" t="inlineStr">
        <is>
          <t>Sunita Gupta</t>
        </is>
      </c>
      <c r="H123" s="131" t="inlineStr">
        <is>
          <t>HDFC 0094</t>
        </is>
      </c>
    </row>
    <row r="124">
      <c r="A124" s="130" t="n">
        <v>45428</v>
      </c>
      <c r="B124" s="131" t="inlineStr">
        <is>
          <t>NET PI TO HSL SEC A/C 523686-00602340029434</t>
        </is>
      </c>
      <c r="C124" s="131" t="inlineStr">
        <is>
          <t>0000000522341497</t>
        </is>
      </c>
      <c r="D124" s="131" t="n">
        <v>262.77</v>
      </c>
      <c r="E124" s="131" t="n">
        <v>0</v>
      </c>
      <c r="F124" s="131" t="n">
        <v>185716.69</v>
      </c>
      <c r="G124" s="131" t="inlineStr">
        <is>
          <t>HDFC Securities</t>
        </is>
      </c>
      <c r="H124" s="131" t="inlineStr">
        <is>
          <t>HDFC 0094</t>
        </is>
      </c>
    </row>
    <row r="125">
      <c r="A125" s="130" t="n">
        <v>45428</v>
      </c>
      <c r="B125" s="131" t="inlineStr">
        <is>
          <t>NET PO FROM HSL A/C 523686-50200085415108</t>
        </is>
      </c>
      <c r="C125" s="131" t="inlineStr">
        <is>
          <t>0000000522220199</t>
        </is>
      </c>
      <c r="D125" s="131" t="n">
        <v>0</v>
      </c>
      <c r="E125" s="131" t="n">
        <v>6827.3</v>
      </c>
      <c r="F125" s="131" t="n">
        <v>185979.46</v>
      </c>
      <c r="G125" s="131" t="inlineStr">
        <is>
          <t>HDFC Securities</t>
        </is>
      </c>
      <c r="H125" s="131" t="inlineStr">
        <is>
          <t>HDFC 0094</t>
        </is>
      </c>
    </row>
    <row r="126">
      <c r="A126" s="130" t="n">
        <v>45429</v>
      </c>
      <c r="B126" s="131" t="inlineStr">
        <is>
          <t>NET PI TO HSL SEC A/C 523686-00602340029434</t>
        </is>
      </c>
      <c r="C126" s="131" t="inlineStr">
        <is>
          <t>0000000522743631</t>
        </is>
      </c>
      <c r="D126" s="131" t="n">
        <v>232.55</v>
      </c>
      <c r="E126" s="131" t="n">
        <v>0</v>
      </c>
      <c r="F126" s="131" t="n">
        <v>158763.01</v>
      </c>
      <c r="G126" s="131" t="inlineStr">
        <is>
          <t>HDFC Securities</t>
        </is>
      </c>
      <c r="H126" s="131" t="inlineStr">
        <is>
          <t>HDFC 0094</t>
        </is>
      </c>
    </row>
    <row r="127">
      <c r="A127" s="130" t="n">
        <v>45429</v>
      </c>
      <c r="B127" s="131" t="inlineStr">
        <is>
          <t>NET PO FROM HSL A/C 523686-50200085415108</t>
        </is>
      </c>
      <c r="C127" s="131" t="inlineStr">
        <is>
          <t>0000000522652858</t>
        </is>
      </c>
      <c r="D127" s="131" t="n">
        <v>0</v>
      </c>
      <c r="E127" s="131" t="n">
        <v>42829.41</v>
      </c>
      <c r="F127" s="131" t="n">
        <v>158995.56</v>
      </c>
      <c r="G127" s="131" t="inlineStr">
        <is>
          <t>HDFC Securities</t>
        </is>
      </c>
      <c r="H127" s="131" t="inlineStr">
        <is>
          <t>HDFC 0094</t>
        </is>
      </c>
    </row>
    <row r="128">
      <c r="A128" s="130" t="n">
        <v>45429</v>
      </c>
      <c r="B128" s="131" t="inlineStr">
        <is>
          <t>NET PO FROM HSL A/C 523686-50200085415108</t>
        </is>
      </c>
      <c r="C128" s="131" t="inlineStr">
        <is>
          <t>0000000522614579</t>
        </is>
      </c>
      <c r="D128" s="131" t="n">
        <v>0</v>
      </c>
      <c r="E128" s="131" t="n">
        <v>3449.38</v>
      </c>
      <c r="F128" s="131" t="n">
        <v>116166.15</v>
      </c>
      <c r="G128" s="131" t="inlineStr">
        <is>
          <t>HDFC Securities</t>
        </is>
      </c>
      <c r="H128" s="131" t="inlineStr">
        <is>
          <t>HDFC 0094</t>
        </is>
      </c>
    </row>
    <row r="129">
      <c r="A129" s="130" t="n">
        <v>45429</v>
      </c>
      <c r="B129" s="131" t="inlineStr">
        <is>
          <t>NET PI TO HSL SEC A/C 523686-00602340029434</t>
        </is>
      </c>
      <c r="C129" s="131" t="inlineStr">
        <is>
          <t>0000000522882579</t>
        </is>
      </c>
      <c r="D129" s="131" t="n">
        <v>9417.32</v>
      </c>
      <c r="E129" s="131" t="n">
        <v>0</v>
      </c>
      <c r="F129" s="131" t="n">
        <v>149345.69</v>
      </c>
      <c r="G129" s="131" t="inlineStr">
        <is>
          <t>HDFC Securities</t>
        </is>
      </c>
      <c r="H129" s="131" t="inlineStr">
        <is>
          <t>HDFC 0094</t>
        </is>
      </c>
    </row>
    <row r="130">
      <c r="A130" s="130" t="n">
        <v>45430</v>
      </c>
      <c r="B130" s="131" t="inlineStr">
        <is>
          <t>NET PI TO HSL SEC A/C 523686-00602340029434</t>
        </is>
      </c>
      <c r="C130" s="131" t="inlineStr">
        <is>
          <t>0000000523022192</t>
        </is>
      </c>
      <c r="D130" s="131" t="n">
        <v>291.09</v>
      </c>
      <c r="E130" s="131" t="n">
        <v>0</v>
      </c>
      <c r="F130" s="131" t="n">
        <v>149054.6</v>
      </c>
      <c r="G130" s="131" t="inlineStr">
        <is>
          <t>HDFC Securities</t>
        </is>
      </c>
      <c r="H130" s="131" t="inlineStr">
        <is>
          <t>HDFC 0094</t>
        </is>
      </c>
    </row>
    <row r="131">
      <c r="A131" s="130" t="n">
        <v>45433</v>
      </c>
      <c r="B131" s="131" t="inlineStr">
        <is>
          <t>NET PI TO HSL SEC A/C 523686-00602340029434</t>
        </is>
      </c>
      <c r="C131" s="131" t="inlineStr">
        <is>
          <t>0000000523323447</t>
        </is>
      </c>
      <c r="D131" s="131" t="n">
        <v>873.27</v>
      </c>
      <c r="E131" s="131" t="n">
        <v>0</v>
      </c>
      <c r="F131" s="131" t="n">
        <v>174074.76</v>
      </c>
      <c r="G131" s="131" t="inlineStr">
        <is>
          <t>HDFC Securities</t>
        </is>
      </c>
      <c r="H131" s="131" t="inlineStr">
        <is>
          <t>HDFC 0094</t>
        </is>
      </c>
    </row>
    <row r="132">
      <c r="A132" s="130" t="n">
        <v>45433</v>
      </c>
      <c r="B132" s="131" t="inlineStr">
        <is>
          <t>NET PI TO HSL SEC A/C 523686-00602340029434</t>
        </is>
      </c>
      <c r="C132" s="131" t="inlineStr">
        <is>
          <t>0000000523570247</t>
        </is>
      </c>
      <c r="D132" s="131" t="n">
        <v>45536.34</v>
      </c>
      <c r="E132" s="131" t="n">
        <v>0</v>
      </c>
      <c r="F132" s="131" t="n">
        <v>128538.42</v>
      </c>
      <c r="G132" s="131" t="inlineStr">
        <is>
          <t>HDFC Securities</t>
        </is>
      </c>
      <c r="H132" s="131" t="inlineStr">
        <is>
          <t>HDFC 0094</t>
        </is>
      </c>
    </row>
    <row r="133">
      <c r="A133" s="130" t="n">
        <v>45433</v>
      </c>
      <c r="B133" s="131" t="inlineStr">
        <is>
          <t>NET PO FROM HSL A/C 523686-50200085415108</t>
        </is>
      </c>
      <c r="C133" s="131" t="inlineStr">
        <is>
          <t>0000000523167863</t>
        </is>
      </c>
      <c r="D133" s="131" t="n">
        <v>0</v>
      </c>
      <c r="E133" s="131" t="n">
        <v>23334.72</v>
      </c>
      <c r="F133" s="131" t="n">
        <v>174948.03</v>
      </c>
      <c r="G133" s="131" t="inlineStr">
        <is>
          <t>HDFC Securities</t>
        </is>
      </c>
      <c r="H133" s="131" t="inlineStr">
        <is>
          <t>HDFC 0094</t>
        </is>
      </c>
    </row>
    <row r="134">
      <c r="A134" s="130" t="n">
        <v>45433</v>
      </c>
      <c r="B134" s="131" t="inlineStr">
        <is>
          <t>NET PO FROM HSL A/C 523686-50200085415108</t>
        </is>
      </c>
      <c r="C134" s="131" t="inlineStr">
        <is>
          <t>0000000523120915</t>
        </is>
      </c>
      <c r="D134" s="131" t="n">
        <v>0</v>
      </c>
      <c r="E134" s="131" t="n">
        <v>2558.71</v>
      </c>
      <c r="F134" s="131" t="n">
        <v>151613.31</v>
      </c>
      <c r="G134" s="131" t="inlineStr">
        <is>
          <t>HDFC Securities</t>
        </is>
      </c>
      <c r="H134" s="131" t="inlineStr">
        <is>
          <t>HDFC 0094</t>
        </is>
      </c>
    </row>
    <row r="135">
      <c r="A135" s="130" t="n">
        <v>45434</v>
      </c>
      <c r="B135" s="131" t="inlineStr">
        <is>
          <t>NET PO FROM HSL A/C 523686-50200085415108</t>
        </is>
      </c>
      <c r="C135" s="131" t="inlineStr">
        <is>
          <t>0000000523706893</t>
        </is>
      </c>
      <c r="D135" s="131" t="n">
        <v>0</v>
      </c>
      <c r="E135" s="131" t="n">
        <v>3073.48</v>
      </c>
      <c r="F135" s="131" t="n">
        <v>131611.9</v>
      </c>
      <c r="G135" s="131" t="inlineStr">
        <is>
          <t>HDFC Securities</t>
        </is>
      </c>
      <c r="H135" s="131" t="inlineStr">
        <is>
          <t>HDFC 0094</t>
        </is>
      </c>
    </row>
    <row r="136">
      <c r="A136" s="130" t="n">
        <v>45434</v>
      </c>
      <c r="B136" s="131" t="inlineStr">
        <is>
          <t>NET PI TO HSL SEC A/C 523686-00602340029434</t>
        </is>
      </c>
      <c r="C136" s="131" t="inlineStr">
        <is>
          <t>0000000523858342</t>
        </is>
      </c>
      <c r="D136" s="131" t="n">
        <v>289.36</v>
      </c>
      <c r="E136" s="131" t="n">
        <v>0</v>
      </c>
      <c r="F136" s="131" t="n">
        <v>131322.54</v>
      </c>
      <c r="G136" s="131" t="inlineStr">
        <is>
          <t>HDFC Securities</t>
        </is>
      </c>
      <c r="H136" s="131" t="inlineStr">
        <is>
          <t>HDFC 0094</t>
        </is>
      </c>
    </row>
    <row r="137">
      <c r="A137" s="130" t="n">
        <v>45434</v>
      </c>
      <c r="B137" s="131" t="inlineStr">
        <is>
          <t>NET PI TO HSL SEC A/C 523686-00602340029434</t>
        </is>
      </c>
      <c r="C137" s="131" t="inlineStr">
        <is>
          <t>0000000524017631</t>
        </is>
      </c>
      <c r="D137" s="131" t="n">
        <v>93700.02</v>
      </c>
      <c r="E137" s="131" t="n">
        <v>0</v>
      </c>
      <c r="F137" s="131" t="n">
        <v>37622.52</v>
      </c>
      <c r="G137" s="131" t="inlineStr">
        <is>
          <t>HDFC Securities</t>
        </is>
      </c>
      <c r="H137" s="131" t="inlineStr">
        <is>
          <t>HDFC 0094</t>
        </is>
      </c>
    </row>
    <row r="138">
      <c r="A138" s="130" t="n">
        <v>45435</v>
      </c>
      <c r="B138" s="131" t="inlineStr">
        <is>
          <t>JANMAR24 INSTAALERTCHG 75 SMS 140524-MIR2514339549285</t>
        </is>
      </c>
      <c r="C138" s="131" t="inlineStr">
        <is>
          <t>MIR2514339549285</t>
        </is>
      </c>
      <c r="D138" s="131" t="n">
        <v>17.7</v>
      </c>
      <c r="E138" s="131" t="n">
        <v>0</v>
      </c>
      <c r="F138" s="131" t="n">
        <v>37604.82</v>
      </c>
      <c r="G138" s="131" t="inlineStr">
        <is>
          <t>Bank Charges</t>
        </is>
      </c>
      <c r="H138" s="131" t="inlineStr">
        <is>
          <t>HDFC 0094</t>
        </is>
      </c>
    </row>
    <row r="139">
      <c r="A139" s="130" t="n">
        <v>45435</v>
      </c>
      <c r="B139" s="131" t="inlineStr">
        <is>
          <t>NET PI TO HSL SEC A/C 523686-00602340029434</t>
        </is>
      </c>
      <c r="C139" s="131" t="inlineStr">
        <is>
          <t>0000000524193414</t>
        </is>
      </c>
      <c r="D139" s="131" t="n">
        <v>313.62</v>
      </c>
      <c r="E139" s="131" t="n">
        <v>0</v>
      </c>
      <c r="F139" s="131" t="n">
        <v>37291.2</v>
      </c>
      <c r="G139" s="131" t="inlineStr">
        <is>
          <t>HDFC Securities</t>
        </is>
      </c>
      <c r="H139" s="131" t="inlineStr">
        <is>
          <t>HDFC 0094</t>
        </is>
      </c>
    </row>
    <row r="140">
      <c r="A140" s="130" t="n">
        <v>45436</v>
      </c>
      <c r="B140" s="131" t="inlineStr">
        <is>
          <t>ACH C- COFORGE LTD-129002</t>
        </is>
      </c>
      <c r="C140" s="131" t="inlineStr">
        <is>
          <t>0000004253630046</t>
        </is>
      </c>
      <c r="D140" s="131" t="n">
        <v>0</v>
      </c>
      <c r="E140" s="131" t="n">
        <v>418</v>
      </c>
      <c r="F140" s="131" t="n">
        <v>106132.59</v>
      </c>
      <c r="G140" s="131" t="inlineStr">
        <is>
          <t>Dividend Income</t>
        </is>
      </c>
      <c r="H140" s="131" t="inlineStr">
        <is>
          <t>HDFC 0094</t>
        </is>
      </c>
    </row>
    <row r="141">
      <c r="A141" s="130" t="n">
        <v>45436</v>
      </c>
      <c r="B141" s="131" t="inlineStr">
        <is>
          <t>NEFT CR-UTIB0000004-AXIS MUTUAL FUND DIVIDEND A/C-SUNITA GUPTA-AXISCN0629722256</t>
        </is>
      </c>
      <c r="C141" s="131" t="inlineStr">
        <is>
          <t>AXISCN0629722256</t>
        </is>
      </c>
      <c r="D141" s="131" t="n">
        <v>0</v>
      </c>
      <c r="E141" s="131" t="n">
        <v>84.56999999999999</v>
      </c>
      <c r="F141" s="131" t="n">
        <v>106217.16</v>
      </c>
      <c r="G141" s="131" t="inlineStr">
        <is>
          <t>Dividend Income</t>
        </is>
      </c>
      <c r="H141" s="131" t="inlineStr">
        <is>
          <t>HDFC 0094</t>
        </is>
      </c>
    </row>
    <row r="142">
      <c r="A142" s="130" t="n">
        <v>45436</v>
      </c>
      <c r="B142" s="131" t="inlineStr">
        <is>
          <t>ACH C- SANOFI INDIA DIV PMT-71PR24051801</t>
        </is>
      </c>
      <c r="C142" s="131" t="inlineStr">
        <is>
          <t>0000004251939972</t>
        </is>
      </c>
      <c r="D142" s="131" t="n">
        <v>0</v>
      </c>
      <c r="E142" s="131" t="n">
        <v>2223</v>
      </c>
      <c r="F142" s="131" t="n">
        <v>105714.59</v>
      </c>
      <c r="G142" s="131" t="inlineStr">
        <is>
          <t>Dividend Income</t>
        </is>
      </c>
      <c r="H142" s="131" t="inlineStr">
        <is>
          <t>HDFC 0094</t>
        </is>
      </c>
    </row>
    <row r="143">
      <c r="A143" s="130" t="n">
        <v>45436</v>
      </c>
      <c r="B143" s="131" t="inlineStr">
        <is>
          <t>NET PI TO HSL SEC A/C 523686-00602340029434</t>
        </is>
      </c>
      <c r="C143" s="131" t="inlineStr">
        <is>
          <t>0000000524649759</t>
        </is>
      </c>
      <c r="D143" s="131" t="n">
        <v>313.62</v>
      </c>
      <c r="E143" s="131" t="n">
        <v>0</v>
      </c>
      <c r="F143" s="131" t="n">
        <v>103491.59</v>
      </c>
      <c r="G143" s="131" t="inlineStr">
        <is>
          <t>HDFC Securities</t>
        </is>
      </c>
      <c r="H143" s="131" t="inlineStr">
        <is>
          <t>HDFC 0094</t>
        </is>
      </c>
    </row>
    <row r="144">
      <c r="A144" s="130" t="n">
        <v>45436</v>
      </c>
      <c r="B144" s="131" t="inlineStr">
        <is>
          <t>NET PO FROM HSL A/C 523686-50200085415108</t>
        </is>
      </c>
      <c r="C144" s="131" t="inlineStr">
        <is>
          <t>0000000524552546</t>
        </is>
      </c>
      <c r="D144" s="131" t="n">
        <v>0</v>
      </c>
      <c r="E144" s="131" t="n">
        <v>35498.65</v>
      </c>
      <c r="F144" s="131" t="n">
        <v>103805.21</v>
      </c>
      <c r="G144" s="131" t="inlineStr">
        <is>
          <t>HDFC Securities</t>
        </is>
      </c>
      <c r="H144" s="131" t="inlineStr">
        <is>
          <t>HDFC 0094</t>
        </is>
      </c>
    </row>
    <row r="145">
      <c r="A145" s="130" t="n">
        <v>45436</v>
      </c>
      <c r="B145" s="131" t="inlineStr">
        <is>
          <t>NET PO FROM HSL A/C 523686-50200085415108</t>
        </is>
      </c>
      <c r="C145" s="131" t="inlineStr">
        <is>
          <t>0000000524476779</t>
        </is>
      </c>
      <c r="D145" s="131" t="n">
        <v>0</v>
      </c>
      <c r="E145" s="131" t="n">
        <v>31015.36</v>
      </c>
      <c r="F145" s="131" t="n">
        <v>68306.56</v>
      </c>
      <c r="G145" s="131" t="inlineStr">
        <is>
          <t>HDFC Securities</t>
        </is>
      </c>
      <c r="H145" s="131" t="inlineStr">
        <is>
          <t>HDFC 0094</t>
        </is>
      </c>
    </row>
    <row r="146">
      <c r="A146" s="130" t="n">
        <v>45436</v>
      </c>
      <c r="B146" s="131" t="inlineStr">
        <is>
          <t>INB/IFT/Ajay Kumar Gupta/TPARTY TRANSFER</t>
        </is>
      </c>
      <c r="C146" s="131" t="inlineStr">
        <is>
          <t>-</t>
        </is>
      </c>
      <c r="D146" s="131" t="n">
        <v>30000</v>
      </c>
      <c r="E146" s="131" t="n">
        <v>0</v>
      </c>
      <c r="F146" s="131" t="n">
        <v>38836.12</v>
      </c>
      <c r="G146" s="131" t="inlineStr">
        <is>
          <t>Ajay Gupta</t>
        </is>
      </c>
      <c r="H146" s="131" t="inlineStr">
        <is>
          <t>AXIS 7042</t>
        </is>
      </c>
    </row>
    <row r="147">
      <c r="A147" s="130" t="n">
        <v>45437</v>
      </c>
      <c r="B147" s="131" t="inlineStr">
        <is>
          <t>NET PI TO HSL SEC A/C 523686-00602340029434</t>
        </is>
      </c>
      <c r="C147" s="131" t="inlineStr">
        <is>
          <t>0000000524831359</t>
        </is>
      </c>
      <c r="D147" s="131" t="n">
        <v>47642.67</v>
      </c>
      <c r="E147" s="131" t="n">
        <v>0</v>
      </c>
      <c r="F147" s="131" t="n">
        <v>58574.49</v>
      </c>
      <c r="G147" s="131" t="inlineStr">
        <is>
          <t>HDFC Securities</t>
        </is>
      </c>
      <c r="H147" s="131" t="inlineStr">
        <is>
          <t>HDFC 0094</t>
        </is>
      </c>
    </row>
    <row r="148">
      <c r="A148" s="130" t="n">
        <v>45437</v>
      </c>
      <c r="B148" s="131" t="inlineStr">
        <is>
          <t>YHDF2336954200/BILLDKTHECALCUTTAELE</t>
        </is>
      </c>
      <c r="C148" s="131" t="inlineStr">
        <is>
          <t>0002414651382613</t>
        </is>
      </c>
      <c r="D148" s="131" t="n">
        <v>21011</v>
      </c>
      <c r="E148" s="131" t="n">
        <v>0</v>
      </c>
      <c r="F148" s="131" t="n">
        <v>37563.49</v>
      </c>
      <c r="G148" s="131" t="inlineStr">
        <is>
          <t>SIP</t>
        </is>
      </c>
      <c r="H148" s="131" t="inlineStr">
        <is>
          <t>HDFC 0094</t>
        </is>
      </c>
    </row>
    <row r="149">
      <c r="A149" s="130" t="n">
        <v>45439</v>
      </c>
      <c r="B149" s="131" t="inlineStr">
        <is>
          <t>ACH D- INDIAN CLEARING CORP-P25847643X05</t>
        </is>
      </c>
      <c r="C149" s="131" t="inlineStr">
        <is>
          <t>0000004254561080</t>
        </is>
      </c>
      <c r="D149" s="131" t="n">
        <v>10000</v>
      </c>
      <c r="E149" s="131" t="n">
        <v>0</v>
      </c>
      <c r="F149" s="131" t="n">
        <v>27563.49</v>
      </c>
      <c r="G149" s="131" t="inlineStr">
        <is>
          <t>Mutual_Fund_Investments</t>
        </is>
      </c>
      <c r="H149" s="131" t="inlineStr">
        <is>
          <t>HDFC 0094</t>
        </is>
      </c>
    </row>
    <row r="150">
      <c r="A150" s="130" t="n">
        <v>45439</v>
      </c>
      <c r="B150" s="131" t="inlineStr">
        <is>
          <t>NET PI TO HSL SEC A/C 523686-00602340029434</t>
        </is>
      </c>
      <c r="C150" s="131" t="inlineStr">
        <is>
          <t>0000000525156118</t>
        </is>
      </c>
      <c r="D150" s="131" t="n">
        <v>1076.1</v>
      </c>
      <c r="E150" s="131" t="n">
        <v>0</v>
      </c>
      <c r="F150" s="131" t="n">
        <v>26487.39</v>
      </c>
      <c r="G150" s="131" t="inlineStr">
        <is>
          <t>HDFC Securities</t>
        </is>
      </c>
      <c r="H150" s="131" t="inlineStr">
        <is>
          <t>HDFC 0094</t>
        </is>
      </c>
    </row>
    <row r="151">
      <c r="A151" s="130" t="n">
        <v>45440</v>
      </c>
      <c r="B151" s="131" t="inlineStr">
        <is>
          <t>NET PI TO HSL SEC A/C 523686-00602340029434</t>
        </is>
      </c>
      <c r="C151" s="131" t="inlineStr">
        <is>
          <t>0000000525776615</t>
        </is>
      </c>
      <c r="D151" s="131" t="n">
        <v>9647.780000000001</v>
      </c>
      <c r="E151" s="131" t="n">
        <v>0</v>
      </c>
      <c r="F151" s="131" t="n">
        <v>50712.37</v>
      </c>
      <c r="G151" s="131" t="inlineStr">
        <is>
          <t>HDFC Securities</t>
        </is>
      </c>
      <c r="H151" s="131" t="inlineStr">
        <is>
          <t>HDFC 0094</t>
        </is>
      </c>
    </row>
    <row r="152">
      <c r="A152" s="130" t="n">
        <v>45440</v>
      </c>
      <c r="B152" s="131" t="inlineStr">
        <is>
          <t>NET PO FROM HSL A/C 523686-50200085415108</t>
        </is>
      </c>
      <c r="C152" s="131" t="inlineStr">
        <is>
          <t>0000000525502499</t>
        </is>
      </c>
      <c r="D152" s="131" t="n">
        <v>0</v>
      </c>
      <c r="E152" s="131" t="n">
        <v>29701.18</v>
      </c>
      <c r="F152" s="131" t="n">
        <v>60758.34</v>
      </c>
      <c r="G152" s="131" t="inlineStr">
        <is>
          <t>HDFC Securities</t>
        </is>
      </c>
      <c r="H152" s="131" t="inlineStr">
        <is>
          <t>HDFC 0094</t>
        </is>
      </c>
    </row>
    <row r="153">
      <c r="A153" s="130" t="n">
        <v>45440</v>
      </c>
      <c r="B153" s="131" t="inlineStr">
        <is>
          <t>NET PI TO HSL SEC A/C 523686-00602340029434</t>
        </is>
      </c>
      <c r="C153" s="131" t="inlineStr">
        <is>
          <t>0000000525600727</t>
        </is>
      </c>
      <c r="D153" s="131" t="n">
        <v>398.19</v>
      </c>
      <c r="E153" s="131" t="n">
        <v>0</v>
      </c>
      <c r="F153" s="131" t="n">
        <v>60360.15</v>
      </c>
      <c r="G153" s="131" t="inlineStr">
        <is>
          <t>HDFC Securities</t>
        </is>
      </c>
      <c r="H153" s="131" t="inlineStr">
        <is>
          <t>HDFC 0094</t>
        </is>
      </c>
    </row>
    <row r="154">
      <c r="A154" s="130" t="n">
        <v>45440</v>
      </c>
      <c r="B154" s="131" t="inlineStr">
        <is>
          <t>NET PO FROM HSL A/C 523686-50200085415108</t>
        </is>
      </c>
      <c r="C154" s="131" t="inlineStr">
        <is>
          <t>0000000525464159</t>
        </is>
      </c>
      <c r="D154" s="131" t="n">
        <v>0</v>
      </c>
      <c r="E154" s="131" t="n">
        <v>4569.77</v>
      </c>
      <c r="F154" s="131" t="n">
        <v>31057.16</v>
      </c>
      <c r="G154" s="131" t="inlineStr">
        <is>
          <t>HDFC Securities</t>
        </is>
      </c>
      <c r="H154" s="131" t="inlineStr">
        <is>
          <t>HDFC 0094</t>
        </is>
      </c>
    </row>
    <row r="155">
      <c r="A155" s="130" t="n">
        <v>45441</v>
      </c>
      <c r="B155" s="131" t="inlineStr">
        <is>
          <t>NET PI TO HSL SEC A/C 523686-00602340029434</t>
        </is>
      </c>
      <c r="C155" s="131" t="inlineStr">
        <is>
          <t>0000000526004852</t>
        </is>
      </c>
      <c r="D155" s="131" t="n">
        <v>392.56</v>
      </c>
      <c r="E155" s="131" t="n">
        <v>0</v>
      </c>
      <c r="F155" s="131" t="n">
        <v>81509.78</v>
      </c>
      <c r="G155" s="131" t="inlineStr">
        <is>
          <t>HDFC Securities</t>
        </is>
      </c>
      <c r="H155" s="131" t="inlineStr">
        <is>
          <t>HDFC 0094</t>
        </is>
      </c>
    </row>
    <row r="156">
      <c r="A156" s="130" t="n">
        <v>45441</v>
      </c>
      <c r="B156" s="131" t="inlineStr">
        <is>
          <t>NET PO FROM HSL A/C 523686-50200085415108</t>
        </is>
      </c>
      <c r="C156" s="131" t="inlineStr">
        <is>
          <t>0000000525933763</t>
        </is>
      </c>
      <c r="D156" s="131" t="n">
        <v>0</v>
      </c>
      <c r="E156" s="131" t="n">
        <v>31189.97</v>
      </c>
      <c r="F156" s="131" t="n">
        <v>81902.34</v>
      </c>
      <c r="G156" s="131" t="inlineStr">
        <is>
          <t>HDFC Securities</t>
        </is>
      </c>
      <c r="H156" s="131" t="inlineStr">
        <is>
          <t>HDFC 0094</t>
        </is>
      </c>
    </row>
    <row r="157">
      <c r="A157" s="130" t="n">
        <v>45441</v>
      </c>
      <c r="B157" s="131" t="inlineStr">
        <is>
          <t>50100542230922-TPT-BORROW BY ARCHIT-ARCHIT GUPTA</t>
        </is>
      </c>
      <c r="C157" s="131" t="inlineStr">
        <is>
          <t>0000000571547709</t>
        </is>
      </c>
      <c r="D157" s="131" t="n">
        <v>30000</v>
      </c>
      <c r="E157" s="131" t="n">
        <v>0</v>
      </c>
      <c r="F157" s="131" t="n">
        <v>51509.78</v>
      </c>
      <c r="G157" s="131" t="inlineStr">
        <is>
          <t>Archit Gupta</t>
        </is>
      </c>
      <c r="H157" s="131" t="inlineStr">
        <is>
          <t>HDFC 0094</t>
        </is>
      </c>
    </row>
    <row r="158">
      <c r="A158" s="130" t="n">
        <v>45442</v>
      </c>
      <c r="B158" s="131" t="inlineStr">
        <is>
          <t>NET PI TO HSL SEC A/C 523686-00602340029434</t>
        </is>
      </c>
      <c r="C158" s="131" t="inlineStr">
        <is>
          <t>0000000526416129</t>
        </is>
      </c>
      <c r="D158" s="131" t="n">
        <v>392.56</v>
      </c>
      <c r="E158" s="131" t="n">
        <v>0</v>
      </c>
      <c r="F158" s="131" t="n">
        <v>69079.32000000001</v>
      </c>
      <c r="G158" s="131" t="inlineStr">
        <is>
          <t>HDFC Securities</t>
        </is>
      </c>
      <c r="H158" s="131" t="inlineStr">
        <is>
          <t>HDFC 0094</t>
        </is>
      </c>
    </row>
    <row r="159">
      <c r="A159" s="130" t="n">
        <v>45442</v>
      </c>
      <c r="B159" s="131" t="inlineStr">
        <is>
          <t>NET PI TO HSL SEC A/C 523686-00602340029434</t>
        </is>
      </c>
      <c r="C159" s="131" t="inlineStr">
        <is>
          <t>0000000526613788</t>
        </is>
      </c>
      <c r="D159" s="131" t="n">
        <v>18904.07</v>
      </c>
      <c r="E159" s="131" t="n">
        <v>0</v>
      </c>
      <c r="F159" s="131" t="n">
        <v>50175.25</v>
      </c>
      <c r="G159" s="131" t="inlineStr">
        <is>
          <t>HDFC Securities</t>
        </is>
      </c>
      <c r="H159" s="131" t="inlineStr">
        <is>
          <t>HDFC 0094</t>
        </is>
      </c>
    </row>
    <row r="160">
      <c r="A160" s="130" t="n">
        <v>45442</v>
      </c>
      <c r="B160" s="131" t="inlineStr">
        <is>
          <t>NET PO FROM HSL A/C 523686-50200085415108</t>
        </is>
      </c>
      <c r="C160" s="131" t="inlineStr">
        <is>
          <t>0000000526310465</t>
        </is>
      </c>
      <c r="D160" s="131" t="n">
        <v>0</v>
      </c>
      <c r="E160" s="131" t="n">
        <v>17962.1</v>
      </c>
      <c r="F160" s="131" t="n">
        <v>69471.88</v>
      </c>
      <c r="G160" s="131" t="inlineStr">
        <is>
          <t>HDFC Securities</t>
        </is>
      </c>
      <c r="H160" s="131" t="inlineStr">
        <is>
          <t>HDFC 0094</t>
        </is>
      </c>
    </row>
    <row r="161">
      <c r="A161" s="130" t="n">
        <v>45443</v>
      </c>
      <c r="B161" s="131" t="inlineStr">
        <is>
          <t>NET PI TO HSL SEC A/C 523686-00602340029434</t>
        </is>
      </c>
      <c r="C161" s="131" t="inlineStr">
        <is>
          <t>0000000526847575</t>
        </is>
      </c>
      <c r="D161" s="131" t="n">
        <v>380.68</v>
      </c>
      <c r="E161" s="131" t="n">
        <v>0</v>
      </c>
      <c r="F161" s="131" t="n">
        <v>49794.57</v>
      </c>
      <c r="G161" s="131" t="inlineStr">
        <is>
          <t>HDFC Securities</t>
        </is>
      </c>
      <c r="H161" s="131" t="inlineStr">
        <is>
          <t>HDFC 0094</t>
        </is>
      </c>
    </row>
    <row r="162">
      <c r="A162" s="130" t="n">
        <v>45443</v>
      </c>
      <c r="B162" s="131" t="inlineStr">
        <is>
          <t>NET PI TO HSL SEC A/C 523686-00602340029434</t>
        </is>
      </c>
      <c r="C162" s="131" t="inlineStr">
        <is>
          <t>0000000526983253</t>
        </is>
      </c>
      <c r="D162" s="131" t="n">
        <v>39887.86</v>
      </c>
      <c r="E162" s="131" t="n">
        <v>0</v>
      </c>
      <c r="F162" s="131" t="n">
        <v>9906.709999999999</v>
      </c>
      <c r="G162" s="131" t="inlineStr">
        <is>
          <t>HDFC Securities</t>
        </is>
      </c>
      <c r="H162" s="131" t="inlineStr">
        <is>
          <t>HDFC 0094</t>
        </is>
      </c>
    </row>
    <row r="163">
      <c r="A163" s="130" t="n">
        <v>45446</v>
      </c>
      <c r="B163" s="131" t="inlineStr">
        <is>
          <t>NET PI TO HSL SEC A/C 523686-00602340029434</t>
        </is>
      </c>
      <c r="C163" s="131" t="inlineStr">
        <is>
          <t>0000000527397481</t>
        </is>
      </c>
      <c r="D163" s="131" t="n">
        <v>1158.51</v>
      </c>
      <c r="E163" s="131" t="n">
        <v>0</v>
      </c>
      <c r="F163" s="131" t="n">
        <v>28034.65</v>
      </c>
      <c r="G163" s="131" t="inlineStr">
        <is>
          <t>HDFC Securities</t>
        </is>
      </c>
      <c r="H163" s="131" t="inlineStr">
        <is>
          <t>HDFC 0094</t>
        </is>
      </c>
    </row>
    <row r="164">
      <c r="A164" s="130" t="n">
        <v>45446</v>
      </c>
      <c r="B164" s="131" t="inlineStr">
        <is>
          <t>NET PO FROM HSL A/C 523686-50200085415108</t>
        </is>
      </c>
      <c r="C164" s="131" t="inlineStr">
        <is>
          <t>0000000527168583</t>
        </is>
      </c>
      <c r="D164" s="131" t="n">
        <v>0</v>
      </c>
      <c r="E164" s="131" t="n">
        <v>19286.45</v>
      </c>
      <c r="F164" s="131" t="n">
        <v>29193.16</v>
      </c>
      <c r="G164" s="131" t="inlineStr">
        <is>
          <t>HDFC Securities</t>
        </is>
      </c>
      <c r="H164" s="131" t="inlineStr">
        <is>
          <t>HDFC 0094</t>
        </is>
      </c>
    </row>
    <row r="165">
      <c r="A165" s="130" t="n">
        <v>45447</v>
      </c>
      <c r="B165" s="131" t="inlineStr">
        <is>
          <t>NET PI TO HSL SEC A/C 523686-00602340029434</t>
        </is>
      </c>
      <c r="C165" s="131" t="inlineStr">
        <is>
          <t>0000000528299131</t>
        </is>
      </c>
      <c r="D165" s="131" t="n">
        <v>29431.78</v>
      </c>
      <c r="E165" s="131" t="n">
        <v>0</v>
      </c>
      <c r="F165" s="131" t="n">
        <v>0</v>
      </c>
      <c r="G165" s="131" t="inlineStr">
        <is>
          <t>HDFC Securities</t>
        </is>
      </c>
      <c r="H165" s="131" t="inlineStr">
        <is>
          <t>HDFC 0094</t>
        </is>
      </c>
    </row>
    <row r="166">
      <c r="A166" s="130" t="n">
        <v>45447</v>
      </c>
      <c r="B166" s="131" t="inlineStr">
        <is>
          <t>ACH C- TCSFINDIV040624-885329</t>
        </is>
      </c>
      <c r="C166" s="131" t="inlineStr">
        <is>
          <t>0000004459428482</t>
        </is>
      </c>
      <c r="D166" s="131" t="n">
        <v>0</v>
      </c>
      <c r="E166" s="131" t="n">
        <v>448</v>
      </c>
      <c r="F166" s="131" t="n">
        <v>29431.78</v>
      </c>
      <c r="G166" s="131" t="inlineStr">
        <is>
          <t>Dividend Income</t>
        </is>
      </c>
      <c r="H166" s="131" t="inlineStr">
        <is>
          <t>HDFC 0094</t>
        </is>
      </c>
    </row>
    <row r="167">
      <c r="A167" s="130" t="n">
        <v>45447</v>
      </c>
      <c r="B167" s="131" t="inlineStr">
        <is>
          <t>NET PI TO HSL SEC A/C 523686-00602340029434</t>
        </is>
      </c>
      <c r="C167" s="131" t="inlineStr">
        <is>
          <t>0000000527925710</t>
        </is>
      </c>
      <c r="D167" s="131" t="n">
        <v>380.63</v>
      </c>
      <c r="E167" s="131" t="n">
        <v>0</v>
      </c>
      <c r="F167" s="131" t="n">
        <v>28983.78</v>
      </c>
      <c r="G167" s="131" t="inlineStr">
        <is>
          <t>HDFC Securities</t>
        </is>
      </c>
      <c r="H167" s="131" t="inlineStr">
        <is>
          <t>HDFC 0094</t>
        </is>
      </c>
    </row>
    <row r="168">
      <c r="A168" s="130" t="n">
        <v>45447</v>
      </c>
      <c r="B168" s="131" t="inlineStr">
        <is>
          <t>NET PO FROM HSL A/C 523686-50200085415108</t>
        </is>
      </c>
      <c r="C168" s="131" t="inlineStr">
        <is>
          <t>0000000527738985</t>
        </is>
      </c>
      <c r="D168" s="131" t="n">
        <v>0</v>
      </c>
      <c r="E168" s="131" t="n">
        <v>1329.76</v>
      </c>
      <c r="F168" s="131" t="n">
        <v>29364.41</v>
      </c>
      <c r="G168" s="131" t="inlineStr">
        <is>
          <t>HDFC Securities</t>
        </is>
      </c>
      <c r="H168" s="131" t="inlineStr">
        <is>
          <t>HDFC 0094</t>
        </is>
      </c>
    </row>
    <row r="169">
      <c r="A169" s="130" t="n">
        <v>45448</v>
      </c>
      <c r="B169" s="131" t="inlineStr">
        <is>
          <t>NET PI TO HSL SEC A/C 523686-00602340029434</t>
        </is>
      </c>
      <c r="C169" s="131" t="inlineStr">
        <is>
          <t>0000000528864148</t>
        </is>
      </c>
      <c r="D169" s="131" t="n">
        <v>23134.5</v>
      </c>
      <c r="E169" s="131" t="n">
        <v>0</v>
      </c>
      <c r="F169" s="131" t="n">
        <v>0</v>
      </c>
      <c r="G169" s="131" t="inlineStr">
        <is>
          <t>HDFC Securities</t>
        </is>
      </c>
      <c r="H169" s="131" t="inlineStr">
        <is>
          <t>HDFC 0094</t>
        </is>
      </c>
    </row>
    <row r="170">
      <c r="A170" s="130" t="n">
        <v>45448</v>
      </c>
      <c r="B170" s="131" t="inlineStr">
        <is>
          <t>NEFT CR-SBIN0004266-SBI GENERAL INSURANCE CO LTDSBI GEN-SUNITA GUPTA 0000000002717756-SBIN224157215153</t>
        </is>
      </c>
      <c r="C170" s="131" t="inlineStr">
        <is>
          <t>SBIN224157215153</t>
        </is>
      </c>
      <c r="D170" s="131" t="n">
        <v>0</v>
      </c>
      <c r="E170" s="131" t="n">
        <v>21011</v>
      </c>
      <c r="F170" s="131" t="n">
        <v>23134.5</v>
      </c>
      <c r="G170" s="131" t="inlineStr">
        <is>
          <t>Sunita Gupta</t>
        </is>
      </c>
      <c r="H170" s="131" t="inlineStr">
        <is>
          <t>HDFC 0094</t>
        </is>
      </c>
    </row>
    <row r="171">
      <c r="A171" s="130" t="n">
        <v>45448</v>
      </c>
      <c r="B171" s="131" t="inlineStr">
        <is>
          <t>ACH C- STATE BANK OF INDIA-2175022</t>
        </is>
      </c>
      <c r="C171" s="131" t="inlineStr">
        <is>
          <t>0000004594955132</t>
        </is>
      </c>
      <c r="D171" s="131" t="n">
        <v>0</v>
      </c>
      <c r="E171" s="131" t="n">
        <v>2123.5</v>
      </c>
      <c r="F171" s="131" t="n">
        <v>2123.5</v>
      </c>
      <c r="G171" s="131" t="inlineStr">
        <is>
          <t>Dividend Income</t>
        </is>
      </c>
      <c r="H171" s="131" t="inlineStr">
        <is>
          <t>HDFC 0094</t>
        </is>
      </c>
    </row>
    <row r="172">
      <c r="A172" s="130" t="n">
        <v>45448</v>
      </c>
      <c r="B172" s="131" t="inlineStr">
        <is>
          <t>NET PI TO HSL SEC A/C 523686-00602340029434</t>
        </is>
      </c>
      <c r="C172" s="131" t="inlineStr">
        <is>
          <t>0000000528695538</t>
        </is>
      </c>
      <c r="D172" s="131" t="n">
        <v>20000</v>
      </c>
      <c r="E172" s="131" t="n">
        <v>0</v>
      </c>
      <c r="F172" s="131" t="n">
        <v>0</v>
      </c>
      <c r="G172" s="131" t="inlineStr">
        <is>
          <t>HDFC Securities</t>
        </is>
      </c>
      <c r="H172" s="131" t="inlineStr">
        <is>
          <t>HDFC 0094</t>
        </is>
      </c>
    </row>
    <row r="173">
      <c r="A173" s="130" t="n">
        <v>45448</v>
      </c>
      <c r="B173" s="131" t="inlineStr">
        <is>
          <t>UPI-AJAY KUMAR GUPTA-AJAYGUPTANEL@YBL-HDFC0000167-415752435538-PAYMENT FROM PHONE</t>
        </is>
      </c>
      <c r="C173" s="131" t="inlineStr">
        <is>
          <t>0000415752435538</t>
        </is>
      </c>
      <c r="D173" s="131" t="n">
        <v>0</v>
      </c>
      <c r="E173" s="131" t="n">
        <v>20000</v>
      </c>
      <c r="F173" s="131" t="n">
        <v>20000</v>
      </c>
      <c r="G173" s="131" t="inlineStr">
        <is>
          <t>Ajay Gupta</t>
        </is>
      </c>
      <c r="H173" s="131" t="inlineStr">
        <is>
          <t>HDFC 0094</t>
        </is>
      </c>
    </row>
    <row r="174">
      <c r="A174" s="130" t="n">
        <v>45449</v>
      </c>
      <c r="B174" s="131" t="inlineStr">
        <is>
          <t>NET PO FROM HSL A/C 523686-50200085415108</t>
        </is>
      </c>
      <c r="C174" s="131" t="inlineStr">
        <is>
          <t>0000000529124080</t>
        </is>
      </c>
      <c r="D174" s="131" t="n">
        <v>0</v>
      </c>
      <c r="E174" s="131" t="n">
        <v>20604.39</v>
      </c>
      <c r="F174" s="131" t="n">
        <v>20604.39</v>
      </c>
      <c r="G174" s="131" t="inlineStr">
        <is>
          <t>HDFC Securities</t>
        </is>
      </c>
      <c r="H174" s="131" t="inlineStr">
        <is>
          <t>HDFC 0094</t>
        </is>
      </c>
    </row>
    <row r="175">
      <c r="A175" s="130" t="n">
        <v>45449</v>
      </c>
      <c r="B175" s="131" t="inlineStr">
        <is>
          <t>NET PI TO HSL SEC A/C 523686-00602340029434</t>
        </is>
      </c>
      <c r="C175" s="131" t="inlineStr">
        <is>
          <t>0000000529230416</t>
        </is>
      </c>
      <c r="D175" s="131" t="n">
        <v>374.73</v>
      </c>
      <c r="E175" s="131" t="n">
        <v>0</v>
      </c>
      <c r="F175" s="131" t="n">
        <v>20229.66</v>
      </c>
      <c r="G175" s="131" t="inlineStr">
        <is>
          <t>HDFC Securities</t>
        </is>
      </c>
      <c r="H175" s="131" t="inlineStr">
        <is>
          <t>HDFC 0094</t>
        </is>
      </c>
    </row>
    <row r="176">
      <c r="A176" s="130" t="n">
        <v>45450</v>
      </c>
      <c r="B176" s="131" t="inlineStr">
        <is>
          <t>NET PO FROM HSL A/C 523686-50200085415108</t>
        </is>
      </c>
      <c r="C176" s="131" t="inlineStr">
        <is>
          <t>0000000529523525</t>
        </is>
      </c>
      <c r="D176" s="131" t="n">
        <v>0</v>
      </c>
      <c r="E176" s="131" t="n">
        <v>16550.74</v>
      </c>
      <c r="F176" s="131" t="n">
        <v>36780.4</v>
      </c>
      <c r="G176" s="131" t="inlineStr">
        <is>
          <t>HDFC Securities</t>
        </is>
      </c>
      <c r="H176" s="131" t="inlineStr">
        <is>
          <t>HDFC 0094</t>
        </is>
      </c>
    </row>
    <row r="177">
      <c r="A177" s="130" t="n">
        <v>45450</v>
      </c>
      <c r="B177" s="131" t="inlineStr">
        <is>
          <t>NET PI TO HSL SEC A/C 523686-00602340029434</t>
        </is>
      </c>
      <c r="C177" s="131" t="inlineStr">
        <is>
          <t>0000000529676795</t>
        </is>
      </c>
      <c r="D177" s="131" t="n">
        <v>374.73</v>
      </c>
      <c r="E177" s="131" t="n">
        <v>0</v>
      </c>
      <c r="F177" s="131" t="n">
        <v>36405.67</v>
      </c>
      <c r="G177" s="131" t="inlineStr">
        <is>
          <t>HDFC Securities</t>
        </is>
      </c>
      <c r="H177" s="131" t="inlineStr">
        <is>
          <t>HDFC 0094</t>
        </is>
      </c>
    </row>
    <row r="178">
      <c r="A178" s="130" t="n">
        <v>45450</v>
      </c>
      <c r="B178" s="131" t="inlineStr">
        <is>
          <t>NET PO FROM HSL A/C 523686-50200085415108</t>
        </is>
      </c>
      <c r="C178" s="131" t="inlineStr">
        <is>
          <t>0000000529837791</t>
        </is>
      </c>
      <c r="D178" s="131" t="n">
        <v>0</v>
      </c>
      <c r="E178" s="131" t="n">
        <v>6997.46</v>
      </c>
      <c r="F178" s="131" t="n">
        <v>43403.13</v>
      </c>
      <c r="G178" s="131" t="inlineStr">
        <is>
          <t>HDFC Securities</t>
        </is>
      </c>
      <c r="H178" s="131" t="inlineStr">
        <is>
          <t>HDFC 0094</t>
        </is>
      </c>
    </row>
    <row r="179">
      <c r="A179" s="130" t="n">
        <v>45451</v>
      </c>
      <c r="B179" s="131" t="inlineStr">
        <is>
          <t>NEFT/YESEB41601792243/ZERODHA BROKING LTD- FOR ZER/YES BANK/12067726cc9f47dca08914 Zerodh</t>
        </is>
      </c>
      <c r="C179" s="131" t="inlineStr">
        <is>
          <t>-</t>
        </is>
      </c>
      <c r="D179" s="131" t="n">
        <v>0</v>
      </c>
      <c r="E179" s="131" t="n">
        <v>7726.63</v>
      </c>
      <c r="F179" s="131" t="n">
        <v>46562.75</v>
      </c>
      <c r="G179" s="131" t="inlineStr">
        <is>
          <t>Transfer</t>
        </is>
      </c>
      <c r="H179" s="131" t="inlineStr">
        <is>
          <t>AXIS 7042</t>
        </is>
      </c>
    </row>
    <row r="180">
      <c r="A180" s="130" t="n">
        <v>45452</v>
      </c>
      <c r="B180" s="131" t="inlineStr">
        <is>
          <t>01671000085930-TPT-MNY RTRN FROM SUNITA TO AKG-AJAY KUMAR GUPTA</t>
        </is>
      </c>
      <c r="C180" s="131" t="inlineStr">
        <is>
          <t>0000000335441226</t>
        </is>
      </c>
      <c r="D180" s="131" t="n">
        <v>20000</v>
      </c>
      <c r="E180" s="131" t="n">
        <v>0</v>
      </c>
      <c r="F180" s="131" t="n">
        <v>23403.13</v>
      </c>
      <c r="G180" s="131" t="inlineStr">
        <is>
          <t>Sunita Gupta</t>
        </is>
      </c>
      <c r="H180" s="131" t="inlineStr">
        <is>
          <t>HDFC 0094</t>
        </is>
      </c>
    </row>
    <row r="181">
      <c r="A181" s="130" t="n">
        <v>45453</v>
      </c>
      <c r="B181" s="131" t="inlineStr">
        <is>
          <t>GST @18% on MAB Charge</t>
        </is>
      </c>
      <c r="C181" s="131" t="inlineStr">
        <is>
          <t>-</t>
        </is>
      </c>
      <c r="D181" s="131" t="n">
        <v>108</v>
      </c>
      <c r="E181" s="131" t="n">
        <v>0</v>
      </c>
      <c r="F181" s="131" t="n">
        <v>46454.75</v>
      </c>
      <c r="G181" s="131" t="inlineStr">
        <is>
          <t>Bank Charges</t>
        </is>
      </c>
      <c r="H181" s="131" t="inlineStr">
        <is>
          <t>AXIS 7042</t>
        </is>
      </c>
    </row>
    <row r="182">
      <c r="A182" s="130" t="n">
        <v>45453</v>
      </c>
      <c r="B182" s="131" t="inlineStr">
        <is>
          <t>NET PI TO HSL SEC A/C 523686-00602340029434</t>
        </is>
      </c>
      <c r="C182" s="131" t="inlineStr">
        <is>
          <t>0000000530427142</t>
        </is>
      </c>
      <c r="D182" s="131" t="n">
        <v>35676.16</v>
      </c>
      <c r="E182" s="131" t="n">
        <v>0</v>
      </c>
      <c r="F182" s="131" t="n">
        <v>72564.71000000001</v>
      </c>
      <c r="G182" s="131" t="inlineStr">
        <is>
          <t>HDFC Securities</t>
        </is>
      </c>
      <c r="H182" s="131" t="inlineStr">
        <is>
          <t>HDFC 0094</t>
        </is>
      </c>
    </row>
    <row r="183">
      <c r="A183" s="130" t="n">
        <v>45453</v>
      </c>
      <c r="B183" s="131" t="inlineStr">
        <is>
          <t>Non-Maint Avg bal chgs Apr2024</t>
        </is>
      </c>
      <c r="C183" s="131" t="inlineStr">
        <is>
          <t>-</t>
        </is>
      </c>
      <c r="D183" s="131" t="n">
        <v>600</v>
      </c>
      <c r="E183" s="131" t="n">
        <v>0</v>
      </c>
      <c r="F183" s="131" t="n">
        <v>45854.75</v>
      </c>
      <c r="G183" s="131" t="inlineStr">
        <is>
          <t>Bank Charges</t>
        </is>
      </c>
      <c r="H183" s="131" t="inlineStr">
        <is>
          <t>AXIS 7042</t>
        </is>
      </c>
    </row>
    <row r="184">
      <c r="A184" s="130" t="n">
        <v>45453</v>
      </c>
      <c r="B184" s="131" t="inlineStr">
        <is>
          <t>NET PI TO HSL SEC A/C 523686-00602340029434</t>
        </is>
      </c>
      <c r="C184" s="131" t="inlineStr">
        <is>
          <t>0000000530268700</t>
        </is>
      </c>
      <c r="D184" s="131" t="n">
        <v>1149.33</v>
      </c>
      <c r="E184" s="131" t="n">
        <v>0</v>
      </c>
      <c r="F184" s="131" t="n">
        <v>78483.87</v>
      </c>
      <c r="G184" s="131" t="inlineStr">
        <is>
          <t>HDFC Securities</t>
        </is>
      </c>
      <c r="H184" s="131" t="inlineStr">
        <is>
          <t>HDFC 0094</t>
        </is>
      </c>
    </row>
    <row r="185">
      <c r="A185" s="130" t="n">
        <v>45453</v>
      </c>
      <c r="B185" s="131" t="inlineStr">
        <is>
          <t>NET PO FROM HSL A/C 523686-50200085415108</t>
        </is>
      </c>
      <c r="C185" s="131" t="inlineStr">
        <is>
          <t>0000000530072397</t>
        </is>
      </c>
      <c r="D185" s="131" t="n">
        <v>0</v>
      </c>
      <c r="E185" s="131" t="n">
        <v>56230.07</v>
      </c>
      <c r="F185" s="131" t="n">
        <v>79633.2</v>
      </c>
      <c r="G185" s="131" t="inlineStr">
        <is>
          <t>HDFC Securities</t>
        </is>
      </c>
      <c r="H185" s="131" t="inlineStr">
        <is>
          <t>HDFC 0094</t>
        </is>
      </c>
    </row>
    <row r="186">
      <c r="A186" s="130" t="n">
        <v>45453</v>
      </c>
      <c r="B186" s="131" t="inlineStr">
        <is>
          <t>NEFT CR-SBIN0004266-SBI GENERAL INSURANCE CO LTDSBI GEN-SUNITA GUPTA 0000000002717756-SBIN124162902146</t>
        </is>
      </c>
      <c r="C186" s="131" t="inlineStr">
        <is>
          <t>SBIN124162902146</t>
        </is>
      </c>
      <c r="D186" s="131" t="n">
        <v>0</v>
      </c>
      <c r="E186" s="131" t="n">
        <v>29757</v>
      </c>
      <c r="F186" s="131" t="n">
        <v>108240.87</v>
      </c>
      <c r="G186" s="131" t="inlineStr">
        <is>
          <t>Sunita Gupta</t>
        </is>
      </c>
      <c r="H186" s="131" t="inlineStr">
        <is>
          <t>HDFC 0094</t>
        </is>
      </c>
    </row>
    <row r="187">
      <c r="A187" s="130" t="n">
        <v>45454</v>
      </c>
      <c r="B187" s="131" t="inlineStr">
        <is>
          <t>NET PO FROM HSL A/C 523686-50200085415108</t>
        </is>
      </c>
      <c r="C187" s="131" t="inlineStr">
        <is>
          <t>0000000530605418</t>
        </is>
      </c>
      <c r="D187" s="131" t="n">
        <v>0</v>
      </c>
      <c r="E187" s="131" t="n">
        <v>17608.23</v>
      </c>
      <c r="F187" s="131" t="n">
        <v>90172.94</v>
      </c>
      <c r="G187" s="131" t="inlineStr">
        <is>
          <t>HDFC Securities</t>
        </is>
      </c>
      <c r="H187" s="131" t="inlineStr">
        <is>
          <t>HDFC 0094</t>
        </is>
      </c>
    </row>
    <row r="188">
      <c r="A188" s="130" t="n">
        <v>45454</v>
      </c>
      <c r="B188" s="131" t="inlineStr">
        <is>
          <t>NET PI TO HSL SEC A/C 523686-00602340029434</t>
        </is>
      </c>
      <c r="C188" s="131" t="inlineStr">
        <is>
          <t>0000000530703842</t>
        </is>
      </c>
      <c r="D188" s="131" t="n">
        <v>370.41</v>
      </c>
      <c r="E188" s="131" t="n">
        <v>0</v>
      </c>
      <c r="F188" s="131" t="n">
        <v>89802.53</v>
      </c>
      <c r="G188" s="131" t="inlineStr">
        <is>
          <t>HDFC Securities</t>
        </is>
      </c>
      <c r="H188" s="131" t="inlineStr">
        <is>
          <t>HDFC 0094</t>
        </is>
      </c>
    </row>
    <row r="189">
      <c r="A189" s="130" t="n">
        <v>45454</v>
      </c>
      <c r="B189" s="131" t="inlineStr">
        <is>
          <t>NET PI TO HSL SEC A/C 523686-00602340029434</t>
        </is>
      </c>
      <c r="C189" s="131" t="inlineStr">
        <is>
          <t>0000000530863788</t>
        </is>
      </c>
      <c r="D189" s="131" t="n">
        <v>61786.82</v>
      </c>
      <c r="E189" s="131" t="n">
        <v>0</v>
      </c>
      <c r="F189" s="131" t="n">
        <v>28015.71</v>
      </c>
      <c r="G189" s="131" t="inlineStr">
        <is>
          <t>HDFC Securities</t>
        </is>
      </c>
      <c r="H189" s="131" t="inlineStr">
        <is>
          <t>HDFC 0094</t>
        </is>
      </c>
    </row>
    <row r="190">
      <c r="A190" s="130" t="n">
        <v>45455</v>
      </c>
      <c r="B190" s="131" t="inlineStr">
        <is>
          <t>NET PI TO HSL SEC A/C 523686-00602340029434</t>
        </is>
      </c>
      <c r="C190" s="131" t="inlineStr">
        <is>
          <t>0000000531134095</t>
        </is>
      </c>
      <c r="D190" s="131" t="n">
        <v>387.2</v>
      </c>
      <c r="E190" s="131" t="n">
        <v>0</v>
      </c>
      <c r="F190" s="131" t="n">
        <v>27628.51</v>
      </c>
      <c r="G190" s="131" t="inlineStr">
        <is>
          <t>HDFC Securities</t>
        </is>
      </c>
      <c r="H190" s="131" t="inlineStr">
        <is>
          <t>HDFC 0094</t>
        </is>
      </c>
    </row>
    <row r="191">
      <c r="A191" s="130" t="n">
        <v>45456</v>
      </c>
      <c r="B191" s="131" t="inlineStr">
        <is>
          <t>NET PI TO HSL SEC A/C 523686-00602340029434</t>
        </is>
      </c>
      <c r="C191" s="131" t="inlineStr">
        <is>
          <t>0000000531717456</t>
        </is>
      </c>
      <c r="D191" s="131" t="n">
        <v>26388.21</v>
      </c>
      <c r="E191" s="131" t="n">
        <v>0</v>
      </c>
      <c r="F191" s="131" t="n">
        <v>12154.87</v>
      </c>
      <c r="G191" s="131" t="inlineStr">
        <is>
          <t>HDFC Securities</t>
        </is>
      </c>
      <c r="H191" s="131" t="inlineStr">
        <is>
          <t>HDFC 0094</t>
        </is>
      </c>
    </row>
    <row r="192">
      <c r="A192" s="130" t="n">
        <v>45456</v>
      </c>
      <c r="B192" s="131" t="inlineStr">
        <is>
          <t>NEFT CR-SBIN0004266-SBI GENERAL INSURANCE CO LTDSBI GEN-SUNITA GUPTA 0000000002717756-SBIN524165752954</t>
        </is>
      </c>
      <c r="C192" s="131" t="inlineStr">
        <is>
          <t>SBIN524165752954</t>
        </is>
      </c>
      <c r="D192" s="131" t="n">
        <v>0</v>
      </c>
      <c r="E192" s="131" t="n">
        <v>2380</v>
      </c>
      <c r="F192" s="131" t="n">
        <v>38543.08</v>
      </c>
      <c r="G192" s="131" t="inlineStr">
        <is>
          <t>Sunita Gupta</t>
        </is>
      </c>
      <c r="H192" s="131" t="inlineStr">
        <is>
          <t>HDFC 0094</t>
        </is>
      </c>
    </row>
    <row r="193">
      <c r="A193" s="130" t="n">
        <v>45456</v>
      </c>
      <c r="B193" s="131" t="inlineStr">
        <is>
          <t>NET PI TO HSL SEC A/C 523686-00602340029434</t>
        </is>
      </c>
      <c r="C193" s="131" t="inlineStr">
        <is>
          <t>0000000531577061</t>
        </is>
      </c>
      <c r="D193" s="131" t="n">
        <v>433.51</v>
      </c>
      <c r="E193" s="131" t="n">
        <v>0</v>
      </c>
      <c r="F193" s="131" t="n">
        <v>36163.08</v>
      </c>
      <c r="G193" s="131" t="inlineStr">
        <is>
          <t>HDFC Securities</t>
        </is>
      </c>
      <c r="H193" s="131" t="inlineStr">
        <is>
          <t>HDFC 0094</t>
        </is>
      </c>
    </row>
    <row r="194">
      <c r="A194" s="130" t="n">
        <v>45456</v>
      </c>
      <c r="B194" s="131" t="inlineStr">
        <is>
          <t>50100542230922-TPT-TRANS FROM SUNITA TO ARCHIT-ARCHIT GUPTA</t>
        </is>
      </c>
      <c r="C194" s="131" t="inlineStr">
        <is>
          <t>0000000455194334</t>
        </is>
      </c>
      <c r="D194" s="131" t="n">
        <v>50000</v>
      </c>
      <c r="E194" s="131" t="n">
        <v>0</v>
      </c>
      <c r="F194" s="131" t="n">
        <v>86596.59</v>
      </c>
      <c r="G194" s="131" t="inlineStr">
        <is>
          <t>Sunita Gupta</t>
        </is>
      </c>
      <c r="H194" s="131" t="inlineStr">
        <is>
          <t>HDFC 0094</t>
        </is>
      </c>
    </row>
    <row r="195">
      <c r="A195" s="130" t="n">
        <v>45456</v>
      </c>
      <c r="B195" s="131" t="inlineStr">
        <is>
          <t>NET PO FROM HSL A/C 523686-50200085415108</t>
        </is>
      </c>
      <c r="C195" s="131" t="inlineStr">
        <is>
          <t>0000000531468067</t>
        </is>
      </c>
      <c r="D195" s="131" t="n">
        <v>0</v>
      </c>
      <c r="E195" s="131" t="n">
        <v>48812.56</v>
      </c>
      <c r="F195" s="131" t="n">
        <v>136596.59</v>
      </c>
      <c r="G195" s="131" t="inlineStr">
        <is>
          <t>HDFC Securities</t>
        </is>
      </c>
      <c r="H195" s="131" t="inlineStr">
        <is>
          <t>HDFC 0094</t>
        </is>
      </c>
    </row>
    <row r="196">
      <c r="A196" s="130" t="n">
        <v>45456</v>
      </c>
      <c r="B196" s="131" t="inlineStr">
        <is>
          <t>YHDF2352323582/BILLDKINDIANCLEARING</t>
        </is>
      </c>
      <c r="C196" s="131" t="inlineStr">
        <is>
          <t>0002416553264785</t>
        </is>
      </c>
      <c r="D196" s="131" t="n">
        <v>50000</v>
      </c>
      <c r="E196" s="131" t="n">
        <v>0</v>
      </c>
      <c r="F196" s="131" t="n">
        <v>36596.59</v>
      </c>
      <c r="G196" s="131" t="inlineStr">
        <is>
          <t>SIP</t>
        </is>
      </c>
      <c r="H196" s="131" t="inlineStr">
        <is>
          <t>HDFC 0094</t>
        </is>
      </c>
    </row>
    <row r="197">
      <c r="A197" s="130" t="n">
        <v>45456</v>
      </c>
      <c r="B197" s="131" t="inlineStr">
        <is>
          <t>NET PO FROM HSL A/C 523686-50200085415108</t>
        </is>
      </c>
      <c r="C197" s="131" t="inlineStr">
        <is>
          <t>0000000531422119</t>
        </is>
      </c>
      <c r="D197" s="131" t="n">
        <v>0</v>
      </c>
      <c r="E197" s="131" t="n">
        <v>60155.52</v>
      </c>
      <c r="F197" s="131" t="n">
        <v>87784.03</v>
      </c>
      <c r="G197" s="131" t="inlineStr">
        <is>
          <t>HDFC Securities</t>
        </is>
      </c>
      <c r="H197" s="131" t="inlineStr">
        <is>
          <t>HDFC 0094</t>
        </is>
      </c>
    </row>
    <row r="198">
      <c r="A198" s="130" t="n">
        <v>45457</v>
      </c>
      <c r="B198" s="131" t="inlineStr">
        <is>
          <t>NET PI TO HSL SEC A/C 523686-00602340029434</t>
        </is>
      </c>
      <c r="C198" s="131" t="inlineStr">
        <is>
          <t>0000000531975641</t>
        </is>
      </c>
      <c r="D198" s="131" t="n">
        <v>395.45</v>
      </c>
      <c r="E198" s="131" t="n">
        <v>0</v>
      </c>
      <c r="F198" s="131" t="n">
        <v>11759.42</v>
      </c>
      <c r="G198" s="131" t="inlineStr">
        <is>
          <t>HDFC Securities</t>
        </is>
      </c>
      <c r="H198" s="131" t="inlineStr">
        <is>
          <t>HDFC 0094</t>
        </is>
      </c>
    </row>
    <row r="199">
      <c r="A199" s="130" t="n">
        <v>45461</v>
      </c>
      <c r="B199" s="131" t="inlineStr">
        <is>
          <t>NET PO FROM HSL A/C 523686-50200085415108</t>
        </is>
      </c>
      <c r="C199" s="131" t="inlineStr">
        <is>
          <t>0000000532270364</t>
        </is>
      </c>
      <c r="D199" s="131" t="n">
        <v>0</v>
      </c>
      <c r="E199" s="131" t="n">
        <v>42936.66</v>
      </c>
      <c r="F199" s="131" t="n">
        <v>54696.08</v>
      </c>
      <c r="G199" s="131" t="inlineStr">
        <is>
          <t>HDFC Securities</t>
        </is>
      </c>
      <c r="H199" s="131" t="inlineStr">
        <is>
          <t>HDFC 0094</t>
        </is>
      </c>
    </row>
    <row r="200">
      <c r="A200" s="130" t="n">
        <v>45461</v>
      </c>
      <c r="B200" s="131" t="inlineStr">
        <is>
          <t>DEPOSITORY CHARGES MAY24 - 41060499</t>
        </is>
      </c>
      <c r="C200" s="131" t="inlineStr">
        <is>
          <t>000000000000000</t>
        </is>
      </c>
      <c r="D200" s="131" t="n">
        <v>2871.57</v>
      </c>
      <c r="E200" s="131" t="n">
        <v>0</v>
      </c>
      <c r="F200" s="131" t="n">
        <v>46824.51</v>
      </c>
      <c r="G200" s="131" t="inlineStr">
        <is>
          <t>Depository Charges</t>
        </is>
      </c>
      <c r="H200" s="131" t="inlineStr">
        <is>
          <t>HDFC 0094</t>
        </is>
      </c>
    </row>
    <row r="201">
      <c r="A201" s="130" t="n">
        <v>45461</v>
      </c>
      <c r="B201" s="131" t="inlineStr">
        <is>
          <t>NET PI TO HSL SEC A/C 523686-00602340029434</t>
        </is>
      </c>
      <c r="C201" s="131" t="inlineStr">
        <is>
          <t>0000000532530653</t>
        </is>
      </c>
      <c r="D201" s="131" t="n">
        <v>1677.96</v>
      </c>
      <c r="E201" s="131" t="n">
        <v>0</v>
      </c>
      <c r="F201" s="131" t="n">
        <v>45146.55</v>
      </c>
      <c r="G201" s="131" t="inlineStr">
        <is>
          <t>HDFC Securities</t>
        </is>
      </c>
      <c r="H201" s="131" t="inlineStr">
        <is>
          <t>HDFC 0094</t>
        </is>
      </c>
    </row>
    <row r="202">
      <c r="A202" s="130" t="n">
        <v>45461</v>
      </c>
      <c r="B202" s="131" t="inlineStr">
        <is>
          <t>ACH D- INDIAN CLEARING CORP-P25847643X05</t>
        </is>
      </c>
      <c r="C202" s="131" t="inlineStr">
        <is>
          <t>0000004979980100</t>
        </is>
      </c>
      <c r="D202" s="131" t="n">
        <v>5000</v>
      </c>
      <c r="E202" s="131" t="n">
        <v>0</v>
      </c>
      <c r="F202" s="131" t="n">
        <v>49696.08</v>
      </c>
      <c r="G202" s="131" t="inlineStr">
        <is>
          <t>Mutual_Fund_Investments</t>
        </is>
      </c>
      <c r="H202" s="131" t="inlineStr">
        <is>
          <t>HDFC 0094</t>
        </is>
      </c>
    </row>
    <row r="203">
      <c r="A203" s="130" t="n">
        <v>45462</v>
      </c>
      <c r="B203" s="131" t="inlineStr">
        <is>
          <t>NET PO FROM HSL A/C 523686-50200085415108</t>
        </is>
      </c>
      <c r="C203" s="131" t="inlineStr">
        <is>
          <t>0000000532819754</t>
        </is>
      </c>
      <c r="D203" s="131" t="n">
        <v>0</v>
      </c>
      <c r="E203" s="131" t="n">
        <v>56690.36</v>
      </c>
      <c r="F203" s="131" t="n">
        <v>101836.91</v>
      </c>
      <c r="G203" s="131" t="inlineStr">
        <is>
          <t>HDFC Securities</t>
        </is>
      </c>
      <c r="H203" s="131" t="inlineStr">
        <is>
          <t>HDFC 0094</t>
        </is>
      </c>
    </row>
    <row r="204">
      <c r="A204" s="130" t="n">
        <v>45462</v>
      </c>
      <c r="B204" s="131" t="inlineStr">
        <is>
          <t>NET PI TO HSL SEC A/C 523686-00602340029434</t>
        </is>
      </c>
      <c r="C204" s="131" t="inlineStr">
        <is>
          <t>0000000532975708</t>
        </is>
      </c>
      <c r="D204" s="131" t="n">
        <v>401.3</v>
      </c>
      <c r="E204" s="131" t="n">
        <v>0</v>
      </c>
      <c r="F204" s="131" t="n">
        <v>149499.5</v>
      </c>
      <c r="G204" s="131" t="inlineStr">
        <is>
          <t>HDFC Securities</t>
        </is>
      </c>
      <c r="H204" s="131" t="inlineStr">
        <is>
          <t>HDFC 0094</t>
        </is>
      </c>
    </row>
    <row r="205">
      <c r="A205" s="130" t="n">
        <v>45462</v>
      </c>
      <c r="B205" s="131" t="inlineStr">
        <is>
          <t>NET PI TO HSL SEC A/C 523686-00602340029434</t>
        </is>
      </c>
      <c r="C205" s="131" t="inlineStr">
        <is>
          <t>0000000533156380</t>
        </is>
      </c>
      <c r="D205" s="131" t="n">
        <v>3814.25</v>
      </c>
      <c r="E205" s="131" t="n">
        <v>0</v>
      </c>
      <c r="F205" s="131" t="n">
        <v>145685.25</v>
      </c>
      <c r="G205" s="131" t="inlineStr">
        <is>
          <t>HDFC Securities</t>
        </is>
      </c>
      <c r="H205" s="131" t="inlineStr">
        <is>
          <t>HDFC 0094</t>
        </is>
      </c>
    </row>
    <row r="206">
      <c r="A206" s="130" t="n">
        <v>45462</v>
      </c>
      <c r="B206" s="131" t="inlineStr">
        <is>
          <t>NET PO FROM HSL A/C 523686-50200085415108</t>
        </is>
      </c>
      <c r="C206" s="131" t="inlineStr">
        <is>
          <t>0000000532867643</t>
        </is>
      </c>
      <c r="D206" s="131" t="n">
        <v>0</v>
      </c>
      <c r="E206" s="131" t="n">
        <v>48063.89</v>
      </c>
      <c r="F206" s="131" t="n">
        <v>149900.8</v>
      </c>
      <c r="G206" s="131" t="inlineStr">
        <is>
          <t>HDFC Securities</t>
        </is>
      </c>
      <c r="H206" s="131" t="inlineStr">
        <is>
          <t>HDFC 0094</t>
        </is>
      </c>
    </row>
    <row r="207">
      <c r="A207" s="130" t="n">
        <v>45463</v>
      </c>
      <c r="B207" s="131" t="inlineStr">
        <is>
          <t>NET PI TO HSL SEC A/C 523686-00602340029434</t>
        </is>
      </c>
      <c r="C207" s="131" t="inlineStr">
        <is>
          <t>0000000533449055</t>
        </is>
      </c>
      <c r="D207" s="131" t="n">
        <v>387.58</v>
      </c>
      <c r="E207" s="131" t="n">
        <v>0</v>
      </c>
      <c r="F207" s="131" t="n">
        <v>145297.67</v>
      </c>
      <c r="G207" s="131" t="inlineStr">
        <is>
          <t>HDFC Securities</t>
        </is>
      </c>
      <c r="H207" s="131" t="inlineStr">
        <is>
          <t>HDFC 0094</t>
        </is>
      </c>
    </row>
    <row r="208">
      <c r="A208" s="130" t="n">
        <v>45464</v>
      </c>
      <c r="B208" s="131" t="inlineStr">
        <is>
          <t>NET PO FROM HSL A/C 523686-50200085415108</t>
        </is>
      </c>
      <c r="C208" s="131" t="inlineStr">
        <is>
          <t>0000000533801563</t>
        </is>
      </c>
      <c r="D208" s="131" t="n">
        <v>0</v>
      </c>
      <c r="E208" s="131" t="n">
        <v>28677.57</v>
      </c>
      <c r="F208" s="131" t="n">
        <v>173975.24</v>
      </c>
      <c r="G208" s="131" t="inlineStr">
        <is>
          <t>HDFC Securities</t>
        </is>
      </c>
      <c r="H208" s="131" t="inlineStr">
        <is>
          <t>HDFC 0094</t>
        </is>
      </c>
    </row>
    <row r="209">
      <c r="A209" s="130" t="n">
        <v>45464</v>
      </c>
      <c r="B209" s="131" t="inlineStr">
        <is>
          <t>NET PO FROM HSL A/C 523686-50200085415108</t>
        </is>
      </c>
      <c r="C209" s="131" t="inlineStr">
        <is>
          <t>0000000533845880</t>
        </is>
      </c>
      <c r="D209" s="131" t="n">
        <v>0</v>
      </c>
      <c r="E209" s="131" t="n">
        <v>39997.5</v>
      </c>
      <c r="F209" s="131" t="n">
        <v>213972.74</v>
      </c>
      <c r="G209" s="131" t="inlineStr">
        <is>
          <t>HDFC Securities</t>
        </is>
      </c>
      <c r="H209" s="131" t="inlineStr">
        <is>
          <t>HDFC 0094</t>
        </is>
      </c>
    </row>
    <row r="210">
      <c r="A210" s="130" t="n">
        <v>45464</v>
      </c>
      <c r="B210" s="131" t="inlineStr">
        <is>
          <t>NET PI TO HSL SEC A/C 523686-00602340029434</t>
        </is>
      </c>
      <c r="C210" s="131" t="inlineStr">
        <is>
          <t>0000000533934791</t>
        </is>
      </c>
      <c r="D210" s="131" t="n">
        <v>387.58</v>
      </c>
      <c r="E210" s="131" t="n">
        <v>0</v>
      </c>
      <c r="F210" s="131" t="n">
        <v>213585.16</v>
      </c>
      <c r="G210" s="131" t="inlineStr">
        <is>
          <t>HDFC Securities</t>
        </is>
      </c>
      <c r="H210" s="131" t="inlineStr">
        <is>
          <t>HDFC 0094</t>
        </is>
      </c>
    </row>
    <row r="211">
      <c r="A211" s="130" t="n">
        <v>45464</v>
      </c>
      <c r="B211" s="131" t="inlineStr">
        <is>
          <t>UPI/P2M/417362340012/ZERODHA BROKING LIMIT/244473/ICICI Bank</t>
        </is>
      </c>
      <c r="C211" s="131" t="inlineStr">
        <is>
          <t>-</t>
        </is>
      </c>
      <c r="D211" s="131" t="n">
        <v>25000</v>
      </c>
      <c r="E211" s="131" t="n">
        <v>0</v>
      </c>
      <c r="F211" s="131" t="n">
        <v>20854.75</v>
      </c>
      <c r="G211" s="131" t="inlineStr">
        <is>
          <t>Zerodha Broking Limited</t>
        </is>
      </c>
      <c r="H211" s="131" t="inlineStr">
        <is>
          <t>AXIS 7042</t>
        </is>
      </c>
    </row>
    <row r="212">
      <c r="A212" s="130" t="n">
        <v>45464</v>
      </c>
      <c r="B212" s="131" t="inlineStr">
        <is>
          <t>YHDF2359276422/BILLDKTHECALCUTTAELE</t>
        </is>
      </c>
      <c r="C212" s="131" t="inlineStr">
        <is>
          <t>0002417353944157</t>
        </is>
      </c>
      <c r="D212" s="131" t="n">
        <v>31329</v>
      </c>
      <c r="E212" s="131" t="n">
        <v>0</v>
      </c>
      <c r="F212" s="131" t="n">
        <v>182256.16</v>
      </c>
      <c r="G212" s="131" t="inlineStr">
        <is>
          <t>SIP</t>
        </is>
      </c>
      <c r="H212" s="131" t="inlineStr">
        <is>
          <t>HDFC 0094</t>
        </is>
      </c>
    </row>
    <row r="213">
      <c r="A213" s="130" t="n">
        <v>45465</v>
      </c>
      <c r="B213" s="131" t="inlineStr">
        <is>
          <t>UPI/P2A/454025238186/PRERANA MANOJ CHANDAK/kitty/Axis Bank Ltd.</t>
        </is>
      </c>
      <c r="C213" s="131" t="inlineStr">
        <is>
          <t>-</t>
        </is>
      </c>
      <c r="D213" s="131" t="n">
        <v>1000</v>
      </c>
      <c r="E213" s="131" t="n">
        <v>0</v>
      </c>
      <c r="F213" s="131" t="n">
        <v>19854.75</v>
      </c>
      <c r="G213" s="131" t="inlineStr">
        <is>
          <t>Personal</t>
        </is>
      </c>
      <c r="H213" s="131" t="inlineStr">
        <is>
          <t>AXIS 7042</t>
        </is>
      </c>
    </row>
    <row r="214">
      <c r="A214" s="130" t="n">
        <v>45467</v>
      </c>
      <c r="B214" s="131" t="inlineStr">
        <is>
          <t>NEFT/N176243108305610/SUNITA GUPTA/HDFC BANK/Trf frm Sunita HDF</t>
        </is>
      </c>
      <c r="C214" s="131" t="inlineStr">
        <is>
          <t>-</t>
        </is>
      </c>
      <c r="D214" s="131" t="n">
        <v>0</v>
      </c>
      <c r="E214" s="131" t="n">
        <v>50000</v>
      </c>
      <c r="F214" s="131" t="n">
        <v>69854.75</v>
      </c>
      <c r="G214" s="131" t="inlineStr">
        <is>
          <t>Sunita Gupta</t>
        </is>
      </c>
      <c r="H214" s="131" t="inlineStr">
        <is>
          <t>AXIS 7042</t>
        </is>
      </c>
    </row>
    <row r="215">
      <c r="A215" s="130" t="n">
        <v>45467</v>
      </c>
      <c r="B215" s="131" t="inlineStr">
        <is>
          <t>NEFT DR-UTIB0002656-SUNITA GUPTA-NETBANK, MUM-N176243109164220-TFR FRM AXIS 2 HFC</t>
        </is>
      </c>
      <c r="C215" s="131" t="inlineStr">
        <is>
          <t>N176243109164220</t>
        </is>
      </c>
      <c r="D215" s="131" t="n">
        <v>25000</v>
      </c>
      <c r="E215" s="131" t="n">
        <v>0</v>
      </c>
      <c r="F215" s="131" t="n">
        <v>150815.41</v>
      </c>
      <c r="G215" s="131" t="inlineStr">
        <is>
          <t>Sunita Gupta</t>
        </is>
      </c>
      <c r="H215" s="131" t="inlineStr">
        <is>
          <t>HDFC 0094</t>
        </is>
      </c>
    </row>
    <row r="216">
      <c r="A216" s="130" t="n">
        <v>45467</v>
      </c>
      <c r="B216" s="131" t="inlineStr">
        <is>
          <t>NET PI TO HSL SEC A/C 523686-00602340029434</t>
        </is>
      </c>
      <c r="C216" s="131" t="inlineStr">
        <is>
          <t>0000000534434746</t>
        </is>
      </c>
      <c r="D216" s="131" t="n">
        <v>1135.23</v>
      </c>
      <c r="E216" s="131" t="n">
        <v>0</v>
      </c>
      <c r="F216" s="131" t="n">
        <v>175815.41</v>
      </c>
      <c r="G216" s="131" t="inlineStr">
        <is>
          <t>HDFC Securities</t>
        </is>
      </c>
      <c r="H216" s="131" t="inlineStr">
        <is>
          <t>HDFC 0094</t>
        </is>
      </c>
    </row>
    <row r="217">
      <c r="A217" s="130" t="n">
        <v>45467</v>
      </c>
      <c r="B217" s="131" t="inlineStr">
        <is>
          <t>NEFT DR-UTIB0002656-SUNITA GUPTA-NETBANK, MUM-N176243108305610-TRF FRM SUNITA HDF</t>
        </is>
      </c>
      <c r="C217" s="131" t="inlineStr">
        <is>
          <t>N176243108305610</t>
        </is>
      </c>
      <c r="D217" s="131" t="n">
        <v>50000</v>
      </c>
      <c r="E217" s="131" t="n">
        <v>0</v>
      </c>
      <c r="F217" s="131" t="n">
        <v>176950.64</v>
      </c>
      <c r="G217" s="131" t="inlineStr">
        <is>
          <t>Sunita Gupta</t>
        </is>
      </c>
      <c r="H217" s="131" t="inlineStr">
        <is>
          <t>HDFC 0094</t>
        </is>
      </c>
    </row>
    <row r="218">
      <c r="A218" s="130" t="n">
        <v>45467</v>
      </c>
      <c r="B218" s="131" t="inlineStr">
        <is>
          <t>UPI/P2M/417673480863/ZERODHA BROKING LIMIT/102002/ICICI Bank</t>
        </is>
      </c>
      <c r="C218" s="131" t="inlineStr">
        <is>
          <t>-</t>
        </is>
      </c>
      <c r="D218" s="131" t="n">
        <v>30000</v>
      </c>
      <c r="E218" s="131" t="n">
        <v>0</v>
      </c>
      <c r="F218" s="131" t="n">
        <v>9854.75</v>
      </c>
      <c r="G218" s="131" t="inlineStr">
        <is>
          <t>Zerodha Broking Limited</t>
        </is>
      </c>
      <c r="H218" s="131" t="inlineStr">
        <is>
          <t>AXIS 7042</t>
        </is>
      </c>
    </row>
    <row r="219">
      <c r="A219" s="130" t="n">
        <v>45467</v>
      </c>
      <c r="B219" s="131" t="inlineStr">
        <is>
          <t>NET PO FROM HSL A/C 523686-50200085415108</t>
        </is>
      </c>
      <c r="C219" s="131" t="inlineStr">
        <is>
          <t>0000000534259814</t>
        </is>
      </c>
      <c r="D219" s="131" t="n">
        <v>0</v>
      </c>
      <c r="E219" s="131" t="n">
        <v>19521.12</v>
      </c>
      <c r="F219" s="131" t="n">
        <v>201777.28</v>
      </c>
      <c r="G219" s="131" t="inlineStr">
        <is>
          <t>HDFC Securities</t>
        </is>
      </c>
      <c r="H219" s="131" t="inlineStr">
        <is>
          <t>HDFC 0094</t>
        </is>
      </c>
    </row>
    <row r="220">
      <c r="A220" s="130" t="n">
        <v>45467</v>
      </c>
      <c r="B220" s="131" t="inlineStr">
        <is>
          <t>NEFT/N176243109164220/SUNITA GUPTA/HDFC BANK/tfr frm Axis 2 hfc</t>
        </is>
      </c>
      <c r="C220" s="131" t="inlineStr">
        <is>
          <t>-</t>
        </is>
      </c>
      <c r="D220" s="131" t="n">
        <v>0</v>
      </c>
      <c r="E220" s="131" t="n">
        <v>25000</v>
      </c>
      <c r="F220" s="131" t="n">
        <v>34854.75</v>
      </c>
      <c r="G220" s="131" t="inlineStr">
        <is>
          <t>Sunita Gupta</t>
        </is>
      </c>
      <c r="H220" s="131" t="inlineStr">
        <is>
          <t>AXIS 7042</t>
        </is>
      </c>
    </row>
    <row r="221">
      <c r="A221" s="130" t="n">
        <v>45467</v>
      </c>
      <c r="B221" s="131" t="inlineStr">
        <is>
          <t>UPI/P2M/417673461227/ZERODHA BROKING LIMIT/922743/ICICI Bank</t>
        </is>
      </c>
      <c r="C221" s="131" t="inlineStr">
        <is>
          <t>-</t>
        </is>
      </c>
      <c r="D221" s="131" t="n">
        <v>30000</v>
      </c>
      <c r="E221" s="131" t="n">
        <v>0</v>
      </c>
      <c r="F221" s="131" t="n">
        <v>39854.75</v>
      </c>
      <c r="G221" s="131" t="inlineStr">
        <is>
          <t>Zerodha Broking Limited</t>
        </is>
      </c>
      <c r="H221" s="131" t="inlineStr">
        <is>
          <t>AXIS 7042</t>
        </is>
      </c>
    </row>
    <row r="222">
      <c r="A222" s="130" t="n">
        <v>45467</v>
      </c>
      <c r="B222" s="131" t="inlineStr">
        <is>
          <t>NET PO FROM HSL A/C 523686-50200085415108</t>
        </is>
      </c>
      <c r="C222" s="131" t="inlineStr">
        <is>
          <t>0000000534298324</t>
        </is>
      </c>
      <c r="D222" s="131" t="n">
        <v>0</v>
      </c>
      <c r="E222" s="131" t="n">
        <v>25173.36</v>
      </c>
      <c r="F222" s="131" t="n">
        <v>226950.64</v>
      </c>
      <c r="G222" s="131" t="inlineStr">
        <is>
          <t>HDFC Securities</t>
        </is>
      </c>
      <c r="H222" s="131" t="inlineStr">
        <is>
          <t>HDFC 0094</t>
        </is>
      </c>
    </row>
    <row r="223">
      <c r="A223" s="130" t="n">
        <v>45468</v>
      </c>
      <c r="B223" s="131" t="inlineStr">
        <is>
          <t>NET PO FROM HSL A/C 523686-50200085415108</t>
        </is>
      </c>
      <c r="C223" s="131" t="inlineStr">
        <is>
          <t>0000000534739382</t>
        </is>
      </c>
      <c r="D223" s="131" t="n">
        <v>0</v>
      </c>
      <c r="E223" s="131" t="n">
        <v>34583.15</v>
      </c>
      <c r="F223" s="131" t="n">
        <v>185398.56</v>
      </c>
      <c r="G223" s="131" t="inlineStr">
        <is>
          <t>HDFC Securities</t>
        </is>
      </c>
      <c r="H223" s="131" t="inlineStr">
        <is>
          <t>HDFC 0094</t>
        </is>
      </c>
    </row>
    <row r="224">
      <c r="A224" s="130" t="n">
        <v>45468</v>
      </c>
      <c r="B224" s="131" t="inlineStr">
        <is>
          <t>NET PO FROM HSL A/C 523686-50200085415108</t>
        </is>
      </c>
      <c r="C224" s="131" t="inlineStr">
        <is>
          <t>0000000534775946</t>
        </is>
      </c>
      <c r="D224" s="131" t="n">
        <v>0</v>
      </c>
      <c r="E224" s="131" t="n">
        <v>86730.8</v>
      </c>
      <c r="F224" s="131" t="n">
        <v>272129.36</v>
      </c>
      <c r="G224" s="131" t="inlineStr">
        <is>
          <t>HDFC Securities</t>
        </is>
      </c>
      <c r="H224" s="131" t="inlineStr">
        <is>
          <t>HDFC 0094</t>
        </is>
      </c>
    </row>
    <row r="225">
      <c r="A225" s="130" t="n">
        <v>45468</v>
      </c>
      <c r="B225" s="131" t="inlineStr">
        <is>
          <t>01671000085930-TPT-MARRIAGE EXPENSES FROM SUNITA-AJAY KUMAR GUPTA</t>
        </is>
      </c>
      <c r="C225" s="131" t="inlineStr">
        <is>
          <t>0000000507065624</t>
        </is>
      </c>
      <c r="D225" s="131" t="n">
        <v>150000</v>
      </c>
      <c r="E225" s="131" t="n">
        <v>0</v>
      </c>
      <c r="F225" s="131" t="n">
        <v>112129.36</v>
      </c>
      <c r="G225" s="131" t="inlineStr">
        <is>
          <t>Sunita Gupta</t>
        </is>
      </c>
      <c r="H225" s="131" t="inlineStr">
        <is>
          <t>HDFC 0094</t>
        </is>
      </c>
    </row>
    <row r="226">
      <c r="A226" s="130" t="n">
        <v>45468</v>
      </c>
      <c r="B226" s="131" t="inlineStr">
        <is>
          <t>NET PI TO HSL SEC A/C 523686-00602340029434</t>
        </is>
      </c>
      <c r="C226" s="131" t="inlineStr">
        <is>
          <t>0000000534876361</t>
        </is>
      </c>
      <c r="D226" s="131" t="n">
        <v>370.62</v>
      </c>
      <c r="E226" s="131" t="n">
        <v>0</v>
      </c>
      <c r="F226" s="131" t="n">
        <v>111758.74</v>
      </c>
      <c r="G226" s="131" t="inlineStr">
        <is>
          <t>HDFC Securities</t>
        </is>
      </c>
      <c r="H226" s="131" t="inlineStr">
        <is>
          <t>HDFC 0094</t>
        </is>
      </c>
    </row>
    <row r="227">
      <c r="A227" s="130" t="n">
        <v>45468</v>
      </c>
      <c r="B227" s="131" t="inlineStr">
        <is>
          <t>ACH C- HINDUSTANUNILEVERL-00000000000030</t>
        </is>
      </c>
      <c r="C227" s="131" t="inlineStr">
        <is>
          <t>0000007063605177</t>
        </is>
      </c>
      <c r="D227" s="131" t="n">
        <v>0</v>
      </c>
      <c r="E227" s="131" t="n">
        <v>720</v>
      </c>
      <c r="F227" s="131" t="n">
        <v>112478.74</v>
      </c>
      <c r="G227" s="131" t="inlineStr">
        <is>
          <t>Dividend Income</t>
        </is>
      </c>
      <c r="H227" s="131" t="inlineStr">
        <is>
          <t>HDFC 0094</t>
        </is>
      </c>
    </row>
    <row r="228">
      <c r="A228" s="130" t="n">
        <v>45468</v>
      </c>
      <c r="B228" s="131" t="inlineStr">
        <is>
          <t>ACH C- HIMADRI SPECIALITY C-NIN300476410</t>
        </is>
      </c>
      <c r="C228" s="131" t="inlineStr">
        <is>
          <t>0000005465884743</t>
        </is>
      </c>
      <c r="D228" s="131" t="n">
        <v>0</v>
      </c>
      <c r="E228" s="131" t="n">
        <v>50</v>
      </c>
      <c r="F228" s="131" t="n">
        <v>112528.74</v>
      </c>
      <c r="G228" s="131" t="inlineStr">
        <is>
          <t>Dividend Income</t>
        </is>
      </c>
      <c r="H228" s="131" t="inlineStr">
        <is>
          <t>HDFC 0094</t>
        </is>
      </c>
    </row>
    <row r="229">
      <c r="A229" s="130" t="n">
        <v>45468</v>
      </c>
      <c r="B229" s="131" t="inlineStr">
        <is>
          <t>NET PI TO HSL SEC A/C 523686-00602340029434</t>
        </is>
      </c>
      <c r="C229" s="131" t="inlineStr">
        <is>
          <t>0000000535062991</t>
        </is>
      </c>
      <c r="D229" s="131" t="n">
        <v>31517.3</v>
      </c>
      <c r="E229" s="131" t="n">
        <v>0</v>
      </c>
      <c r="F229" s="131" t="n">
        <v>81011.44</v>
      </c>
      <c r="G229" s="131" t="inlineStr">
        <is>
          <t>HDFC Securities</t>
        </is>
      </c>
      <c r="H229" s="131" t="inlineStr">
        <is>
          <t>HDFC 0094</t>
        </is>
      </c>
    </row>
    <row r="230">
      <c r="A230" s="130" t="n">
        <v>45468</v>
      </c>
      <c r="B230" s="131" t="inlineStr">
        <is>
          <t xml:space="preserve">   CREDIT INTEREST---</t>
        </is>
      </c>
      <c r="C230" s="131" t="n">
        <v/>
      </c>
      <c r="D230" s="131" t="n">
        <v>0</v>
      </c>
      <c r="E230" s="131" t="n">
        <v>169</v>
      </c>
      <c r="F230" s="131" t="n">
        <v>24289.7</v>
      </c>
      <c r="G230" s="131" t="inlineStr">
        <is>
          <t>Bank Interest</t>
        </is>
      </c>
      <c r="H230" s="131" t="inlineStr">
        <is>
          <t>SBI 7685</t>
        </is>
      </c>
    </row>
    <row r="231">
      <c r="A231" s="130" t="n">
        <v>45468</v>
      </c>
      <c r="B231" s="131" t="inlineStr">
        <is>
          <t>ACH D- INDIAN CLEARING CORP-P25847643X05</t>
        </is>
      </c>
      <c r="C231" s="131" t="inlineStr">
        <is>
          <t>0000005424732775</t>
        </is>
      </c>
      <c r="D231" s="131" t="n">
        <v>10000</v>
      </c>
      <c r="E231" s="131" t="n">
        <v>0</v>
      </c>
      <c r="F231" s="131" t="n">
        <v>262129.36</v>
      </c>
      <c r="G231" s="131" t="inlineStr">
        <is>
          <t>Mutual_Fund_Investments</t>
        </is>
      </c>
      <c r="H231" s="131" t="inlineStr">
        <is>
          <t>HDFC 0094</t>
        </is>
      </c>
    </row>
    <row r="232">
      <c r="A232" s="130" t="n">
        <v>45469</v>
      </c>
      <c r="B232" s="131" t="inlineStr">
        <is>
          <t>NET PI TO HSL SEC A/C 523686-00602340029434</t>
        </is>
      </c>
      <c r="C232" s="131" t="inlineStr">
        <is>
          <t>0000000535488603</t>
        </is>
      </c>
      <c r="D232" s="131" t="n">
        <v>5260.5</v>
      </c>
      <c r="E232" s="131" t="n">
        <v>0</v>
      </c>
      <c r="F232" s="131" t="n">
        <v>133225.42</v>
      </c>
      <c r="G232" s="131" t="inlineStr">
        <is>
          <t>HDFC Securities</t>
        </is>
      </c>
      <c r="H232" s="131" t="inlineStr">
        <is>
          <t>HDFC 0094</t>
        </is>
      </c>
    </row>
    <row r="233">
      <c r="A233" s="130" t="n">
        <v>45469</v>
      </c>
      <c r="B233" s="131" t="inlineStr">
        <is>
          <t>NET PO FROM HSL A/C 523686-50200085415108</t>
        </is>
      </c>
      <c r="C233" s="131" t="inlineStr">
        <is>
          <t>0000000535184207</t>
        </is>
      </c>
      <c r="D233" s="131" t="n">
        <v>0</v>
      </c>
      <c r="E233" s="131" t="n">
        <v>7425.28</v>
      </c>
      <c r="F233" s="131" t="n">
        <v>88436.72</v>
      </c>
      <c r="G233" s="131" t="inlineStr">
        <is>
          <t>HDFC Securities</t>
        </is>
      </c>
      <c r="H233" s="131" t="inlineStr">
        <is>
          <t>HDFC 0094</t>
        </is>
      </c>
    </row>
    <row r="234">
      <c r="A234" s="130" t="n">
        <v>45469</v>
      </c>
      <c r="B234" s="131" t="inlineStr">
        <is>
          <t>NET PO FROM HSL A/C 523686-50200085415108</t>
        </is>
      </c>
      <c r="C234" s="131" t="inlineStr">
        <is>
          <t>0000000535222691</t>
        </is>
      </c>
      <c r="D234" s="131" t="n">
        <v>0</v>
      </c>
      <c r="E234" s="131" t="n">
        <v>50389.77</v>
      </c>
      <c r="F234" s="131" t="n">
        <v>138826.49</v>
      </c>
      <c r="G234" s="131" t="inlineStr">
        <is>
          <t>HDFC Securities</t>
        </is>
      </c>
      <c r="H234" s="131" t="inlineStr">
        <is>
          <t>HDFC 0094</t>
        </is>
      </c>
    </row>
    <row r="235">
      <c r="A235" s="130" t="n">
        <v>45469</v>
      </c>
      <c r="B235" s="131" t="inlineStr">
        <is>
          <t>NET PI TO HSL SEC A/C 523686-00602340029434</t>
        </is>
      </c>
      <c r="C235" s="131" t="inlineStr">
        <is>
          <t>0000000535337288</t>
        </is>
      </c>
      <c r="D235" s="131" t="n">
        <v>340.57</v>
      </c>
      <c r="E235" s="131" t="n">
        <v>0</v>
      </c>
      <c r="F235" s="131" t="n">
        <v>138485.92</v>
      </c>
      <c r="G235" s="131" t="inlineStr">
        <is>
          <t>HDFC Securities</t>
        </is>
      </c>
      <c r="H235" s="131" t="inlineStr">
        <is>
          <t>HDFC 0094</t>
        </is>
      </c>
    </row>
    <row r="236">
      <c r="A236" s="130" t="n">
        <v>45470</v>
      </c>
      <c r="B236" s="131" t="inlineStr">
        <is>
          <t>NEFT CR-UTIB0000004-AXIS MUTUAL FUND DIVIDEND A/C-SUNITA GUPTA-AXISCN0662480411</t>
        </is>
      </c>
      <c r="C236" s="131" t="inlineStr">
        <is>
          <t>AXISCN0662480411</t>
        </is>
      </c>
      <c r="D236" s="131" t="n">
        <v>0</v>
      </c>
      <c r="E236" s="131" t="n">
        <v>84.56999999999999</v>
      </c>
      <c r="F236" s="131" t="n">
        <v>132993.15</v>
      </c>
      <c r="G236" s="131" t="inlineStr">
        <is>
          <t>Dividend Income</t>
        </is>
      </c>
      <c r="H236" s="131" t="inlineStr">
        <is>
          <t>HDFC 0094</t>
        </is>
      </c>
    </row>
    <row r="237">
      <c r="A237" s="130" t="n">
        <v>45470</v>
      </c>
      <c r="B237" s="131" t="inlineStr">
        <is>
          <t>NET PI TO HSL SEC A/C 523686-00602340029434</t>
        </is>
      </c>
      <c r="C237" s="131" t="inlineStr">
        <is>
          <t>0000000535761235</t>
        </is>
      </c>
      <c r="D237" s="131" t="n">
        <v>316.84</v>
      </c>
      <c r="E237" s="131" t="n">
        <v>0</v>
      </c>
      <c r="F237" s="131" t="n">
        <v>132908.58</v>
      </c>
      <c r="G237" s="131" t="inlineStr">
        <is>
          <t>HDFC Securities</t>
        </is>
      </c>
      <c r="H237" s="131" t="inlineStr">
        <is>
          <t>HDFC 0094</t>
        </is>
      </c>
    </row>
    <row r="238">
      <c r="A238" s="130" t="n">
        <v>45470</v>
      </c>
      <c r="B238" s="131" t="inlineStr">
        <is>
          <t>NET PI TO HSL SEC A/C 523686-00602340029434</t>
        </is>
      </c>
      <c r="C238" s="131" t="inlineStr">
        <is>
          <t>0000000535933355</t>
        </is>
      </c>
      <c r="D238" s="131" t="n">
        <v>2666.08</v>
      </c>
      <c r="E238" s="131" t="n">
        <v>0</v>
      </c>
      <c r="F238" s="131" t="n">
        <v>130327.07</v>
      </c>
      <c r="G238" s="131" t="inlineStr">
        <is>
          <t>HDFC Securities</t>
        </is>
      </c>
      <c r="H238" s="131" t="inlineStr">
        <is>
          <t>HDFC 0094</t>
        </is>
      </c>
    </row>
    <row r="239">
      <c r="A239" s="130" t="n">
        <v>45471</v>
      </c>
      <c r="B239" s="131" t="inlineStr">
        <is>
          <t>ACH C- LTIMIN FINAL 2023 24-213986</t>
        </is>
      </c>
      <c r="C239" s="131" t="inlineStr">
        <is>
          <t>0000005527258486</t>
        </is>
      </c>
      <c r="D239" s="131" t="n">
        <v>0</v>
      </c>
      <c r="E239" s="131" t="n">
        <v>1800</v>
      </c>
      <c r="F239" s="131" t="n">
        <v>132127.07</v>
      </c>
      <c r="G239" s="131" t="inlineStr">
        <is>
          <t>Dividend Income</t>
        </is>
      </c>
      <c r="H239" s="131" t="inlineStr">
        <is>
          <t>HDFC 0094</t>
        </is>
      </c>
    </row>
    <row r="240">
      <c r="A240" s="130" t="n">
        <v>45471</v>
      </c>
      <c r="B240" s="131" t="inlineStr">
        <is>
          <t>NET PI TO HSL SEC A/C 523686-00602340029434</t>
        </is>
      </c>
      <c r="C240" s="131" t="inlineStr">
        <is>
          <t>0000000536193081</t>
        </is>
      </c>
      <c r="D240" s="131" t="n">
        <v>315.89</v>
      </c>
      <c r="E240" s="131" t="n">
        <v>0</v>
      </c>
      <c r="F240" s="131" t="n">
        <v>131811.18</v>
      </c>
      <c r="G240" s="131" t="inlineStr">
        <is>
          <t>HDFC Securities</t>
        </is>
      </c>
      <c r="H240" s="131" t="inlineStr">
        <is>
          <t>HDFC 0094</t>
        </is>
      </c>
    </row>
    <row r="241">
      <c r="A241" s="130" t="n">
        <v>45472</v>
      </c>
      <c r="B241" s="131" t="inlineStr">
        <is>
          <t>UPI/P2A/418192452596/BHARTI RATAN DEVNANI /tiffin/Union Bank of India</t>
        </is>
      </c>
      <c r="C241" s="131" t="inlineStr">
        <is>
          <t>-</t>
        </is>
      </c>
      <c r="D241" s="131" t="n">
        <v>770</v>
      </c>
      <c r="E241" s="131" t="n">
        <v>0</v>
      </c>
      <c r="F241" s="131" t="n">
        <v>34084.75</v>
      </c>
      <c r="G241" s="131" t="inlineStr">
        <is>
          <t>Personal</t>
        </is>
      </c>
      <c r="H241" s="131" t="inlineStr">
        <is>
          <t>AXIS 7042</t>
        </is>
      </c>
    </row>
    <row r="242">
      <c r="A242" s="130" t="n">
        <v>45473</v>
      </c>
      <c r="B242" s="131" t="inlineStr">
        <is>
          <t>INTEREST PAID TILL 30-JUN-2024</t>
        </is>
      </c>
      <c r="C242" s="131" t="inlineStr">
        <is>
          <t>000000000000000</t>
        </is>
      </c>
      <c r="D242" s="131" t="n">
        <v>0</v>
      </c>
      <c r="E242" s="131" t="n">
        <v>567</v>
      </c>
      <c r="F242" s="131" t="n">
        <v>132378.18</v>
      </c>
      <c r="G242" s="131" t="inlineStr">
        <is>
          <t>Bank Interest</t>
        </is>
      </c>
      <c r="H242" s="131" t="inlineStr">
        <is>
          <t>HDFC 0094</t>
        </is>
      </c>
    </row>
    <row r="243">
      <c r="A243" s="130" t="n">
        <v>45474</v>
      </c>
      <c r="B243" s="131" t="inlineStr">
        <is>
          <t>ACH-CR-CANBANK DIV 2023-24-NACH-6544153-6544153</t>
        </is>
      </c>
      <c r="C243" s="131" t="inlineStr">
        <is>
          <t>-</t>
        </is>
      </c>
      <c r="D243" s="131" t="n">
        <v>0</v>
      </c>
      <c r="E243" s="131" t="n">
        <v>805</v>
      </c>
      <c r="F243" s="131" t="n">
        <v>35097.75</v>
      </c>
      <c r="G243" s="131" t="inlineStr">
        <is>
          <t>Dividend Income</t>
        </is>
      </c>
      <c r="H243" s="131" t="inlineStr">
        <is>
          <t>AXIS 7042</t>
        </is>
      </c>
    </row>
    <row r="244">
      <c r="A244" s="130" t="n">
        <v>45474</v>
      </c>
      <c r="B244" s="131" t="inlineStr">
        <is>
          <t>ATM-CASH-AXIS/BPRH265601/1591/010724/NASHIK</t>
        </is>
      </c>
      <c r="C244" s="131" t="inlineStr">
        <is>
          <t>-</t>
        </is>
      </c>
      <c r="D244" s="131" t="n">
        <v>2000</v>
      </c>
      <c r="E244" s="131" t="n">
        <v>0</v>
      </c>
      <c r="F244" s="131" t="n">
        <v>33097.75</v>
      </c>
      <c r="G244" s="131" t="inlineStr">
        <is>
          <t>Cash</t>
        </is>
      </c>
      <c r="H244" s="131" t="inlineStr">
        <is>
          <t>AXIS 7042</t>
        </is>
      </c>
    </row>
    <row r="245">
      <c r="A245" s="130" t="n">
        <v>45474</v>
      </c>
      <c r="B245" s="131" t="inlineStr">
        <is>
          <t>SB:919010088767042:Int.Pd:01-04-2024 to 30-06-2024</t>
        </is>
      </c>
      <c r="C245" s="131" t="inlineStr">
        <is>
          <t>-</t>
        </is>
      </c>
      <c r="D245" s="131" t="n">
        <v>0</v>
      </c>
      <c r="E245" s="131" t="n">
        <v>208</v>
      </c>
      <c r="F245" s="131" t="n">
        <v>34292.75</v>
      </c>
      <c r="G245" s="131" t="inlineStr">
        <is>
          <t>Bank Interest</t>
        </is>
      </c>
      <c r="H245" s="131" t="inlineStr">
        <is>
          <t>AXIS 7042</t>
        </is>
      </c>
    </row>
    <row r="246">
      <c r="A246" s="130" t="n">
        <v>45474</v>
      </c>
      <c r="B246" s="131" t="inlineStr">
        <is>
          <t>NET PO FROM HSL A/C 523686-50200085415108</t>
        </is>
      </c>
      <c r="C246" s="131" t="inlineStr">
        <is>
          <t>0000000536483454</t>
        </is>
      </c>
      <c r="D246" s="131" t="n">
        <v>0</v>
      </c>
      <c r="E246" s="131" t="n">
        <v>29030.37</v>
      </c>
      <c r="F246" s="131" t="n">
        <v>161408.55</v>
      </c>
      <c r="G246" s="131" t="inlineStr">
        <is>
          <t>HDFC Securities</t>
        </is>
      </c>
      <c r="H246" s="131" t="inlineStr">
        <is>
          <t>HDFC 0094</t>
        </is>
      </c>
    </row>
    <row r="247">
      <c r="A247" s="130" t="n">
        <v>45474</v>
      </c>
      <c r="B247" s="131" t="inlineStr">
        <is>
          <t>ATW-498792XXXXXX0500-CHBDL001-NASHIK</t>
        </is>
      </c>
      <c r="C247" s="131" t="inlineStr">
        <is>
          <t>0000000000007690</t>
        </is>
      </c>
      <c r="D247" s="131" t="n">
        <v>5000</v>
      </c>
      <c r="E247" s="131" t="n">
        <v>0</v>
      </c>
      <c r="F247" s="131" t="n">
        <v>159870.88</v>
      </c>
      <c r="G247" s="131" t="inlineStr">
        <is>
          <t>Cash</t>
        </is>
      </c>
      <c r="H247" s="131" t="inlineStr">
        <is>
          <t>HDFC 0094</t>
        </is>
      </c>
    </row>
    <row r="248">
      <c r="A248" s="130" t="n">
        <v>45474</v>
      </c>
      <c r="B248" s="131" t="inlineStr">
        <is>
          <t>ACH C- INFOSYS LIMITED-40612091</t>
        </is>
      </c>
      <c r="C248" s="131" t="inlineStr">
        <is>
          <t>0000005607467118</t>
        </is>
      </c>
      <c r="D248" s="131" t="n">
        <v>0</v>
      </c>
      <c r="E248" s="131" t="n">
        <v>2800</v>
      </c>
      <c r="F248" s="131" t="n">
        <v>164870.88</v>
      </c>
      <c r="G248" s="131" t="inlineStr">
        <is>
          <t>Dividend Income</t>
        </is>
      </c>
      <c r="H248" s="131" t="inlineStr">
        <is>
          <t>HDFC 0094</t>
        </is>
      </c>
    </row>
    <row r="249">
      <c r="A249" s="130" t="n">
        <v>45474</v>
      </c>
      <c r="B249" s="131" t="inlineStr">
        <is>
          <t>ACH C- CANBANK DIV 2023-24-6273195</t>
        </is>
      </c>
      <c r="C249" s="131" t="inlineStr">
        <is>
          <t>0000005519468069</t>
        </is>
      </c>
      <c r="D249" s="131" t="n">
        <v>0</v>
      </c>
      <c r="E249" s="131" t="n">
        <v>1610</v>
      </c>
      <c r="F249" s="131" t="n">
        <v>162070.88</v>
      </c>
      <c r="G249" s="131" t="inlineStr">
        <is>
          <t>Dividend Income</t>
        </is>
      </c>
      <c r="H249" s="131" t="inlineStr">
        <is>
          <t>HDFC 0094</t>
        </is>
      </c>
    </row>
    <row r="250">
      <c r="A250" s="130" t="n">
        <v>45474</v>
      </c>
      <c r="B250" s="131" t="inlineStr">
        <is>
          <t xml:space="preserve">   ATM WDL-ATM CASH 2734  SBI SHIVAJI NAGAR ATM NASHIK--</t>
        </is>
      </c>
      <c r="C250" s="131" t="n">
        <v/>
      </c>
      <c r="D250" s="131" t="n">
        <v>2000</v>
      </c>
      <c r="E250" s="131" t="n">
        <v>0</v>
      </c>
      <c r="F250" s="131" t="n">
        <v>22289.7</v>
      </c>
      <c r="G250" s="131" t="inlineStr">
        <is>
          <t>Cash</t>
        </is>
      </c>
      <c r="H250" s="131" t="inlineStr">
        <is>
          <t>SBI 7685</t>
        </is>
      </c>
    </row>
    <row r="251">
      <c r="A251" s="130" t="n">
        <v>45474</v>
      </c>
      <c r="B251" s="131" t="inlineStr">
        <is>
          <t>NET PI TO HSL SEC A/C 523686-00602340029434</t>
        </is>
      </c>
      <c r="C251" s="131" t="inlineStr">
        <is>
          <t>0000000536692596</t>
        </is>
      </c>
      <c r="D251" s="131" t="n">
        <v>947.67</v>
      </c>
      <c r="E251" s="131" t="n">
        <v>0</v>
      </c>
      <c r="F251" s="131" t="n">
        <v>160460.88</v>
      </c>
      <c r="G251" s="131" t="inlineStr">
        <is>
          <t>HDFC Securities</t>
        </is>
      </c>
      <c r="H251" s="131" t="inlineStr">
        <is>
          <t>HDFC 0094</t>
        </is>
      </c>
    </row>
    <row r="252">
      <c r="A252" s="130" t="n">
        <v>45475</v>
      </c>
      <c r="B252" s="131" t="inlineStr">
        <is>
          <t>NET PI TO HSL SEC A/C 523686-00602340029434</t>
        </is>
      </c>
      <c r="C252" s="131" t="inlineStr">
        <is>
          <t>0000000537161174</t>
        </is>
      </c>
      <c r="D252" s="131" t="n">
        <v>306</v>
      </c>
      <c r="E252" s="131" t="n">
        <v>0</v>
      </c>
      <c r="F252" s="131" t="n">
        <v>170833.53</v>
      </c>
      <c r="G252" s="131" t="inlineStr">
        <is>
          <t>HDFC Securities</t>
        </is>
      </c>
      <c r="H252" s="131" t="inlineStr">
        <is>
          <t>HDFC 0094</t>
        </is>
      </c>
    </row>
    <row r="253">
      <c r="A253" s="130" t="n">
        <v>45475</v>
      </c>
      <c r="B253" s="131" t="inlineStr">
        <is>
          <t>NET PO FROM HSL A/C 523686-50200085415108</t>
        </is>
      </c>
      <c r="C253" s="131" t="inlineStr">
        <is>
          <t>0000000537004329</t>
        </is>
      </c>
      <c r="D253" s="131" t="n">
        <v>0</v>
      </c>
      <c r="E253" s="131" t="n">
        <v>11268.65</v>
      </c>
      <c r="F253" s="131" t="n">
        <v>171139.53</v>
      </c>
      <c r="G253" s="131" t="inlineStr">
        <is>
          <t>HDFC Securities</t>
        </is>
      </c>
      <c r="H253" s="131" t="inlineStr">
        <is>
          <t>HDFC 0094</t>
        </is>
      </c>
    </row>
    <row r="254">
      <c r="A254" s="130" t="n">
        <v>45475</v>
      </c>
      <c r="B254" s="131" t="inlineStr">
        <is>
          <t>NET PI TO HSL SEC A/C 523686-00602340029434</t>
        </is>
      </c>
      <c r="C254" s="131" t="inlineStr">
        <is>
          <t>0000000537348821</t>
        </is>
      </c>
      <c r="D254" s="131" t="n">
        <v>49494.48</v>
      </c>
      <c r="E254" s="131" t="n">
        <v>0</v>
      </c>
      <c r="F254" s="131" t="n">
        <v>121339.05</v>
      </c>
      <c r="G254" s="131" t="inlineStr">
        <is>
          <t>HDFC Securities</t>
        </is>
      </c>
      <c r="H254" s="131" t="inlineStr">
        <is>
          <t>HDFC 0094</t>
        </is>
      </c>
    </row>
    <row r="255">
      <c r="A255" s="130" t="n">
        <v>45476</v>
      </c>
      <c r="B255" s="131" t="inlineStr">
        <is>
          <t>NET PI TO HSL SEC A/C 523686-00602340029434</t>
        </is>
      </c>
      <c r="C255" s="131" t="inlineStr">
        <is>
          <t>0000000537624361</t>
        </is>
      </c>
      <c r="D255" s="131" t="n">
        <v>283.44</v>
      </c>
      <c r="E255" s="131" t="n">
        <v>0</v>
      </c>
      <c r="F255" s="131" t="n">
        <v>121055.61</v>
      </c>
      <c r="G255" s="131" t="inlineStr">
        <is>
          <t>HDFC Securities</t>
        </is>
      </c>
      <c r="H255" s="131" t="inlineStr">
        <is>
          <t>HDFC 0094</t>
        </is>
      </c>
    </row>
    <row r="256">
      <c r="A256" s="130" t="n">
        <v>45476</v>
      </c>
      <c r="B256" s="131" t="inlineStr">
        <is>
          <t>NEFT/YESEB41852036982/ZERODHA BROKING LTD- FOR ZER/YES BANK/4565c0180515af30213b5d Zerodh</t>
        </is>
      </c>
      <c r="C256" s="131" t="inlineStr">
        <is>
          <t>-</t>
        </is>
      </c>
      <c r="D256" s="131" t="n">
        <v>0</v>
      </c>
      <c r="E256" s="131" t="n">
        <v>3688.79</v>
      </c>
      <c r="F256" s="131" t="n">
        <v>36786.54</v>
      </c>
      <c r="G256" s="131" t="inlineStr">
        <is>
          <t>Transfer</t>
        </is>
      </c>
      <c r="H256" s="131" t="inlineStr">
        <is>
          <t>AXIS 7042</t>
        </is>
      </c>
    </row>
    <row r="257">
      <c r="A257" s="130" t="n">
        <v>45477</v>
      </c>
      <c r="B257" s="131" t="inlineStr">
        <is>
          <t>NET PI TO HSL SEC A/C 523686-00602340029434</t>
        </is>
      </c>
      <c r="C257" s="131" t="inlineStr">
        <is>
          <t>0000000538072401</t>
        </is>
      </c>
      <c r="D257" s="131" t="n">
        <v>322.26</v>
      </c>
      <c r="E257" s="131" t="n">
        <v>0</v>
      </c>
      <c r="F257" s="131" t="n">
        <v>125037.77</v>
      </c>
      <c r="G257" s="131" t="inlineStr">
        <is>
          <t>HDFC Securities</t>
        </is>
      </c>
      <c r="H257" s="131" t="inlineStr">
        <is>
          <t>HDFC 0094</t>
        </is>
      </c>
    </row>
    <row r="258">
      <c r="A258" s="130" t="n">
        <v>45477</v>
      </c>
      <c r="B258" s="131" t="inlineStr">
        <is>
          <t>NET PI TO HSL SEC A/C 523686-00602340029434</t>
        </is>
      </c>
      <c r="C258" s="131" t="inlineStr">
        <is>
          <t>0000000538242270</t>
        </is>
      </c>
      <c r="D258" s="131" t="n">
        <v>3478.18</v>
      </c>
      <c r="E258" s="131" t="n">
        <v>0</v>
      </c>
      <c r="F258" s="131" t="n">
        <v>121559.59</v>
      </c>
      <c r="G258" s="131" t="inlineStr">
        <is>
          <t>HDFC Securities</t>
        </is>
      </c>
      <c r="H258" s="131" t="inlineStr">
        <is>
          <t>HDFC 0094</t>
        </is>
      </c>
    </row>
    <row r="259">
      <c r="A259" s="130" t="n">
        <v>45477</v>
      </c>
      <c r="B259" s="131" t="inlineStr">
        <is>
          <t>DR LAL PATH DIV23 2400000000000000009172</t>
        </is>
      </c>
      <c r="C259" s="131" t="inlineStr">
        <is>
          <t>0000241853654755</t>
        </is>
      </c>
      <c r="D259" s="131" t="n">
        <v>0</v>
      </c>
      <c r="E259" s="131" t="n">
        <v>210</v>
      </c>
      <c r="F259" s="131" t="n">
        <v>125360.03</v>
      </c>
      <c r="G259" s="131" t="inlineStr">
        <is>
          <t>Dividend Income</t>
        </is>
      </c>
      <c r="H259" s="131" t="inlineStr">
        <is>
          <t>HDFC 0094</t>
        </is>
      </c>
    </row>
    <row r="260">
      <c r="A260" s="130" t="n">
        <v>45477</v>
      </c>
      <c r="B260" s="131" t="inlineStr">
        <is>
          <t>NET PO FROM HSL A/C 523686-50200085415108</t>
        </is>
      </c>
      <c r="C260" s="131" t="inlineStr">
        <is>
          <t>0000000537925180</t>
        </is>
      </c>
      <c r="D260" s="131" t="n">
        <v>0</v>
      </c>
      <c r="E260" s="131" t="n">
        <v>4094.42</v>
      </c>
      <c r="F260" s="131" t="n">
        <v>125150.03</v>
      </c>
      <c r="G260" s="131" t="inlineStr">
        <is>
          <t>HDFC Securities</t>
        </is>
      </c>
      <c r="H260" s="131" t="inlineStr">
        <is>
          <t>HDFC 0094</t>
        </is>
      </c>
    </row>
    <row r="261">
      <c r="A261" s="130" t="n">
        <v>45478</v>
      </c>
      <c r="B261" s="131" t="inlineStr">
        <is>
          <t>NET PI TO HSL SEC A/C 523686-00602340029434</t>
        </is>
      </c>
      <c r="C261" s="131" t="inlineStr">
        <is>
          <t>0000000538741295</t>
        </is>
      </c>
      <c r="D261" s="131" t="n">
        <v>77779.53999999999</v>
      </c>
      <c r="E261" s="131" t="n">
        <v>0</v>
      </c>
      <c r="F261" s="131" t="n">
        <v>104543.57</v>
      </c>
      <c r="G261" s="131" t="inlineStr">
        <is>
          <t>HDFC Securities</t>
        </is>
      </c>
      <c r="H261" s="131" t="inlineStr">
        <is>
          <t>HDFC 0094</t>
        </is>
      </c>
    </row>
    <row r="262">
      <c r="A262" s="130" t="n">
        <v>45478</v>
      </c>
      <c r="B262" s="131" t="inlineStr">
        <is>
          <t>NEFT CR-SBIN0004266-SBI GENERAL INSURANCE CO LTDSBI GEN-SUNITA GUPTA 0000000002717756-SBIN224187636782</t>
        </is>
      </c>
      <c r="C262" s="131" t="inlineStr">
        <is>
          <t>SBIN224187636782</t>
        </is>
      </c>
      <c r="D262" s="131" t="n">
        <v>0</v>
      </c>
      <c r="E262" s="131" t="n">
        <v>31329</v>
      </c>
      <c r="F262" s="131" t="n">
        <v>182323.11</v>
      </c>
      <c r="G262" s="131" t="inlineStr">
        <is>
          <t>Sunita Gupta</t>
        </is>
      </c>
      <c r="H262" s="131" t="inlineStr">
        <is>
          <t>HDFC 0094</t>
        </is>
      </c>
    </row>
    <row r="263">
      <c r="A263" s="130" t="n">
        <v>45478</v>
      </c>
      <c r="B263" s="131" t="inlineStr">
        <is>
          <t>NEFT CR-SBIN0004266-SBI GENERAL INSURANCE CO LTDSBI GEN-SUNITA GUPTA 0000000002717756-SBIN224187615721</t>
        </is>
      </c>
      <c r="C263" s="131" t="inlineStr">
        <is>
          <t>SBIN224187615721</t>
        </is>
      </c>
      <c r="D263" s="131" t="n">
        <v>0</v>
      </c>
      <c r="E263" s="131" t="n">
        <v>29757</v>
      </c>
      <c r="F263" s="131" t="n">
        <v>150994.11</v>
      </c>
      <c r="G263" s="131" t="inlineStr">
        <is>
          <t>Sunita Gupta</t>
        </is>
      </c>
      <c r="H263" s="131" t="inlineStr">
        <is>
          <t>HDFC 0094</t>
        </is>
      </c>
    </row>
    <row r="264">
      <c r="A264" s="130" t="n">
        <v>45478</v>
      </c>
      <c r="B264" s="131" t="inlineStr">
        <is>
          <t>NET PI TO HSL SEC A/C 523686-00602340029434</t>
        </is>
      </c>
      <c r="C264" s="131" t="inlineStr">
        <is>
          <t>0000000538557605</t>
        </is>
      </c>
      <c r="D264" s="131" t="n">
        <v>322.48</v>
      </c>
      <c r="E264" s="131" t="n">
        <v>0</v>
      </c>
      <c r="F264" s="131" t="n">
        <v>121237.11</v>
      </c>
      <c r="G264" s="131" t="inlineStr">
        <is>
          <t>HDFC Securities</t>
        </is>
      </c>
      <c r="H264" s="131" t="inlineStr">
        <is>
          <t>HDFC 0094</t>
        </is>
      </c>
    </row>
    <row r="265">
      <c r="A265" s="130" t="n">
        <v>45478</v>
      </c>
      <c r="B265" s="131" t="inlineStr">
        <is>
          <t>UPI/P2A/455392699359/RAKHI VIN/ICICI Ban/UPI/</t>
        </is>
      </c>
      <c r="C265" s="131" t="inlineStr">
        <is>
          <t>-</t>
        </is>
      </c>
      <c r="D265" s="131" t="n">
        <v>0</v>
      </c>
      <c r="E265" s="131" t="n">
        <v>1000</v>
      </c>
      <c r="F265" s="131" t="n">
        <v>37764.54</v>
      </c>
      <c r="G265" s="131" t="inlineStr">
        <is>
          <t>Personal</t>
        </is>
      </c>
      <c r="H265" s="131" t="inlineStr">
        <is>
          <t>AXIS 7042</t>
        </is>
      </c>
    </row>
    <row r="266">
      <c r="A266" s="130" t="n">
        <v>45478</v>
      </c>
      <c r="B266" s="131" t="inlineStr">
        <is>
          <t>UPI/P2M/455345663321/JEET PHARMACY AND MIN/medici/Axis Bank Ltd.</t>
        </is>
      </c>
      <c r="C266" s="131" t="inlineStr">
        <is>
          <t>-</t>
        </is>
      </c>
      <c r="D266" s="131" t="n">
        <v>22</v>
      </c>
      <c r="E266" s="131" t="n">
        <v>0</v>
      </c>
      <c r="F266" s="131" t="n">
        <v>36764.54</v>
      </c>
      <c r="G266" s="131" t="inlineStr">
        <is>
          <t>Healthcare</t>
        </is>
      </c>
      <c r="H266" s="131" t="inlineStr">
        <is>
          <t>AXIS 7042</t>
        </is>
      </c>
    </row>
    <row r="267">
      <c r="A267" s="130" t="n">
        <v>45479</v>
      </c>
      <c r="B267" s="131" t="inlineStr">
        <is>
          <t>UPI/P2A/418872101808/DEEPIKA U/State Ban/UPI/</t>
        </is>
      </c>
      <c r="C267" s="131" t="inlineStr">
        <is>
          <t>-</t>
        </is>
      </c>
      <c r="D267" s="131" t="n">
        <v>0</v>
      </c>
      <c r="E267" s="131" t="n">
        <v>1000</v>
      </c>
      <c r="F267" s="131" t="n">
        <v>38764.54</v>
      </c>
      <c r="G267" s="131" t="inlineStr">
        <is>
          <t>Personal</t>
        </is>
      </c>
      <c r="H267" s="131" t="inlineStr">
        <is>
          <t>AXIS 7042</t>
        </is>
      </c>
    </row>
    <row r="268">
      <c r="A268" s="130" t="n">
        <v>45481</v>
      </c>
      <c r="B268" s="131" t="inlineStr">
        <is>
          <t>UPI/P2A/419032821898/KAMINI  MIHANI  95279/cream/State Bank Of India</t>
        </is>
      </c>
      <c r="C268" s="131" t="inlineStr">
        <is>
          <t>-</t>
        </is>
      </c>
      <c r="D268" s="131" t="n">
        <v>650</v>
      </c>
      <c r="E268" s="131" t="n">
        <v>0</v>
      </c>
      <c r="F268" s="131" t="n">
        <v>38114.54</v>
      </c>
      <c r="G268" s="131" t="inlineStr">
        <is>
          <t>Personal</t>
        </is>
      </c>
      <c r="H268" s="131" t="inlineStr">
        <is>
          <t>AXIS 7042</t>
        </is>
      </c>
    </row>
    <row r="269">
      <c r="A269" s="130" t="n">
        <v>45481</v>
      </c>
      <c r="B269" s="131" t="inlineStr">
        <is>
          <t>NET PI TO HSL SEC A/C 523686-00602340029434</t>
        </is>
      </c>
      <c r="C269" s="131" t="inlineStr">
        <is>
          <t>0000000539198016</t>
        </is>
      </c>
      <c r="D269" s="131" t="n">
        <v>884.3099999999999</v>
      </c>
      <c r="E269" s="131" t="n">
        <v>0</v>
      </c>
      <c r="F269" s="131" t="n">
        <v>103659.26</v>
      </c>
      <c r="G269" s="131" t="inlineStr">
        <is>
          <t>HDFC Securities</t>
        </is>
      </c>
      <c r="H269" s="131" t="inlineStr">
        <is>
          <t>HDFC 0094</t>
        </is>
      </c>
    </row>
    <row r="270">
      <c r="A270" s="130" t="n">
        <v>45482</v>
      </c>
      <c r="B270" s="131" t="inlineStr">
        <is>
          <t>NET PO FROM HSL A/C 523686-50200085415108</t>
        </is>
      </c>
      <c r="C270" s="131" t="inlineStr">
        <is>
          <t>0000000539617105</t>
        </is>
      </c>
      <c r="D270" s="131" t="n">
        <v>0</v>
      </c>
      <c r="E270" s="131" t="n">
        <v>105064.81</v>
      </c>
      <c r="F270" s="131" t="n">
        <v>208724.07</v>
      </c>
      <c r="G270" s="131" t="inlineStr">
        <is>
          <t>HDFC Securities</t>
        </is>
      </c>
      <c r="H270" s="131" t="inlineStr">
        <is>
          <t>HDFC 0094</t>
        </is>
      </c>
    </row>
    <row r="271">
      <c r="A271" s="130" t="n">
        <v>45482</v>
      </c>
      <c r="B271" s="131" t="inlineStr">
        <is>
          <t>NET PI TO HSL SEC A/C 523686-00602340029434</t>
        </is>
      </c>
      <c r="C271" s="131" t="inlineStr">
        <is>
          <t>0000000539759941</t>
        </is>
      </c>
      <c r="D271" s="131" t="n">
        <v>366.05</v>
      </c>
      <c r="E271" s="131" t="n">
        <v>0</v>
      </c>
      <c r="F271" s="131" t="n">
        <v>208358.02</v>
      </c>
      <c r="G271" s="131" t="inlineStr">
        <is>
          <t>HDFC Securities</t>
        </is>
      </c>
      <c r="H271" s="131" t="inlineStr">
        <is>
          <t>HDFC 0094</t>
        </is>
      </c>
    </row>
    <row r="272">
      <c r="A272" s="130" t="n">
        <v>45482</v>
      </c>
      <c r="B272" s="131" t="inlineStr">
        <is>
          <t>NET PI TO HSL SEC A/C 523686-00602340029434</t>
        </is>
      </c>
      <c r="C272" s="131" t="inlineStr">
        <is>
          <t>0000000539948191</t>
        </is>
      </c>
      <c r="D272" s="131" t="n">
        <v>26096.89</v>
      </c>
      <c r="E272" s="131" t="n">
        <v>0</v>
      </c>
      <c r="F272" s="131" t="n">
        <v>182261.13</v>
      </c>
      <c r="G272" s="131" t="inlineStr">
        <is>
          <t>HDFC Securities</t>
        </is>
      </c>
      <c r="H272" s="131" t="inlineStr">
        <is>
          <t>HDFC 0094</t>
        </is>
      </c>
    </row>
    <row r="273">
      <c r="A273" s="130" t="n">
        <v>45483</v>
      </c>
      <c r="B273" s="131" t="inlineStr">
        <is>
          <t>NET PI TO HSL SEC A/C 523686-00602340029434</t>
        </is>
      </c>
      <c r="C273" s="131" t="inlineStr">
        <is>
          <t>0000000540276944</t>
        </is>
      </c>
      <c r="D273" s="131" t="n">
        <v>314.46</v>
      </c>
      <c r="E273" s="131" t="n">
        <v>0</v>
      </c>
      <c r="F273" s="131" t="n">
        <v>181946.67</v>
      </c>
      <c r="G273" s="131" t="inlineStr">
        <is>
          <t>HDFC Securities</t>
        </is>
      </c>
      <c r="H273" s="131" t="inlineStr">
        <is>
          <t>HDFC 0094</t>
        </is>
      </c>
    </row>
    <row r="274">
      <c r="A274" s="130" t="n">
        <v>45483</v>
      </c>
      <c r="B274" s="131" t="inlineStr">
        <is>
          <t>NEFT DR-CBIN0281016-THE ORIENTAL INSURANACE COMPANY LTD-NETBANK, MUM-N192243146013226-BLD SUNITA INSURAN</t>
        </is>
      </c>
      <c r="C274" s="131" t="inlineStr">
        <is>
          <t>N192243146013226</t>
        </is>
      </c>
      <c r="D274" s="131" t="n">
        <v>849</v>
      </c>
      <c r="E274" s="131" t="n">
        <v>0</v>
      </c>
      <c r="F274" s="131" t="n">
        <v>181097.67</v>
      </c>
      <c r="G274" s="131" t="inlineStr">
        <is>
          <t>Sunita Gupta</t>
        </is>
      </c>
      <c r="H274" s="131" t="inlineStr">
        <is>
          <t>HDFC 0094</t>
        </is>
      </c>
    </row>
    <row r="275">
      <c r="A275" s="130" t="n">
        <v>45484</v>
      </c>
      <c r="B275" s="131" t="inlineStr">
        <is>
          <t>UPI/P2A/419395681329/BHUTADA S/Bank of B/Payment/</t>
        </is>
      </c>
      <c r="C275" s="131" t="inlineStr">
        <is>
          <t>-</t>
        </is>
      </c>
      <c r="D275" s="131" t="n">
        <v>0</v>
      </c>
      <c r="E275" s="131" t="n">
        <v>1000</v>
      </c>
      <c r="F275" s="131" t="n">
        <v>39114.54</v>
      </c>
      <c r="G275" s="131" t="inlineStr">
        <is>
          <t>Personal</t>
        </is>
      </c>
      <c r="H275" s="131" t="inlineStr">
        <is>
          <t>AXIS 7042</t>
        </is>
      </c>
    </row>
    <row r="276">
      <c r="A276" s="130" t="n">
        <v>45484</v>
      </c>
      <c r="B276" s="131" t="inlineStr">
        <is>
          <t>NET PI TO HSL SEC A/C 523686-00602340029434</t>
        </is>
      </c>
      <c r="C276" s="131" t="inlineStr">
        <is>
          <t>0000000540942700</t>
        </is>
      </c>
      <c r="D276" s="131" t="n">
        <v>226741.8</v>
      </c>
      <c r="E276" s="131" t="n">
        <v>0</v>
      </c>
      <c r="F276" s="131" t="n">
        <v>28802.64</v>
      </c>
      <c r="G276" s="131" t="inlineStr">
        <is>
          <t>HDFC Securities</t>
        </is>
      </c>
      <c r="H276" s="131" t="inlineStr">
        <is>
          <t>HDFC 0094</t>
        </is>
      </c>
    </row>
    <row r="277">
      <c r="A277" s="130" t="n">
        <v>45484</v>
      </c>
      <c r="B277" s="131" t="inlineStr">
        <is>
          <t>NET PI TO HSL SEC A/C 523686-00602340029434</t>
        </is>
      </c>
      <c r="C277" s="131" t="inlineStr">
        <is>
          <t>0000000540765306</t>
        </is>
      </c>
      <c r="D277" s="131" t="n">
        <v>347.36</v>
      </c>
      <c r="E277" s="131" t="n">
        <v>0</v>
      </c>
      <c r="F277" s="131" t="n">
        <v>255544.44</v>
      </c>
      <c r="G277" s="131" t="inlineStr">
        <is>
          <t>HDFC Securities</t>
        </is>
      </c>
      <c r="H277" s="131" t="inlineStr">
        <is>
          <t>HDFC 0094</t>
        </is>
      </c>
    </row>
    <row r="278">
      <c r="A278" s="130" t="n">
        <v>45484</v>
      </c>
      <c r="B278" s="131" t="inlineStr">
        <is>
          <t>NET PO FROM HSL A/C 523686-50200085415108</t>
        </is>
      </c>
      <c r="C278" s="131" t="inlineStr">
        <is>
          <t>0000000540665713</t>
        </is>
      </c>
      <c r="D278" s="131" t="n">
        <v>0</v>
      </c>
      <c r="E278" s="131" t="n">
        <v>42358.74</v>
      </c>
      <c r="F278" s="131" t="n">
        <v>255891.8</v>
      </c>
      <c r="G278" s="131" t="inlineStr">
        <is>
          <t>HDFC Securities</t>
        </is>
      </c>
      <c r="H278" s="131" t="inlineStr">
        <is>
          <t>HDFC 0094</t>
        </is>
      </c>
    </row>
    <row r="279">
      <c r="A279" s="130" t="n">
        <v>45484</v>
      </c>
      <c r="B279" s="131" t="inlineStr">
        <is>
          <t>NET PO FROM HSL A/C 523686-50200085415108</t>
        </is>
      </c>
      <c r="C279" s="131" t="inlineStr">
        <is>
          <t>0000000540627159</t>
        </is>
      </c>
      <c r="D279" s="131" t="n">
        <v>0</v>
      </c>
      <c r="E279" s="131" t="n">
        <v>32435.39</v>
      </c>
      <c r="F279" s="131" t="n">
        <v>213533.06</v>
      </c>
      <c r="G279" s="131" t="inlineStr">
        <is>
          <t>HDFC Securities</t>
        </is>
      </c>
      <c r="H279" s="131" t="inlineStr">
        <is>
          <t>HDFC 0094</t>
        </is>
      </c>
    </row>
    <row r="280">
      <c r="A280" s="130" t="n">
        <v>45484</v>
      </c>
      <c r="B280" s="131" t="inlineStr">
        <is>
          <t>UPI/P2A/419342818267/ADITYA DH/Axis Bank/Payment/</t>
        </is>
      </c>
      <c r="C280" s="131" t="inlineStr">
        <is>
          <t>-</t>
        </is>
      </c>
      <c r="D280" s="131" t="n">
        <v>0</v>
      </c>
      <c r="E280" s="131" t="n">
        <v>1000</v>
      </c>
      <c r="F280" s="131" t="n">
        <v>40089.54</v>
      </c>
      <c r="G280" s="131" t="inlineStr">
        <is>
          <t>Personal</t>
        </is>
      </c>
      <c r="H280" s="131" t="inlineStr">
        <is>
          <t>AXIS 7042</t>
        </is>
      </c>
    </row>
    <row r="281">
      <c r="A281" s="130" t="n">
        <v>45484</v>
      </c>
      <c r="B281" s="131" t="inlineStr">
        <is>
          <t>UPI/P2M/419362096628/SHIVBHOLA VEGETABLE E/vegeta/Yes Bank Ltd</t>
        </is>
      </c>
      <c r="C281" s="131" t="inlineStr">
        <is>
          <t>-</t>
        </is>
      </c>
      <c r="D281" s="131" t="n">
        <v>25</v>
      </c>
      <c r="E281" s="131" t="n">
        <v>0</v>
      </c>
      <c r="F281" s="131" t="n">
        <v>39089.54</v>
      </c>
      <c r="G281" s="131" t="inlineStr">
        <is>
          <t>Groceries</t>
        </is>
      </c>
      <c r="H281" s="131" t="inlineStr">
        <is>
          <t>AXIS 7042</t>
        </is>
      </c>
    </row>
    <row r="282">
      <c r="A282" s="130" t="n">
        <v>45485</v>
      </c>
      <c r="B282" s="131" t="inlineStr">
        <is>
          <t>NET PI TO HSL SEC A/C 523686-00602340029434</t>
        </is>
      </c>
      <c r="C282" s="131" t="inlineStr">
        <is>
          <t>0000000541225758</t>
        </is>
      </c>
      <c r="D282" s="131" t="n">
        <v>258.48</v>
      </c>
      <c r="E282" s="131" t="n">
        <v>0</v>
      </c>
      <c r="F282" s="131" t="n">
        <v>28544.16</v>
      </c>
      <c r="G282" s="131" t="inlineStr">
        <is>
          <t>HDFC Securities</t>
        </is>
      </c>
      <c r="H282" s="131" t="inlineStr">
        <is>
          <t>HDFC 0094</t>
        </is>
      </c>
    </row>
    <row r="283">
      <c r="A283" s="130" t="n">
        <v>45488</v>
      </c>
      <c r="B283" s="131" t="inlineStr">
        <is>
          <t>NET PO FROM HSL A/C 523686-50200085415108</t>
        </is>
      </c>
      <c r="C283" s="131" t="inlineStr">
        <is>
          <t>0000000541552533</t>
        </is>
      </c>
      <c r="D283" s="131" t="n">
        <v>0</v>
      </c>
      <c r="E283" s="131" t="n">
        <v>70547.13</v>
      </c>
      <c r="F283" s="131" t="n">
        <v>99091.28999999999</v>
      </c>
      <c r="G283" s="131" t="inlineStr">
        <is>
          <t>HDFC Securities</t>
        </is>
      </c>
      <c r="H283" s="131" t="inlineStr">
        <is>
          <t>HDFC 0094</t>
        </is>
      </c>
    </row>
    <row r="284">
      <c r="A284" s="130" t="n">
        <v>45488</v>
      </c>
      <c r="B284" s="131" t="inlineStr">
        <is>
          <t>ACH D- INDIAN CLEARING CORP-P25847643X05</t>
        </is>
      </c>
      <c r="C284" s="131" t="inlineStr">
        <is>
          <t>0000006191549497</t>
        </is>
      </c>
      <c r="D284" s="131" t="n">
        <v>5000</v>
      </c>
      <c r="E284" s="131" t="n">
        <v>0</v>
      </c>
      <c r="F284" s="131" t="n">
        <v>94091.28999999999</v>
      </c>
      <c r="G284" s="131" t="inlineStr">
        <is>
          <t>Mutual_Fund_Investments</t>
        </is>
      </c>
      <c r="H284" s="131" t="inlineStr">
        <is>
          <t>HDFC 0094</t>
        </is>
      </c>
    </row>
    <row r="285">
      <c r="A285" s="130" t="n">
        <v>45488</v>
      </c>
      <c r="B285" s="131" t="inlineStr">
        <is>
          <t>NET PI TO HSL SEC A/C 523686-00602340029434</t>
        </is>
      </c>
      <c r="C285" s="131" t="inlineStr">
        <is>
          <t>0000000541746211</t>
        </is>
      </c>
      <c r="D285" s="131" t="n">
        <v>1146.24</v>
      </c>
      <c r="E285" s="131" t="n">
        <v>0</v>
      </c>
      <c r="F285" s="131" t="n">
        <v>92945.05</v>
      </c>
      <c r="G285" s="131" t="inlineStr">
        <is>
          <t>HDFC Securities</t>
        </is>
      </c>
      <c r="H285" s="131" t="inlineStr">
        <is>
          <t>HDFC 0094</t>
        </is>
      </c>
    </row>
    <row r="286">
      <c r="A286" s="130" t="n">
        <v>45488</v>
      </c>
      <c r="B286" s="131" t="inlineStr">
        <is>
          <t>NET PI TO HSL SEC A/C 523686-00602340029434</t>
        </is>
      </c>
      <c r="C286" s="131" t="inlineStr">
        <is>
          <t>0000000541939860</t>
        </is>
      </c>
      <c r="D286" s="131" t="n">
        <v>4746.73</v>
      </c>
      <c r="E286" s="131" t="n">
        <v>0</v>
      </c>
      <c r="F286" s="131" t="n">
        <v>88198.32000000001</v>
      </c>
      <c r="G286" s="131" t="inlineStr">
        <is>
          <t>HDFC Securities</t>
        </is>
      </c>
      <c r="H286" s="131" t="inlineStr">
        <is>
          <t>HDFC 0094</t>
        </is>
      </c>
    </row>
    <row r="287">
      <c r="A287" s="130" t="n">
        <v>45489</v>
      </c>
      <c r="B287" s="131" t="inlineStr">
        <is>
          <t>UPI/P2A/419895360581/BHARTI RATAN DEVNANI /UPI/Union Bank of India</t>
        </is>
      </c>
      <c r="C287" s="131" t="inlineStr">
        <is>
          <t>-</t>
        </is>
      </c>
      <c r="D287" s="131" t="n">
        <v>320</v>
      </c>
      <c r="E287" s="131" t="n">
        <v>0</v>
      </c>
      <c r="F287" s="131" t="n">
        <v>39769.54</v>
      </c>
      <c r="G287" s="131" t="inlineStr">
        <is>
          <t>Personal</t>
        </is>
      </c>
      <c r="H287" s="131" t="inlineStr">
        <is>
          <t>AXIS 7042</t>
        </is>
      </c>
    </row>
    <row r="288">
      <c r="A288" s="130" t="n">
        <v>45489</v>
      </c>
      <c r="B288" s="131" t="inlineStr">
        <is>
          <t>NET PO FROM HSL A/C 523686-50200085415108</t>
        </is>
      </c>
      <c r="C288" s="131" t="inlineStr">
        <is>
          <t>0000000542122503</t>
        </is>
      </c>
      <c r="D288" s="131" t="n">
        <v>0</v>
      </c>
      <c r="E288" s="131" t="n">
        <v>37095.78</v>
      </c>
      <c r="F288" s="131" t="n">
        <v>125294.1</v>
      </c>
      <c r="G288" s="131" t="inlineStr">
        <is>
          <t>HDFC Securities</t>
        </is>
      </c>
      <c r="H288" s="131" t="inlineStr">
        <is>
          <t>HDFC 0094</t>
        </is>
      </c>
    </row>
    <row r="289">
      <c r="A289" s="130" t="n">
        <v>45489</v>
      </c>
      <c r="B289" s="131" t="inlineStr">
        <is>
          <t>NET PI TO HSL SEC A/C 523686-00602340029434</t>
        </is>
      </c>
      <c r="C289" s="131" t="inlineStr">
        <is>
          <t>0000000542209757</t>
        </is>
      </c>
      <c r="D289" s="131" t="n">
        <v>353.43</v>
      </c>
      <c r="E289" s="131" t="n">
        <v>0</v>
      </c>
      <c r="F289" s="131" t="n">
        <v>124940.67</v>
      </c>
      <c r="G289" s="131" t="inlineStr">
        <is>
          <t>HDFC Securities</t>
        </is>
      </c>
      <c r="H289" s="131" t="inlineStr">
        <is>
          <t>HDFC 0094</t>
        </is>
      </c>
    </row>
    <row r="290">
      <c r="A290" s="130" t="n">
        <v>45489</v>
      </c>
      <c r="B290" s="131" t="inlineStr">
        <is>
          <t>NET PI TO HSL SEC A/C 523686-00602340029434</t>
        </is>
      </c>
      <c r="C290" s="131" t="inlineStr">
        <is>
          <t>0000000542412119</t>
        </is>
      </c>
      <c r="D290" s="131" t="n">
        <v>64797.19</v>
      </c>
      <c r="E290" s="131" t="n">
        <v>0</v>
      </c>
      <c r="F290" s="131" t="n">
        <v>58125.68</v>
      </c>
      <c r="G290" s="131" t="inlineStr">
        <is>
          <t>HDFC Securities</t>
        </is>
      </c>
      <c r="H290" s="131" t="inlineStr">
        <is>
          <t>HDFC 0094</t>
        </is>
      </c>
    </row>
    <row r="291">
      <c r="A291" s="130" t="n">
        <v>45489</v>
      </c>
      <c r="B291" s="131" t="inlineStr">
        <is>
          <t>DEPOSITORY CHARGES JUN24 - 41060499</t>
        </is>
      </c>
      <c r="C291" s="131" t="inlineStr">
        <is>
          <t>000000000000000</t>
        </is>
      </c>
      <c r="D291" s="131" t="n">
        <v>2017.8</v>
      </c>
      <c r="E291" s="131" t="n">
        <v>0</v>
      </c>
      <c r="F291" s="131" t="n">
        <v>122922.87</v>
      </c>
      <c r="G291" s="131" t="inlineStr">
        <is>
          <t>Depository Charges</t>
        </is>
      </c>
      <c r="H291" s="131" t="inlineStr">
        <is>
          <t>HDFC 0094</t>
        </is>
      </c>
    </row>
    <row r="292">
      <c r="A292" s="130" t="n">
        <v>45490</v>
      </c>
      <c r="B292" s="131" t="inlineStr">
        <is>
          <t>Non-Maint Avg bal chgs May2024</t>
        </is>
      </c>
      <c r="C292" s="131" t="inlineStr">
        <is>
          <t>-</t>
        </is>
      </c>
      <c r="D292" s="131" t="n">
        <v>600</v>
      </c>
      <c r="E292" s="131" t="n">
        <v>0</v>
      </c>
      <c r="F292" s="131" t="n">
        <v>39061.54</v>
      </c>
      <c r="G292" s="131" t="inlineStr">
        <is>
          <t>Bank Charges</t>
        </is>
      </c>
      <c r="H292" s="131" t="inlineStr">
        <is>
          <t>AXIS 7042</t>
        </is>
      </c>
    </row>
    <row r="293">
      <c r="A293" s="130" t="n">
        <v>45490</v>
      </c>
      <c r="B293" s="131" t="inlineStr">
        <is>
          <t>GST @18% on MAB Charge</t>
        </is>
      </c>
      <c r="C293" s="131" t="inlineStr">
        <is>
          <t>-</t>
        </is>
      </c>
      <c r="D293" s="131" t="n">
        <v>108</v>
      </c>
      <c r="E293" s="131" t="n">
        <v>0</v>
      </c>
      <c r="F293" s="131" t="n">
        <v>39661.54</v>
      </c>
      <c r="G293" s="131" t="inlineStr">
        <is>
          <t>Bank Charges</t>
        </is>
      </c>
      <c r="H293" s="131" t="inlineStr">
        <is>
          <t>AXIS 7042</t>
        </is>
      </c>
    </row>
    <row r="294">
      <c r="A294" s="130" t="n">
        <v>45491</v>
      </c>
      <c r="B294" s="131" t="inlineStr">
        <is>
          <t>NET PI TO HSL SEC A/C 523686-00602340029434</t>
        </is>
      </c>
      <c r="C294" s="131" t="inlineStr">
        <is>
          <t>0000000542895537</t>
        </is>
      </c>
      <c r="D294" s="131" t="n">
        <v>11607.97</v>
      </c>
      <c r="E294" s="131" t="n">
        <v>0</v>
      </c>
      <c r="F294" s="131" t="n">
        <v>151713.75</v>
      </c>
      <c r="G294" s="131" t="inlineStr">
        <is>
          <t>HDFC Securities</t>
        </is>
      </c>
      <c r="H294" s="131" t="inlineStr">
        <is>
          <t>HDFC 0094</t>
        </is>
      </c>
    </row>
    <row r="295">
      <c r="A295" s="130" t="n">
        <v>45491</v>
      </c>
      <c r="B295" s="131" t="inlineStr">
        <is>
          <t>NET PI TO HSL SEC A/C 523686-00602340029434</t>
        </is>
      </c>
      <c r="C295" s="131" t="inlineStr">
        <is>
          <t>0000000542689847</t>
        </is>
      </c>
      <c r="D295" s="131" t="n">
        <v>660.7</v>
      </c>
      <c r="E295" s="131" t="n">
        <v>0</v>
      </c>
      <c r="F295" s="131" t="n">
        <v>163321.72</v>
      </c>
      <c r="G295" s="131" t="inlineStr">
        <is>
          <t>HDFC Securities</t>
        </is>
      </c>
      <c r="H295" s="131" t="inlineStr">
        <is>
          <t>HDFC 0094</t>
        </is>
      </c>
    </row>
    <row r="296">
      <c r="A296" s="130" t="n">
        <v>45491</v>
      </c>
      <c r="B296" s="131" t="inlineStr">
        <is>
          <t>NET PO FROM HSL A/C 523686-50200085415108</t>
        </is>
      </c>
      <c r="C296" s="131" t="inlineStr">
        <is>
          <t>0000000542578947</t>
        </is>
      </c>
      <c r="D296" s="131" t="n">
        <v>0</v>
      </c>
      <c r="E296" s="131" t="n">
        <v>103150.07</v>
      </c>
      <c r="F296" s="131" t="n">
        <v>163982.42</v>
      </c>
      <c r="G296" s="131" t="inlineStr">
        <is>
          <t>HDFC Securities</t>
        </is>
      </c>
      <c r="H296" s="131" t="inlineStr">
        <is>
          <t>HDFC 0094</t>
        </is>
      </c>
    </row>
    <row r="297">
      <c r="A297" s="130" t="n">
        <v>45491</v>
      </c>
      <c r="B297" s="131" t="inlineStr">
        <is>
          <t>NET PO FROM HSL A/C 523686-50200085415108</t>
        </is>
      </c>
      <c r="C297" s="131" t="inlineStr">
        <is>
          <t>0000000542541158</t>
        </is>
      </c>
      <c r="D297" s="131" t="n">
        <v>0</v>
      </c>
      <c r="E297" s="131" t="n">
        <v>2706.67</v>
      </c>
      <c r="F297" s="131" t="n">
        <v>60832.35</v>
      </c>
      <c r="G297" s="131" t="inlineStr">
        <is>
          <t>HDFC Securities</t>
        </is>
      </c>
      <c r="H297" s="131" t="inlineStr">
        <is>
          <t>HDFC 0094</t>
        </is>
      </c>
    </row>
    <row r="298">
      <c r="A298" s="130" t="n">
        <v>45491</v>
      </c>
      <c r="B298" s="131" t="inlineStr">
        <is>
          <t>ACH-CR-HDFC LIFE INSURANCE-NACH-00000000000005531</t>
        </is>
      </c>
      <c r="C298" s="131" t="inlineStr">
        <is>
          <t>-</t>
        </is>
      </c>
      <c r="D298" s="131" t="n">
        <v>0</v>
      </c>
      <c r="E298" s="131" t="n">
        <v>50</v>
      </c>
      <c r="F298" s="131" t="n">
        <v>39111.54</v>
      </c>
      <c r="G298" s="131" t="inlineStr">
        <is>
          <t>Dividend Income</t>
        </is>
      </c>
      <c r="H298" s="131" t="inlineStr">
        <is>
          <t>AXIS 7042</t>
        </is>
      </c>
    </row>
    <row r="299">
      <c r="A299" s="130" t="n">
        <v>45492</v>
      </c>
      <c r="B299" s="131" t="inlineStr">
        <is>
          <t>UPI/P2M/420154995267/MADHURI SEN          /parlou/Axis Bank Ltd.</t>
        </is>
      </c>
      <c r="C299" s="131" t="inlineStr">
        <is>
          <t>-</t>
        </is>
      </c>
      <c r="D299" s="131" t="n">
        <v>1000</v>
      </c>
      <c r="E299" s="131" t="n">
        <v>0</v>
      </c>
      <c r="F299" s="131" t="n">
        <v>38111.54</v>
      </c>
      <c r="G299" s="131" t="inlineStr">
        <is>
          <t>Personal</t>
        </is>
      </c>
      <c r="H299" s="131" t="inlineStr">
        <is>
          <t>AXIS 7042</t>
        </is>
      </c>
    </row>
    <row r="300">
      <c r="A300" s="130" t="n">
        <v>45492</v>
      </c>
      <c r="B300" s="131" t="inlineStr">
        <is>
          <t>ACH C- CAMSL FINALDIV23 24-148614</t>
        </is>
      </c>
      <c r="C300" s="131" t="inlineStr">
        <is>
          <t>0000006386328282</t>
        </is>
      </c>
      <c r="D300" s="131" t="n">
        <v>0</v>
      </c>
      <c r="E300" s="131" t="n">
        <v>330</v>
      </c>
      <c r="F300" s="131" t="n">
        <v>151736.1</v>
      </c>
      <c r="G300" s="131" t="inlineStr">
        <is>
          <t>Dividend Income</t>
        </is>
      </c>
      <c r="H300" s="131" t="inlineStr">
        <is>
          <t>HDFC 0094</t>
        </is>
      </c>
    </row>
    <row r="301">
      <c r="A301" s="130" t="n">
        <v>45492</v>
      </c>
      <c r="B301" s="131" t="inlineStr">
        <is>
          <t>NET PI TO HSL SEC A/C 523686-00602340029434</t>
        </is>
      </c>
      <c r="C301" s="131" t="inlineStr">
        <is>
          <t>0000000543201870</t>
        </is>
      </c>
      <c r="D301" s="131" t="n">
        <v>307.65</v>
      </c>
      <c r="E301" s="131" t="n">
        <v>0</v>
      </c>
      <c r="F301" s="131" t="n">
        <v>151406.1</v>
      </c>
      <c r="G301" s="131" t="inlineStr">
        <is>
          <t>HDFC Securities</t>
        </is>
      </c>
      <c r="H301" s="131" t="inlineStr">
        <is>
          <t>HDFC 0094</t>
        </is>
      </c>
    </row>
    <row r="302">
      <c r="A302" s="130" t="n">
        <v>45493</v>
      </c>
      <c r="B302" s="131" t="inlineStr">
        <is>
          <t>NET PI TO HSL SEC A/C 523686-00602340029434</t>
        </is>
      </c>
      <c r="C302" s="131" t="inlineStr">
        <is>
          <t>0000000543429104</t>
        </is>
      </c>
      <c r="D302" s="131" t="n">
        <v>23844.72</v>
      </c>
      <c r="E302" s="131" t="n">
        <v>0</v>
      </c>
      <c r="F302" s="131" t="n">
        <v>127891.38</v>
      </c>
      <c r="G302" s="131" t="inlineStr">
        <is>
          <t>HDFC Securities</t>
        </is>
      </c>
      <c r="H302" s="131" t="inlineStr">
        <is>
          <t>HDFC 0094</t>
        </is>
      </c>
    </row>
    <row r="303">
      <c r="A303" s="130" t="n">
        <v>45494</v>
      </c>
      <c r="B303" s="131" t="inlineStr">
        <is>
          <t>UPI/P2A/420322676433/PRITI MUK/HDFC BANK/Payment/</t>
        </is>
      </c>
      <c r="C303" s="131" t="inlineStr">
        <is>
          <t>-</t>
        </is>
      </c>
      <c r="D303" s="131" t="n">
        <v>0</v>
      </c>
      <c r="E303" s="131" t="n">
        <v>150</v>
      </c>
      <c r="F303" s="131" t="n">
        <v>38261.54</v>
      </c>
      <c r="G303" s="131" t="inlineStr">
        <is>
          <t>Personal</t>
        </is>
      </c>
      <c r="H303" s="131" t="inlineStr">
        <is>
          <t>AXIS 7042</t>
        </is>
      </c>
    </row>
    <row r="304">
      <c r="A304" s="130" t="n">
        <v>45494</v>
      </c>
      <c r="B304" s="131" t="inlineStr">
        <is>
          <t>UPI/P2A/420369431939/KAMINI  MIHANI  95279/parlou/State Bank Of India</t>
        </is>
      </c>
      <c r="C304" s="131" t="inlineStr">
        <is>
          <t>-</t>
        </is>
      </c>
      <c r="D304" s="131" t="n">
        <v>600</v>
      </c>
      <c r="E304" s="131" t="n">
        <v>0</v>
      </c>
      <c r="F304" s="131" t="n">
        <v>37661.54</v>
      </c>
      <c r="G304" s="131" t="inlineStr">
        <is>
          <t>Personal</t>
        </is>
      </c>
      <c r="H304" s="131" t="inlineStr">
        <is>
          <t>AXIS 7042</t>
        </is>
      </c>
    </row>
    <row r="305">
      <c r="A305" s="130" t="n">
        <v>45494</v>
      </c>
      <c r="B305" s="131" t="inlineStr">
        <is>
          <t>UPI/P2A/456924153221/ADITI  GUPTA         /rumal/State Bank Of India</t>
        </is>
      </c>
      <c r="C305" s="131" t="inlineStr">
        <is>
          <t>-</t>
        </is>
      </c>
      <c r="D305" s="131" t="n">
        <v>420</v>
      </c>
      <c r="E305" s="131" t="n">
        <v>0</v>
      </c>
      <c r="F305" s="131" t="n">
        <v>37241.54</v>
      </c>
      <c r="G305" s="131" t="inlineStr">
        <is>
          <t>Personal</t>
        </is>
      </c>
      <c r="H305" s="131" t="inlineStr">
        <is>
          <t>AXIS 7042</t>
        </is>
      </c>
    </row>
    <row r="306">
      <c r="A306" s="130" t="n">
        <v>45495</v>
      </c>
      <c r="B306" s="131" t="inlineStr">
        <is>
          <t>YHDF2391587417/BILLDKINDIANCLEARING</t>
        </is>
      </c>
      <c r="C306" s="131" t="inlineStr">
        <is>
          <t>0002420456722849</t>
        </is>
      </c>
      <c r="D306" s="131" t="n">
        <v>10000</v>
      </c>
      <c r="E306" s="131" t="n">
        <v>0</v>
      </c>
      <c r="F306" s="131" t="n">
        <v>117891.38</v>
      </c>
      <c r="G306" s="131" t="inlineStr">
        <is>
          <t>SIP</t>
        </is>
      </c>
      <c r="H306" s="131" t="inlineStr">
        <is>
          <t>HDFC 0094</t>
        </is>
      </c>
    </row>
    <row r="307">
      <c r="A307" s="130" t="n">
        <v>45495</v>
      </c>
      <c r="B307" s="131" t="inlineStr">
        <is>
          <t>NET PI TO HSL SEC A/C 523686-00602340029434</t>
        </is>
      </c>
      <c r="C307" s="131" t="inlineStr">
        <is>
          <t>0000000543767902</t>
        </is>
      </c>
      <c r="D307" s="131" t="n">
        <v>897.45</v>
      </c>
      <c r="E307" s="131" t="n">
        <v>0</v>
      </c>
      <c r="F307" s="131" t="n">
        <v>116993.93</v>
      </c>
      <c r="G307" s="131" t="inlineStr">
        <is>
          <t>HDFC Securities</t>
        </is>
      </c>
      <c r="H307" s="131" t="inlineStr">
        <is>
          <t>HDFC 0094</t>
        </is>
      </c>
    </row>
    <row r="308">
      <c r="A308" s="130" t="n">
        <v>45496</v>
      </c>
      <c r="B308" s="131" t="inlineStr">
        <is>
          <t>NET PI TO HSL SEC A/C 523686-00602340029434</t>
        </is>
      </c>
      <c r="C308" s="131" t="inlineStr">
        <is>
          <t>0000000544462183</t>
        </is>
      </c>
      <c r="D308" s="131" t="n">
        <v>9363.379999999999</v>
      </c>
      <c r="E308" s="131" t="n">
        <v>0</v>
      </c>
      <c r="F308" s="131" t="n">
        <v>121424.47</v>
      </c>
      <c r="G308" s="131" t="inlineStr">
        <is>
          <t>HDFC Securities</t>
        </is>
      </c>
      <c r="H308" s="131" t="inlineStr">
        <is>
          <t>HDFC 0094</t>
        </is>
      </c>
    </row>
    <row r="309">
      <c r="A309" s="130" t="n">
        <v>45496</v>
      </c>
      <c r="B309" s="131" t="inlineStr">
        <is>
          <t>NET PO FROM HSL A/C 523686-50200085415108</t>
        </is>
      </c>
      <c r="C309" s="131" t="inlineStr">
        <is>
          <t>0000000544112396</t>
        </is>
      </c>
      <c r="D309" s="131" t="n">
        <v>0</v>
      </c>
      <c r="E309" s="131" t="n">
        <v>14093.07</v>
      </c>
      <c r="F309" s="131" t="n">
        <v>131087</v>
      </c>
      <c r="G309" s="131" t="inlineStr">
        <is>
          <t>HDFC Securities</t>
        </is>
      </c>
      <c r="H309" s="131" t="inlineStr">
        <is>
          <t>HDFC 0094</t>
        </is>
      </c>
    </row>
    <row r="310">
      <c r="A310" s="130" t="n">
        <v>45496</v>
      </c>
      <c r="B310" s="131" t="inlineStr">
        <is>
          <t>NET PI TO HSL SEC A/C 523686-00602340029434</t>
        </is>
      </c>
      <c r="C310" s="131" t="inlineStr">
        <is>
          <t>0000000544256386</t>
        </is>
      </c>
      <c r="D310" s="131" t="n">
        <v>299.15</v>
      </c>
      <c r="E310" s="131" t="n">
        <v>0</v>
      </c>
      <c r="F310" s="131" t="n">
        <v>130787.85</v>
      </c>
      <c r="G310" s="131" t="inlineStr">
        <is>
          <t>HDFC Securities</t>
        </is>
      </c>
      <c r="H310" s="131" t="inlineStr">
        <is>
          <t>HDFC 0094</t>
        </is>
      </c>
    </row>
    <row r="311">
      <c r="A311" s="130" t="n">
        <v>45497</v>
      </c>
      <c r="B311" s="131" t="inlineStr">
        <is>
          <t>NET PI TO HSL SEC A/C 523686-00602340029434</t>
        </is>
      </c>
      <c r="C311" s="131" t="inlineStr">
        <is>
          <t>0000000544754071</t>
        </is>
      </c>
      <c r="D311" s="131" t="n">
        <v>300.84</v>
      </c>
      <c r="E311" s="131" t="n">
        <v>0</v>
      </c>
      <c r="F311" s="131" t="n">
        <v>121123.63</v>
      </c>
      <c r="G311" s="131" t="inlineStr">
        <is>
          <t>HDFC Securities</t>
        </is>
      </c>
      <c r="H311" s="131" t="inlineStr">
        <is>
          <t>HDFC 0094</t>
        </is>
      </c>
    </row>
    <row r="312">
      <c r="A312" s="130" t="n">
        <v>45497</v>
      </c>
      <c r="B312" s="131" t="inlineStr">
        <is>
          <t>NEFT CR-SBIN0004266-SBI GENERAL INSURANCE CO LTDSBI GEN-SUNITA GUPTA 0000000002717756-SBIN224206827961</t>
        </is>
      </c>
      <c r="C312" s="131" t="inlineStr">
        <is>
          <t>SBIN224206827961</t>
        </is>
      </c>
      <c r="D312" s="131" t="n">
        <v>0</v>
      </c>
      <c r="E312" s="131" t="n">
        <v>2380</v>
      </c>
      <c r="F312" s="131" t="n">
        <v>123503.63</v>
      </c>
      <c r="G312" s="131" t="inlineStr">
        <is>
          <t>Sunita Gupta</t>
        </is>
      </c>
      <c r="H312" s="131" t="inlineStr">
        <is>
          <t>HDFC 0094</t>
        </is>
      </c>
    </row>
    <row r="313">
      <c r="A313" s="130" t="n">
        <v>45497</v>
      </c>
      <c r="B313" s="131" t="inlineStr">
        <is>
          <t>ACH C- BAJAJ FINANCE LIMITE-5697403</t>
        </is>
      </c>
      <c r="C313" s="131" t="inlineStr">
        <is>
          <t>0000006533137200</t>
        </is>
      </c>
      <c r="D313" s="131" t="n">
        <v>0</v>
      </c>
      <c r="E313" s="131" t="n">
        <v>828</v>
      </c>
      <c r="F313" s="131" t="n">
        <v>124331.63</v>
      </c>
      <c r="G313" s="131" t="inlineStr">
        <is>
          <t>Dividend Income</t>
        </is>
      </c>
      <c r="H313" s="131" t="inlineStr">
        <is>
          <t>HDFC 0094</t>
        </is>
      </c>
    </row>
    <row r="314">
      <c r="A314" s="130" t="n">
        <v>45498</v>
      </c>
      <c r="B314" s="131" t="inlineStr">
        <is>
          <t>UPI/P2A/420791199151/DEEPALI A/HDFC BANK/Payment/</t>
        </is>
      </c>
      <c r="C314" s="131" t="inlineStr">
        <is>
          <t>-</t>
        </is>
      </c>
      <c r="D314" s="131" t="n">
        <v>0</v>
      </c>
      <c r="E314" s="131" t="n">
        <v>1000</v>
      </c>
      <c r="F314" s="131" t="n">
        <v>38241.54</v>
      </c>
      <c r="G314" s="131" t="inlineStr">
        <is>
          <t>Personal</t>
        </is>
      </c>
      <c r="H314" s="131" t="inlineStr">
        <is>
          <t>AXIS 7042</t>
        </is>
      </c>
    </row>
    <row r="315">
      <c r="A315" s="130" t="n">
        <v>45498</v>
      </c>
      <c r="B315" s="131" t="inlineStr">
        <is>
          <t>UPI/P2M/420734844951/IRCTC CF             /IRCTC/HDFC BANK LTD</t>
        </is>
      </c>
      <c r="C315" s="131" t="inlineStr">
        <is>
          <t>-</t>
        </is>
      </c>
      <c r="D315" s="131" t="n">
        <v>407.25</v>
      </c>
      <c r="E315" s="131" t="n">
        <v>0</v>
      </c>
      <c r="F315" s="131" t="n">
        <v>37834.29</v>
      </c>
      <c r="G315" s="131" t="inlineStr">
        <is>
          <t>Travel</t>
        </is>
      </c>
      <c r="H315" s="131" t="inlineStr">
        <is>
          <t>AXIS 7042</t>
        </is>
      </c>
    </row>
    <row r="316">
      <c r="A316" s="130" t="n">
        <v>45498</v>
      </c>
      <c r="B316" s="131" t="inlineStr">
        <is>
          <t>ACH C- BAJAJ FINSERV LIMITE-5166374</t>
        </is>
      </c>
      <c r="C316" s="131" t="inlineStr">
        <is>
          <t>0000006541185854</t>
        </is>
      </c>
      <c r="D316" s="131" t="n">
        <v>0</v>
      </c>
      <c r="E316" s="131" t="n">
        <v>35</v>
      </c>
      <c r="F316" s="131" t="n">
        <v>116397.65</v>
      </c>
      <c r="G316" s="131" t="inlineStr">
        <is>
          <t>Dividend Income</t>
        </is>
      </c>
      <c r="H316" s="131" t="inlineStr">
        <is>
          <t>HDFC 0094</t>
        </is>
      </c>
    </row>
    <row r="317">
      <c r="A317" s="130" t="n">
        <v>45498</v>
      </c>
      <c r="B317" s="131" t="inlineStr">
        <is>
          <t>NET PI TO HSL SEC A/C 523686-00602340029434</t>
        </is>
      </c>
      <c r="C317" s="131" t="inlineStr">
        <is>
          <t>0000000545686491</t>
        </is>
      </c>
      <c r="D317" s="131" t="n">
        <v>9542.030000000001</v>
      </c>
      <c r="E317" s="131" t="n">
        <v>0</v>
      </c>
      <c r="F317" s="131" t="n">
        <v>85309.62</v>
      </c>
      <c r="G317" s="131" t="inlineStr">
        <is>
          <t>HDFC Securities</t>
        </is>
      </c>
      <c r="H317" s="131" t="inlineStr">
        <is>
          <t>HDFC 0094</t>
        </is>
      </c>
    </row>
    <row r="318">
      <c r="A318" s="130" t="n">
        <v>45498</v>
      </c>
      <c r="B318" s="131" t="inlineStr">
        <is>
          <t>YHDF2395191501/BILLDKTHECALCUTTAELE</t>
        </is>
      </c>
      <c r="C318" s="131" t="inlineStr">
        <is>
          <t>0002420757134422</t>
        </is>
      </c>
      <c r="D318" s="131" t="n">
        <v>21546</v>
      </c>
      <c r="E318" s="131" t="n">
        <v>0</v>
      </c>
      <c r="F318" s="131" t="n">
        <v>94851.64999999999</v>
      </c>
      <c r="G318" s="131" t="inlineStr">
        <is>
          <t>SIP</t>
        </is>
      </c>
      <c r="H318" s="131" t="inlineStr">
        <is>
          <t>HDFC 0094</t>
        </is>
      </c>
    </row>
    <row r="319">
      <c r="A319" s="130" t="n">
        <v>45498</v>
      </c>
      <c r="B319" s="131" t="inlineStr">
        <is>
          <t>ALEMBIC PHAR DIV232400000000000000006995</t>
        </is>
      </c>
      <c r="C319" s="131" t="inlineStr">
        <is>
          <t>0000242061374335</t>
        </is>
      </c>
      <c r="D319" s="131" t="n">
        <v>0</v>
      </c>
      <c r="E319" s="131" t="n">
        <v>550</v>
      </c>
      <c r="F319" s="131" t="n">
        <v>116362.65</v>
      </c>
      <c r="G319" s="131" t="inlineStr">
        <is>
          <t>Dividend Income</t>
        </is>
      </c>
      <c r="H319" s="131" t="inlineStr">
        <is>
          <t>HDFC 0094</t>
        </is>
      </c>
    </row>
    <row r="320">
      <c r="A320" s="130" t="n">
        <v>45498</v>
      </c>
      <c r="B320" s="131" t="inlineStr">
        <is>
          <t>NET PI TO HSL SEC A/C 523686-00602340029434</t>
        </is>
      </c>
      <c r="C320" s="131" t="inlineStr">
        <is>
          <t>0000000545240088</t>
        </is>
      </c>
      <c r="D320" s="131" t="n">
        <v>300.84</v>
      </c>
      <c r="E320" s="131" t="n">
        <v>0</v>
      </c>
      <c r="F320" s="131" t="n">
        <v>115812.65</v>
      </c>
      <c r="G320" s="131" t="inlineStr">
        <is>
          <t>HDFC Securities</t>
        </is>
      </c>
      <c r="H320" s="131" t="inlineStr">
        <is>
          <t>HDFC 0094</t>
        </is>
      </c>
    </row>
    <row r="321">
      <c r="A321" s="130" t="n">
        <v>45498</v>
      </c>
      <c r="B321" s="131" t="inlineStr">
        <is>
          <t>ACH D- INDIAN CLEARING CORP-P25847643X05</t>
        </is>
      </c>
      <c r="C321" s="131" t="inlineStr">
        <is>
          <t>0000006531099812</t>
        </is>
      </c>
      <c r="D321" s="131" t="n">
        <v>10000</v>
      </c>
      <c r="E321" s="131" t="n">
        <v>0</v>
      </c>
      <c r="F321" s="131" t="n">
        <v>116113.49</v>
      </c>
      <c r="G321" s="131" t="inlineStr">
        <is>
          <t>Mutual_Fund_Investments</t>
        </is>
      </c>
      <c r="H321" s="131" t="inlineStr">
        <is>
          <t>HDFC 0094</t>
        </is>
      </c>
    </row>
    <row r="322">
      <c r="A322" s="130" t="n">
        <v>45498</v>
      </c>
      <c r="B322" s="131" t="inlineStr">
        <is>
          <t>NET PO FROM HSL A/C 523686-50200085415108</t>
        </is>
      </c>
      <c r="C322" s="131" t="inlineStr">
        <is>
          <t>0000000545097815</t>
        </is>
      </c>
      <c r="D322" s="131" t="n">
        <v>0</v>
      </c>
      <c r="E322" s="131" t="n">
        <v>1781.86</v>
      </c>
      <c r="F322" s="131" t="n">
        <v>126113.49</v>
      </c>
      <c r="G322" s="131" t="inlineStr">
        <is>
          <t>HDFC Securities</t>
        </is>
      </c>
      <c r="H322" s="131" t="inlineStr">
        <is>
          <t>HDFC 0094</t>
        </is>
      </c>
    </row>
    <row r="323">
      <c r="A323" s="130" t="n">
        <v>45499</v>
      </c>
      <c r="B323" s="131" t="inlineStr">
        <is>
          <t>NET PI TO HSL SEC A/C 523686-00602340029434</t>
        </is>
      </c>
      <c r="C323" s="131" t="inlineStr">
        <is>
          <t>0000000545980754</t>
        </is>
      </c>
      <c r="D323" s="131" t="n">
        <v>298.07</v>
      </c>
      <c r="E323" s="131" t="n">
        <v>0</v>
      </c>
      <c r="F323" s="131" t="n">
        <v>85011.55</v>
      </c>
      <c r="G323" s="131" t="inlineStr">
        <is>
          <t>HDFC Securities</t>
        </is>
      </c>
      <c r="H323" s="131" t="inlineStr">
        <is>
          <t>HDFC 0094</t>
        </is>
      </c>
    </row>
    <row r="324">
      <c r="A324" s="130" t="n">
        <v>45502</v>
      </c>
      <c r="B324" s="131" t="inlineStr">
        <is>
          <t>NET PO FROM HSL A/C 523686-50200085415108</t>
        </is>
      </c>
      <c r="C324" s="131" t="inlineStr">
        <is>
          <t>0000000546268978</t>
        </is>
      </c>
      <c r="D324" s="131" t="n">
        <v>0</v>
      </c>
      <c r="E324" s="131" t="n">
        <v>6065.09</v>
      </c>
      <c r="F324" s="131" t="n">
        <v>91076.64</v>
      </c>
      <c r="G324" s="131" t="inlineStr">
        <is>
          <t>HDFC Securities</t>
        </is>
      </c>
      <c r="H324" s="131" t="inlineStr">
        <is>
          <t>HDFC 0094</t>
        </is>
      </c>
    </row>
    <row r="325">
      <c r="A325" s="130" t="n">
        <v>45502</v>
      </c>
      <c r="B325" s="131" t="inlineStr">
        <is>
          <t>NEFT CR-UTIB0000004-AXIS MUTUAL FUND DIVIDEND A/C-SUNITA GUPTA-AXISCN0694049003</t>
        </is>
      </c>
      <c r="C325" s="131" t="inlineStr">
        <is>
          <t>AXISCN0694049003</t>
        </is>
      </c>
      <c r="D325" s="131" t="n">
        <v>0</v>
      </c>
      <c r="E325" s="131" t="n">
        <v>84.56999999999999</v>
      </c>
      <c r="F325" s="131" t="n">
        <v>91092</v>
      </c>
      <c r="G325" s="131" t="inlineStr">
        <is>
          <t>Dividend Income</t>
        </is>
      </c>
      <c r="H325" s="131" t="inlineStr">
        <is>
          <t>HDFC 0094</t>
        </is>
      </c>
    </row>
    <row r="326">
      <c r="A326" s="130" t="n">
        <v>45502</v>
      </c>
      <c r="B326" s="131" t="inlineStr">
        <is>
          <t>NET PI TO HSL SEC A/C 523686-00602340029434</t>
        </is>
      </c>
      <c r="C326" s="131" t="inlineStr">
        <is>
          <t>0000000546568869</t>
        </is>
      </c>
      <c r="D326" s="131" t="n">
        <v>29487.13</v>
      </c>
      <c r="E326" s="131" t="n">
        <v>0</v>
      </c>
      <c r="F326" s="131" t="n">
        <v>61604.87</v>
      </c>
      <c r="G326" s="131" t="inlineStr">
        <is>
          <t>HDFC Securities</t>
        </is>
      </c>
      <c r="H326" s="131" t="inlineStr">
        <is>
          <t>HDFC 0094</t>
        </is>
      </c>
    </row>
    <row r="327">
      <c r="A327" s="130" t="n">
        <v>45502</v>
      </c>
      <c r="B327" s="131" t="inlineStr">
        <is>
          <t>NET PI TO HSL SEC A/C 523686-00602340029434</t>
        </is>
      </c>
      <c r="C327" s="131" t="inlineStr">
        <is>
          <t>0000000546619066</t>
        </is>
      </c>
      <c r="D327" s="131" t="n">
        <v>27304.28</v>
      </c>
      <c r="E327" s="131" t="n">
        <v>0</v>
      </c>
      <c r="F327" s="131" t="n">
        <v>34300.59</v>
      </c>
      <c r="G327" s="131" t="inlineStr">
        <is>
          <t>HDFC Securities</t>
        </is>
      </c>
      <c r="H327" s="131" t="inlineStr">
        <is>
          <t>HDFC 0094</t>
        </is>
      </c>
    </row>
    <row r="328">
      <c r="A328" s="130" t="n">
        <v>45502</v>
      </c>
      <c r="B328" s="131" t="inlineStr">
        <is>
          <t>ACH C- MPH FIN DIV 2023-24-0000IN3004764</t>
        </is>
      </c>
      <c r="C328" s="131" t="inlineStr">
        <is>
          <t>0000007064385211</t>
        </is>
      </c>
      <c r="D328" s="131" t="n">
        <v>0</v>
      </c>
      <c r="E328" s="131" t="n">
        <v>825</v>
      </c>
      <c r="F328" s="131" t="n">
        <v>91007.42999999999</v>
      </c>
      <c r="G328" s="131" t="inlineStr">
        <is>
          <t>Dividend Income</t>
        </is>
      </c>
      <c r="H328" s="131" t="inlineStr">
        <is>
          <t>HDFC 0094</t>
        </is>
      </c>
    </row>
    <row r="329">
      <c r="A329" s="130" t="n">
        <v>45502</v>
      </c>
      <c r="B329" s="131" t="inlineStr">
        <is>
          <t>NET PI TO HSL SEC A/C 523686-00602340029434</t>
        </is>
      </c>
      <c r="C329" s="131" t="inlineStr">
        <is>
          <t>0000000546470683</t>
        </is>
      </c>
      <c r="D329" s="131" t="n">
        <v>894.21</v>
      </c>
      <c r="E329" s="131" t="n">
        <v>0</v>
      </c>
      <c r="F329" s="131" t="n">
        <v>90182.42999999999</v>
      </c>
      <c r="G329" s="131" t="inlineStr">
        <is>
          <t>HDFC Securities</t>
        </is>
      </c>
      <c r="H329" s="131" t="inlineStr">
        <is>
          <t>HDFC 0094</t>
        </is>
      </c>
    </row>
    <row r="330">
      <c r="A330" s="130" t="n">
        <v>45503</v>
      </c>
      <c r="B330" s="131" t="inlineStr">
        <is>
          <t>NET PI TO HSL SEC A/C 523686-00602340029434</t>
        </is>
      </c>
      <c r="C330" s="131" t="inlineStr">
        <is>
          <t>0000000546903673</t>
        </is>
      </c>
      <c r="D330" s="131" t="n">
        <v>290.51</v>
      </c>
      <c r="E330" s="131" t="n">
        <v>0</v>
      </c>
      <c r="F330" s="131" t="n">
        <v>44290.42</v>
      </c>
      <c r="G330" s="131" t="inlineStr">
        <is>
          <t>HDFC Securities</t>
        </is>
      </c>
      <c r="H330" s="131" t="inlineStr">
        <is>
          <t>HDFC 0094</t>
        </is>
      </c>
    </row>
    <row r="331">
      <c r="A331" s="130" t="n">
        <v>45503</v>
      </c>
      <c r="B331" s="131" t="inlineStr">
        <is>
          <t>ACH C- JSW STEEL LIMITED-21931557</t>
        </is>
      </c>
      <c r="C331" s="131" t="inlineStr">
        <is>
          <t>0000006680260603</t>
        </is>
      </c>
      <c r="D331" s="131" t="n">
        <v>0</v>
      </c>
      <c r="E331" s="131" t="n">
        <v>949</v>
      </c>
      <c r="F331" s="131" t="n">
        <v>45239.42</v>
      </c>
      <c r="G331" s="131" t="inlineStr">
        <is>
          <t>Dividend Income</t>
        </is>
      </c>
      <c r="H331" s="131" t="inlineStr">
        <is>
          <t>HDFC 0094</t>
        </is>
      </c>
    </row>
    <row r="332">
      <c r="A332" s="130" t="n">
        <v>45503</v>
      </c>
      <c r="B332" s="131" t="inlineStr">
        <is>
          <t>NET PO FROM HSL A/C 523686-50200085415108</t>
        </is>
      </c>
      <c r="C332" s="131" t="inlineStr">
        <is>
          <t>0000000546755724</t>
        </is>
      </c>
      <c r="D332" s="131" t="n">
        <v>0</v>
      </c>
      <c r="E332" s="131" t="n">
        <v>10280.34</v>
      </c>
      <c r="F332" s="131" t="n">
        <v>44580.93</v>
      </c>
      <c r="G332" s="131" t="inlineStr">
        <is>
          <t>HDFC Securities</t>
        </is>
      </c>
      <c r="H332" s="131" t="inlineStr">
        <is>
          <t>HDFC 0094</t>
        </is>
      </c>
    </row>
    <row r="333">
      <c r="A333" s="130" t="n">
        <v>45504</v>
      </c>
      <c r="B333" s="131" t="inlineStr">
        <is>
          <t>NET PO FROM HSL A/C 523686-50200085415108</t>
        </is>
      </c>
      <c r="C333" s="131" t="inlineStr">
        <is>
          <t>0000000547180920</t>
        </is>
      </c>
      <c r="D333" s="131" t="n">
        <v>0</v>
      </c>
      <c r="E333" s="131" t="n">
        <v>6906.74</v>
      </c>
      <c r="F333" s="131" t="n">
        <v>52146.16</v>
      </c>
      <c r="G333" s="131" t="inlineStr">
        <is>
          <t>HDFC Securities</t>
        </is>
      </c>
      <c r="H333" s="131" t="inlineStr">
        <is>
          <t>HDFC 0094</t>
        </is>
      </c>
    </row>
    <row r="334">
      <c r="A334" s="130" t="n">
        <v>45504</v>
      </c>
      <c r="B334" s="131" t="inlineStr">
        <is>
          <t>ACH-CR-SHRDCCLFnl202324-NACH-00000000000000067267</t>
        </is>
      </c>
      <c r="C334" s="131" t="inlineStr">
        <is>
          <t>-</t>
        </is>
      </c>
      <c r="D334" s="131" t="n">
        <v>0</v>
      </c>
      <c r="E334" s="131" t="n">
        <v>900</v>
      </c>
      <c r="F334" s="131" t="n">
        <v>38734.29</v>
      </c>
      <c r="G334" s="131" t="inlineStr">
        <is>
          <t>Dividend Income</t>
        </is>
      </c>
      <c r="H334" s="131" t="inlineStr">
        <is>
          <t>AXIS 7042</t>
        </is>
      </c>
    </row>
    <row r="335">
      <c r="A335" s="130" t="n">
        <v>45504</v>
      </c>
      <c r="B335" s="131" t="inlineStr">
        <is>
          <t>NET PI TO HSL SEC A/C 523686-00602340029434</t>
        </is>
      </c>
      <c r="C335" s="131" t="inlineStr">
        <is>
          <t>0000000547471222</t>
        </is>
      </c>
      <c r="D335" s="131" t="n">
        <v>3412.52</v>
      </c>
      <c r="E335" s="131" t="n">
        <v>0</v>
      </c>
      <c r="F335" s="131" t="n">
        <v>48777.4</v>
      </c>
      <c r="G335" s="131" t="inlineStr">
        <is>
          <t>HDFC Securities</t>
        </is>
      </c>
      <c r="H335" s="131" t="inlineStr">
        <is>
          <t>HDFC 0094</t>
        </is>
      </c>
    </row>
    <row r="336">
      <c r="A336" s="130" t="n">
        <v>45504</v>
      </c>
      <c r="B336" s="131" t="inlineStr">
        <is>
          <t>ACH C- ATUL LTDFNLDIV 23 24-19440</t>
        </is>
      </c>
      <c r="C336" s="131" t="inlineStr">
        <is>
          <t>0000006685376965</t>
        </is>
      </c>
      <c r="D336" s="131" t="n">
        <v>0</v>
      </c>
      <c r="E336" s="131" t="n">
        <v>380</v>
      </c>
      <c r="F336" s="131" t="n">
        <v>52189.92</v>
      </c>
      <c r="G336" s="131" t="inlineStr">
        <is>
          <t>Dividend Income</t>
        </is>
      </c>
      <c r="H336" s="131" t="inlineStr">
        <is>
          <t>HDFC 0094</t>
        </is>
      </c>
    </row>
    <row r="337">
      <c r="A337" s="130" t="n">
        <v>45504</v>
      </c>
      <c r="B337" s="131" t="inlineStr">
        <is>
          <t>NET PI TO HSL SEC A/C 523686-00602340029434</t>
        </is>
      </c>
      <c r="C337" s="131" t="inlineStr">
        <is>
          <t>0000000547292420</t>
        </is>
      </c>
      <c r="D337" s="131" t="n">
        <v>336.24</v>
      </c>
      <c r="E337" s="131" t="n">
        <v>0</v>
      </c>
      <c r="F337" s="131" t="n">
        <v>51809.92</v>
      </c>
      <c r="G337" s="131" t="inlineStr">
        <is>
          <t>HDFC Securities</t>
        </is>
      </c>
      <c r="H337" s="131" t="inlineStr">
        <is>
          <t>HDFC 0094</t>
        </is>
      </c>
    </row>
    <row r="338">
      <c r="A338" s="130" t="n">
        <v>45505</v>
      </c>
      <c r="B338" s="131" t="inlineStr">
        <is>
          <t>NET PI TO HSL SEC A/C 523686-00602340029434</t>
        </is>
      </c>
      <c r="C338" s="131" t="inlineStr">
        <is>
          <t>0000000547981336</t>
        </is>
      </c>
      <c r="D338" s="131" t="n">
        <v>1376.77</v>
      </c>
      <c r="E338" s="131" t="n">
        <v>0</v>
      </c>
      <c r="F338" s="131" t="n">
        <v>86945.86</v>
      </c>
      <c r="G338" s="131" t="inlineStr">
        <is>
          <t>HDFC Securities</t>
        </is>
      </c>
      <c r="H338" s="131" t="inlineStr">
        <is>
          <t>HDFC 0094</t>
        </is>
      </c>
    </row>
    <row r="339">
      <c r="A339" s="130" t="n">
        <v>45505</v>
      </c>
      <c r="B339" s="131" t="inlineStr">
        <is>
          <t>NET PI TO HSL SEC A/C 523686-00602340029434</t>
        </is>
      </c>
      <c r="C339" s="131" t="inlineStr">
        <is>
          <t>0000000547786653</t>
        </is>
      </c>
      <c r="D339" s="131" t="n">
        <v>337.49</v>
      </c>
      <c r="E339" s="131" t="n">
        <v>0</v>
      </c>
      <c r="F339" s="131" t="n">
        <v>88322.63</v>
      </c>
      <c r="G339" s="131" t="inlineStr">
        <is>
          <t>HDFC Securities</t>
        </is>
      </c>
      <c r="H339" s="131" t="inlineStr">
        <is>
          <t>HDFC 0094</t>
        </is>
      </c>
    </row>
    <row r="340">
      <c r="A340" s="130" t="n">
        <v>45505</v>
      </c>
      <c r="B340" s="131" t="inlineStr">
        <is>
          <t>NET PO FROM HSL A/C 523686-50200085415108</t>
        </is>
      </c>
      <c r="C340" s="131" t="inlineStr">
        <is>
          <t>0000000547639950</t>
        </is>
      </c>
      <c r="D340" s="131" t="n">
        <v>0</v>
      </c>
      <c r="E340" s="131" t="n">
        <v>39882.72</v>
      </c>
      <c r="F340" s="131" t="n">
        <v>88660.12</v>
      </c>
      <c r="G340" s="131" t="inlineStr">
        <is>
          <t>HDFC Securities</t>
        </is>
      </c>
      <c r="H340" s="131" t="inlineStr">
        <is>
          <t>HDFC 0094</t>
        </is>
      </c>
    </row>
    <row r="341">
      <c r="A341" s="130" t="n">
        <v>45506</v>
      </c>
      <c r="B341" s="131" t="inlineStr">
        <is>
          <t>NET PI TO HSL SEC A/C 523686-00602340029434</t>
        </is>
      </c>
      <c r="C341" s="131" t="inlineStr">
        <is>
          <t>0000000548272032</t>
        </is>
      </c>
      <c r="D341" s="131" t="n">
        <v>337</v>
      </c>
      <c r="E341" s="131" t="n">
        <v>0</v>
      </c>
      <c r="F341" s="131" t="n">
        <v>86608.86</v>
      </c>
      <c r="G341" s="131" t="inlineStr">
        <is>
          <t>HDFC Securities</t>
        </is>
      </c>
      <c r="H341" s="131" t="inlineStr">
        <is>
          <t>HDFC 0094</t>
        </is>
      </c>
    </row>
    <row r="342">
      <c r="A342" s="130" t="n">
        <v>45507</v>
      </c>
      <c r="B342" s="131" t="inlineStr">
        <is>
          <t>NEFT/YESF342160112723/ZERODHA BROKING LTD-DSCNB A//YES BANK/ae4b1fbf69 Zerodha payout</t>
        </is>
      </c>
      <c r="C342" s="131" t="inlineStr">
        <is>
          <t>-</t>
        </is>
      </c>
      <c r="D342" s="131" t="n">
        <v>0</v>
      </c>
      <c r="E342" s="131" t="n">
        <v>25000</v>
      </c>
      <c r="F342" s="131" t="n">
        <v>63734.29</v>
      </c>
      <c r="G342" s="131" t="inlineStr">
        <is>
          <t>Transfer</t>
        </is>
      </c>
      <c r="H342" s="131" t="inlineStr">
        <is>
          <t>AXIS 7042</t>
        </is>
      </c>
    </row>
    <row r="343">
      <c r="A343" s="130" t="n">
        <v>45507</v>
      </c>
      <c r="B343" s="131" t="inlineStr">
        <is>
          <t>NET PI TO HSL SEC A/C 523686-00602340029434</t>
        </is>
      </c>
      <c r="C343" s="131" t="inlineStr">
        <is>
          <t>0000000548458629</t>
        </is>
      </c>
      <c r="D343" s="131" t="n">
        <v>9965.549999999999</v>
      </c>
      <c r="E343" s="131" t="n">
        <v>0</v>
      </c>
      <c r="F343" s="131" t="n">
        <v>76643.31</v>
      </c>
      <c r="G343" s="131" t="inlineStr">
        <is>
          <t>HDFC Securities</t>
        </is>
      </c>
      <c r="H343" s="131" t="inlineStr">
        <is>
          <t>HDFC 0094</t>
        </is>
      </c>
    </row>
    <row r="344">
      <c r="A344" s="130" t="n">
        <v>45509</v>
      </c>
      <c r="B344" s="131" t="inlineStr">
        <is>
          <t>NET PI TO HSL SEC A/C 523686-00602340029434</t>
        </is>
      </c>
      <c r="C344" s="131" t="inlineStr">
        <is>
          <t>0000000548874168</t>
        </is>
      </c>
      <c r="D344" s="131" t="n">
        <v>1000.35</v>
      </c>
      <c r="E344" s="131" t="n">
        <v>0</v>
      </c>
      <c r="F344" s="131" t="n">
        <v>75642.96000000001</v>
      </c>
      <c r="G344" s="131" t="inlineStr">
        <is>
          <t>HDFC Securities</t>
        </is>
      </c>
      <c r="H344" s="131" t="inlineStr">
        <is>
          <t>HDFC 0094</t>
        </is>
      </c>
    </row>
    <row r="345">
      <c r="A345" s="130" t="n">
        <v>45509</v>
      </c>
      <c r="B345" s="131" t="inlineStr">
        <is>
          <t>ACH C- TCS1STINTDIV050824-803726</t>
        </is>
      </c>
      <c r="C345" s="131" t="inlineStr">
        <is>
          <t>0000006929039098</t>
        </is>
      </c>
      <c r="D345" s="131" t="n">
        <v>0</v>
      </c>
      <c r="E345" s="131" t="n">
        <v>310</v>
      </c>
      <c r="F345" s="131" t="n">
        <v>75952.96000000001</v>
      </c>
      <c r="G345" s="131" t="inlineStr">
        <is>
          <t>Dividend Income</t>
        </is>
      </c>
      <c r="H345" s="131" t="inlineStr">
        <is>
          <t>HDFC 0094</t>
        </is>
      </c>
    </row>
    <row r="346">
      <c r="A346" s="130" t="n">
        <v>45509</v>
      </c>
      <c r="B346" s="131" t="inlineStr">
        <is>
          <t>NET PI TO HSL SEC A/C 523686-00602340029434</t>
        </is>
      </c>
      <c r="C346" s="131" t="inlineStr">
        <is>
          <t>0000000549172769</t>
        </is>
      </c>
      <c r="D346" s="131" t="n">
        <v>12167.78</v>
      </c>
      <c r="E346" s="131" t="n">
        <v>0</v>
      </c>
      <c r="F346" s="131" t="n">
        <v>63785.18</v>
      </c>
      <c r="G346" s="131" t="inlineStr">
        <is>
          <t>HDFC Securities</t>
        </is>
      </c>
      <c r="H346" s="131" t="inlineStr">
        <is>
          <t>HDFC 0094</t>
        </is>
      </c>
    </row>
    <row r="347">
      <c r="A347" s="130" t="n">
        <v>45510</v>
      </c>
      <c r="B347" s="131" t="inlineStr">
        <is>
          <t>NEFT CR-SBIN0000TBU-ITDTAX REFUND 2024-25 AKDPG7463Q-SUNITA GUPTA-SBIN524219475023</t>
        </is>
      </c>
      <c r="C347" s="131" t="inlineStr">
        <is>
          <t>SBIN524219475023</t>
        </is>
      </c>
      <c r="D347" s="131" t="n">
        <v>0</v>
      </c>
      <c r="E347" s="131" t="n">
        <v>45810</v>
      </c>
      <c r="F347" s="131" t="n">
        <v>166075.98</v>
      </c>
      <c r="G347" s="131" t="inlineStr">
        <is>
          <t>Income Tax</t>
        </is>
      </c>
      <c r="H347" s="131" t="inlineStr">
        <is>
          <t>HDFC 0094</t>
        </is>
      </c>
    </row>
    <row r="348">
      <c r="A348" s="130" t="n">
        <v>45510</v>
      </c>
      <c r="B348" s="131" t="inlineStr">
        <is>
          <t>UPI/P2M/458538155643/Flipkart Payments    /UPI/Yes Bank Ltd</t>
        </is>
      </c>
      <c r="C348" s="131" t="inlineStr">
        <is>
          <t>-</t>
        </is>
      </c>
      <c r="D348" s="131" t="n">
        <v>1519</v>
      </c>
      <c r="E348" s="131" t="n">
        <v>0</v>
      </c>
      <c r="F348" s="131" t="n">
        <v>62215.29</v>
      </c>
      <c r="G348" s="131" t="inlineStr">
        <is>
          <t>Shopping</t>
        </is>
      </c>
      <c r="H348" s="131" t="inlineStr">
        <is>
          <t>AXIS 7042</t>
        </is>
      </c>
    </row>
    <row r="349">
      <c r="A349" s="130" t="n">
        <v>45510</v>
      </c>
      <c r="B349" s="131" t="inlineStr">
        <is>
          <t>NET PO FROM HSL A/C 523686-50200085415108</t>
        </is>
      </c>
      <c r="C349" s="131" t="inlineStr">
        <is>
          <t>0000000549373953</t>
        </is>
      </c>
      <c r="D349" s="131" t="n">
        <v>0</v>
      </c>
      <c r="E349" s="131" t="n">
        <v>56809.92</v>
      </c>
      <c r="F349" s="131" t="n">
        <v>120595.1</v>
      </c>
      <c r="G349" s="131" t="inlineStr">
        <is>
          <t>HDFC Securities</t>
        </is>
      </c>
      <c r="H349" s="131" t="inlineStr">
        <is>
          <t>HDFC 0094</t>
        </is>
      </c>
    </row>
    <row r="350">
      <c r="A350" s="130" t="n">
        <v>45510</v>
      </c>
      <c r="B350" s="131" t="inlineStr">
        <is>
          <t>NET PI TO HSL SEC A/C 523686-00602340029434</t>
        </is>
      </c>
      <c r="C350" s="131" t="inlineStr">
        <is>
          <t>0000000549494763</t>
        </is>
      </c>
      <c r="D350" s="131" t="n">
        <v>329.12</v>
      </c>
      <c r="E350" s="131" t="n">
        <v>0</v>
      </c>
      <c r="F350" s="131" t="n">
        <v>120265.98</v>
      </c>
      <c r="G350" s="131" t="inlineStr">
        <is>
          <t>HDFC Securities</t>
        </is>
      </c>
      <c r="H350" s="131" t="inlineStr">
        <is>
          <t>HDFC 0094</t>
        </is>
      </c>
    </row>
    <row r="351">
      <c r="A351" s="130" t="n">
        <v>45510</v>
      </c>
      <c r="B351" s="131" t="inlineStr">
        <is>
          <t>NET PI TO HSL SEC A/C 523686-00602340029434</t>
        </is>
      </c>
      <c r="C351" s="131" t="inlineStr">
        <is>
          <t>0000000549700186</t>
        </is>
      </c>
      <c r="D351" s="131" t="n">
        <v>28428.92</v>
      </c>
      <c r="E351" s="131" t="n">
        <v>0</v>
      </c>
      <c r="F351" s="131" t="n">
        <v>137647.06</v>
      </c>
      <c r="G351" s="131" t="inlineStr">
        <is>
          <t>HDFC Securities</t>
        </is>
      </c>
      <c r="H351" s="131" t="inlineStr">
        <is>
          <t>HDFC 0094</t>
        </is>
      </c>
    </row>
    <row r="352">
      <c r="A352" s="130" t="n">
        <v>45511</v>
      </c>
      <c r="B352" s="131" t="inlineStr">
        <is>
          <t>NET PI TO HSL SEC A/C 523686-00602340029434</t>
        </is>
      </c>
      <c r="C352" s="131" t="inlineStr">
        <is>
          <t>0000000550072784</t>
        </is>
      </c>
      <c r="D352" s="131" t="n">
        <v>302.48</v>
      </c>
      <c r="E352" s="131" t="n">
        <v>0</v>
      </c>
      <c r="F352" s="131" t="n">
        <v>137519.58</v>
      </c>
      <c r="G352" s="131" t="inlineStr">
        <is>
          <t>HDFC Securities</t>
        </is>
      </c>
      <c r="H352" s="131" t="inlineStr">
        <is>
          <t>HDFC 0094</t>
        </is>
      </c>
    </row>
    <row r="353">
      <c r="A353" s="130" t="n">
        <v>45511</v>
      </c>
      <c r="B353" s="131" t="inlineStr">
        <is>
          <t>ACH C- NFIL-00000000000003531754</t>
        </is>
      </c>
      <c r="C353" s="131" t="inlineStr">
        <is>
          <t>0000007006432220</t>
        </is>
      </c>
      <c r="D353" s="131" t="n">
        <v>0</v>
      </c>
      <c r="E353" s="131" t="n">
        <v>175</v>
      </c>
      <c r="F353" s="131" t="n">
        <v>137822.06</v>
      </c>
      <c r="G353" s="131" t="inlineStr">
        <is>
          <t>Dividend Income</t>
        </is>
      </c>
      <c r="H353" s="131" t="inlineStr">
        <is>
          <t>HDFC 0094</t>
        </is>
      </c>
    </row>
    <row r="354">
      <c r="A354" s="130" t="n">
        <v>45511</v>
      </c>
      <c r="B354" s="131" t="inlineStr">
        <is>
          <t>NET PI TO HSL SEC A/C 523686-00602340029434</t>
        </is>
      </c>
      <c r="C354" s="131" t="inlineStr">
        <is>
          <t>0000000550208798</t>
        </is>
      </c>
      <c r="D354" s="131" t="n">
        <v>57623.28</v>
      </c>
      <c r="E354" s="131" t="n">
        <v>0</v>
      </c>
      <c r="F354" s="131" t="n">
        <v>79896.3</v>
      </c>
      <c r="G354" s="131" t="inlineStr">
        <is>
          <t>HDFC Securities</t>
        </is>
      </c>
      <c r="H354" s="131" t="inlineStr">
        <is>
          <t>HDFC 0094</t>
        </is>
      </c>
    </row>
    <row r="355">
      <c r="A355" s="130" t="n">
        <v>45512</v>
      </c>
      <c r="B355" s="131" t="inlineStr">
        <is>
          <t>NET PO FROM HSL A/C 523686-50200085415108</t>
        </is>
      </c>
      <c r="C355" s="131" t="inlineStr">
        <is>
          <t>0000000550340675</t>
        </is>
      </c>
      <c r="D355" s="131" t="n">
        <v>0</v>
      </c>
      <c r="E355" s="131" t="n">
        <v>11098.7</v>
      </c>
      <c r="F355" s="131" t="n">
        <v>90995</v>
      </c>
      <c r="G355" s="131" t="inlineStr">
        <is>
          <t>HDFC Securities</t>
        </is>
      </c>
      <c r="H355" s="131" t="inlineStr">
        <is>
          <t>HDFC 0094</t>
        </is>
      </c>
    </row>
    <row r="356">
      <c r="A356" s="130" t="n">
        <v>45512</v>
      </c>
      <c r="B356" s="131" t="inlineStr">
        <is>
          <t>NET PI TO HSL SEC A/C 523686-00602340029434</t>
        </is>
      </c>
      <c r="C356" s="131" t="inlineStr">
        <is>
          <t>0000000550475159</t>
        </is>
      </c>
      <c r="D356" s="131" t="n">
        <v>304.04</v>
      </c>
      <c r="E356" s="131" t="n">
        <v>0</v>
      </c>
      <c r="F356" s="131" t="n">
        <v>90690.96000000001</v>
      </c>
      <c r="G356" s="131" t="inlineStr">
        <is>
          <t>HDFC Securities</t>
        </is>
      </c>
      <c r="H356" s="131" t="inlineStr">
        <is>
          <t>HDFC 0094</t>
        </is>
      </c>
    </row>
    <row r="357">
      <c r="A357" s="130" t="n">
        <v>45512</v>
      </c>
      <c r="B357" s="131" t="inlineStr">
        <is>
          <t>NET PI TO HSL SEC A/C 523686-00602340029434</t>
        </is>
      </c>
      <c r="C357" s="131" t="inlineStr">
        <is>
          <t>0000000550705331</t>
        </is>
      </c>
      <c r="D357" s="131" t="n">
        <v>7344.01</v>
      </c>
      <c r="E357" s="131" t="n">
        <v>0</v>
      </c>
      <c r="F357" s="131" t="n">
        <v>83346.95</v>
      </c>
      <c r="G357" s="131" t="inlineStr">
        <is>
          <t>HDFC Securities</t>
        </is>
      </c>
      <c r="H357" s="131" t="inlineStr">
        <is>
          <t>HDFC 0094</t>
        </is>
      </c>
    </row>
    <row r="358">
      <c r="A358" s="130" t="n">
        <v>45513</v>
      </c>
      <c r="B358" s="131" t="inlineStr">
        <is>
          <t>NEFT CR-SBIN0004266-SBI GENERAL INSURANCE CO LTDSBI GEN-SUNITA GUPTA 0000000002717756-SBIN124222221223</t>
        </is>
      </c>
      <c r="C358" s="131" t="inlineStr">
        <is>
          <t>SBIN124222221223</t>
        </is>
      </c>
      <c r="D358" s="131" t="n">
        <v>0</v>
      </c>
      <c r="E358" s="131" t="n">
        <v>29757</v>
      </c>
      <c r="F358" s="131" t="n">
        <v>134344.49</v>
      </c>
      <c r="G358" s="131" t="inlineStr">
        <is>
          <t>Sunita Gupta</t>
        </is>
      </c>
      <c r="H358" s="131" t="inlineStr">
        <is>
          <t>HDFC 0094</t>
        </is>
      </c>
    </row>
    <row r="359">
      <c r="A359" s="130" t="n">
        <v>45513</v>
      </c>
      <c r="B359" s="131" t="inlineStr">
        <is>
          <t>NEFT CR-SBIN0004266-SBI GENERAL INSURANCE CO LTDSBI GEN-SUNITA GUPTA 0000000002717756-SBIN524222218819</t>
        </is>
      </c>
      <c r="C359" s="131" t="inlineStr">
        <is>
          <t>SBIN524222218819</t>
        </is>
      </c>
      <c r="D359" s="131" t="n">
        <v>0</v>
      </c>
      <c r="E359" s="131" t="n">
        <v>21546</v>
      </c>
      <c r="F359" s="131" t="n">
        <v>104892.95</v>
      </c>
      <c r="G359" s="131" t="inlineStr">
        <is>
          <t>Sunita Gupta</t>
        </is>
      </c>
      <c r="H359" s="131" t="inlineStr">
        <is>
          <t>HDFC 0094</t>
        </is>
      </c>
    </row>
    <row r="360">
      <c r="A360" s="130" t="n">
        <v>45513</v>
      </c>
      <c r="B360" s="131" t="inlineStr">
        <is>
          <t>NET PI TO HSL SEC A/C 523686-00602340029434</t>
        </is>
      </c>
      <c r="C360" s="131" t="inlineStr">
        <is>
          <t>0000000550930582</t>
        </is>
      </c>
      <c r="D360" s="131" t="n">
        <v>305.46</v>
      </c>
      <c r="E360" s="131" t="n">
        <v>0</v>
      </c>
      <c r="F360" s="131" t="n">
        <v>104587.49</v>
      </c>
      <c r="G360" s="131" t="inlineStr">
        <is>
          <t>HDFC Securities</t>
        </is>
      </c>
      <c r="H360" s="131" t="inlineStr">
        <is>
          <t>HDFC 0094</t>
        </is>
      </c>
    </row>
    <row r="361">
      <c r="A361" s="130" t="n">
        <v>45516</v>
      </c>
      <c r="B361" s="131" t="inlineStr">
        <is>
          <t>UPI/P2A/422527945475/BHARTI RATAN DEVNANI /tiffin/Union Bank of India</t>
        </is>
      </c>
      <c r="C361" s="131" t="inlineStr">
        <is>
          <t>-</t>
        </is>
      </c>
      <c r="D361" s="131" t="n">
        <v>400</v>
      </c>
      <c r="E361" s="131" t="n">
        <v>0</v>
      </c>
      <c r="F361" s="131" t="n">
        <v>61815.29</v>
      </c>
      <c r="G361" s="131" t="inlineStr">
        <is>
          <t>Personal</t>
        </is>
      </c>
      <c r="H361" s="131" t="inlineStr">
        <is>
          <t>AXIS 7042</t>
        </is>
      </c>
    </row>
    <row r="362">
      <c r="A362" s="130" t="n">
        <v>45516</v>
      </c>
      <c r="B362" s="131" t="inlineStr">
        <is>
          <t>NET PI TO HSL SEC A/C 523686-00602340029434</t>
        </is>
      </c>
      <c r="C362" s="131" t="inlineStr">
        <is>
          <t>0000000551658198</t>
        </is>
      </c>
      <c r="D362" s="131" t="n">
        <v>10959.09</v>
      </c>
      <c r="E362" s="131" t="n">
        <v>0</v>
      </c>
      <c r="F362" s="131" t="n">
        <v>108616.47</v>
      </c>
      <c r="G362" s="131" t="inlineStr">
        <is>
          <t>HDFC Securities</t>
        </is>
      </c>
      <c r="H362" s="131" t="inlineStr">
        <is>
          <t>HDFC 0094</t>
        </is>
      </c>
    </row>
    <row r="363">
      <c r="A363" s="130" t="n">
        <v>45516</v>
      </c>
      <c r="B363" s="131" t="inlineStr">
        <is>
          <t>NET PI TO HSL SEC A/C 523686-00602340029434</t>
        </is>
      </c>
      <c r="C363" s="131" t="inlineStr">
        <is>
          <t>0000000551587104</t>
        </is>
      </c>
      <c r="D363" s="131" t="n">
        <v>15357.07</v>
      </c>
      <c r="E363" s="131" t="n">
        <v>0</v>
      </c>
      <c r="F363" s="131" t="n">
        <v>119575.56</v>
      </c>
      <c r="G363" s="131" t="inlineStr">
        <is>
          <t>HDFC Securities</t>
        </is>
      </c>
      <c r="H363" s="131" t="inlineStr">
        <is>
          <t>HDFC 0094</t>
        </is>
      </c>
    </row>
    <row r="364">
      <c r="A364" s="130" t="n">
        <v>45516</v>
      </c>
      <c r="B364" s="131" t="inlineStr">
        <is>
          <t>NET PI TO HSL SEC A/C 523686-00602340029434</t>
        </is>
      </c>
      <c r="C364" s="131" t="inlineStr">
        <is>
          <t>0000000551461856</t>
        </is>
      </c>
      <c r="D364" s="131" t="n">
        <v>916.38</v>
      </c>
      <c r="E364" s="131" t="n">
        <v>0</v>
      </c>
      <c r="F364" s="131" t="n">
        <v>134726.38</v>
      </c>
      <c r="G364" s="131" t="inlineStr">
        <is>
          <t>HDFC Securities</t>
        </is>
      </c>
      <c r="H364" s="131" t="inlineStr">
        <is>
          <t>HDFC 0094</t>
        </is>
      </c>
    </row>
    <row r="365">
      <c r="A365" s="130" t="n">
        <v>45516</v>
      </c>
      <c r="B365" s="131" t="inlineStr">
        <is>
          <t>ACH C- DABUR INDIA LIMITED-8600449</t>
        </is>
      </c>
      <c r="C365" s="131" t="inlineStr">
        <is>
          <t>0000007325386692</t>
        </is>
      </c>
      <c r="D365" s="131" t="n">
        <v>0</v>
      </c>
      <c r="E365" s="131" t="n">
        <v>206.25</v>
      </c>
      <c r="F365" s="131" t="n">
        <v>134932.63</v>
      </c>
      <c r="G365" s="131" t="inlineStr">
        <is>
          <t>Dividend Income</t>
        </is>
      </c>
      <c r="H365" s="131" t="inlineStr">
        <is>
          <t>HDFC 0094</t>
        </is>
      </c>
    </row>
    <row r="366">
      <c r="A366" s="130" t="n">
        <v>45516</v>
      </c>
      <c r="B366" s="131" t="inlineStr">
        <is>
          <t>DEPOSITORY CHARGES JUL24 - 41060499</t>
        </is>
      </c>
      <c r="C366" s="131" t="inlineStr">
        <is>
          <t>000000000000000</t>
        </is>
      </c>
      <c r="D366" s="131" t="n">
        <v>1085.6</v>
      </c>
      <c r="E366" s="131" t="n">
        <v>0</v>
      </c>
      <c r="F366" s="131" t="n">
        <v>135642.76</v>
      </c>
      <c r="G366" s="131" t="inlineStr">
        <is>
          <t>Depository Charges</t>
        </is>
      </c>
      <c r="H366" s="131" t="inlineStr">
        <is>
          <t>HDFC 0094</t>
        </is>
      </c>
    </row>
    <row r="367">
      <c r="A367" s="130" t="n">
        <v>45516</v>
      </c>
      <c r="B367" s="131" t="inlineStr">
        <is>
          <t>NET PO FROM HSL A/C 523686-50200085415108</t>
        </is>
      </c>
      <c r="C367" s="131" t="inlineStr">
        <is>
          <t>0000000551230058</t>
        </is>
      </c>
      <c r="D367" s="131" t="n">
        <v>0</v>
      </c>
      <c r="E367" s="131" t="n">
        <v>2383.87</v>
      </c>
      <c r="F367" s="131" t="n">
        <v>136728.36</v>
      </c>
      <c r="G367" s="131" t="inlineStr">
        <is>
          <t>HDFC Securities</t>
        </is>
      </c>
      <c r="H367" s="131" t="inlineStr">
        <is>
          <t>HDFC 0094</t>
        </is>
      </c>
    </row>
    <row r="368">
      <c r="A368" s="130" t="n">
        <v>45517</v>
      </c>
      <c r="B368" s="131" t="inlineStr">
        <is>
          <t>NET PI TO HSL SEC A/C 523686-00602340029434</t>
        </is>
      </c>
      <c r="C368" s="131" t="inlineStr">
        <is>
          <t>0000000551931267</t>
        </is>
      </c>
      <c r="D368" s="131" t="n">
        <v>302.4</v>
      </c>
      <c r="E368" s="131" t="n">
        <v>0</v>
      </c>
      <c r="F368" s="131" t="n">
        <v>108314.07</v>
      </c>
      <c r="G368" s="131" t="inlineStr">
        <is>
          <t>HDFC Securities</t>
        </is>
      </c>
      <c r="H368" s="131" t="inlineStr">
        <is>
          <t>HDFC 0094</t>
        </is>
      </c>
    </row>
    <row r="369">
      <c r="A369" s="130" t="n">
        <v>45517</v>
      </c>
      <c r="B369" s="131" t="inlineStr">
        <is>
          <t>NET PI TO HSL SEC A/C 523686-00602340029434</t>
        </is>
      </c>
      <c r="C369" s="131" t="inlineStr">
        <is>
          <t>0000000552157806</t>
        </is>
      </c>
      <c r="D369" s="131" t="n">
        <v>15948.05</v>
      </c>
      <c r="E369" s="131" t="n">
        <v>0</v>
      </c>
      <c r="F369" s="131" t="n">
        <v>92366.02</v>
      </c>
      <c r="G369" s="131" t="inlineStr">
        <is>
          <t>HDFC Securities</t>
        </is>
      </c>
      <c r="H369" s="131" t="inlineStr">
        <is>
          <t>HDFC 0094</t>
        </is>
      </c>
    </row>
    <row r="370">
      <c r="A370" s="130" t="n">
        <v>45518</v>
      </c>
      <c r="B370" s="131" t="inlineStr">
        <is>
          <t>NET PI TO HSL SEC A/C 523686-00602340029434</t>
        </is>
      </c>
      <c r="C370" s="131" t="inlineStr">
        <is>
          <t>0000000552527534</t>
        </is>
      </c>
      <c r="D370" s="131" t="n">
        <v>7437.78</v>
      </c>
      <c r="E370" s="131" t="n">
        <v>0</v>
      </c>
      <c r="F370" s="131" t="n">
        <v>84631.52</v>
      </c>
      <c r="G370" s="131" t="inlineStr">
        <is>
          <t>HDFC Securities</t>
        </is>
      </c>
      <c r="H370" s="131" t="inlineStr">
        <is>
          <t>HDFC 0094</t>
        </is>
      </c>
    </row>
    <row r="371">
      <c r="A371" s="130" t="n">
        <v>45518</v>
      </c>
      <c r="B371" s="131" t="inlineStr">
        <is>
          <t>NET PI TO HSL SEC A/C 523686-00602340029434</t>
        </is>
      </c>
      <c r="C371" s="131" t="inlineStr">
        <is>
          <t>0000000552435534</t>
        </is>
      </c>
      <c r="D371" s="131" t="n">
        <v>296.72</v>
      </c>
      <c r="E371" s="131" t="n">
        <v>0</v>
      </c>
      <c r="F371" s="131" t="n">
        <v>92069.3</v>
      </c>
      <c r="G371" s="131" t="inlineStr">
        <is>
          <t>HDFC Securities</t>
        </is>
      </c>
      <c r="H371" s="131" t="inlineStr">
        <is>
          <t>HDFC 0094</t>
        </is>
      </c>
    </row>
    <row r="372">
      <c r="A372" s="130" t="n">
        <v>45518</v>
      </c>
      <c r="B372" s="131" t="inlineStr">
        <is>
          <t>NET PI TO HSL SEC A/C 523686-00602340029434</t>
        </is>
      </c>
      <c r="C372" s="131" t="inlineStr">
        <is>
          <t>0000000552608973</t>
        </is>
      </c>
      <c r="D372" s="131" t="n">
        <v>11570.08</v>
      </c>
      <c r="E372" s="131" t="n">
        <v>0</v>
      </c>
      <c r="F372" s="131" t="n">
        <v>73061.44</v>
      </c>
      <c r="G372" s="131" t="inlineStr">
        <is>
          <t>HDFC Securities</t>
        </is>
      </c>
      <c r="H372" s="131" t="inlineStr">
        <is>
          <t>HDFC 0094</t>
        </is>
      </c>
    </row>
    <row r="373">
      <c r="A373" s="130" t="n">
        <v>45518</v>
      </c>
      <c r="B373" s="131" t="inlineStr">
        <is>
          <t>Non-Maint Avg bal chgs Jun2024</t>
        </is>
      </c>
      <c r="C373" s="131" t="inlineStr">
        <is>
          <t>-</t>
        </is>
      </c>
      <c r="D373" s="131" t="n">
        <v>600</v>
      </c>
      <c r="E373" s="131" t="n">
        <v>0</v>
      </c>
      <c r="F373" s="131" t="n">
        <v>61107.29</v>
      </c>
      <c r="G373" s="131" t="inlineStr">
        <is>
          <t>Bank Charges</t>
        </is>
      </c>
      <c r="H373" s="131" t="inlineStr">
        <is>
          <t>AXIS 7042</t>
        </is>
      </c>
    </row>
    <row r="374">
      <c r="A374" s="130" t="n">
        <v>45518</v>
      </c>
      <c r="B374" s="131" t="inlineStr">
        <is>
          <t>GST @18% on MAB Charge</t>
        </is>
      </c>
      <c r="C374" s="131" t="inlineStr">
        <is>
          <t>-</t>
        </is>
      </c>
      <c r="D374" s="131" t="n">
        <v>108</v>
      </c>
      <c r="E374" s="131" t="n">
        <v>0</v>
      </c>
      <c r="F374" s="131" t="n">
        <v>61707.29</v>
      </c>
      <c r="G374" s="131" t="inlineStr">
        <is>
          <t>Bank Charges</t>
        </is>
      </c>
      <c r="H374" s="131" t="inlineStr">
        <is>
          <t>AXIS 7042</t>
        </is>
      </c>
    </row>
    <row r="375">
      <c r="A375" s="130" t="n">
        <v>45520</v>
      </c>
      <c r="B375" s="131" t="inlineStr">
        <is>
          <t>ACH D- INDIAN CLEARING CORP-P25847643X05</t>
        </is>
      </c>
      <c r="C375" s="131" t="inlineStr">
        <is>
          <t>0000007436414035</t>
        </is>
      </c>
      <c r="D375" s="131" t="n">
        <v>5000</v>
      </c>
      <c r="E375" s="131" t="n">
        <v>0</v>
      </c>
      <c r="F375" s="131" t="n">
        <v>68298.56</v>
      </c>
      <c r="G375" s="131" t="inlineStr">
        <is>
          <t>Mutual_Fund_Investments</t>
        </is>
      </c>
      <c r="H375" s="131" t="inlineStr">
        <is>
          <t>HDFC 0094</t>
        </is>
      </c>
    </row>
    <row r="376">
      <c r="A376" s="130" t="n">
        <v>45520</v>
      </c>
      <c r="B376" s="131" t="inlineStr">
        <is>
          <t>NET PI TO HSL SEC A/C 523686-00602340029434</t>
        </is>
      </c>
      <c r="C376" s="131" t="inlineStr">
        <is>
          <t>0000000552934696</t>
        </is>
      </c>
      <c r="D376" s="131" t="n">
        <v>594.5599999999999</v>
      </c>
      <c r="E376" s="131" t="n">
        <v>0</v>
      </c>
      <c r="F376" s="131" t="n">
        <v>67704</v>
      </c>
      <c r="G376" s="131" t="inlineStr">
        <is>
          <t>HDFC Securities</t>
        </is>
      </c>
      <c r="H376" s="131" t="inlineStr">
        <is>
          <t>HDFC 0094</t>
        </is>
      </c>
    </row>
    <row r="377">
      <c r="A377" s="130" t="n">
        <v>45520</v>
      </c>
      <c r="B377" s="131" t="inlineStr">
        <is>
          <t>ACH C- COFORGE LTD-100452</t>
        </is>
      </c>
      <c r="C377" s="131" t="inlineStr">
        <is>
          <t>0000007481452514</t>
        </is>
      </c>
      <c r="D377" s="131" t="n">
        <v>0</v>
      </c>
      <c r="E377" s="131" t="n">
        <v>627</v>
      </c>
      <c r="F377" s="131" t="n">
        <v>68331</v>
      </c>
      <c r="G377" s="131" t="inlineStr">
        <is>
          <t>Dividend Income</t>
        </is>
      </c>
      <c r="H377" s="131" t="inlineStr">
        <is>
          <t>HDFC 0094</t>
        </is>
      </c>
    </row>
    <row r="378">
      <c r="A378" s="130" t="n">
        <v>45520</v>
      </c>
      <c r="B378" s="131" t="inlineStr">
        <is>
          <t>UPI/P2A/459516048244/Kriti  Gupta         /rakhi/State Bank Of India</t>
        </is>
      </c>
      <c r="C378" s="131" t="inlineStr">
        <is>
          <t>-</t>
        </is>
      </c>
      <c r="D378" s="131" t="n">
        <v>1300</v>
      </c>
      <c r="E378" s="131" t="n">
        <v>0</v>
      </c>
      <c r="F378" s="131" t="n">
        <v>59807.29</v>
      </c>
      <c r="G378" s="131" t="inlineStr">
        <is>
          <t>Personal</t>
        </is>
      </c>
      <c r="H378" s="131" t="inlineStr">
        <is>
          <t>AXIS 7042</t>
        </is>
      </c>
    </row>
    <row r="379">
      <c r="A379" s="130" t="n">
        <v>45520</v>
      </c>
      <c r="B379" s="131" t="inlineStr">
        <is>
          <t>ACH C- DIVISLABORATORIES-000000000000033</t>
        </is>
      </c>
      <c r="C379" s="131" t="inlineStr">
        <is>
          <t>0000007121401229</t>
        </is>
      </c>
      <c r="D379" s="131" t="n">
        <v>0</v>
      </c>
      <c r="E379" s="131" t="n">
        <v>330</v>
      </c>
      <c r="F379" s="131" t="n">
        <v>69851</v>
      </c>
      <c r="G379" s="131" t="inlineStr">
        <is>
          <t>Dividend Income</t>
        </is>
      </c>
      <c r="H379" s="131" t="inlineStr">
        <is>
          <t>HDFC 0094</t>
        </is>
      </c>
    </row>
    <row r="380">
      <c r="A380" s="130" t="n">
        <v>45520</v>
      </c>
      <c r="B380" s="131" t="inlineStr">
        <is>
          <t>NET PO FROM HSL A/C 523686-50200085415108</t>
        </is>
      </c>
      <c r="C380" s="131" t="inlineStr">
        <is>
          <t>0000000552747093</t>
        </is>
      </c>
      <c r="D380" s="131" t="n">
        <v>0</v>
      </c>
      <c r="E380" s="131" t="n">
        <v>237.12</v>
      </c>
      <c r="F380" s="131" t="n">
        <v>73298.56</v>
      </c>
      <c r="G380" s="131" t="inlineStr">
        <is>
          <t>HDFC Securities</t>
        </is>
      </c>
      <c r="H380" s="131" t="inlineStr">
        <is>
          <t>HDFC 0094</t>
        </is>
      </c>
    </row>
    <row r="381">
      <c r="A381" s="130" t="n">
        <v>45520</v>
      </c>
      <c r="B381" s="131" t="inlineStr">
        <is>
          <t>ACH C- ULTRATECHCEMENTLTD-00000000000004</t>
        </is>
      </c>
      <c r="C381" s="131" t="inlineStr">
        <is>
          <t>0000007046732229</t>
        </is>
      </c>
      <c r="D381" s="131" t="n">
        <v>0</v>
      </c>
      <c r="E381" s="131" t="n">
        <v>1190</v>
      </c>
      <c r="F381" s="131" t="n">
        <v>69521</v>
      </c>
      <c r="G381" s="131" t="inlineStr">
        <is>
          <t>Dividend Income</t>
        </is>
      </c>
      <c r="H381" s="131" t="inlineStr">
        <is>
          <t>HDFC 0094</t>
        </is>
      </c>
    </row>
    <row r="382">
      <c r="A382" s="130" t="n">
        <v>45521</v>
      </c>
      <c r="B382" s="131" t="inlineStr">
        <is>
          <t>ISAQMC-APR-JUN24-323600 230724-MIR2522961261616</t>
        </is>
      </c>
      <c r="C382" s="131" t="inlineStr">
        <is>
          <t>MIR2522961261616</t>
        </is>
      </c>
      <c r="D382" s="131" t="n">
        <v>295</v>
      </c>
      <c r="E382" s="131" t="n">
        <v>0</v>
      </c>
      <c r="F382" s="131" t="n">
        <v>69556</v>
      </c>
      <c r="G382" s="131" t="inlineStr">
        <is>
          <t>Bank Charges</t>
        </is>
      </c>
      <c r="H382" s="131" t="inlineStr">
        <is>
          <t>HDFC 0094</t>
        </is>
      </c>
    </row>
    <row r="383">
      <c r="A383" s="130" t="n">
        <v>45523</v>
      </c>
      <c r="B383" s="131" t="inlineStr">
        <is>
          <t>YHDF2417946248/BILLDKTHECALCUTTAELE</t>
        </is>
      </c>
      <c r="C383" s="131" t="inlineStr">
        <is>
          <t>0002423259470626</t>
        </is>
      </c>
      <c r="D383" s="131" t="n">
        <v>17805</v>
      </c>
      <c r="E383" s="131" t="n">
        <v>0</v>
      </c>
      <c r="F383" s="131" t="n">
        <v>64218.36</v>
      </c>
      <c r="G383" s="131" t="inlineStr">
        <is>
          <t>SIP</t>
        </is>
      </c>
      <c r="H383" s="131" t="inlineStr">
        <is>
          <t>HDFC 0094</t>
        </is>
      </c>
    </row>
    <row r="384">
      <c r="A384" s="130" t="n">
        <v>45523</v>
      </c>
      <c r="B384" s="131" t="inlineStr">
        <is>
          <t>NET PO FROM HSL A/C 523686-50200085415108</t>
        </is>
      </c>
      <c r="C384" s="131" t="inlineStr">
        <is>
          <t>0000000553203102</t>
        </is>
      </c>
      <c r="D384" s="131" t="n">
        <v>0</v>
      </c>
      <c r="E384" s="131" t="n">
        <v>13649.2</v>
      </c>
      <c r="F384" s="131" t="n">
        <v>83205.2</v>
      </c>
      <c r="G384" s="131" t="inlineStr">
        <is>
          <t>HDFC Securities</t>
        </is>
      </c>
      <c r="H384" s="131" t="inlineStr">
        <is>
          <t>HDFC 0094</t>
        </is>
      </c>
    </row>
    <row r="385">
      <c r="A385" s="130" t="n">
        <v>45523</v>
      </c>
      <c r="B385" s="131" t="inlineStr">
        <is>
          <t>NET PI TO HSL SEC A/C 523686-00602340029434</t>
        </is>
      </c>
      <c r="C385" s="131" t="inlineStr">
        <is>
          <t>0000000553549010</t>
        </is>
      </c>
      <c r="D385" s="131" t="n">
        <v>1362.77</v>
      </c>
      <c r="E385" s="131" t="n">
        <v>0</v>
      </c>
      <c r="F385" s="131" t="n">
        <v>62855.59</v>
      </c>
      <c r="G385" s="131" t="inlineStr">
        <is>
          <t>HDFC Securities</t>
        </is>
      </c>
      <c r="H385" s="131" t="inlineStr">
        <is>
          <t>HDFC 0094</t>
        </is>
      </c>
    </row>
    <row r="386">
      <c r="A386" s="130" t="n">
        <v>45523</v>
      </c>
      <c r="B386" s="131" t="inlineStr">
        <is>
          <t>UPI-BHARAT SHIVAJI SALVE-Q693795930@YBL-YESB0YBLUPI-459804001805-VEGITABLE</t>
        </is>
      </c>
      <c r="C386" s="131" t="inlineStr">
        <is>
          <t>0000459804001805</t>
        </is>
      </c>
      <c r="D386" s="131" t="n">
        <v>290</v>
      </c>
      <c r="E386" s="131" t="n">
        <v>0</v>
      </c>
      <c r="F386" s="131" t="n">
        <v>82023.36</v>
      </c>
      <c r="G386" s="131" t="inlineStr">
        <is>
          <t>Personal</t>
        </is>
      </c>
      <c r="H386" s="131" t="inlineStr">
        <is>
          <t>HDFC 0094</t>
        </is>
      </c>
    </row>
    <row r="387">
      <c r="A387" s="130" t="n">
        <v>45523</v>
      </c>
      <c r="B387" s="131" t="inlineStr">
        <is>
          <t>NET PI TO HSL SEC A/C 523686-00602340029434</t>
        </is>
      </c>
      <c r="C387" s="131" t="inlineStr">
        <is>
          <t>0000000553401436</t>
        </is>
      </c>
      <c r="D387" s="131" t="n">
        <v>891.84</v>
      </c>
      <c r="E387" s="131" t="n">
        <v>0</v>
      </c>
      <c r="F387" s="131" t="n">
        <v>82313.36</v>
      </c>
      <c r="G387" s="131" t="inlineStr">
        <is>
          <t>HDFC Securities</t>
        </is>
      </c>
      <c r="H387" s="131" t="inlineStr">
        <is>
          <t>HDFC 0094</t>
        </is>
      </c>
    </row>
    <row r="388">
      <c r="A388" s="130" t="n">
        <v>45524</v>
      </c>
      <c r="B388" s="131" t="inlineStr">
        <is>
          <t>NET PO FROM HSL A/C 523686-50200085415108</t>
        </is>
      </c>
      <c r="C388" s="131" t="inlineStr">
        <is>
          <t>0000000553719337</t>
        </is>
      </c>
      <c r="D388" s="131" t="n">
        <v>0</v>
      </c>
      <c r="E388" s="131" t="n">
        <v>87679.60000000001</v>
      </c>
      <c r="F388" s="131" t="n">
        <v>150535.19</v>
      </c>
      <c r="G388" s="131" t="inlineStr">
        <is>
          <t>HDFC Securities</t>
        </is>
      </c>
      <c r="H388" s="131" t="inlineStr">
        <is>
          <t>HDFC 0094</t>
        </is>
      </c>
    </row>
    <row r="389">
      <c r="A389" s="130" t="n">
        <v>45524</v>
      </c>
      <c r="B389" s="131" t="inlineStr">
        <is>
          <t>UPI-OM SUPAR SHOPI-PAYTMQR1BM2V0ZITY@PAYTM-YESB0PTMUPI-423376646504-CHACH</t>
        </is>
      </c>
      <c r="C389" s="131" t="inlineStr">
        <is>
          <t>0000423376646504</t>
        </is>
      </c>
      <c r="D389" s="131" t="n">
        <v>18</v>
      </c>
      <c r="E389" s="131" t="n">
        <v>0</v>
      </c>
      <c r="F389" s="131" t="n">
        <v>150517.19</v>
      </c>
      <c r="G389" s="131" t="inlineStr">
        <is>
          <t>Personal</t>
        </is>
      </c>
      <c r="H389" s="131" t="inlineStr">
        <is>
          <t>HDFC 0094</t>
        </is>
      </c>
    </row>
    <row r="390">
      <c r="A390" s="130" t="n">
        <v>45524</v>
      </c>
      <c r="B390" s="131" t="inlineStr">
        <is>
          <t>UPI-BHARAT SHIVAJI SALVE-Q275219389@YBL-YESB0YBLUPI-459917741143-FRUIT</t>
        </is>
      </c>
      <c r="C390" s="131" t="inlineStr">
        <is>
          <t>0000459917741143</t>
        </is>
      </c>
      <c r="D390" s="131" t="n">
        <v>300</v>
      </c>
      <c r="E390" s="131" t="n">
        <v>0</v>
      </c>
      <c r="F390" s="131" t="n">
        <v>150217.19</v>
      </c>
      <c r="G390" s="131" t="inlineStr">
        <is>
          <t>Groceries</t>
        </is>
      </c>
      <c r="H390" s="131" t="inlineStr">
        <is>
          <t>HDFC 0094</t>
        </is>
      </c>
    </row>
    <row r="391">
      <c r="A391" s="130" t="n">
        <v>45524</v>
      </c>
      <c r="B391" s="131" t="inlineStr">
        <is>
          <t>NET PI TO HSL SEC A/C 523686-00602340029434</t>
        </is>
      </c>
      <c r="C391" s="131" t="inlineStr">
        <is>
          <t>0000000553854506</t>
        </is>
      </c>
      <c r="D391" s="131" t="n">
        <v>279.69</v>
      </c>
      <c r="E391" s="131" t="n">
        <v>0</v>
      </c>
      <c r="F391" s="131" t="n">
        <v>149937.5</v>
      </c>
      <c r="G391" s="131" t="inlineStr">
        <is>
          <t>HDFC Securities</t>
        </is>
      </c>
      <c r="H391" s="131" t="inlineStr">
        <is>
          <t>HDFC 0094</t>
        </is>
      </c>
    </row>
    <row r="392">
      <c r="A392" s="130" t="n">
        <v>45524</v>
      </c>
      <c r="B392" s="131" t="inlineStr">
        <is>
          <t>UPI-KUNAL RAMESH JADHAV-Q579080630@YBL-YESB0YBLUPI-459947687018-BUKE</t>
        </is>
      </c>
      <c r="C392" s="131" t="inlineStr">
        <is>
          <t>0000459947687018</t>
        </is>
      </c>
      <c r="D392" s="131" t="n">
        <v>130</v>
      </c>
      <c r="E392" s="131" t="n">
        <v>0</v>
      </c>
      <c r="F392" s="131" t="n">
        <v>149807.5</v>
      </c>
      <c r="G392" s="131" t="inlineStr">
        <is>
          <t>Personal</t>
        </is>
      </c>
      <c r="H392" s="131" t="inlineStr">
        <is>
          <t>HDFC 0094</t>
        </is>
      </c>
    </row>
    <row r="393">
      <c r="A393" s="130" t="n">
        <v>45525</v>
      </c>
      <c r="B393" s="131" t="inlineStr">
        <is>
          <t>01671000085930-TPT-BORROW FROM SUNITA-AJAY KUMAR GUPTA</t>
        </is>
      </c>
      <c r="C393" s="131" t="inlineStr">
        <is>
          <t>0000000311404451</t>
        </is>
      </c>
      <c r="D393" s="131" t="n">
        <v>200000</v>
      </c>
      <c r="E393" s="131" t="n">
        <v>0</v>
      </c>
      <c r="F393" s="131" t="n">
        <v>36787.78</v>
      </c>
      <c r="G393" s="131" t="inlineStr">
        <is>
          <t>Sunita Gupta</t>
        </is>
      </c>
      <c r="H393" s="131" t="inlineStr">
        <is>
          <t>HDFC 0094</t>
        </is>
      </c>
    </row>
    <row r="394">
      <c r="A394" s="130" t="n">
        <v>45525</v>
      </c>
      <c r="B394" s="131" t="inlineStr">
        <is>
          <t>Charge Refund: MABPR</t>
        </is>
      </c>
      <c r="C394" s="131" t="inlineStr">
        <is>
          <t>-</t>
        </is>
      </c>
      <c r="D394" s="131" t="n">
        <v>0</v>
      </c>
      <c r="E394" s="131" t="n">
        <v>600</v>
      </c>
      <c r="F394" s="131" t="n">
        <v>60407.29</v>
      </c>
      <c r="G394" s="131" t="inlineStr">
        <is>
          <t>Misc Income</t>
        </is>
      </c>
      <c r="H394" s="131" t="inlineStr">
        <is>
          <t>AXIS 7042</t>
        </is>
      </c>
    </row>
    <row r="395">
      <c r="A395" s="130" t="n">
        <v>45525</v>
      </c>
      <c r="B395" s="131" t="inlineStr">
        <is>
          <t>NET PO FROM HSL A/C 523686-50200085415108</t>
        </is>
      </c>
      <c r="C395" s="131" t="inlineStr">
        <is>
          <t>0000000554118937</t>
        </is>
      </c>
      <c r="D395" s="131" t="n">
        <v>0</v>
      </c>
      <c r="E395" s="131" t="n">
        <v>87035.28</v>
      </c>
      <c r="F395" s="131" t="n">
        <v>236842.78</v>
      </c>
      <c r="G395" s="131" t="inlineStr">
        <is>
          <t>HDFC Securities</t>
        </is>
      </c>
      <c r="H395" s="131" t="inlineStr">
        <is>
          <t>HDFC 0094</t>
        </is>
      </c>
    </row>
    <row r="396">
      <c r="A396" s="130" t="n">
        <v>45525</v>
      </c>
      <c r="B396" s="131" t="inlineStr">
        <is>
          <t>UPI-KRUSHNASAGAR MITHAI-PAYTMQR596DKQ@PAYTM-YESB0PTMUPI-423452847251-NAMKIN</t>
        </is>
      </c>
      <c r="C396" s="131" t="inlineStr">
        <is>
          <t>0000423452847251</t>
        </is>
      </c>
      <c r="D396" s="131" t="n">
        <v>55</v>
      </c>
      <c r="E396" s="131" t="n">
        <v>0</v>
      </c>
      <c r="F396" s="131" t="n">
        <v>236787.78</v>
      </c>
      <c r="G396" s="131" t="inlineStr">
        <is>
          <t>Personal</t>
        </is>
      </c>
      <c r="H396" s="131" t="inlineStr">
        <is>
          <t>HDFC 0094</t>
        </is>
      </c>
    </row>
    <row r="397">
      <c r="A397" s="130" t="n">
        <v>45525</v>
      </c>
      <c r="B397" s="131" t="inlineStr">
        <is>
          <t>ACH C- CDSL FNLDIV 2023 24-345199</t>
        </is>
      </c>
      <c r="C397" s="131" t="inlineStr">
        <is>
          <t>0000007667792344</t>
        </is>
      </c>
      <c r="D397" s="131" t="n">
        <v>0</v>
      </c>
      <c r="E397" s="131" t="n">
        <v>1980</v>
      </c>
      <c r="F397" s="131" t="n">
        <v>38767.78</v>
      </c>
      <c r="G397" s="131" t="inlineStr">
        <is>
          <t>Dividend Income</t>
        </is>
      </c>
      <c r="H397" s="131" t="inlineStr">
        <is>
          <t>HDFC 0094</t>
        </is>
      </c>
    </row>
    <row r="398">
      <c r="A398" s="130" t="n">
        <v>45525</v>
      </c>
      <c r="B398" s="131" t="inlineStr">
        <is>
          <t>NET PI TO HSL SEC A/C 523686-00602340029434</t>
        </is>
      </c>
      <c r="C398" s="131" t="inlineStr">
        <is>
          <t>0000000554261223</t>
        </is>
      </c>
      <c r="D398" s="131" t="n">
        <v>280.7</v>
      </c>
      <c r="E398" s="131" t="n">
        <v>0</v>
      </c>
      <c r="F398" s="131" t="n">
        <v>38487.08</v>
      </c>
      <c r="G398" s="131" t="inlineStr">
        <is>
          <t>HDFC Securities</t>
        </is>
      </c>
      <c r="H398" s="131" t="inlineStr">
        <is>
          <t>HDFC 0094</t>
        </is>
      </c>
    </row>
    <row r="399">
      <c r="A399" s="130" t="n">
        <v>45526</v>
      </c>
      <c r="B399" s="131" t="inlineStr">
        <is>
          <t>NET PO FROM HSL A/C 523686-50200085415108</t>
        </is>
      </c>
      <c r="C399" s="131" t="inlineStr">
        <is>
          <t>0000000554540381</t>
        </is>
      </c>
      <c r="D399" s="131" t="n">
        <v>0</v>
      </c>
      <c r="E399" s="131" t="n">
        <v>13652.52</v>
      </c>
      <c r="F399" s="131" t="n">
        <v>52139.6</v>
      </c>
      <c r="G399" s="131" t="inlineStr">
        <is>
          <t>HDFC Securities</t>
        </is>
      </c>
      <c r="H399" s="131" t="inlineStr">
        <is>
          <t>HDFC 0094</t>
        </is>
      </c>
    </row>
    <row r="400">
      <c r="A400" s="130" t="n">
        <v>45526</v>
      </c>
      <c r="B400" s="131" t="inlineStr">
        <is>
          <t>NET PI TO HSL SEC A/C 523686-00602340029434</t>
        </is>
      </c>
      <c r="C400" s="131" t="inlineStr">
        <is>
          <t>0000000554671236</t>
        </is>
      </c>
      <c r="D400" s="131" t="n">
        <v>254.07</v>
      </c>
      <c r="E400" s="131" t="n">
        <v>0</v>
      </c>
      <c r="F400" s="131" t="n">
        <v>51885.53</v>
      </c>
      <c r="G400" s="131" t="inlineStr">
        <is>
          <t>HDFC Securities</t>
        </is>
      </c>
      <c r="H400" s="131" t="inlineStr">
        <is>
          <t>HDFC 0094</t>
        </is>
      </c>
    </row>
    <row r="401">
      <c r="A401" s="130" t="n">
        <v>45526</v>
      </c>
      <c r="B401" s="131" t="inlineStr">
        <is>
          <t>01671000085930-TPT-MONEY RETURNED-AJAY KUMAR GUPTA</t>
        </is>
      </c>
      <c r="C401" s="131" t="inlineStr">
        <is>
          <t>0000000317317050</t>
        </is>
      </c>
      <c r="D401" s="131" t="n">
        <v>0</v>
      </c>
      <c r="E401" s="131" t="n">
        <v>200000</v>
      </c>
      <c r="F401" s="131" t="n">
        <v>251885.53</v>
      </c>
      <c r="G401" s="131" t="inlineStr">
        <is>
          <t>Ajay Gupta</t>
        </is>
      </c>
      <c r="H401" s="131" t="inlineStr">
        <is>
          <t>HDFC 0094</t>
        </is>
      </c>
    </row>
    <row r="402">
      <c r="A402" s="130" t="n">
        <v>45527</v>
      </c>
      <c r="B402" s="131" t="inlineStr">
        <is>
          <t>NET PO FROM HSL A/C 523686-50200085415108</t>
        </is>
      </c>
      <c r="C402" s="131" t="inlineStr">
        <is>
          <t>0000000555007760</t>
        </is>
      </c>
      <c r="D402" s="131" t="n">
        <v>0</v>
      </c>
      <c r="E402" s="131" t="n">
        <v>41057.08</v>
      </c>
      <c r="F402" s="131" t="n">
        <v>293967.63</v>
      </c>
      <c r="G402" s="131" t="inlineStr">
        <is>
          <t>HDFC Securities</t>
        </is>
      </c>
      <c r="H402" s="131" t="inlineStr">
        <is>
          <t>HDFC 0094</t>
        </is>
      </c>
    </row>
    <row r="403">
      <c r="A403" s="130" t="n">
        <v>45527</v>
      </c>
      <c r="B403" s="131" t="inlineStr">
        <is>
          <t>NEFT CR-SBIN0004266-SBI GENERAL INSURANCE CO LTDSBI GEN-SUNITA GUPTA 0000000002717756-SBIN424236896638</t>
        </is>
      </c>
      <c r="C403" s="131" t="inlineStr">
        <is>
          <t>SBIN424236896638</t>
        </is>
      </c>
      <c r="D403" s="131" t="n">
        <v>0</v>
      </c>
      <c r="E403" s="131" t="n">
        <v>17805</v>
      </c>
      <c r="F403" s="131" t="n">
        <v>311733.7</v>
      </c>
      <c r="G403" s="131" t="inlineStr">
        <is>
          <t>Sunita Gupta</t>
        </is>
      </c>
      <c r="H403" s="131" t="inlineStr">
        <is>
          <t>HDFC 0094</t>
        </is>
      </c>
    </row>
    <row r="404">
      <c r="A404" s="130" t="n">
        <v>45527</v>
      </c>
      <c r="B404" s="131" t="inlineStr">
        <is>
          <t>NET PI TO HSL SEC A/C 523686-00602340029434</t>
        </is>
      </c>
      <c r="C404" s="131" t="inlineStr">
        <is>
          <t>0000000555104327</t>
        </is>
      </c>
      <c r="D404" s="131" t="n">
        <v>258.93</v>
      </c>
      <c r="E404" s="131" t="n">
        <v>0</v>
      </c>
      <c r="F404" s="131" t="n">
        <v>293708.7</v>
      </c>
      <c r="G404" s="131" t="inlineStr">
        <is>
          <t>HDFC Securities</t>
        </is>
      </c>
      <c r="H404" s="131" t="inlineStr">
        <is>
          <t>HDFC 0094</t>
        </is>
      </c>
    </row>
    <row r="405">
      <c r="A405" s="130" t="n">
        <v>45527</v>
      </c>
      <c r="B405" s="131" t="inlineStr">
        <is>
          <t>NET PO FROM HSL A/C 523686-50200085415108</t>
        </is>
      </c>
      <c r="C405" s="131" t="inlineStr">
        <is>
          <t>0000000554967819</t>
        </is>
      </c>
      <c r="D405" s="131" t="n">
        <v>0</v>
      </c>
      <c r="E405" s="131" t="n">
        <v>1025.02</v>
      </c>
      <c r="F405" s="131" t="n">
        <v>252910.55</v>
      </c>
      <c r="G405" s="131" t="inlineStr">
        <is>
          <t>HDFC Securities</t>
        </is>
      </c>
      <c r="H405" s="131" t="inlineStr">
        <is>
          <t>HDFC 0094</t>
        </is>
      </c>
    </row>
    <row r="406">
      <c r="A406" s="130" t="n">
        <v>45527</v>
      </c>
      <c r="B406" s="131" t="inlineStr">
        <is>
          <t>ACH C- CAMS INT DIV 2024 25-154890</t>
        </is>
      </c>
      <c r="C406" s="131" t="inlineStr">
        <is>
          <t>0000007750640328</t>
        </is>
      </c>
      <c r="D406" s="131" t="n">
        <v>0</v>
      </c>
      <c r="E406" s="131" t="n">
        <v>220</v>
      </c>
      <c r="F406" s="131" t="n">
        <v>293928.7</v>
      </c>
      <c r="G406" s="131" t="inlineStr">
        <is>
          <t>Dividend Income</t>
        </is>
      </c>
      <c r="H406" s="131" t="inlineStr">
        <is>
          <t>HDFC 0094</t>
        </is>
      </c>
    </row>
    <row r="407">
      <c r="A407" s="130" t="n">
        <v>45527</v>
      </c>
      <c r="B407" s="131" t="inlineStr">
        <is>
          <t>NET PI TO HSL SEC A/C 523686-00602340029434</t>
        </is>
      </c>
      <c r="C407" s="131" t="inlineStr">
        <is>
          <t>0000000555287184</t>
        </is>
      </c>
      <c r="D407" s="131" t="n">
        <v>2481.05</v>
      </c>
      <c r="E407" s="131" t="n">
        <v>0</v>
      </c>
      <c r="F407" s="131" t="n">
        <v>311632.65</v>
      </c>
      <c r="G407" s="131" t="inlineStr">
        <is>
          <t>HDFC Securities</t>
        </is>
      </c>
      <c r="H407" s="131" t="inlineStr">
        <is>
          <t>HDFC 0094</t>
        </is>
      </c>
    </row>
    <row r="408">
      <c r="A408" s="130" t="n">
        <v>45527</v>
      </c>
      <c r="B408" s="131" t="inlineStr">
        <is>
          <t>NEFT CR-SBIN0004266-SBI GENERAL INSURANCE CO LTDSBI GEN-SUNITA GUPTA 0000000002717756-SBIN524236319092</t>
        </is>
      </c>
      <c r="C408" s="131" t="inlineStr">
        <is>
          <t>SBIN524236319092</t>
        </is>
      </c>
      <c r="D408" s="131" t="n">
        <v>0</v>
      </c>
      <c r="E408" s="131" t="n">
        <v>2380</v>
      </c>
      <c r="F408" s="131" t="n">
        <v>314113.7</v>
      </c>
      <c r="G408" s="131" t="inlineStr">
        <is>
          <t>Sunita Gupta</t>
        </is>
      </c>
      <c r="H408" s="131" t="inlineStr">
        <is>
          <t>HDFC 0094</t>
        </is>
      </c>
    </row>
    <row r="409">
      <c r="A409" s="130" t="n">
        <v>45529</v>
      </c>
      <c r="B409" s="131" t="inlineStr">
        <is>
          <t>NEFT/N238243225110515/SUNITA GUPTA/HDFC BANK/Trf frm HDFC Sunit</t>
        </is>
      </c>
      <c r="C409" s="131" t="inlineStr">
        <is>
          <t>-</t>
        </is>
      </c>
      <c r="D409" s="131" t="n">
        <v>0</v>
      </c>
      <c r="E409" s="131" t="n">
        <v>150000</v>
      </c>
      <c r="F409" s="131" t="n">
        <v>210280.29</v>
      </c>
      <c r="G409" s="131" t="inlineStr">
        <is>
          <t>Sunita Gupta</t>
        </is>
      </c>
      <c r="H409" s="131" t="inlineStr">
        <is>
          <t>AXIS 7042</t>
        </is>
      </c>
    </row>
    <row r="410">
      <c r="A410" s="130" t="n">
        <v>45529</v>
      </c>
      <c r="B410" s="131" t="inlineStr">
        <is>
          <t>UPI/P2M/423838369708/Meesho               /UPI In/Yes Bank Ltd</t>
        </is>
      </c>
      <c r="C410" s="131" t="inlineStr">
        <is>
          <t>-</t>
        </is>
      </c>
      <c r="D410" s="131" t="n">
        <v>127</v>
      </c>
      <c r="E410" s="131" t="n">
        <v>0</v>
      </c>
      <c r="F410" s="131" t="n">
        <v>60280.29</v>
      </c>
      <c r="G410" s="131" t="inlineStr">
        <is>
          <t>Shopping</t>
        </is>
      </c>
      <c r="H410" s="131" t="inlineStr">
        <is>
          <t>AXIS 7042</t>
        </is>
      </c>
    </row>
    <row r="411">
      <c r="A411" s="130" t="n">
        <v>45529</v>
      </c>
      <c r="B411" s="131" t="inlineStr">
        <is>
          <t>NEFT DR-UTIB0002656-SUNITA GUPTA-NETBANK, MUM-N238243225110515-TRF FRM HDFC SUNIT</t>
        </is>
      </c>
      <c r="C411" s="131" t="inlineStr">
        <is>
          <t>N238243225110515</t>
        </is>
      </c>
      <c r="D411" s="131" t="n">
        <v>150000</v>
      </c>
      <c r="E411" s="131" t="n">
        <v>0</v>
      </c>
      <c r="F411" s="131" t="n">
        <v>161632.65</v>
      </c>
      <c r="G411" s="131" t="inlineStr">
        <is>
          <t>Sunita Gupta</t>
        </is>
      </c>
      <c r="H411" s="131" t="inlineStr">
        <is>
          <t>HDFC 0094</t>
        </is>
      </c>
    </row>
    <row r="412">
      <c r="A412" s="130" t="n">
        <v>45530</v>
      </c>
      <c r="B412" s="131" t="inlineStr">
        <is>
          <t>NET PI TO HSL SEC A/C 523686-00602340029434</t>
        </is>
      </c>
      <c r="C412" s="131" t="inlineStr">
        <is>
          <t>0000000555785329</t>
        </is>
      </c>
      <c r="D412" s="131" t="n">
        <v>54974.79</v>
      </c>
      <c r="E412" s="131" t="n">
        <v>0</v>
      </c>
      <c r="F412" s="131" t="n">
        <v>173860.83</v>
      </c>
      <c r="G412" s="131" t="inlineStr">
        <is>
          <t>HDFC Securities</t>
        </is>
      </c>
      <c r="H412" s="131" t="inlineStr">
        <is>
          <t>HDFC 0094</t>
        </is>
      </c>
    </row>
    <row r="413">
      <c r="A413" s="130" t="n">
        <v>45530</v>
      </c>
      <c r="B413" s="131" t="inlineStr">
        <is>
          <t>NEFT/YESF342390240804/ZERODHA BROKING LTD-DSCNB A//YES BANK/f940673c85 Zerodha payout</t>
        </is>
      </c>
      <c r="C413" s="131" t="inlineStr">
        <is>
          <t>-</t>
        </is>
      </c>
      <c r="D413" s="131" t="n">
        <v>0</v>
      </c>
      <c r="E413" s="131" t="n">
        <v>11206.33</v>
      </c>
      <c r="F413" s="131" t="n">
        <v>221486.62</v>
      </c>
      <c r="G413" s="131" t="inlineStr">
        <is>
          <t>Transfer</t>
        </is>
      </c>
      <c r="H413" s="131" t="inlineStr">
        <is>
          <t>AXIS 7042</t>
        </is>
      </c>
    </row>
    <row r="414">
      <c r="A414" s="130" t="n">
        <v>45530</v>
      </c>
      <c r="B414" s="131" t="inlineStr">
        <is>
          <t>ACH D- INDIAN CLEARING CORP-P25847643X05</t>
        </is>
      </c>
      <c r="C414" s="131" t="inlineStr">
        <is>
          <t>0000007757624564</t>
        </is>
      </c>
      <c r="D414" s="131" t="n">
        <v>10000</v>
      </c>
      <c r="E414" s="131" t="n">
        <v>0</v>
      </c>
      <c r="F414" s="131" t="n">
        <v>229610.85</v>
      </c>
      <c r="G414" s="131" t="inlineStr">
        <is>
          <t>Mutual_Fund_Investments</t>
        </is>
      </c>
      <c r="H414" s="131" t="inlineStr">
        <is>
          <t>HDFC 0094</t>
        </is>
      </c>
    </row>
    <row r="415">
      <c r="A415" s="130" t="n">
        <v>45530</v>
      </c>
      <c r="B415" s="131" t="inlineStr">
        <is>
          <t>NET PO FROM HSL A/C 523686-50200085415108</t>
        </is>
      </c>
      <c r="C415" s="131" t="inlineStr">
        <is>
          <t>0000000555444510</t>
        </is>
      </c>
      <c r="D415" s="131" t="n">
        <v>0</v>
      </c>
      <c r="E415" s="131" t="n">
        <v>77978.2</v>
      </c>
      <c r="F415" s="131" t="n">
        <v>239610.85</v>
      </c>
      <c r="G415" s="131" t="inlineStr">
        <is>
          <t>HDFC Securities</t>
        </is>
      </c>
      <c r="H415" s="131" t="inlineStr">
        <is>
          <t>HDFC 0094</t>
        </is>
      </c>
    </row>
    <row r="416">
      <c r="A416" s="130" t="n">
        <v>45530</v>
      </c>
      <c r="B416" s="131" t="inlineStr">
        <is>
          <t>NET PI TO HSL SEC A/C 523686-00602340029434</t>
        </is>
      </c>
      <c r="C416" s="131" t="inlineStr">
        <is>
          <t>0000000555626883</t>
        </is>
      </c>
      <c r="D416" s="131" t="n">
        <v>775.23</v>
      </c>
      <c r="E416" s="131" t="n">
        <v>0</v>
      </c>
      <c r="F416" s="131" t="n">
        <v>228835.62</v>
      </c>
      <c r="G416" s="131" t="inlineStr">
        <is>
          <t>HDFC Securities</t>
        </is>
      </c>
      <c r="H416" s="131" t="inlineStr">
        <is>
          <t>HDFC 0094</t>
        </is>
      </c>
    </row>
    <row r="417">
      <c r="A417" s="130" t="n">
        <v>45531</v>
      </c>
      <c r="B417" s="131" t="inlineStr">
        <is>
          <t>NET PO FROM HSL A/C 523686-50200085415108</t>
        </is>
      </c>
      <c r="C417" s="131" t="inlineStr">
        <is>
          <t>0000000555916940</t>
        </is>
      </c>
      <c r="D417" s="131" t="n">
        <v>0</v>
      </c>
      <c r="E417" s="131" t="n">
        <v>7078.49</v>
      </c>
      <c r="F417" s="131" t="n">
        <v>180939.32</v>
      </c>
      <c r="G417" s="131" t="inlineStr">
        <is>
          <t>HDFC Securities</t>
        </is>
      </c>
      <c r="H417" s="131" t="inlineStr">
        <is>
          <t>HDFC 0094</t>
        </is>
      </c>
    </row>
    <row r="418">
      <c r="A418" s="130" t="n">
        <v>45531</v>
      </c>
      <c r="B418" s="131" t="inlineStr">
        <is>
          <t>NET PO FROM HSL A/C 523686-50200085415108</t>
        </is>
      </c>
      <c r="C418" s="131" t="inlineStr">
        <is>
          <t>0000000555961838</t>
        </is>
      </c>
      <c r="D418" s="131" t="n">
        <v>0</v>
      </c>
      <c r="E418" s="131" t="n">
        <v>51065.7</v>
      </c>
      <c r="F418" s="131" t="n">
        <v>232005.02</v>
      </c>
      <c r="G418" s="131" t="inlineStr">
        <is>
          <t>HDFC Securities</t>
        </is>
      </c>
      <c r="H418" s="131" t="inlineStr">
        <is>
          <t>HDFC 0094</t>
        </is>
      </c>
    </row>
    <row r="419">
      <c r="A419" s="130" t="n">
        <v>45531</v>
      </c>
      <c r="B419" s="131" t="inlineStr">
        <is>
          <t>NET PI TO HSL SEC A/C 523686-00602340029434</t>
        </is>
      </c>
      <c r="C419" s="131" t="inlineStr">
        <is>
          <t>0000000556075417</t>
        </is>
      </c>
      <c r="D419" s="131" t="n">
        <v>238.83</v>
      </c>
      <c r="E419" s="131" t="n">
        <v>0</v>
      </c>
      <c r="F419" s="131" t="n">
        <v>231766.19</v>
      </c>
      <c r="G419" s="131" t="inlineStr">
        <is>
          <t>HDFC Securities</t>
        </is>
      </c>
      <c r="H419" s="131" t="inlineStr">
        <is>
          <t>HDFC 0094</t>
        </is>
      </c>
    </row>
    <row r="420">
      <c r="A420" s="130" t="n">
        <v>45531</v>
      </c>
      <c r="B420" s="131" t="inlineStr">
        <is>
          <t>ACH C- HINDALCO FIN DIV 24-288092</t>
        </is>
      </c>
      <c r="C420" s="131" t="inlineStr">
        <is>
          <t>0000007820818140</t>
        </is>
      </c>
      <c r="D420" s="131" t="n">
        <v>0</v>
      </c>
      <c r="E420" s="131" t="n">
        <v>175</v>
      </c>
      <c r="F420" s="131" t="n">
        <v>231941.19</v>
      </c>
      <c r="G420" s="131" t="inlineStr">
        <is>
          <t>Dividend Income</t>
        </is>
      </c>
      <c r="H420" s="131" t="inlineStr">
        <is>
          <t>HDFC 0094</t>
        </is>
      </c>
    </row>
    <row r="421">
      <c r="A421" s="130" t="n">
        <v>45532</v>
      </c>
      <c r="B421" s="131" t="inlineStr">
        <is>
          <t>NET PO FROM HSL A/C 523686-50200085415108</t>
        </is>
      </c>
      <c r="C421" s="131" t="inlineStr">
        <is>
          <t>0000000556362276</t>
        </is>
      </c>
      <c r="D421" s="131" t="n">
        <v>0</v>
      </c>
      <c r="E421" s="131" t="n">
        <v>45543.92</v>
      </c>
      <c r="F421" s="131" t="n">
        <v>277485.11</v>
      </c>
      <c r="G421" s="131" t="inlineStr">
        <is>
          <t>HDFC Securities</t>
        </is>
      </c>
      <c r="H421" s="131" t="inlineStr">
        <is>
          <t>HDFC 0094</t>
        </is>
      </c>
    </row>
    <row r="422">
      <c r="A422" s="130" t="n">
        <v>45532</v>
      </c>
      <c r="B422" s="131" t="inlineStr">
        <is>
          <t>NET PI TO HSL SEC A/C 523686-00602340029434</t>
        </is>
      </c>
      <c r="C422" s="131" t="inlineStr">
        <is>
          <t>0000000556500377</t>
        </is>
      </c>
      <c r="D422" s="131" t="n">
        <v>214.73</v>
      </c>
      <c r="E422" s="131" t="n">
        <v>0</v>
      </c>
      <c r="F422" s="131" t="n">
        <v>277270.38</v>
      </c>
      <c r="G422" s="131" t="inlineStr">
        <is>
          <t>HDFC Securities</t>
        </is>
      </c>
      <c r="H422" s="131" t="inlineStr">
        <is>
          <t>HDFC 0094</t>
        </is>
      </c>
    </row>
    <row r="423">
      <c r="A423" s="130" t="n">
        <v>45532</v>
      </c>
      <c r="B423" s="131" t="inlineStr">
        <is>
          <t>ACH C- IBL FINL DIV 2023 24-114432</t>
        </is>
      </c>
      <c r="C423" s="131" t="inlineStr">
        <is>
          <t>0000007842158630</t>
        </is>
      </c>
      <c r="D423" s="131" t="n">
        <v>0</v>
      </c>
      <c r="E423" s="131" t="n">
        <v>1386</v>
      </c>
      <c r="F423" s="131" t="n">
        <v>278656.38</v>
      </c>
      <c r="G423" s="131" t="inlineStr">
        <is>
          <t>Dividend Income</t>
        </is>
      </c>
      <c r="H423" s="131" t="inlineStr">
        <is>
          <t>HDFC 0094</t>
        </is>
      </c>
    </row>
    <row r="424">
      <c r="A424" s="130" t="n">
        <v>45532</v>
      </c>
      <c r="B424" s="131" t="inlineStr">
        <is>
          <t>NEFT CR-UTIB0000004-AXIS MUTUAL FUND DIVIDEND A/C-SUNITA GUPTA-AXISCN0725504131</t>
        </is>
      </c>
      <c r="C424" s="131" t="inlineStr">
        <is>
          <t>AXISCN0725504131</t>
        </is>
      </c>
      <c r="D424" s="131" t="n">
        <v>0</v>
      </c>
      <c r="E424" s="131" t="n">
        <v>84.56999999999999</v>
      </c>
      <c r="F424" s="131" t="n">
        <v>278740.95</v>
      </c>
      <c r="G424" s="131" t="inlineStr">
        <is>
          <t>Dividend Income</t>
        </is>
      </c>
      <c r="H424" s="131" t="inlineStr">
        <is>
          <t>HDFC 0094</t>
        </is>
      </c>
    </row>
    <row r="425">
      <c r="A425" s="130" t="n">
        <v>45533</v>
      </c>
      <c r="B425" s="131" t="inlineStr">
        <is>
          <t>NET PI TO HSL SEC A/C 523686-00602340029434</t>
        </is>
      </c>
      <c r="C425" s="131" t="inlineStr">
        <is>
          <t>0000000556685633</t>
        </is>
      </c>
      <c r="D425" s="131" t="n">
        <v>16093.87</v>
      </c>
      <c r="E425" s="131" t="n">
        <v>0</v>
      </c>
      <c r="F425" s="131" t="n">
        <v>262647.08</v>
      </c>
      <c r="G425" s="131" t="inlineStr">
        <is>
          <t>HDFC Securities</t>
        </is>
      </c>
      <c r="H425" s="131" t="inlineStr">
        <is>
          <t>HDFC 0094</t>
        </is>
      </c>
    </row>
    <row r="426">
      <c r="A426" s="130" t="n">
        <v>45533</v>
      </c>
      <c r="B426" s="131" t="inlineStr">
        <is>
          <t>ACH C- PI INDUSTRIES LTD-3534031</t>
        </is>
      </c>
      <c r="C426" s="131" t="inlineStr">
        <is>
          <t>0000007860709428</t>
        </is>
      </c>
      <c r="D426" s="131" t="n">
        <v>0</v>
      </c>
      <c r="E426" s="131" t="n">
        <v>144</v>
      </c>
      <c r="F426" s="131" t="n">
        <v>262791.08</v>
      </c>
      <c r="G426" s="131" t="inlineStr">
        <is>
          <t>Dividend Income</t>
        </is>
      </c>
      <c r="H426" s="131" t="inlineStr">
        <is>
          <t>HDFC 0094</t>
        </is>
      </c>
    </row>
    <row r="427">
      <c r="A427" s="130" t="n">
        <v>45533</v>
      </c>
      <c r="B427" s="131" t="inlineStr">
        <is>
          <t>DR LAL PATH DIV24 2500000000000000008450</t>
        </is>
      </c>
      <c r="C427" s="131" t="inlineStr">
        <is>
          <t>0000242423755028</t>
        </is>
      </c>
      <c r="D427" s="131" t="n">
        <v>0</v>
      </c>
      <c r="E427" s="131" t="n">
        <v>210</v>
      </c>
      <c r="F427" s="131" t="n">
        <v>262812.01</v>
      </c>
      <c r="G427" s="131" t="inlineStr">
        <is>
          <t>Dividend Income</t>
        </is>
      </c>
      <c r="H427" s="131" t="inlineStr">
        <is>
          <t>HDFC 0094</t>
        </is>
      </c>
    </row>
    <row r="428">
      <c r="A428" s="130" t="n">
        <v>45533</v>
      </c>
      <c r="B428" s="131" t="inlineStr">
        <is>
          <t>ACH C- RELIANCE INDUSTRIES-241361424</t>
        </is>
      </c>
      <c r="C428" s="131" t="inlineStr">
        <is>
          <t>0000007891654103</t>
        </is>
      </c>
      <c r="D428" s="131" t="n">
        <v>0</v>
      </c>
      <c r="E428" s="131" t="n">
        <v>370</v>
      </c>
      <c r="F428" s="131" t="n">
        <v>263182.01</v>
      </c>
      <c r="G428" s="131" t="inlineStr">
        <is>
          <t>Dividend Income</t>
        </is>
      </c>
      <c r="H428" s="131" t="inlineStr">
        <is>
          <t>HDFC 0094</t>
        </is>
      </c>
    </row>
    <row r="429">
      <c r="A429" s="130" t="n">
        <v>45533</v>
      </c>
      <c r="B429" s="131" t="inlineStr">
        <is>
          <t>NET PI TO HSL SEC A/C 523686-00602340029434</t>
        </is>
      </c>
      <c r="C429" s="131" t="inlineStr">
        <is>
          <t>0000000556932429</t>
        </is>
      </c>
      <c r="D429" s="131" t="n">
        <v>189.07</v>
      </c>
      <c r="E429" s="131" t="n">
        <v>0</v>
      </c>
      <c r="F429" s="131" t="n">
        <v>262602.01</v>
      </c>
      <c r="G429" s="131" t="inlineStr">
        <is>
          <t>HDFC Securities</t>
        </is>
      </c>
      <c r="H429" s="131" t="inlineStr">
        <is>
          <t>HDFC 0094</t>
        </is>
      </c>
    </row>
    <row r="430">
      <c r="A430" s="130" t="n">
        <v>45534</v>
      </c>
      <c r="B430" s="131" t="inlineStr">
        <is>
          <t>NET PI TO HSL SEC A/C 523686-00602340029434</t>
        </is>
      </c>
      <c r="C430" s="131" t="inlineStr">
        <is>
          <t>0000000557122919</t>
        </is>
      </c>
      <c r="D430" s="131" t="n">
        <v>2395.65</v>
      </c>
      <c r="E430" s="131" t="n">
        <v>0</v>
      </c>
      <c r="F430" s="131" t="n">
        <v>260786.36</v>
      </c>
      <c r="G430" s="131" t="inlineStr">
        <is>
          <t>HDFC Securities</t>
        </is>
      </c>
      <c r="H430" s="131" t="inlineStr">
        <is>
          <t>HDFC 0094</t>
        </is>
      </c>
    </row>
    <row r="431">
      <c r="A431" s="130" t="n">
        <v>45534</v>
      </c>
      <c r="B431" s="131" t="inlineStr">
        <is>
          <t>NET PI TO HSL SEC A/C 523686-00602340029434</t>
        </is>
      </c>
      <c r="C431" s="131" t="inlineStr">
        <is>
          <t>0000000557551340</t>
        </is>
      </c>
      <c r="D431" s="131" t="n">
        <v>260581.19</v>
      </c>
      <c r="E431" s="131" t="n">
        <v>0</v>
      </c>
      <c r="F431" s="131" t="n">
        <v>0</v>
      </c>
      <c r="G431" s="131" t="inlineStr">
        <is>
          <t>HDFC Securities</t>
        </is>
      </c>
      <c r="H431" s="131" t="inlineStr">
        <is>
          <t>HDFC 0094</t>
        </is>
      </c>
    </row>
    <row r="432">
      <c r="A432" s="130" t="n">
        <v>45534</v>
      </c>
      <c r="B432" s="131" t="inlineStr">
        <is>
          <t>NET PI TO HSL SEC A/C 523686-00602340029434</t>
        </is>
      </c>
      <c r="C432" s="131" t="inlineStr">
        <is>
          <t>0000000557390234</t>
        </is>
      </c>
      <c r="D432" s="131" t="n">
        <v>205.17</v>
      </c>
      <c r="E432" s="131" t="n">
        <v>0</v>
      </c>
      <c r="F432" s="131" t="n">
        <v>260581.19</v>
      </c>
      <c r="G432" s="131" t="inlineStr">
        <is>
          <t>HDFC Securities</t>
        </is>
      </c>
      <c r="H432" s="131" t="inlineStr">
        <is>
          <t>HDFC 0094</t>
        </is>
      </c>
    </row>
    <row r="433">
      <c r="A433" s="130" t="n">
        <v>45537</v>
      </c>
      <c r="B433" s="131" t="inlineStr">
        <is>
          <t>NET PI TO HSL SEC A/C 523686-00602340029434</t>
        </is>
      </c>
      <c r="C433" s="131" t="inlineStr">
        <is>
          <t>0000000558033088</t>
        </is>
      </c>
      <c r="D433" s="131" t="n">
        <v>1620</v>
      </c>
      <c r="E433" s="131" t="n">
        <v>0</v>
      </c>
      <c r="F433" s="131" t="n">
        <v>0</v>
      </c>
      <c r="G433" s="131" t="inlineStr">
        <is>
          <t>HDFC Securities</t>
        </is>
      </c>
      <c r="H433" s="131" t="inlineStr">
        <is>
          <t>HDFC 0094</t>
        </is>
      </c>
    </row>
    <row r="434">
      <c r="A434" s="130" t="n">
        <v>45537</v>
      </c>
      <c r="B434" s="131" t="inlineStr">
        <is>
          <t>ACH C- ICICI BANK LTD.-7312296</t>
        </is>
      </c>
      <c r="C434" s="131" t="inlineStr">
        <is>
          <t>0000007945707652</t>
        </is>
      </c>
      <c r="D434" s="131" t="n">
        <v>0</v>
      </c>
      <c r="E434" s="131" t="n">
        <v>1350</v>
      </c>
      <c r="F434" s="131" t="n">
        <v>1620</v>
      </c>
      <c r="G434" s="131" t="inlineStr">
        <is>
          <t>Dividend Income</t>
        </is>
      </c>
      <c r="H434" s="131" t="inlineStr">
        <is>
          <t>HDFC 0094</t>
        </is>
      </c>
    </row>
    <row r="435">
      <c r="A435" s="130" t="n">
        <v>45537</v>
      </c>
      <c r="B435" s="131" t="inlineStr">
        <is>
          <t>ACH C- CONCOR INTDIV 202425-CN1708240048</t>
        </is>
      </c>
      <c r="C435" s="131" t="inlineStr">
        <is>
          <t>0000007928699717</t>
        </is>
      </c>
      <c r="D435" s="131" t="n">
        <v>0</v>
      </c>
      <c r="E435" s="131" t="n">
        <v>270</v>
      </c>
      <c r="F435" s="131" t="n">
        <v>270</v>
      </c>
      <c r="G435" s="131" t="inlineStr">
        <is>
          <t>Dividend Income</t>
        </is>
      </c>
      <c r="H435" s="131" t="inlineStr">
        <is>
          <t>HDFC 0094</t>
        </is>
      </c>
    </row>
    <row r="436">
      <c r="A436" s="130" t="n">
        <v>45538</v>
      </c>
      <c r="B436" s="131" t="inlineStr">
        <is>
          <t>UPI/P2M/424703060377/064101250/Kotak Mah/CHANNEL/TEZ</t>
        </is>
      </c>
      <c r="C436" s="131" t="inlineStr">
        <is>
          <t>-</t>
        </is>
      </c>
      <c r="D436" s="131" t="n">
        <v>14696</v>
      </c>
      <c r="E436" s="131" t="n">
        <v>0</v>
      </c>
      <c r="F436" s="131" t="n">
        <v>206790.62</v>
      </c>
      <c r="G436" s="131" t="inlineStr">
        <is>
          <t>Personal</t>
        </is>
      </c>
      <c r="H436" s="131" t="inlineStr">
        <is>
          <t>AXIS 7042</t>
        </is>
      </c>
    </row>
    <row r="437">
      <c r="A437" s="130" t="n">
        <v>45538</v>
      </c>
      <c r="B437" s="131" t="inlineStr">
        <is>
          <t>UPI/P2A/424719830314/SHARDA AR/Federal B/UPI/</t>
        </is>
      </c>
      <c r="C437" s="131" t="inlineStr">
        <is>
          <t>-</t>
        </is>
      </c>
      <c r="D437" s="131" t="n">
        <v>0</v>
      </c>
      <c r="E437" s="131" t="n">
        <v>230</v>
      </c>
      <c r="F437" s="131" t="n">
        <v>207020.62</v>
      </c>
      <c r="G437" s="131" t="inlineStr">
        <is>
          <t>Personal</t>
        </is>
      </c>
      <c r="H437" s="131" t="inlineStr">
        <is>
          <t>AXIS 7042</t>
        </is>
      </c>
    </row>
    <row r="438">
      <c r="A438" s="130" t="n">
        <v>45538</v>
      </c>
      <c r="B438" s="131" t="inlineStr">
        <is>
          <t>NET PI TO HSL SEC A/C 523686-00602340029434</t>
        </is>
      </c>
      <c r="C438" s="131" t="inlineStr">
        <is>
          <t>0000000558286697</t>
        </is>
      </c>
      <c r="D438" s="131" t="n">
        <v>75000</v>
      </c>
      <c r="E438" s="131" t="n">
        <v>0</v>
      </c>
      <c r="F438" s="131" t="n">
        <v>0</v>
      </c>
      <c r="G438" s="131" t="inlineStr">
        <is>
          <t>HDFC Securities</t>
        </is>
      </c>
      <c r="H438" s="131" t="inlineStr">
        <is>
          <t>HDFC 0094</t>
        </is>
      </c>
    </row>
    <row r="439">
      <c r="A439" s="130" t="n">
        <v>45538</v>
      </c>
      <c r="B439" s="131" t="inlineStr">
        <is>
          <t>50100128155413-TPT-FROM AAYUSH-AAYUSH KUMAR GUPTA</t>
        </is>
      </c>
      <c r="C439" s="131" t="inlineStr">
        <is>
          <t>0000000378890154</t>
        </is>
      </c>
      <c r="D439" s="131" t="n">
        <v>0</v>
      </c>
      <c r="E439" s="131" t="n">
        <v>75000</v>
      </c>
      <c r="F439" s="131" t="n">
        <v>75000</v>
      </c>
      <c r="G439" s="131" t="inlineStr">
        <is>
          <t>Transfer</t>
        </is>
      </c>
      <c r="H439" s="131" t="inlineStr">
        <is>
          <t>HDFC 0094</t>
        </is>
      </c>
    </row>
    <row r="440">
      <c r="A440" s="130" t="n">
        <v>45540</v>
      </c>
      <c r="B440" s="131" t="inlineStr">
        <is>
          <t>NET PI TO HSL SEC A/C 523686-00602340029434</t>
        </is>
      </c>
      <c r="C440" s="131" t="inlineStr">
        <is>
          <t>0000000559314702</t>
        </is>
      </c>
      <c r="D440" s="131" t="n">
        <v>314.37</v>
      </c>
      <c r="E440" s="131" t="n">
        <v>0</v>
      </c>
      <c r="F440" s="131" t="n">
        <v>11953.14</v>
      </c>
      <c r="G440" s="131" t="inlineStr">
        <is>
          <t>HDFC Securities</t>
        </is>
      </c>
      <c r="H440" s="131" t="inlineStr">
        <is>
          <t>HDFC 0094</t>
        </is>
      </c>
    </row>
    <row r="441">
      <c r="A441" s="130" t="n">
        <v>45540</v>
      </c>
      <c r="B441" s="131" t="inlineStr">
        <is>
          <t>UPI-AJAY KUMAR GUPTA-AJAYGUPTANEL@YBL-HDFC0000167-424930662852-PAYMENT FROM PHONE</t>
        </is>
      </c>
      <c r="C441" s="131" t="inlineStr">
        <is>
          <t>0000424930662852</t>
        </is>
      </c>
      <c r="D441" s="131" t="n">
        <v>0</v>
      </c>
      <c r="E441" s="131" t="n">
        <v>10000</v>
      </c>
      <c r="F441" s="131" t="n">
        <v>12267.51</v>
      </c>
      <c r="G441" s="131" t="inlineStr">
        <is>
          <t>Ajay Gupta</t>
        </is>
      </c>
      <c r="H441" s="131" t="inlineStr">
        <is>
          <t>HDFC 0094</t>
        </is>
      </c>
    </row>
    <row r="442">
      <c r="A442" s="130" t="n">
        <v>45540</v>
      </c>
      <c r="B442" s="131" t="inlineStr">
        <is>
          <t>NET PO FROM HSL A/C 523686-50200085415108</t>
        </is>
      </c>
      <c r="C442" s="131" t="inlineStr">
        <is>
          <t>0000000559134042</t>
        </is>
      </c>
      <c r="D442" s="131" t="n">
        <v>0</v>
      </c>
      <c r="E442" s="131" t="n">
        <v>2267.51</v>
      </c>
      <c r="F442" s="131" t="n">
        <v>2267.51</v>
      </c>
      <c r="G442" s="131" t="inlineStr">
        <is>
          <t>HDFC Securities</t>
        </is>
      </c>
      <c r="H442" s="131" t="inlineStr">
        <is>
          <t>HDFC 0094</t>
        </is>
      </c>
    </row>
    <row r="443">
      <c r="A443" s="130" t="n">
        <v>45540</v>
      </c>
      <c r="B443" s="131" t="inlineStr">
        <is>
          <t>UPI/P2A/424911534092/MANJOOSHA/HDFC BANK/UPI/</t>
        </is>
      </c>
      <c r="C443" s="131" t="inlineStr">
        <is>
          <t>-</t>
        </is>
      </c>
      <c r="D443" s="131" t="n">
        <v>0</v>
      </c>
      <c r="E443" s="131" t="n">
        <v>40</v>
      </c>
      <c r="F443" s="131" t="n">
        <v>207060.62</v>
      </c>
      <c r="G443" s="131" t="inlineStr">
        <is>
          <t>Personal</t>
        </is>
      </c>
      <c r="H443" s="131" t="inlineStr">
        <is>
          <t>AXIS 7042</t>
        </is>
      </c>
    </row>
    <row r="444">
      <c r="A444" s="130" t="n">
        <v>45541</v>
      </c>
      <c r="B444" s="131" t="inlineStr">
        <is>
          <t>NET PI TO HSL SEC A/C 523686-00602340029434</t>
        </is>
      </c>
      <c r="C444" s="131" t="inlineStr">
        <is>
          <t>0000000559779445</t>
        </is>
      </c>
      <c r="D444" s="131" t="n">
        <v>307.99</v>
      </c>
      <c r="E444" s="131" t="n">
        <v>0</v>
      </c>
      <c r="F444" s="131" t="n">
        <v>43143.29</v>
      </c>
      <c r="G444" s="131" t="inlineStr">
        <is>
          <t>HDFC Securities</t>
        </is>
      </c>
      <c r="H444" s="131" t="inlineStr">
        <is>
          <t>HDFC 0094</t>
        </is>
      </c>
    </row>
    <row r="445">
      <c r="A445" s="130" t="n">
        <v>45541</v>
      </c>
      <c r="B445" s="131" t="inlineStr">
        <is>
          <t>NEFT/YESF342500035924/ZERODHA BROKING LTD-DSCNB A//YES BANK/845c06dd7a Zerodha payout</t>
        </is>
      </c>
      <c r="C445" s="131" t="inlineStr">
        <is>
          <t>-</t>
        </is>
      </c>
      <c r="D445" s="131" t="n">
        <v>0</v>
      </c>
      <c r="E445" s="131" t="n">
        <v>19000</v>
      </c>
      <c r="F445" s="131" t="n">
        <v>226060.62</v>
      </c>
      <c r="G445" s="131" t="inlineStr">
        <is>
          <t>Transfer</t>
        </is>
      </c>
      <c r="H445" s="131" t="inlineStr">
        <is>
          <t>AXIS 7042</t>
        </is>
      </c>
    </row>
    <row r="446">
      <c r="A446" s="130" t="n">
        <v>45541</v>
      </c>
      <c r="B446" s="131" t="inlineStr">
        <is>
          <t>NET PO FROM HSL A/C 523686-50200085415108</t>
        </is>
      </c>
      <c r="C446" s="131" t="inlineStr">
        <is>
          <t>0000000559615455</t>
        </is>
      </c>
      <c r="D446" s="131" t="n">
        <v>0</v>
      </c>
      <c r="E446" s="131" t="n">
        <v>839.73</v>
      </c>
      <c r="F446" s="131" t="n">
        <v>12792.87</v>
      </c>
      <c r="G446" s="131" t="inlineStr">
        <is>
          <t>HDFC Securities</t>
        </is>
      </c>
      <c r="H446" s="131" t="inlineStr">
        <is>
          <t>HDFC 0094</t>
        </is>
      </c>
    </row>
    <row r="447">
      <c r="A447" s="130" t="n">
        <v>45541</v>
      </c>
      <c r="B447" s="131" t="inlineStr">
        <is>
          <t>NET PO FROM HSL A/C 523686-50200085415108</t>
        </is>
      </c>
      <c r="C447" s="131" t="inlineStr">
        <is>
          <t>0000000559653055</t>
        </is>
      </c>
      <c r="D447" s="131" t="n">
        <v>0</v>
      </c>
      <c r="E447" s="131" t="n">
        <v>30658.41</v>
      </c>
      <c r="F447" s="131" t="n">
        <v>43451.28</v>
      </c>
      <c r="G447" s="131" t="inlineStr">
        <is>
          <t>HDFC Securities</t>
        </is>
      </c>
      <c r="H447" s="131" t="inlineStr">
        <is>
          <t>HDFC 0094</t>
        </is>
      </c>
    </row>
    <row r="448">
      <c r="A448" s="130" t="n">
        <v>45541</v>
      </c>
      <c r="B448" s="131" t="inlineStr">
        <is>
          <t>UPI-AJAY KUMAR GUPTA-AJAYGUPTANEL@AXL-HDFC0000167-074263747998-MONEY RETURNED FRO</t>
        </is>
      </c>
      <c r="C448" s="131" t="inlineStr">
        <is>
          <t>0000074263747998</t>
        </is>
      </c>
      <c r="D448" s="131" t="n">
        <v>10000</v>
      </c>
      <c r="E448" s="131" t="n">
        <v>0</v>
      </c>
      <c r="F448" s="131" t="n">
        <v>100719.75</v>
      </c>
      <c r="G448" s="131" t="inlineStr">
        <is>
          <t>Ajay Gupta</t>
        </is>
      </c>
      <c r="H448" s="131" t="inlineStr">
        <is>
          <t>HDFC 0094</t>
        </is>
      </c>
    </row>
    <row r="449">
      <c r="A449" s="130" t="n">
        <v>45541</v>
      </c>
      <c r="B449" s="131" t="inlineStr">
        <is>
          <t>NET PO FROM HSL A/C 523686-50200085415108</t>
        </is>
      </c>
      <c r="C449" s="131" t="inlineStr">
        <is>
          <t>0000000560008519</t>
        </is>
      </c>
      <c r="D449" s="131" t="n">
        <v>0</v>
      </c>
      <c r="E449" s="131" t="n">
        <v>67576.46000000001</v>
      </c>
      <c r="F449" s="131" t="n">
        <v>110719.75</v>
      </c>
      <c r="G449" s="131" t="inlineStr">
        <is>
          <t>HDFC Securities</t>
        </is>
      </c>
      <c r="H449" s="131" t="inlineStr">
        <is>
          <t>HDFC 0094</t>
        </is>
      </c>
    </row>
    <row r="450">
      <c r="A450" s="130" t="n">
        <v>45544</v>
      </c>
      <c r="B450" s="131" t="inlineStr">
        <is>
          <t>NEFT CR-SBIN0004266-SBI GENERAL INSURANCE CO LTDSBI GEN-SUNITA GUPTA 0000000002717756-SBIN424253641625</t>
        </is>
      </c>
      <c r="C450" s="131" t="inlineStr">
        <is>
          <t>SBIN424253641625</t>
        </is>
      </c>
      <c r="D450" s="131" t="n">
        <v>0</v>
      </c>
      <c r="E450" s="131" t="n">
        <v>29757</v>
      </c>
      <c r="F450" s="131" t="n">
        <v>129479.67</v>
      </c>
      <c r="G450" s="131" t="inlineStr">
        <is>
          <t>Sunita Gupta</t>
        </is>
      </c>
      <c r="H450" s="131" t="inlineStr">
        <is>
          <t>HDFC 0094</t>
        </is>
      </c>
    </row>
    <row r="451">
      <c r="A451" s="130" t="n">
        <v>45544</v>
      </c>
      <c r="B451" s="131" t="inlineStr">
        <is>
          <t>NET PI TO HSL SEC A/C 523686-00602340029434</t>
        </is>
      </c>
      <c r="C451" s="131" t="inlineStr">
        <is>
          <t>0000000560353533</t>
        </is>
      </c>
      <c r="D451" s="131" t="n">
        <v>997.08</v>
      </c>
      <c r="E451" s="131" t="n">
        <v>0</v>
      </c>
      <c r="F451" s="131" t="n">
        <v>99722.67</v>
      </c>
      <c r="G451" s="131" t="inlineStr">
        <is>
          <t>HDFC Securities</t>
        </is>
      </c>
      <c r="H451" s="131" t="inlineStr">
        <is>
          <t>HDFC 0094</t>
        </is>
      </c>
    </row>
    <row r="452">
      <c r="A452" s="130" t="n">
        <v>45545</v>
      </c>
      <c r="B452" s="131" t="inlineStr">
        <is>
          <t>ACH C- COAL INDIA LTD-1337214</t>
        </is>
      </c>
      <c r="C452" s="131" t="inlineStr">
        <is>
          <t>0000008479011377</t>
        </is>
      </c>
      <c r="D452" s="131" t="n">
        <v>0</v>
      </c>
      <c r="E452" s="131" t="n">
        <v>15</v>
      </c>
      <c r="F452" s="131" t="n">
        <v>135655.62</v>
      </c>
      <c r="G452" s="131" t="inlineStr">
        <is>
          <t>Dividend Income</t>
        </is>
      </c>
      <c r="H452" s="131" t="inlineStr">
        <is>
          <t>HDFC 0094</t>
        </is>
      </c>
    </row>
    <row r="453">
      <c r="A453" s="130" t="n">
        <v>45545</v>
      </c>
      <c r="B453" s="131" t="inlineStr">
        <is>
          <t>ACH C- HINDUSTANAERONAUTICS-4568724</t>
        </is>
      </c>
      <c r="C453" s="131" t="inlineStr">
        <is>
          <t>0000008454736091</t>
        </is>
      </c>
      <c r="D453" s="131" t="n">
        <v>0</v>
      </c>
      <c r="E453" s="131" t="n">
        <v>390</v>
      </c>
      <c r="F453" s="131" t="n">
        <v>135640.62</v>
      </c>
      <c r="G453" s="131" t="inlineStr">
        <is>
          <t>Dividend Income</t>
        </is>
      </c>
      <c r="H453" s="131" t="inlineStr">
        <is>
          <t>HDFC 0094</t>
        </is>
      </c>
    </row>
    <row r="454">
      <c r="A454" s="130" t="n">
        <v>45545</v>
      </c>
      <c r="B454" s="131" t="inlineStr">
        <is>
          <t>NET PI TO HSL SEC A/C 523686-00602340029434</t>
        </is>
      </c>
      <c r="C454" s="131" t="inlineStr">
        <is>
          <t>0000000560939308</t>
        </is>
      </c>
      <c r="D454" s="131" t="n">
        <v>332.36</v>
      </c>
      <c r="E454" s="131" t="n">
        <v>0</v>
      </c>
      <c r="F454" s="131" t="n">
        <v>135250.62</v>
      </c>
      <c r="G454" s="131" t="inlineStr">
        <is>
          <t>HDFC Securities</t>
        </is>
      </c>
      <c r="H454" s="131" t="inlineStr">
        <is>
          <t>HDFC 0094</t>
        </is>
      </c>
    </row>
    <row r="455">
      <c r="A455" s="130" t="n">
        <v>45545</v>
      </c>
      <c r="B455" s="131" t="inlineStr">
        <is>
          <t>NET PO FROM HSL A/C 523686-50200085415108</t>
        </is>
      </c>
      <c r="C455" s="131" t="inlineStr">
        <is>
          <t>0000000560713658</t>
        </is>
      </c>
      <c r="D455" s="131" t="n">
        <v>0</v>
      </c>
      <c r="E455" s="131" t="n">
        <v>6103.31</v>
      </c>
      <c r="F455" s="131" t="n">
        <v>135582.98</v>
      </c>
      <c r="G455" s="131" t="inlineStr">
        <is>
          <t>HDFC Securities</t>
        </is>
      </c>
      <c r="H455" s="131" t="inlineStr">
        <is>
          <t>HDFC 0094</t>
        </is>
      </c>
    </row>
    <row r="456">
      <c r="A456" s="130" t="n">
        <v>45546</v>
      </c>
      <c r="B456" s="131" t="inlineStr">
        <is>
          <t>MIL DIVIDEND AC/</t>
        </is>
      </c>
      <c r="C456" s="131" t="inlineStr">
        <is>
          <t>-</t>
        </is>
      </c>
      <c r="D456" s="131" t="n">
        <v>0</v>
      </c>
      <c r="E456" s="131" t="n">
        <v>10</v>
      </c>
      <c r="F456" s="131" t="n">
        <v>226070.62</v>
      </c>
      <c r="G456" s="131" t="inlineStr">
        <is>
          <t>Dividend Income</t>
        </is>
      </c>
      <c r="H456" s="131" t="inlineStr">
        <is>
          <t>AXIS 7042</t>
        </is>
      </c>
    </row>
    <row r="457">
      <c r="A457" s="130" t="n">
        <v>45546</v>
      </c>
      <c r="B457" s="131" t="inlineStr">
        <is>
          <t>NET PI TO HSL SEC A/C 523686-00602340029434</t>
        </is>
      </c>
      <c r="C457" s="131" t="inlineStr">
        <is>
          <t>0000000561534916</t>
        </is>
      </c>
      <c r="D457" s="131" t="n">
        <v>42275.96</v>
      </c>
      <c r="E457" s="131" t="n">
        <v>0</v>
      </c>
      <c r="F457" s="131" t="n">
        <v>97748.34</v>
      </c>
      <c r="G457" s="131" t="inlineStr">
        <is>
          <t>HDFC Securities</t>
        </is>
      </c>
      <c r="H457" s="131" t="inlineStr">
        <is>
          <t>HDFC 0094</t>
        </is>
      </c>
    </row>
    <row r="458">
      <c r="A458" s="130" t="n">
        <v>45546</v>
      </c>
      <c r="B458" s="131" t="inlineStr">
        <is>
          <t>FT- 561193411-50200085415108 - HDFC SECURITIES LTD-CLIENT DSCNB A/C -</t>
        </is>
      </c>
      <c r="C458" s="131" t="inlineStr">
        <is>
          <t>0000000769397677</t>
        </is>
      </c>
      <c r="D458" s="131" t="n">
        <v>0</v>
      </c>
      <c r="E458" s="131" t="n">
        <v>3515.71</v>
      </c>
      <c r="F458" s="131" t="n">
        <v>139171.33</v>
      </c>
      <c r="G458" s="131" t="inlineStr">
        <is>
          <t>HDFC Securities</t>
        </is>
      </c>
      <c r="H458" s="131" t="inlineStr">
        <is>
          <t>HDFC 0094</t>
        </is>
      </c>
    </row>
    <row r="459">
      <c r="A459" s="130" t="n">
        <v>45546</v>
      </c>
      <c r="B459" s="131" t="inlineStr">
        <is>
          <t>ACH C- NTPC- FINAL DIV 23-2-NT0708240357</t>
        </is>
      </c>
      <c r="C459" s="131" t="inlineStr">
        <is>
          <t>0000008487135873</t>
        </is>
      </c>
      <c r="D459" s="131" t="n">
        <v>0</v>
      </c>
      <c r="E459" s="131" t="n">
        <v>812.5</v>
      </c>
      <c r="F459" s="131" t="n">
        <v>139983.83</v>
      </c>
      <c r="G459" s="131" t="inlineStr">
        <is>
          <t>Dividend Income</t>
        </is>
      </c>
      <c r="H459" s="131" t="inlineStr">
        <is>
          <t>HDFC 0094</t>
        </is>
      </c>
    </row>
    <row r="460">
      <c r="A460" s="130" t="n">
        <v>45546</v>
      </c>
      <c r="B460" s="131" t="inlineStr">
        <is>
          <t>NET PI TO HSL SEC A/C 523686-00602340029434</t>
        </is>
      </c>
      <c r="C460" s="131" t="inlineStr">
        <is>
          <t>0000000561335070</t>
        </is>
      </c>
      <c r="D460" s="131" t="n">
        <v>334.53</v>
      </c>
      <c r="E460" s="131" t="n">
        <v>0</v>
      </c>
      <c r="F460" s="131" t="n">
        <v>139649.3</v>
      </c>
      <c r="G460" s="131" t="inlineStr">
        <is>
          <t>HDFC Securities</t>
        </is>
      </c>
      <c r="H460" s="131" t="inlineStr">
        <is>
          <t>HDFC 0094</t>
        </is>
      </c>
    </row>
    <row r="461">
      <c r="A461" s="130" t="n">
        <v>45546</v>
      </c>
      <c r="B461" s="131" t="inlineStr">
        <is>
          <t>ACH C- POWER GRID CORPORATI-94348114</t>
        </is>
      </c>
      <c r="C461" s="131" t="inlineStr">
        <is>
          <t>0000008523476941</t>
        </is>
      </c>
      <c r="D461" s="131" t="n">
        <v>0</v>
      </c>
      <c r="E461" s="131" t="n">
        <v>275</v>
      </c>
      <c r="F461" s="131" t="n">
        <v>139924.3</v>
      </c>
      <c r="G461" s="131" t="inlineStr">
        <is>
          <t>Dividend Income</t>
        </is>
      </c>
      <c r="H461" s="131" t="inlineStr">
        <is>
          <t>HDFC 0094</t>
        </is>
      </c>
    </row>
    <row r="462">
      <c r="A462" s="130" t="n">
        <v>45546</v>
      </c>
      <c r="B462" s="131" t="inlineStr">
        <is>
          <t>ACH C- MANORAMA FNLDIV2324-4219</t>
        </is>
      </c>
      <c r="C462" s="131" t="inlineStr">
        <is>
          <t>0000008545572486</t>
        </is>
      </c>
      <c r="D462" s="131" t="n">
        <v>0</v>
      </c>
      <c r="E462" s="131" t="n">
        <v>100</v>
      </c>
      <c r="F462" s="131" t="n">
        <v>140024.3</v>
      </c>
      <c r="G462" s="131" t="inlineStr">
        <is>
          <t>Dividend Income</t>
        </is>
      </c>
      <c r="H462" s="131" t="inlineStr">
        <is>
          <t>HDFC 0094</t>
        </is>
      </c>
    </row>
    <row r="463">
      <c r="A463" s="130" t="n">
        <v>45547</v>
      </c>
      <c r="B463" s="131" t="inlineStr">
        <is>
          <t>NET PO FROM HSL A/C 523686-50200085415108</t>
        </is>
      </c>
      <c r="C463" s="131" t="inlineStr">
        <is>
          <t>0000000561688429</t>
        </is>
      </c>
      <c r="D463" s="131" t="n">
        <v>0</v>
      </c>
      <c r="E463" s="131" t="n">
        <v>26296.32</v>
      </c>
      <c r="F463" s="131" t="n">
        <v>124044.66</v>
      </c>
      <c r="G463" s="131" t="inlineStr">
        <is>
          <t>HDFC Securities</t>
        </is>
      </c>
      <c r="H463" s="131" t="inlineStr">
        <is>
          <t>HDFC 0094</t>
        </is>
      </c>
    </row>
    <row r="464">
      <c r="A464" s="130" t="n">
        <v>45547</v>
      </c>
      <c r="B464" s="131" t="inlineStr">
        <is>
          <t>NET PI TO HSL SEC A/C 523686-00602340029434</t>
        </is>
      </c>
      <c r="C464" s="131" t="inlineStr">
        <is>
          <t>0000000561796409</t>
        </is>
      </c>
      <c r="D464" s="131" t="n">
        <v>320.73</v>
      </c>
      <c r="E464" s="131" t="n">
        <v>0</v>
      </c>
      <c r="F464" s="131" t="n">
        <v>123723.93</v>
      </c>
      <c r="G464" s="131" t="inlineStr">
        <is>
          <t>HDFC Securities</t>
        </is>
      </c>
      <c r="H464" s="131" t="inlineStr">
        <is>
          <t>HDFC 0094</t>
        </is>
      </c>
    </row>
    <row r="465">
      <c r="A465" s="130" t="n">
        <v>45548</v>
      </c>
      <c r="B465" s="131" t="inlineStr">
        <is>
          <t>NET PO FROM HSL A/C 523686-50200085415108</t>
        </is>
      </c>
      <c r="C465" s="131" t="inlineStr">
        <is>
          <t>0000000562112468</t>
        </is>
      </c>
      <c r="D465" s="131" t="n">
        <v>0</v>
      </c>
      <c r="E465" s="131" t="n">
        <v>1</v>
      </c>
      <c r="F465" s="131" t="n">
        <v>123724.93</v>
      </c>
      <c r="G465" s="131" t="inlineStr">
        <is>
          <t>HDFC Securities</t>
        </is>
      </c>
      <c r="H465" s="131" t="inlineStr">
        <is>
          <t>HDFC 0094</t>
        </is>
      </c>
    </row>
    <row r="466">
      <c r="A466" s="130" t="n">
        <v>45548</v>
      </c>
      <c r="B466" s="131" t="inlineStr">
        <is>
          <t>FT- 562070321-50200085415108 - HDFC SECURITIES LTD-CLIENT DSCNB A/C -</t>
        </is>
      </c>
      <c r="C466" s="131" t="inlineStr">
        <is>
          <t>0000000771669728</t>
        </is>
      </c>
      <c r="D466" s="131" t="n">
        <v>0</v>
      </c>
      <c r="E466" s="131" t="n">
        <v>8964.040000000001</v>
      </c>
      <c r="F466" s="131" t="n">
        <v>132688.97</v>
      </c>
      <c r="G466" s="131" t="inlineStr">
        <is>
          <t>HDFC Securities</t>
        </is>
      </c>
      <c r="H466" s="131" t="inlineStr">
        <is>
          <t>HDFC 0094</t>
        </is>
      </c>
    </row>
    <row r="467">
      <c r="A467" s="130" t="n">
        <v>45548</v>
      </c>
      <c r="B467" s="131" t="inlineStr">
        <is>
          <t>NET PI TO HSL SEC A/C 523686-00602340029434</t>
        </is>
      </c>
      <c r="C467" s="131" t="inlineStr">
        <is>
          <t>0000000562227997</t>
        </is>
      </c>
      <c r="D467" s="131" t="n">
        <v>348.93</v>
      </c>
      <c r="E467" s="131" t="n">
        <v>0</v>
      </c>
      <c r="F467" s="131" t="n">
        <v>132340.04</v>
      </c>
      <c r="G467" s="131" t="inlineStr">
        <is>
          <t>HDFC Securities</t>
        </is>
      </c>
      <c r="H467" s="131" t="inlineStr">
        <is>
          <t>HDFC 0094</t>
        </is>
      </c>
    </row>
    <row r="468">
      <c r="A468" s="130" t="n">
        <v>45548</v>
      </c>
      <c r="B468" s="131" t="inlineStr">
        <is>
          <t>NET PI TO HSL SEC A/C 523686-00602340029434</t>
        </is>
      </c>
      <c r="C468" s="131" t="inlineStr">
        <is>
          <t>0000000562366504</t>
        </is>
      </c>
      <c r="D468" s="131" t="n">
        <v>401.48</v>
      </c>
      <c r="E468" s="131" t="n">
        <v>0</v>
      </c>
      <c r="F468" s="131" t="n">
        <v>131938.56</v>
      </c>
      <c r="G468" s="131" t="inlineStr">
        <is>
          <t>HDFC Securities</t>
        </is>
      </c>
      <c r="H468" s="131" t="inlineStr">
        <is>
          <t>HDFC 0094</t>
        </is>
      </c>
    </row>
    <row r="469">
      <c r="A469" s="130" t="n">
        <v>45550</v>
      </c>
      <c r="B469" s="131" t="inlineStr">
        <is>
          <t>50100128155413-TPT-MNY RETRN FRM SUNITA TO AAYUSH-AAYUSH KUMAR GUPTA</t>
        </is>
      </c>
      <c r="C469" s="131" t="inlineStr">
        <is>
          <t>0000000447885753</t>
        </is>
      </c>
      <c r="D469" s="131" t="n">
        <v>105000</v>
      </c>
      <c r="E469" s="131" t="n">
        <v>0</v>
      </c>
      <c r="F469" s="131" t="n">
        <v>26938.56</v>
      </c>
      <c r="G469" s="131" t="inlineStr">
        <is>
          <t>Sunita Gupta</t>
        </is>
      </c>
      <c r="H469" s="131" t="inlineStr">
        <is>
          <t>HDFC 0094</t>
        </is>
      </c>
    </row>
    <row r="470">
      <c r="A470" s="130" t="n">
        <v>45551</v>
      </c>
      <c r="B470" s="131" t="inlineStr">
        <is>
          <t>NET PI TO HSL SEC A/C 523686-00602340029434</t>
        </is>
      </c>
      <c r="C470" s="131" t="inlineStr">
        <is>
          <t>0000000562604240</t>
        </is>
      </c>
      <c r="D470" s="131" t="n">
        <v>1055.94</v>
      </c>
      <c r="E470" s="131" t="n">
        <v>0</v>
      </c>
      <c r="F470" s="131" t="n">
        <v>20882.62</v>
      </c>
      <c r="G470" s="131" t="inlineStr">
        <is>
          <t>HDFC Securities</t>
        </is>
      </c>
      <c r="H470" s="131" t="inlineStr">
        <is>
          <t>HDFC 0094</t>
        </is>
      </c>
    </row>
    <row r="471">
      <c r="A471" s="130" t="n">
        <v>45551</v>
      </c>
      <c r="B471" s="131" t="inlineStr">
        <is>
          <t>ACH D- INDIAN CLEARING CORP-P25847643X05</t>
        </is>
      </c>
      <c r="C471" s="131" t="inlineStr">
        <is>
          <t>0000008615800050</t>
        </is>
      </c>
      <c r="D471" s="131" t="n">
        <v>5000</v>
      </c>
      <c r="E471" s="131" t="n">
        <v>0</v>
      </c>
      <c r="F471" s="131" t="n">
        <v>21938.56</v>
      </c>
      <c r="G471" s="131" t="inlineStr">
        <is>
          <t>Mutual_Fund_Investments</t>
        </is>
      </c>
      <c r="H471" s="131" t="inlineStr">
        <is>
          <t>HDFC 0094</t>
        </is>
      </c>
    </row>
    <row r="472">
      <c r="A472" s="130" t="n">
        <v>45552</v>
      </c>
      <c r="B472" s="131" t="inlineStr">
        <is>
          <t>NET PI TO HSL SEC A/C 523686-00602340029434</t>
        </is>
      </c>
      <c r="C472" s="131" t="inlineStr">
        <is>
          <t>0000000563300428</t>
        </is>
      </c>
      <c r="D472" s="131" t="n">
        <v>2257.47</v>
      </c>
      <c r="E472" s="131" t="n">
        <v>0</v>
      </c>
      <c r="F472" s="131" t="n">
        <v>36903.06</v>
      </c>
      <c r="G472" s="131" t="inlineStr">
        <is>
          <t>HDFC Securities</t>
        </is>
      </c>
      <c r="H472" s="131" t="inlineStr">
        <is>
          <t>HDFC 0094</t>
        </is>
      </c>
    </row>
    <row r="473">
      <c r="A473" s="130" t="n">
        <v>45552</v>
      </c>
      <c r="B473" s="131" t="inlineStr">
        <is>
          <t>FT- ICICI PRUDENTIAL DIVIDEND DC A/C - ICICI_PRU_MF_DIVIDEND_  2759P_ 27883351</t>
        </is>
      </c>
      <c r="C473" s="131" t="inlineStr">
        <is>
          <t>0000001774979815</t>
        </is>
      </c>
      <c r="D473" s="131" t="n">
        <v>0</v>
      </c>
      <c r="E473" s="131" t="n">
        <v>3139.26</v>
      </c>
      <c r="F473" s="131" t="n">
        <v>39160.53</v>
      </c>
      <c r="G473" s="131" t="inlineStr">
        <is>
          <t>Dividend Income</t>
        </is>
      </c>
      <c r="H473" s="131" t="inlineStr">
        <is>
          <t>HDFC 0094</t>
        </is>
      </c>
    </row>
    <row r="474">
      <c r="A474" s="130" t="n">
        <v>45552</v>
      </c>
      <c r="B474" s="131" t="inlineStr">
        <is>
          <t>DEPOSITORY CHARGES AUG24 - 41060499</t>
        </is>
      </c>
      <c r="C474" s="131" t="inlineStr">
        <is>
          <t>000000000000000</t>
        </is>
      </c>
      <c r="D474" s="131" t="n">
        <v>1454.21</v>
      </c>
      <c r="E474" s="131" t="n">
        <v>0</v>
      </c>
      <c r="F474" s="131" t="n">
        <v>36021.27</v>
      </c>
      <c r="G474" s="131" t="inlineStr">
        <is>
          <t>Depository Charges</t>
        </is>
      </c>
      <c r="H474" s="131" t="inlineStr">
        <is>
          <t>HDFC 0094</t>
        </is>
      </c>
    </row>
    <row r="475">
      <c r="A475" s="130" t="n">
        <v>45552</v>
      </c>
      <c r="B475" s="131" t="inlineStr">
        <is>
          <t>FT- 562928476-50200085415108 - HDFC SECURITIES LTD-CLIENT DSCNB A/C -</t>
        </is>
      </c>
      <c r="C475" s="131" t="inlineStr">
        <is>
          <t>0000000774494820</t>
        </is>
      </c>
      <c r="D475" s="131" t="n">
        <v>0</v>
      </c>
      <c r="E475" s="131" t="n">
        <v>16944.84</v>
      </c>
      <c r="F475" s="131" t="n">
        <v>37827.46</v>
      </c>
      <c r="G475" s="131" t="inlineStr">
        <is>
          <t>HDFC Securities</t>
        </is>
      </c>
      <c r="H475" s="131" t="inlineStr">
        <is>
          <t>HDFC 0094</t>
        </is>
      </c>
    </row>
    <row r="476">
      <c r="A476" s="130" t="n">
        <v>45552</v>
      </c>
      <c r="B476" s="131" t="inlineStr">
        <is>
          <t>NET PI TO HSL SEC A/C 523686-00602340029434</t>
        </is>
      </c>
      <c r="C476" s="131" t="inlineStr">
        <is>
          <t>0000000563098219</t>
        </is>
      </c>
      <c r="D476" s="131" t="n">
        <v>351.98</v>
      </c>
      <c r="E476" s="131" t="n">
        <v>0</v>
      </c>
      <c r="F476" s="131" t="n">
        <v>37475.48</v>
      </c>
      <c r="G476" s="131" t="inlineStr">
        <is>
          <t>HDFC Securities</t>
        </is>
      </c>
      <c r="H476" s="131" t="inlineStr">
        <is>
          <t>HDFC 0094</t>
        </is>
      </c>
    </row>
    <row r="477">
      <c r="A477" s="130" t="n">
        <v>45553</v>
      </c>
      <c r="B477" s="131" t="inlineStr">
        <is>
          <t>NET PI TO HSL SEC A/C 523686-00602340029434</t>
        </is>
      </c>
      <c r="C477" s="131" t="inlineStr">
        <is>
          <t>0000000563531699</t>
        </is>
      </c>
      <c r="D477" s="131" t="n">
        <v>342.65</v>
      </c>
      <c r="E477" s="131" t="n">
        <v>0</v>
      </c>
      <c r="F477" s="131" t="n">
        <v>36560.41</v>
      </c>
      <c r="G477" s="131" t="inlineStr">
        <is>
          <t>HDFC Securities</t>
        </is>
      </c>
      <c r="H477" s="131" t="inlineStr">
        <is>
          <t>HDFC 0094</t>
        </is>
      </c>
    </row>
    <row r="478">
      <c r="A478" s="130" t="n">
        <v>45553</v>
      </c>
      <c r="B478" s="131" t="inlineStr">
        <is>
          <t>NET PI TO HSL SEC A/C 523686-00602340029434</t>
        </is>
      </c>
      <c r="C478" s="131" t="inlineStr">
        <is>
          <t>0000000563713390</t>
        </is>
      </c>
      <c r="D478" s="131" t="n">
        <v>36560.41</v>
      </c>
      <c r="E478" s="131" t="n">
        <v>0</v>
      </c>
      <c r="F478" s="131" t="n">
        <v>0</v>
      </c>
      <c r="G478" s="131" t="inlineStr">
        <is>
          <t>HDFC Securities</t>
        </is>
      </c>
      <c r="H478" s="131" t="inlineStr">
        <is>
          <t>HDFC 0094</t>
        </is>
      </c>
    </row>
    <row r="479">
      <c r="A479" s="130" t="n">
        <v>45554</v>
      </c>
      <c r="B479" s="131" t="inlineStr">
        <is>
          <t xml:space="preserve">   DEBIT-ATMCard AMC  652294*8079--</t>
        </is>
      </c>
      <c r="C479" s="131" t="n">
        <v/>
      </c>
      <c r="D479" s="131" t="n">
        <v>236</v>
      </c>
      <c r="E479" s="131" t="n">
        <v>0</v>
      </c>
      <c r="F479" s="131" t="n">
        <v>22053.7</v>
      </c>
      <c r="G479" s="131" t="inlineStr">
        <is>
          <t>Suspense</t>
        </is>
      </c>
      <c r="H479" s="131" t="inlineStr">
        <is>
          <t>SBI 7685</t>
        </is>
      </c>
    </row>
    <row r="480">
      <c r="A480" s="130" t="n">
        <v>45554</v>
      </c>
      <c r="B480" s="131" t="inlineStr">
        <is>
          <t>NET PO FROM HSL A/C 523686-50200085415108</t>
        </is>
      </c>
      <c r="C480" s="131" t="inlineStr">
        <is>
          <t>0000000563894192</t>
        </is>
      </c>
      <c r="D480" s="131" t="n">
        <v>0</v>
      </c>
      <c r="E480" s="131" t="n">
        <v>19217.6</v>
      </c>
      <c r="F480" s="131" t="n">
        <v>19217.6</v>
      </c>
      <c r="G480" s="131" t="inlineStr">
        <is>
          <t>HDFC Securities</t>
        </is>
      </c>
      <c r="H480" s="131" t="inlineStr">
        <is>
          <t>HDFC 0094</t>
        </is>
      </c>
    </row>
    <row r="481">
      <c r="A481" s="130" t="n">
        <v>45554</v>
      </c>
      <c r="B481" s="131" t="inlineStr">
        <is>
          <t>NET PI TO HSL SEC A/C 523686-00602340029434</t>
        </is>
      </c>
      <c r="C481" s="131" t="inlineStr">
        <is>
          <t>0000000564000369</t>
        </is>
      </c>
      <c r="D481" s="131" t="n">
        <v>329.62</v>
      </c>
      <c r="E481" s="131" t="n">
        <v>0</v>
      </c>
      <c r="F481" s="131" t="n">
        <v>18887.98</v>
      </c>
      <c r="G481" s="131" t="inlineStr">
        <is>
          <t>HDFC Securities</t>
        </is>
      </c>
      <c r="H481" s="131" t="inlineStr">
        <is>
          <t>HDFC 0094</t>
        </is>
      </c>
    </row>
    <row r="482">
      <c r="A482" s="130" t="n">
        <v>45554</v>
      </c>
      <c r="B482" s="131" t="inlineStr">
        <is>
          <t>NET PI TO HSL SEC A/C 523686-00602340029434</t>
        </is>
      </c>
      <c r="C482" s="131" t="inlineStr">
        <is>
          <t>0000000564228802</t>
        </is>
      </c>
      <c r="D482" s="131" t="n">
        <v>7169.87</v>
      </c>
      <c r="E482" s="131" t="n">
        <v>0</v>
      </c>
      <c r="F482" s="131" t="n">
        <v>11718.11</v>
      </c>
      <c r="G482" s="131" t="inlineStr">
        <is>
          <t>HDFC Securities</t>
        </is>
      </c>
      <c r="H482" s="131" t="inlineStr">
        <is>
          <t>HDFC 0094</t>
        </is>
      </c>
    </row>
    <row r="483">
      <c r="A483" s="130" t="n">
        <v>45555</v>
      </c>
      <c r="B483" s="131" t="inlineStr">
        <is>
          <t>NET PI TO HSL SEC A/C 523686-00602340029434</t>
        </is>
      </c>
      <c r="C483" s="131" t="inlineStr">
        <is>
          <t>0000000564557579</t>
        </is>
      </c>
      <c r="D483" s="131" t="n">
        <v>366.63</v>
      </c>
      <c r="E483" s="131" t="n">
        <v>0</v>
      </c>
      <c r="F483" s="131" t="n">
        <v>11351.48</v>
      </c>
      <c r="G483" s="131" t="inlineStr">
        <is>
          <t>HDFC Securities</t>
        </is>
      </c>
      <c r="H483" s="131" t="inlineStr">
        <is>
          <t>HDFC 0094</t>
        </is>
      </c>
    </row>
    <row r="484">
      <c r="A484" s="130" t="n">
        <v>45556</v>
      </c>
      <c r="B484" s="131" t="inlineStr">
        <is>
          <t>UPI/P2A/463116904245/BHARTI RATAN DEVNANI /tiffin/Union Bank of India</t>
        </is>
      </c>
      <c r="C484" s="131" t="inlineStr">
        <is>
          <t>-</t>
        </is>
      </c>
      <c r="D484" s="131" t="n">
        <v>310</v>
      </c>
      <c r="E484" s="131" t="n">
        <v>0</v>
      </c>
      <c r="F484" s="131" t="n">
        <v>225760.62</v>
      </c>
      <c r="G484" s="131" t="inlineStr">
        <is>
          <t>Personal</t>
        </is>
      </c>
      <c r="H484" s="131" t="inlineStr">
        <is>
          <t>AXIS 7042</t>
        </is>
      </c>
    </row>
    <row r="485">
      <c r="A485" s="130" t="n">
        <v>45557</v>
      </c>
      <c r="B485" s="131" t="inlineStr">
        <is>
          <t>UPI/P2M/463260761650/SHAS                 /Paymen/Yes Bank Ltd</t>
        </is>
      </c>
      <c r="C485" s="131" t="inlineStr">
        <is>
          <t>-</t>
        </is>
      </c>
      <c r="D485" s="131" t="n">
        <v>422</v>
      </c>
      <c r="E485" s="131" t="n">
        <v>0</v>
      </c>
      <c r="F485" s="131" t="n">
        <v>225338.62</v>
      </c>
      <c r="G485" s="131" t="inlineStr">
        <is>
          <t>Personal</t>
        </is>
      </c>
      <c r="H485" s="131" t="inlineStr">
        <is>
          <t>AXIS 7042</t>
        </is>
      </c>
    </row>
    <row r="486">
      <c r="A486" s="130" t="n">
        <v>45558</v>
      </c>
      <c r="B486" s="131" t="inlineStr">
        <is>
          <t>NET PI TO HSL SEC A/C 523686-00602340029434</t>
        </is>
      </c>
      <c r="C486" s="131" t="inlineStr">
        <is>
          <t>0000000565055253</t>
        </is>
      </c>
      <c r="D486" s="131" t="n">
        <v>1099.89</v>
      </c>
      <c r="E486" s="131" t="n">
        <v>0</v>
      </c>
      <c r="F486" s="131" t="n">
        <v>98999.37</v>
      </c>
      <c r="G486" s="131" t="inlineStr">
        <is>
          <t>HDFC Securities</t>
        </is>
      </c>
      <c r="H486" s="131" t="inlineStr">
        <is>
          <t>HDFC 0094</t>
        </is>
      </c>
    </row>
    <row r="487">
      <c r="A487" s="130" t="n">
        <v>45558</v>
      </c>
      <c r="B487" s="131" t="inlineStr">
        <is>
          <t>YHDF2442937528/BILLDKTHECALCUTTAELE</t>
        </is>
      </c>
      <c r="C487" s="131" t="inlineStr">
        <is>
          <t>0002426762566375</t>
        </is>
      </c>
      <c r="D487" s="131" t="n">
        <v>16728</v>
      </c>
      <c r="E487" s="131" t="n">
        <v>0</v>
      </c>
      <c r="F487" s="131" t="n">
        <v>82271.37</v>
      </c>
      <c r="G487" s="131" t="inlineStr">
        <is>
          <t>SIP</t>
        </is>
      </c>
      <c r="H487" s="131" t="inlineStr">
        <is>
          <t>HDFC 0094</t>
        </is>
      </c>
    </row>
    <row r="488">
      <c r="A488" s="130" t="n">
        <v>45558</v>
      </c>
      <c r="B488" s="131" t="inlineStr">
        <is>
          <t>NET PI TO HSL SEC A/C 523686-00602340029434</t>
        </is>
      </c>
      <c r="C488" s="131" t="inlineStr">
        <is>
          <t>0000000565232384</t>
        </is>
      </c>
      <c r="D488" s="131" t="n">
        <v>181.39</v>
      </c>
      <c r="E488" s="131" t="n">
        <v>0</v>
      </c>
      <c r="F488" s="131" t="n">
        <v>82089.98</v>
      </c>
      <c r="G488" s="131" t="inlineStr">
        <is>
          <t>HDFC Securities</t>
        </is>
      </c>
      <c r="H488" s="131" t="inlineStr">
        <is>
          <t>HDFC 0094</t>
        </is>
      </c>
    </row>
    <row r="489">
      <c r="A489" s="130" t="n">
        <v>45558</v>
      </c>
      <c r="B489" s="131" t="inlineStr">
        <is>
          <t>FT- 564856018-50200085415108 - HDFC SECURITIES LTD-CLIENT DSCNB A/C -</t>
        </is>
      </c>
      <c r="C489" s="131" t="inlineStr">
        <is>
          <t>0000000779555955</t>
        </is>
      </c>
      <c r="D489" s="131" t="n">
        <v>0</v>
      </c>
      <c r="E489" s="131" t="n">
        <v>88747.78</v>
      </c>
      <c r="F489" s="131" t="n">
        <v>100099.26</v>
      </c>
      <c r="G489" s="131" t="inlineStr">
        <is>
          <t>HDFC Securities</t>
        </is>
      </c>
      <c r="H489" s="131" t="inlineStr">
        <is>
          <t>HDFC 0094</t>
        </is>
      </c>
    </row>
    <row r="490">
      <c r="A490" s="130" t="n">
        <v>45559</v>
      </c>
      <c r="B490" s="131" t="inlineStr">
        <is>
          <t>UPI/P2M/463437357157/SANGITA RAJENDRA MUTH/dentis/Yes Bank Ltd</t>
        </is>
      </c>
      <c r="C490" s="131" t="inlineStr">
        <is>
          <t>-</t>
        </is>
      </c>
      <c r="D490" s="131" t="n">
        <v>500</v>
      </c>
      <c r="E490" s="131" t="n">
        <v>0</v>
      </c>
      <c r="F490" s="131" t="n">
        <v>224838.62</v>
      </c>
      <c r="G490" s="131" t="inlineStr">
        <is>
          <t>Personal</t>
        </is>
      </c>
      <c r="H490" s="131" t="inlineStr">
        <is>
          <t>AXIS 7042</t>
        </is>
      </c>
    </row>
    <row r="491">
      <c r="A491" s="130" t="n">
        <v>45559</v>
      </c>
      <c r="B491" s="131" t="inlineStr">
        <is>
          <t>NET PI TO HSL SEC A/C 523686-00602340029434</t>
        </is>
      </c>
      <c r="C491" s="131" t="inlineStr">
        <is>
          <t>0000000565543352</t>
        </is>
      </c>
      <c r="D491" s="131" t="n">
        <v>339.23</v>
      </c>
      <c r="E491" s="131" t="n">
        <v>0</v>
      </c>
      <c r="F491" s="131" t="n">
        <v>81750.75</v>
      </c>
      <c r="G491" s="131" t="inlineStr">
        <is>
          <t>HDFC Securities</t>
        </is>
      </c>
      <c r="H491" s="131" t="inlineStr">
        <is>
          <t>HDFC 0094</t>
        </is>
      </c>
    </row>
    <row r="492">
      <c r="A492" s="130" t="n">
        <v>45559</v>
      </c>
      <c r="B492" s="131" t="inlineStr">
        <is>
          <t>NET PI TO HSL SEC A/C 523686-00602340029434</t>
        </is>
      </c>
      <c r="C492" s="131" t="inlineStr">
        <is>
          <t>0000000565714330</t>
        </is>
      </c>
      <c r="D492" s="131" t="n">
        <v>71920.67999999999</v>
      </c>
      <c r="E492" s="131" t="n">
        <v>0</v>
      </c>
      <c r="F492" s="131" t="n">
        <v>9830.07</v>
      </c>
      <c r="G492" s="131" t="inlineStr">
        <is>
          <t>HDFC Securities</t>
        </is>
      </c>
      <c r="H492" s="131" t="inlineStr">
        <is>
          <t>HDFC 0094</t>
        </is>
      </c>
    </row>
    <row r="493">
      <c r="A493" s="130" t="n">
        <v>45560</v>
      </c>
      <c r="B493" s="131" t="inlineStr">
        <is>
          <t>FT- 565885294-50200085415108 - HDFC SECURITIES LTD-CLIENT DSCNB A/C -</t>
        </is>
      </c>
      <c r="C493" s="131" t="inlineStr">
        <is>
          <t>0000000782037940</t>
        </is>
      </c>
      <c r="D493" s="131" t="n">
        <v>0</v>
      </c>
      <c r="E493" s="131" t="n">
        <v>60928.57</v>
      </c>
      <c r="F493" s="131" t="n">
        <v>70758.64</v>
      </c>
      <c r="G493" s="131" t="inlineStr">
        <is>
          <t>HDFC Securities</t>
        </is>
      </c>
      <c r="H493" s="131" t="inlineStr">
        <is>
          <t>HDFC 0094</t>
        </is>
      </c>
    </row>
    <row r="494">
      <c r="A494" s="130" t="n">
        <v>45560</v>
      </c>
      <c r="B494" s="131" t="inlineStr">
        <is>
          <t>ACH D- INDIAN CLEARING CORP-P25847643X05</t>
        </is>
      </c>
      <c r="C494" s="131" t="inlineStr">
        <is>
          <t>0000008957347293</t>
        </is>
      </c>
      <c r="D494" s="131" t="n">
        <v>10000</v>
      </c>
      <c r="E494" s="131" t="n">
        <v>0</v>
      </c>
      <c r="F494" s="131" t="n">
        <v>60758.64</v>
      </c>
      <c r="G494" s="131" t="inlineStr">
        <is>
          <t>Mutual_Fund_Investments</t>
        </is>
      </c>
      <c r="H494" s="131" t="inlineStr">
        <is>
          <t>HDFC 0094</t>
        </is>
      </c>
    </row>
    <row r="495">
      <c r="A495" s="130" t="n">
        <v>45560</v>
      </c>
      <c r="B495" s="131" t="inlineStr">
        <is>
          <t>NET PI TO HSL SEC A/C 523686-00602340029434</t>
        </is>
      </c>
      <c r="C495" s="131" t="inlineStr">
        <is>
          <t>0000000565990106</t>
        </is>
      </c>
      <c r="D495" s="131" t="n">
        <v>313.62</v>
      </c>
      <c r="E495" s="131" t="n">
        <v>0</v>
      </c>
      <c r="F495" s="131" t="n">
        <v>60445.02</v>
      </c>
      <c r="G495" s="131" t="inlineStr">
        <is>
          <t>HDFC Securities</t>
        </is>
      </c>
      <c r="H495" s="131" t="inlineStr">
        <is>
          <t>HDFC 0094</t>
        </is>
      </c>
    </row>
    <row r="496">
      <c r="A496" s="130" t="n">
        <v>45560</v>
      </c>
      <c r="B496" s="131" t="inlineStr">
        <is>
          <t>ATW-498792XXXXXX0500-S1ANMN04-NASHIK</t>
        </is>
      </c>
      <c r="C496" s="131" t="inlineStr">
        <is>
          <t>0000000000005540</t>
        </is>
      </c>
      <c r="D496" s="131" t="n">
        <v>10000</v>
      </c>
      <c r="E496" s="131" t="n">
        <v>0</v>
      </c>
      <c r="F496" s="131" t="n">
        <v>50445.02</v>
      </c>
      <c r="G496" s="131" t="inlineStr">
        <is>
          <t>Cash</t>
        </is>
      </c>
      <c r="H496" s="131" t="inlineStr">
        <is>
          <t>HDFC 0094</t>
        </is>
      </c>
    </row>
    <row r="497">
      <c r="A497" s="130" t="n">
        <v>45560</v>
      </c>
      <c r="B497" s="131" t="inlineStr">
        <is>
          <t xml:space="preserve">   CREDIT INTEREST---</t>
        </is>
      </c>
      <c r="C497" s="131" t="n">
        <v/>
      </c>
      <c r="D497" s="131" t="n">
        <v>0</v>
      </c>
      <c r="E497" s="131" t="n">
        <v>152</v>
      </c>
      <c r="F497" s="131" t="n">
        <v>22205.7</v>
      </c>
      <c r="G497" s="131" t="inlineStr">
        <is>
          <t>Bank Interest</t>
        </is>
      </c>
      <c r="H497" s="131" t="inlineStr">
        <is>
          <t>SBI 7685</t>
        </is>
      </c>
    </row>
    <row r="498">
      <c r="A498" s="130" t="n">
        <v>45561</v>
      </c>
      <c r="B498" s="131" t="inlineStr">
        <is>
          <t>NET PI TO HSL SEC A/C 523686-00602340029434</t>
        </is>
      </c>
      <c r="C498" s="131" t="inlineStr">
        <is>
          <t>0000000566467505</t>
        </is>
      </c>
      <c r="D498" s="131" t="n">
        <v>313.62</v>
      </c>
      <c r="E498" s="131" t="n">
        <v>0</v>
      </c>
      <c r="F498" s="131" t="n">
        <v>182823.04</v>
      </c>
      <c r="G498" s="131" t="inlineStr">
        <is>
          <t>HDFC Securities</t>
        </is>
      </c>
      <c r="H498" s="131" t="inlineStr">
        <is>
          <t>HDFC 0094</t>
        </is>
      </c>
    </row>
    <row r="499">
      <c r="A499" s="130" t="n">
        <v>45561</v>
      </c>
      <c r="B499" s="131" t="inlineStr">
        <is>
          <t>NEFT CR-SBIN0004266-SBI GENERAL INSURANCE CO LTDSBI GEN-SUNITA GUPTA 0000000002717756-SBIN324270219069</t>
        </is>
      </c>
      <c r="C499" s="131" t="inlineStr">
        <is>
          <t>SBIN324270219069</t>
        </is>
      </c>
      <c r="D499" s="131" t="n">
        <v>0</v>
      </c>
      <c r="E499" s="131" t="n">
        <v>2380</v>
      </c>
      <c r="F499" s="131" t="n">
        <v>185203.04</v>
      </c>
      <c r="G499" s="131" t="inlineStr">
        <is>
          <t>Sunita Gupta</t>
        </is>
      </c>
      <c r="H499" s="131" t="inlineStr">
        <is>
          <t>HDFC 0094</t>
        </is>
      </c>
    </row>
    <row r="500">
      <c r="A500" s="130" t="n">
        <v>45561</v>
      </c>
      <c r="B500" s="131" t="inlineStr">
        <is>
          <t>NET PO FROM HSL A/C 523686-50200085415108</t>
        </is>
      </c>
      <c r="C500" s="131" t="inlineStr">
        <is>
          <t>0000000566338714</t>
        </is>
      </c>
      <c r="D500" s="131" t="n">
        <v>0</v>
      </c>
      <c r="E500" s="131" t="n">
        <v>132691.64</v>
      </c>
      <c r="F500" s="131" t="n">
        <v>183136.66</v>
      </c>
      <c r="G500" s="131" t="inlineStr">
        <is>
          <t>HDFC Securities</t>
        </is>
      </c>
      <c r="H500" s="131" t="inlineStr">
        <is>
          <t>HDFC 0094</t>
        </is>
      </c>
    </row>
    <row r="501">
      <c r="A501" s="130" t="n">
        <v>45562</v>
      </c>
      <c r="B501" s="131" t="inlineStr">
        <is>
          <t>NEFT CR-SBIN0004266-SBI GENERAL INSURANCE CO LTDSBI GEN-SUNITA GUPTA 0000000002717756-SBIN424271842614</t>
        </is>
      </c>
      <c r="C501" s="131" t="inlineStr">
        <is>
          <t>SBIN424271842614</t>
        </is>
      </c>
      <c r="D501" s="131" t="n">
        <v>0</v>
      </c>
      <c r="E501" s="131" t="n">
        <v>16728</v>
      </c>
      <c r="F501" s="131" t="n">
        <v>154599.16</v>
      </c>
      <c r="G501" s="131" t="inlineStr">
        <is>
          <t>Sunita Gupta</t>
        </is>
      </c>
      <c r="H501" s="131" t="inlineStr">
        <is>
          <t>HDFC 0094</t>
        </is>
      </c>
    </row>
    <row r="502">
      <c r="A502" s="130" t="n">
        <v>45562</v>
      </c>
      <c r="B502" s="131" t="inlineStr">
        <is>
          <t>50100542230922-TPT-FOR EXPENSES TRN TO ARCHIT-ARCHIT GUPTA</t>
        </is>
      </c>
      <c r="C502" s="131" t="inlineStr">
        <is>
          <t>0000000503500292</t>
        </is>
      </c>
      <c r="D502" s="131" t="n">
        <v>50000</v>
      </c>
      <c r="E502" s="131" t="n">
        <v>0</v>
      </c>
      <c r="F502" s="131" t="n">
        <v>137871.16</v>
      </c>
      <c r="G502" s="131" t="inlineStr">
        <is>
          <t>Archit Gupta</t>
        </is>
      </c>
      <c r="H502" s="131" t="inlineStr">
        <is>
          <t>HDFC 0094</t>
        </is>
      </c>
    </row>
    <row r="503">
      <c r="A503" s="130" t="n">
        <v>45562</v>
      </c>
      <c r="B503" s="131" t="inlineStr">
        <is>
          <t>NET PI TO HSL SEC A/C 523686-00602340029434</t>
        </is>
      </c>
      <c r="C503" s="131" t="inlineStr">
        <is>
          <t>0000000566936909</t>
        </is>
      </c>
      <c r="D503" s="131" t="n">
        <v>316.1</v>
      </c>
      <c r="E503" s="131" t="n">
        <v>0</v>
      </c>
      <c r="F503" s="131" t="n">
        <v>187871.16</v>
      </c>
      <c r="G503" s="131" t="inlineStr">
        <is>
          <t>HDFC Securities</t>
        </is>
      </c>
      <c r="H503" s="131" t="inlineStr">
        <is>
          <t>HDFC 0094</t>
        </is>
      </c>
    </row>
    <row r="504">
      <c r="A504" s="130" t="n">
        <v>45562</v>
      </c>
      <c r="B504" s="131" t="inlineStr">
        <is>
          <t>FT- 566781852-50200085415108 - HDFC SECURITIES LTD-CLIENT DSCNB A/C -</t>
        </is>
      </c>
      <c r="C504" s="131" t="inlineStr">
        <is>
          <t>0000000784623671</t>
        </is>
      </c>
      <c r="D504" s="131" t="n">
        <v>0</v>
      </c>
      <c r="E504" s="131" t="n">
        <v>2984.22</v>
      </c>
      <c r="F504" s="131" t="n">
        <v>188187.26</v>
      </c>
      <c r="G504" s="131" t="inlineStr">
        <is>
          <t>HDFC Securities</t>
        </is>
      </c>
      <c r="H504" s="131" t="inlineStr">
        <is>
          <t>HDFC 0094</t>
        </is>
      </c>
    </row>
    <row r="505">
      <c r="A505" s="130" t="n">
        <v>45562</v>
      </c>
      <c r="B505" s="131" t="inlineStr">
        <is>
          <t>ACH-CR-USL FIN DIV 23 24-NACH-23827-23827</t>
        </is>
      </c>
      <c r="C505" s="131" t="inlineStr">
        <is>
          <t>-</t>
        </is>
      </c>
      <c r="D505" s="131" t="n">
        <v>0</v>
      </c>
      <c r="E505" s="131" t="n">
        <v>250</v>
      </c>
      <c r="F505" s="131" t="n">
        <v>225088.62</v>
      </c>
      <c r="G505" s="131" t="inlineStr">
        <is>
          <t>Dividend Income</t>
        </is>
      </c>
      <c r="H505" s="131" t="inlineStr">
        <is>
          <t>AXIS 7042</t>
        </is>
      </c>
    </row>
    <row r="506">
      <c r="A506" s="130" t="n">
        <v>45563</v>
      </c>
      <c r="B506" s="131" t="inlineStr">
        <is>
          <t>UPI/P2M/463877794818/SANGITA RAJENDRA MUTH/dentis/Yes Bank Ltd</t>
        </is>
      </c>
      <c r="C506" s="131" t="inlineStr">
        <is>
          <t>-</t>
        </is>
      </c>
      <c r="D506" s="131" t="n">
        <v>1700</v>
      </c>
      <c r="E506" s="131" t="n">
        <v>0</v>
      </c>
      <c r="F506" s="131" t="n">
        <v>223388.62</v>
      </c>
      <c r="G506" s="131" t="inlineStr">
        <is>
          <t>Personal</t>
        </is>
      </c>
      <c r="H506" s="131" t="inlineStr">
        <is>
          <t>AXIS 7042</t>
        </is>
      </c>
    </row>
    <row r="507">
      <c r="A507" s="130" t="n">
        <v>45563</v>
      </c>
      <c r="B507" s="131" t="inlineStr">
        <is>
          <t>ATM-CASH/SBI SHIVAJI NAGAR/NASHIK/280924</t>
        </is>
      </c>
      <c r="C507" s="131" t="inlineStr">
        <is>
          <t>-</t>
        </is>
      </c>
      <c r="D507" s="131" t="n">
        <v>10000</v>
      </c>
      <c r="E507" s="131" t="n">
        <v>0</v>
      </c>
      <c r="F507" s="131" t="n">
        <v>213388.62</v>
      </c>
      <c r="G507" s="131" t="inlineStr">
        <is>
          <t>Cash</t>
        </is>
      </c>
      <c r="H507" s="131" t="inlineStr">
        <is>
          <t>AXIS 7042</t>
        </is>
      </c>
    </row>
    <row r="508">
      <c r="A508" s="130" t="n">
        <v>45565</v>
      </c>
      <c r="B508" s="131" t="inlineStr">
        <is>
          <t>NET PI TO HSL SEC A/C 523686-00602340029434</t>
        </is>
      </c>
      <c r="C508" s="131" t="inlineStr">
        <is>
          <t>0000000567395837</t>
        </is>
      </c>
      <c r="D508" s="131" t="n">
        <v>951.48</v>
      </c>
      <c r="E508" s="131" t="n">
        <v>0</v>
      </c>
      <c r="F508" s="131" t="n">
        <v>159596.45</v>
      </c>
      <c r="G508" s="131" t="inlineStr">
        <is>
          <t>HDFC Securities</t>
        </is>
      </c>
      <c r="H508" s="131" t="inlineStr">
        <is>
          <t>HDFC 0094</t>
        </is>
      </c>
    </row>
    <row r="509">
      <c r="A509" s="130" t="n">
        <v>45565</v>
      </c>
      <c r="B509" s="131" t="inlineStr">
        <is>
          <t>FT- 567225434-50200085415108 - HDFC SECURITIES LTD-CLIENT DSCNB A/C -</t>
        </is>
      </c>
      <c r="C509" s="131" t="inlineStr">
        <is>
          <t>0000000786722540</t>
        </is>
      </c>
      <c r="D509" s="131" t="n">
        <v>0</v>
      </c>
      <c r="E509" s="131" t="n">
        <v>5948.77</v>
      </c>
      <c r="F509" s="131" t="n">
        <v>160547.93</v>
      </c>
      <c r="G509" s="131" t="inlineStr">
        <is>
          <t>HDFC Securities</t>
        </is>
      </c>
      <c r="H509" s="131" t="inlineStr">
        <is>
          <t>HDFC 0094</t>
        </is>
      </c>
    </row>
    <row r="510">
      <c r="A510" s="130" t="n">
        <v>45565</v>
      </c>
      <c r="B510" s="131" t="inlineStr">
        <is>
          <t>NEFT CR-UTIB0002656-SUNITA GUPTA-SUNITA GUPTA-AXOIR27490761713</t>
        </is>
      </c>
      <c r="C510" s="131" t="inlineStr">
        <is>
          <t>AXOIR27490761713</t>
        </is>
      </c>
      <c r="D510" s="131" t="n">
        <v>0</v>
      </c>
      <c r="E510" s="131" t="n">
        <v>100000</v>
      </c>
      <c r="F510" s="131" t="n">
        <v>259681.02</v>
      </c>
      <c r="G510" s="131" t="inlineStr">
        <is>
          <t>Sunita Gupta</t>
        </is>
      </c>
      <c r="H510" s="131" t="inlineStr">
        <is>
          <t>HDFC 0094</t>
        </is>
      </c>
    </row>
    <row r="511">
      <c r="A511" s="130" t="n">
        <v>45565</v>
      </c>
      <c r="B511" s="131" t="inlineStr">
        <is>
          <t>NEFT CR-UTIB0000004-AXIS MUTUAL FUND DIVIDEND A/C-SUNITA GUPTA-AXISCN0759989851</t>
        </is>
      </c>
      <c r="C511" s="131" t="inlineStr">
        <is>
          <t>AXISCN0759989851</t>
        </is>
      </c>
      <c r="D511" s="131" t="n">
        <v>0</v>
      </c>
      <c r="E511" s="131" t="n">
        <v>84.56999999999999</v>
      </c>
      <c r="F511" s="131" t="n">
        <v>159681.02</v>
      </c>
      <c r="G511" s="131" t="inlineStr">
        <is>
          <t>Dividend Income</t>
        </is>
      </c>
      <c r="H511" s="131" t="inlineStr">
        <is>
          <t>HDFC 0094</t>
        </is>
      </c>
    </row>
    <row r="512">
      <c r="A512" s="130" t="n">
        <v>45565</v>
      </c>
      <c r="B512" s="131" t="inlineStr">
        <is>
          <t>NET PI TO HSL SEC A/C 523686-00602340029434</t>
        </is>
      </c>
      <c r="C512" s="131" t="inlineStr">
        <is>
          <t>0000000567605473</t>
        </is>
      </c>
      <c r="D512" s="131" t="n">
        <v>100829.95</v>
      </c>
      <c r="E512" s="131" t="n">
        <v>0</v>
      </c>
      <c r="F512" s="131" t="n">
        <v>158851.07</v>
      </c>
      <c r="G512" s="131" t="inlineStr">
        <is>
          <t>HDFC Securities</t>
        </is>
      </c>
      <c r="H512" s="131" t="inlineStr">
        <is>
          <t>HDFC 0094</t>
        </is>
      </c>
    </row>
    <row r="513">
      <c r="A513" s="130" t="n">
        <v>45565</v>
      </c>
      <c r="B513" s="131" t="inlineStr">
        <is>
          <t>NEFT/IR/AXOIR27490761713/Sunita Gupta/HDFC BANK/Transfer from Sunita Axis Ban</t>
        </is>
      </c>
      <c r="C513" s="131" t="inlineStr">
        <is>
          <t>-</t>
        </is>
      </c>
      <c r="D513" s="131" t="n">
        <v>100000</v>
      </c>
      <c r="E513" s="131" t="n">
        <v>0</v>
      </c>
      <c r="F513" s="131" t="n">
        <v>113388.62</v>
      </c>
      <c r="G513" s="131" t="inlineStr">
        <is>
          <t>Sunita Gupta</t>
        </is>
      </c>
      <c r="H513" s="131" t="inlineStr">
        <is>
          <t>AXIS 7042</t>
        </is>
      </c>
    </row>
    <row r="514">
      <c r="A514" s="130" t="n">
        <v>45566</v>
      </c>
      <c r="B514" s="131" t="inlineStr">
        <is>
          <t>SB:919010088767042:Int.Pd:01-07-2024 to 30-09-2024</t>
        </is>
      </c>
      <c r="C514" s="131" t="inlineStr">
        <is>
          <t>-</t>
        </is>
      </c>
      <c r="D514" s="131" t="n">
        <v>0</v>
      </c>
      <c r="E514" s="131" t="n">
        <v>881</v>
      </c>
      <c r="F514" s="131" t="n">
        <v>114269.62</v>
      </c>
      <c r="G514" s="131" t="inlineStr">
        <is>
          <t>Bank Interest</t>
        </is>
      </c>
      <c r="H514" s="131" t="inlineStr">
        <is>
          <t>AXIS 7042</t>
        </is>
      </c>
    </row>
    <row r="515">
      <c r="A515" s="130" t="n">
        <v>45566</v>
      </c>
      <c r="B515" s="131" t="inlineStr">
        <is>
          <t>INTEREST PAID TILL 30-SEP-2024</t>
        </is>
      </c>
      <c r="C515" s="131" t="inlineStr">
        <is>
          <t>000000000000000</t>
        </is>
      </c>
      <c r="D515" s="131" t="n">
        <v>0</v>
      </c>
      <c r="E515" s="131" t="n">
        <v>742</v>
      </c>
      <c r="F515" s="131" t="n">
        <v>159593.07</v>
      </c>
      <c r="G515" s="131" t="inlineStr">
        <is>
          <t>Bank Interest</t>
        </is>
      </c>
      <c r="H515" s="131" t="inlineStr">
        <is>
          <t>HDFC 0094</t>
        </is>
      </c>
    </row>
    <row r="516">
      <c r="A516" s="130" t="n">
        <v>45566</v>
      </c>
      <c r="B516" s="131" t="inlineStr">
        <is>
          <t>NET PI TO HSL SEC A/C 523686-00602340029434</t>
        </is>
      </c>
      <c r="C516" s="131" t="inlineStr">
        <is>
          <t>0000000567937491</t>
        </is>
      </c>
      <c r="D516" s="131" t="n">
        <v>281.95</v>
      </c>
      <c r="E516" s="131" t="n">
        <v>0</v>
      </c>
      <c r="F516" s="131" t="n">
        <v>159311.12</v>
      </c>
      <c r="G516" s="131" t="inlineStr">
        <is>
          <t>HDFC Securities</t>
        </is>
      </c>
      <c r="H516" s="131" t="inlineStr">
        <is>
          <t>HDFC 0094</t>
        </is>
      </c>
    </row>
    <row r="517">
      <c r="A517" s="130" t="n">
        <v>45566</v>
      </c>
      <c r="B517" s="131" t="inlineStr">
        <is>
          <t>01671000085930-TPT-MONEY RETURNED FROM SUNITA TO AJAY-AJAY KUMAR GUPTA</t>
        </is>
      </c>
      <c r="C517" s="131" t="inlineStr">
        <is>
          <t>0000000229921584</t>
        </is>
      </c>
      <c r="D517" s="131" t="n">
        <v>150000</v>
      </c>
      <c r="E517" s="131" t="n">
        <v>0</v>
      </c>
      <c r="F517" s="131" t="n">
        <v>9311.120000000001</v>
      </c>
      <c r="G517" s="131" t="inlineStr">
        <is>
          <t>Sunita Gupta</t>
        </is>
      </c>
      <c r="H517" s="131" t="inlineStr">
        <is>
          <t>HDFC 0094</t>
        </is>
      </c>
    </row>
    <row r="518">
      <c r="A518" s="130" t="n">
        <v>45567</v>
      </c>
      <c r="B518" s="131" t="inlineStr">
        <is>
          <t>50100542230922-TPT-LOAN MONEY RETURN-ARCHIT GUPTA</t>
        </is>
      </c>
      <c r="C518" s="131" t="inlineStr">
        <is>
          <t>0000000121755254</t>
        </is>
      </c>
      <c r="D518" s="131" t="n">
        <v>0</v>
      </c>
      <c r="E518" s="131" t="n">
        <v>50000</v>
      </c>
      <c r="F518" s="131" t="n">
        <v>59311.12</v>
      </c>
      <c r="G518" s="131" t="inlineStr">
        <is>
          <t>Archit Gupta</t>
        </is>
      </c>
      <c r="H518" s="131" t="inlineStr">
        <is>
          <t>HDFC 0094</t>
        </is>
      </c>
    </row>
    <row r="519">
      <c r="A519" s="130" t="n">
        <v>45568</v>
      </c>
      <c r="B519" s="131" t="inlineStr">
        <is>
          <t>NEFT/YESF342771615268/ZERODHA BROKING LTD-DSCNB A//YES BANK/9e2d83f3e8 Zerodha payout</t>
        </is>
      </c>
      <c r="C519" s="131" t="inlineStr">
        <is>
          <t>-</t>
        </is>
      </c>
      <c r="D519" s="131" t="n">
        <v>0</v>
      </c>
      <c r="E519" s="131" t="n">
        <v>39310.75</v>
      </c>
      <c r="F519" s="131" t="n">
        <v>153580.37</v>
      </c>
      <c r="G519" s="131" t="inlineStr">
        <is>
          <t>Transfer</t>
        </is>
      </c>
      <c r="H519" s="131" t="inlineStr">
        <is>
          <t>AXIS 7042</t>
        </is>
      </c>
    </row>
    <row r="520">
      <c r="A520" s="130" t="n">
        <v>45568</v>
      </c>
      <c r="B520" s="131" t="inlineStr">
        <is>
          <t>FT- 568257882-50200085415108 - HDFC SECURITIES LTD-CLIENT DSCNB A/C -</t>
        </is>
      </c>
      <c r="C520" s="131" t="inlineStr">
        <is>
          <t>0000000790801592</t>
        </is>
      </c>
      <c r="D520" s="131" t="n">
        <v>0</v>
      </c>
      <c r="E520" s="131" t="n">
        <v>3562.65</v>
      </c>
      <c r="F520" s="131" t="n">
        <v>62873.77</v>
      </c>
      <c r="G520" s="131" t="inlineStr">
        <is>
          <t>HDFC Securities</t>
        </is>
      </c>
      <c r="H520" s="131" t="inlineStr">
        <is>
          <t>HDFC 0094</t>
        </is>
      </c>
    </row>
    <row r="521">
      <c r="A521" s="130" t="n">
        <v>45568</v>
      </c>
      <c r="B521" s="131" t="inlineStr">
        <is>
          <t>FT- 568289447-50200085415108 - HDFC SECURITIES LTD-CLIENT DSCNB A/C -</t>
        </is>
      </c>
      <c r="C521" s="131" t="inlineStr">
        <is>
          <t>0000000790823382</t>
        </is>
      </c>
      <c r="D521" s="131" t="n">
        <v>0</v>
      </c>
      <c r="E521" s="131" t="n">
        <v>14704.96</v>
      </c>
      <c r="F521" s="131" t="n">
        <v>77578.73</v>
      </c>
      <c r="G521" s="131" t="inlineStr">
        <is>
          <t>HDFC Securities</t>
        </is>
      </c>
      <c r="H521" s="131" t="inlineStr">
        <is>
          <t>HDFC 0094</t>
        </is>
      </c>
    </row>
    <row r="522">
      <c r="A522" s="130" t="n">
        <v>45568</v>
      </c>
      <c r="B522" s="131" t="inlineStr">
        <is>
          <t>NET PI TO HSL SEC A/C 523686-00602340029434</t>
        </is>
      </c>
      <c r="C522" s="131" t="inlineStr">
        <is>
          <t>0000000568441513</t>
        </is>
      </c>
      <c r="D522" s="131" t="n">
        <v>732.04</v>
      </c>
      <c r="E522" s="131" t="n">
        <v>0</v>
      </c>
      <c r="F522" s="131" t="n">
        <v>76846.69</v>
      </c>
      <c r="G522" s="131" t="inlineStr">
        <is>
          <t>HDFC Securities</t>
        </is>
      </c>
      <c r="H522" s="131" t="inlineStr">
        <is>
          <t>HDFC 0094</t>
        </is>
      </c>
    </row>
    <row r="523">
      <c r="A523" s="130" t="n">
        <v>45569</v>
      </c>
      <c r="B523" s="131" t="inlineStr">
        <is>
          <t>NET PI TO HSL SEC A/C 523686-00602340029434</t>
        </is>
      </c>
      <c r="C523" s="131" t="inlineStr">
        <is>
          <t>0000000568661478</t>
        </is>
      </c>
      <c r="D523" s="131" t="n">
        <v>40533.45</v>
      </c>
      <c r="E523" s="131" t="n">
        <v>0</v>
      </c>
      <c r="F523" s="131" t="n">
        <v>36313.24</v>
      </c>
      <c r="G523" s="131" t="inlineStr">
        <is>
          <t>HDFC Securities</t>
        </is>
      </c>
      <c r="H523" s="131" t="inlineStr">
        <is>
          <t>HDFC 0094</t>
        </is>
      </c>
    </row>
    <row r="524">
      <c r="A524" s="130" t="n">
        <v>45569</v>
      </c>
      <c r="B524" s="131" t="inlineStr">
        <is>
          <t>NET PI TO HSL SEC A/C 523686-00602340029434</t>
        </is>
      </c>
      <c r="C524" s="131" t="inlineStr">
        <is>
          <t>0000000568963793</t>
        </is>
      </c>
      <c r="D524" s="131" t="n">
        <v>352.85</v>
      </c>
      <c r="E524" s="131" t="n">
        <v>0</v>
      </c>
      <c r="F524" s="131" t="n">
        <v>35960.39</v>
      </c>
      <c r="G524" s="131" t="inlineStr">
        <is>
          <t>HDFC Securities</t>
        </is>
      </c>
      <c r="H524" s="131" t="inlineStr">
        <is>
          <t>HDFC 0094</t>
        </is>
      </c>
    </row>
    <row r="525">
      <c r="A525" s="130" t="n">
        <v>45569</v>
      </c>
      <c r="B525" s="131" t="inlineStr">
        <is>
          <t>NET PI TO HSL SEC A/C 523686-00602340029434</t>
        </is>
      </c>
      <c r="C525" s="131" t="inlineStr">
        <is>
          <t>0000000569184822</t>
        </is>
      </c>
      <c r="D525" s="131" t="n">
        <v>6291.03</v>
      </c>
      <c r="E525" s="131" t="n">
        <v>0</v>
      </c>
      <c r="F525" s="131" t="n">
        <v>29669.36</v>
      </c>
      <c r="G525" s="131" t="inlineStr">
        <is>
          <t>HDFC Securities</t>
        </is>
      </c>
      <c r="H525" s="131" t="inlineStr">
        <is>
          <t>HDFC 0094</t>
        </is>
      </c>
    </row>
    <row r="526">
      <c r="A526" s="130" t="n">
        <v>45572</v>
      </c>
      <c r="B526" s="131" t="inlineStr">
        <is>
          <t>NET PI TO HSL SEC A/C 523686-00602340029434</t>
        </is>
      </c>
      <c r="C526" s="131" t="inlineStr">
        <is>
          <t>0000000569606660</t>
        </is>
      </c>
      <c r="D526" s="131" t="n">
        <v>678.4</v>
      </c>
      <c r="E526" s="131" t="n">
        <v>0</v>
      </c>
      <c r="F526" s="131" t="n">
        <v>28990.96</v>
      </c>
      <c r="G526" s="131" t="inlineStr">
        <is>
          <t>HDFC Securities</t>
        </is>
      </c>
      <c r="H526" s="131" t="inlineStr">
        <is>
          <t>HDFC 0094</t>
        </is>
      </c>
    </row>
    <row r="527">
      <c r="A527" s="130" t="n">
        <v>45572</v>
      </c>
      <c r="B527" s="131" t="inlineStr">
        <is>
          <t>ACH C- ALU FINAL 2023 2024-11514</t>
        </is>
      </c>
      <c r="C527" s="131" t="inlineStr">
        <is>
          <t>0000009718130123</t>
        </is>
      </c>
      <c r="D527" s="131" t="n">
        <v>0</v>
      </c>
      <c r="E527" s="131" t="n">
        <v>25</v>
      </c>
      <c r="F527" s="131" t="n">
        <v>29015.96</v>
      </c>
      <c r="G527" s="131" t="inlineStr">
        <is>
          <t>Dividend Income</t>
        </is>
      </c>
      <c r="H527" s="131" t="inlineStr">
        <is>
          <t>HDFC 0094</t>
        </is>
      </c>
    </row>
    <row r="528">
      <c r="A528" s="130" t="n">
        <v>45572</v>
      </c>
      <c r="B528" s="131" t="inlineStr">
        <is>
          <t>NET PI TO HSL SEC A/C 523686-00602340029434</t>
        </is>
      </c>
      <c r="C528" s="131" t="inlineStr">
        <is>
          <t>0000000569769624</t>
        </is>
      </c>
      <c r="D528" s="131" t="n">
        <v>431.33</v>
      </c>
      <c r="E528" s="131" t="n">
        <v>0</v>
      </c>
      <c r="F528" s="131" t="n">
        <v>28584.63</v>
      </c>
      <c r="G528" s="131" t="inlineStr">
        <is>
          <t>HDFC Securities</t>
        </is>
      </c>
      <c r="H528" s="131" t="inlineStr">
        <is>
          <t>HDFC 0094</t>
        </is>
      </c>
    </row>
    <row r="529">
      <c r="A529" s="130" t="n">
        <v>45572</v>
      </c>
      <c r="B529" s="131" t="inlineStr">
        <is>
          <t>NET PI TO HSL SEC A/C 523686-00602340029434</t>
        </is>
      </c>
      <c r="C529" s="131" t="inlineStr">
        <is>
          <t>0000000569875031</t>
        </is>
      </c>
      <c r="D529" s="131" t="n">
        <v>15433.41</v>
      </c>
      <c r="E529" s="131" t="n">
        <v>0</v>
      </c>
      <c r="F529" s="131" t="n">
        <v>13151.22</v>
      </c>
      <c r="G529" s="131" t="inlineStr">
        <is>
          <t>HDFC Securities</t>
        </is>
      </c>
      <c r="H529" s="131" t="inlineStr">
        <is>
          <t>HDFC 0094</t>
        </is>
      </c>
    </row>
    <row r="530">
      <c r="A530" s="130" t="n">
        <v>45573</v>
      </c>
      <c r="B530" s="131" t="inlineStr">
        <is>
          <t>FT- 570053472-50200085415108 - HDFC SECURITIES LTD-CLIENT DSCNB A/C -</t>
        </is>
      </c>
      <c r="C530" s="131" t="inlineStr">
        <is>
          <t>0000000798598517</t>
        </is>
      </c>
      <c r="D530" s="131" t="n">
        <v>0</v>
      </c>
      <c r="E530" s="131" t="n">
        <v>431.33</v>
      </c>
      <c r="F530" s="131" t="n">
        <v>13582.55</v>
      </c>
      <c r="G530" s="131" t="inlineStr">
        <is>
          <t>HDFC Securities</t>
        </is>
      </c>
      <c r="H530" s="131" t="inlineStr">
        <is>
          <t>HDFC 0094</t>
        </is>
      </c>
    </row>
    <row r="531">
      <c r="A531" s="130" t="n">
        <v>45573</v>
      </c>
      <c r="B531" s="131" t="inlineStr">
        <is>
          <t>NET PI TO HSL SEC A/C 523686-00602340029434</t>
        </is>
      </c>
      <c r="C531" s="131" t="inlineStr">
        <is>
          <t>0000000570156139</t>
        </is>
      </c>
      <c r="D531" s="131" t="n">
        <v>364.57</v>
      </c>
      <c r="E531" s="131" t="n">
        <v>0</v>
      </c>
      <c r="F531" s="131" t="n">
        <v>13217.98</v>
      </c>
      <c r="G531" s="131" t="inlineStr">
        <is>
          <t>HDFC Securities</t>
        </is>
      </c>
      <c r="H531" s="131" t="inlineStr">
        <is>
          <t>HDFC 0094</t>
        </is>
      </c>
    </row>
    <row r="532">
      <c r="A532" s="130" t="n">
        <v>45573</v>
      </c>
      <c r="B532" s="131" t="inlineStr">
        <is>
          <t>ACH C- MCX OF INDIA LTD-3645726</t>
        </is>
      </c>
      <c r="C532" s="131" t="inlineStr">
        <is>
          <t>0000009866322545</t>
        </is>
      </c>
      <c r="D532" s="131" t="n">
        <v>0</v>
      </c>
      <c r="E532" s="131" t="n">
        <v>191</v>
      </c>
      <c r="F532" s="131" t="n">
        <v>13408.98</v>
      </c>
      <c r="G532" s="131" t="inlineStr">
        <is>
          <t>Dividend Income</t>
        </is>
      </c>
      <c r="H532" s="131" t="inlineStr">
        <is>
          <t>HDFC 0094</t>
        </is>
      </c>
    </row>
    <row r="533">
      <c r="A533" s="130" t="n">
        <v>45574</v>
      </c>
      <c r="B533" s="131" t="inlineStr">
        <is>
          <t>NET PI TO HSL SEC A/C 523686-00602340029434</t>
        </is>
      </c>
      <c r="C533" s="131" t="inlineStr">
        <is>
          <t>0000000570587516</t>
        </is>
      </c>
      <c r="D533" s="131" t="n">
        <v>364.57</v>
      </c>
      <c r="E533" s="131" t="n">
        <v>0</v>
      </c>
      <c r="F533" s="131" t="n">
        <v>18008.69</v>
      </c>
      <c r="G533" s="131" t="inlineStr">
        <is>
          <t>HDFC Securities</t>
        </is>
      </c>
      <c r="H533" s="131" t="inlineStr">
        <is>
          <t>HDFC 0094</t>
        </is>
      </c>
    </row>
    <row r="534">
      <c r="A534" s="130" t="n">
        <v>45574</v>
      </c>
      <c r="B534" s="131" t="inlineStr">
        <is>
          <t>FT- 570463394-50200085415108 - HDFC SECURITIES LTD-CLIENT DSCNB A/C -</t>
        </is>
      </c>
      <c r="C534" s="131" t="inlineStr">
        <is>
          <t>0000000800336512</t>
        </is>
      </c>
      <c r="D534" s="131" t="n">
        <v>0</v>
      </c>
      <c r="E534" s="131" t="n">
        <v>4964.28</v>
      </c>
      <c r="F534" s="131" t="n">
        <v>18373.26</v>
      </c>
      <c r="G534" s="131" t="inlineStr">
        <is>
          <t>HDFC Securities</t>
        </is>
      </c>
      <c r="H534" s="131" t="inlineStr">
        <is>
          <t>HDFC 0094</t>
        </is>
      </c>
    </row>
    <row r="535">
      <c r="A535" s="130" t="n">
        <v>45575</v>
      </c>
      <c r="B535" s="131" t="inlineStr">
        <is>
          <t>NEFT CR-SBIN0004266-SBI GENERAL INSURANCE CO LTDSBI GEN-SUNITA GUPTA 0000000002717756-SBIN424284032197</t>
        </is>
      </c>
      <c r="C535" s="131" t="inlineStr">
        <is>
          <t>SBIN424284032197</t>
        </is>
      </c>
      <c r="D535" s="131" t="n">
        <v>0</v>
      </c>
      <c r="E535" s="131" t="n">
        <v>34220</v>
      </c>
      <c r="F535" s="131" t="n">
        <v>82962.78999999999</v>
      </c>
      <c r="G535" s="131" t="inlineStr">
        <is>
          <t>Sunita Gupta</t>
        </is>
      </c>
      <c r="H535" s="131" t="inlineStr">
        <is>
          <t>HDFC 0094</t>
        </is>
      </c>
    </row>
    <row r="536">
      <c r="A536" s="130" t="n">
        <v>45575</v>
      </c>
      <c r="B536" s="131" t="inlineStr">
        <is>
          <t>NET PI TO HSL SEC A/C 523686-00602340029434</t>
        </is>
      </c>
      <c r="C536" s="131" t="inlineStr">
        <is>
          <t>0000000571065497</t>
        </is>
      </c>
      <c r="D536" s="131" t="n">
        <v>366.34</v>
      </c>
      <c r="E536" s="131" t="n">
        <v>0</v>
      </c>
      <c r="F536" s="131" t="n">
        <v>48742.79</v>
      </c>
      <c r="G536" s="131" t="inlineStr">
        <is>
          <t>HDFC Securities</t>
        </is>
      </c>
      <c r="H536" s="131" t="inlineStr">
        <is>
          <t>HDFC 0094</t>
        </is>
      </c>
    </row>
    <row r="537">
      <c r="A537" s="130" t="n">
        <v>45575</v>
      </c>
      <c r="B537" s="131" t="inlineStr">
        <is>
          <t>FT- 570915703-50200085415108 - HDFC SECURITIES LTD-CLIENT DSCNB A/C -</t>
        </is>
      </c>
      <c r="C537" s="131" t="inlineStr">
        <is>
          <t>0000000801939713</t>
        </is>
      </c>
      <c r="D537" s="131" t="n">
        <v>0</v>
      </c>
      <c r="E537" s="131" t="n">
        <v>29661.24</v>
      </c>
      <c r="F537" s="131" t="n">
        <v>49109.13</v>
      </c>
      <c r="G537" s="131" t="inlineStr">
        <is>
          <t>HDFC Securities</t>
        </is>
      </c>
      <c r="H537" s="131" t="inlineStr">
        <is>
          <t>HDFC 0094</t>
        </is>
      </c>
    </row>
    <row r="538">
      <c r="A538" s="130" t="n">
        <v>45575</v>
      </c>
      <c r="B538" s="131" t="inlineStr">
        <is>
          <t>FT- 570885181-50200085415108 - HDFC SECURITIES LTD-CLIENT DSCNB A/C -</t>
        </is>
      </c>
      <c r="C538" s="131" t="inlineStr">
        <is>
          <t>0000000801922703</t>
        </is>
      </c>
      <c r="D538" s="131" t="n">
        <v>0</v>
      </c>
      <c r="E538" s="131" t="n">
        <v>1439.2</v>
      </c>
      <c r="F538" s="131" t="n">
        <v>19447.89</v>
      </c>
      <c r="G538" s="131" t="inlineStr">
        <is>
          <t>HDFC Securities</t>
        </is>
      </c>
      <c r="H538" s="131" t="inlineStr">
        <is>
          <t>HDFC 0094</t>
        </is>
      </c>
    </row>
    <row r="539">
      <c r="A539" s="130" t="n">
        <v>45576</v>
      </c>
      <c r="B539" s="131" t="inlineStr">
        <is>
          <t>FT- 571335388-50200085415108 - HDFC SECURITIES LTD-CLIENT DSCNB A/C -</t>
        </is>
      </c>
      <c r="C539" s="131" t="inlineStr">
        <is>
          <t>0000000803539140</t>
        </is>
      </c>
      <c r="D539" s="131" t="n">
        <v>0</v>
      </c>
      <c r="E539" s="131" t="n">
        <v>5366.11</v>
      </c>
      <c r="F539" s="131" t="n">
        <v>88328.89999999999</v>
      </c>
      <c r="G539" s="131" t="inlineStr">
        <is>
          <t>HDFC Securities</t>
        </is>
      </c>
      <c r="H539" s="131" t="inlineStr">
        <is>
          <t>HDFC 0094</t>
        </is>
      </c>
    </row>
    <row r="540">
      <c r="A540" s="130" t="n">
        <v>45576</v>
      </c>
      <c r="B540" s="131" t="inlineStr">
        <is>
          <t>NET PI TO HSL SEC A/C 523686-00602340029434</t>
        </is>
      </c>
      <c r="C540" s="131" t="inlineStr">
        <is>
          <t>0000000571479635</t>
        </is>
      </c>
      <c r="D540" s="131" t="n">
        <v>366.85</v>
      </c>
      <c r="E540" s="131" t="n">
        <v>0</v>
      </c>
      <c r="F540" s="131" t="n">
        <v>87962.05</v>
      </c>
      <c r="G540" s="131" t="inlineStr">
        <is>
          <t>HDFC Securities</t>
        </is>
      </c>
      <c r="H540" s="131" t="inlineStr">
        <is>
          <t>HDFC 0094</t>
        </is>
      </c>
    </row>
    <row r="541">
      <c r="A541" s="130" t="n">
        <v>45576</v>
      </c>
      <c r="B541" s="131" t="inlineStr">
        <is>
          <t>NET PI TO HSL SEC A/C 523686-00602340029434</t>
        </is>
      </c>
      <c r="C541" s="131" t="inlineStr">
        <is>
          <t>0000000571610341</t>
        </is>
      </c>
      <c r="D541" s="131" t="n">
        <v>119.69</v>
      </c>
      <c r="E541" s="131" t="n">
        <v>0</v>
      </c>
      <c r="F541" s="131" t="n">
        <v>87842.36</v>
      </c>
      <c r="G541" s="131" t="inlineStr">
        <is>
          <t>HDFC Securities</t>
        </is>
      </c>
      <c r="H541" s="131" t="inlineStr">
        <is>
          <t>HDFC 0094</t>
        </is>
      </c>
    </row>
    <row r="542">
      <c r="A542" s="130" t="n">
        <v>45579</v>
      </c>
      <c r="B542" s="131" t="inlineStr">
        <is>
          <t>NET PI TO HSL SEC A/C 523686-00602340029434</t>
        </is>
      </c>
      <c r="C542" s="131" t="inlineStr">
        <is>
          <t>0000000572007299</t>
        </is>
      </c>
      <c r="D542" s="131" t="n">
        <v>2966.98</v>
      </c>
      <c r="E542" s="131" t="n">
        <v>0</v>
      </c>
      <c r="F542" s="131" t="n">
        <v>84875.38</v>
      </c>
      <c r="G542" s="131" t="inlineStr">
        <is>
          <t>HDFC Securities</t>
        </is>
      </c>
      <c r="H542" s="131" t="inlineStr">
        <is>
          <t>HDFC 0094</t>
        </is>
      </c>
    </row>
    <row r="543">
      <c r="A543" s="130" t="n">
        <v>45580</v>
      </c>
      <c r="B543" s="131" t="inlineStr">
        <is>
          <t>FT- 572160230-50200085415108 - HDFC SECURITIES LTD-CLIENT DSCNB A/C -</t>
        </is>
      </c>
      <c r="C543" s="131" t="inlineStr">
        <is>
          <t>0000000806383753</t>
        </is>
      </c>
      <c r="D543" s="131" t="n">
        <v>0</v>
      </c>
      <c r="E543" s="131" t="n">
        <v>141198.07</v>
      </c>
      <c r="F543" s="131" t="n">
        <v>226073.45</v>
      </c>
      <c r="G543" s="131" t="inlineStr">
        <is>
          <t>HDFC Securities</t>
        </is>
      </c>
      <c r="H543" s="131" t="inlineStr">
        <is>
          <t>HDFC 0094</t>
        </is>
      </c>
    </row>
    <row r="544">
      <c r="A544" s="130" t="n">
        <v>45580</v>
      </c>
      <c r="B544" s="131" t="inlineStr">
        <is>
          <t>NET PI TO HSL SEC A/C 523686-00602340029434</t>
        </is>
      </c>
      <c r="C544" s="131" t="inlineStr">
        <is>
          <t>0000000572284253</t>
        </is>
      </c>
      <c r="D544" s="131" t="n">
        <v>368.05</v>
      </c>
      <c r="E544" s="131" t="n">
        <v>0</v>
      </c>
      <c r="F544" s="131" t="n">
        <v>209958.61</v>
      </c>
      <c r="G544" s="131" t="inlineStr">
        <is>
          <t>HDFC Securities</t>
        </is>
      </c>
      <c r="H544" s="131" t="inlineStr">
        <is>
          <t>HDFC 0094</t>
        </is>
      </c>
    </row>
    <row r="545">
      <c r="A545" s="130" t="n">
        <v>45580</v>
      </c>
      <c r="B545" s="131" t="inlineStr">
        <is>
          <t>NET PI TO HSL SEC A/C 523686-00602340029434</t>
        </is>
      </c>
      <c r="C545" s="131" t="inlineStr">
        <is>
          <t>0000000572448395</t>
        </is>
      </c>
      <c r="D545" s="131" t="n">
        <v>6720.79</v>
      </c>
      <c r="E545" s="131" t="n">
        <v>0</v>
      </c>
      <c r="F545" s="131" t="n">
        <v>203237.82</v>
      </c>
      <c r="G545" s="131" t="inlineStr">
        <is>
          <t>HDFC Securities</t>
        </is>
      </c>
      <c r="H545" s="131" t="inlineStr">
        <is>
          <t>HDFC 0094</t>
        </is>
      </c>
    </row>
    <row r="546">
      <c r="A546" s="130" t="n">
        <v>45580</v>
      </c>
      <c r="B546" s="131" t="inlineStr">
        <is>
          <t>DEPOSITORY CHARGES SEP24 - 41060499</t>
        </is>
      </c>
      <c r="C546" s="131" t="inlineStr">
        <is>
          <t>000000000000000</t>
        </is>
      </c>
      <c r="D546" s="131" t="n">
        <v>746.79</v>
      </c>
      <c r="E546" s="131" t="n">
        <v>0</v>
      </c>
      <c r="F546" s="131" t="n">
        <v>220326.66</v>
      </c>
      <c r="G546" s="131" t="inlineStr">
        <is>
          <t>Depository Charges</t>
        </is>
      </c>
      <c r="H546" s="131" t="inlineStr">
        <is>
          <t>HDFC 0094</t>
        </is>
      </c>
    </row>
    <row r="547">
      <c r="A547" s="130" t="n">
        <v>45580</v>
      </c>
      <c r="B547" s="131" t="inlineStr">
        <is>
          <t>ACH D- INDIAN CLEARING CORP-P25847643X05</t>
        </is>
      </c>
      <c r="C547" s="131" t="inlineStr">
        <is>
          <t>0000000087866418</t>
        </is>
      </c>
      <c r="D547" s="131" t="n">
        <v>5000</v>
      </c>
      <c r="E547" s="131" t="n">
        <v>0</v>
      </c>
      <c r="F547" s="131" t="n">
        <v>221073.45</v>
      </c>
      <c r="G547" s="131" t="inlineStr">
        <is>
          <t>Mutual_Fund_Investments</t>
        </is>
      </c>
      <c r="H547" s="131" t="inlineStr">
        <is>
          <t>HDFC 0094</t>
        </is>
      </c>
    </row>
    <row r="548">
      <c r="A548" s="130" t="n">
        <v>45580</v>
      </c>
      <c r="B548" s="131" t="inlineStr">
        <is>
          <t>ATW-498792XXXXXX0500-S1ANRS37-KOTA</t>
        </is>
      </c>
      <c r="C548" s="131" t="inlineStr">
        <is>
          <t>0000000000009746</t>
        </is>
      </c>
      <c r="D548" s="131" t="n">
        <v>10000</v>
      </c>
      <c r="E548" s="131" t="n">
        <v>0</v>
      </c>
      <c r="F548" s="131" t="n">
        <v>210326.66</v>
      </c>
      <c r="G548" s="131" t="inlineStr">
        <is>
          <t>Cash</t>
        </is>
      </c>
      <c r="H548" s="131" t="inlineStr">
        <is>
          <t>HDFC 0094</t>
        </is>
      </c>
    </row>
    <row r="549">
      <c r="A549" s="130" t="n">
        <v>45581</v>
      </c>
      <c r="B549" s="131" t="inlineStr">
        <is>
          <t>NET PI TO HSL SEC A/C 523686-00602340029434</t>
        </is>
      </c>
      <c r="C549" s="131" t="inlineStr">
        <is>
          <t>0000000572697913</t>
        </is>
      </c>
      <c r="D549" s="131" t="n">
        <v>365.66</v>
      </c>
      <c r="E549" s="131" t="n">
        <v>0</v>
      </c>
      <c r="F549" s="131" t="n">
        <v>202872.16</v>
      </c>
      <c r="G549" s="131" t="inlineStr">
        <is>
          <t>HDFC Securities</t>
        </is>
      </c>
      <c r="H549" s="131" t="inlineStr">
        <is>
          <t>HDFC 0094</t>
        </is>
      </c>
    </row>
    <row r="550">
      <c r="A550" s="130" t="n">
        <v>45581</v>
      </c>
      <c r="B550" s="131" t="inlineStr">
        <is>
          <t>ACH C- CONCOR FINDIV 23-24-CN18092400347</t>
        </is>
      </c>
      <c r="C550" s="131" t="inlineStr">
        <is>
          <t>0000000195772238</t>
        </is>
      </c>
      <c r="D550" s="131" t="n">
        <v>0</v>
      </c>
      <c r="E550" s="131" t="n">
        <v>337.5</v>
      </c>
      <c r="F550" s="131" t="n">
        <v>203209.66</v>
      </c>
      <c r="G550" s="131" t="inlineStr">
        <is>
          <t>Dividend Income</t>
        </is>
      </c>
      <c r="H550" s="131" t="inlineStr">
        <is>
          <t>HDFC 0094</t>
        </is>
      </c>
    </row>
    <row r="551">
      <c r="A551" s="130" t="n">
        <v>45581</v>
      </c>
      <c r="B551" s="131" t="inlineStr">
        <is>
          <t>UPI/P2A/465679437892/ASHWINI HEMANT PATIL /kitty/State Bank Of India</t>
        </is>
      </c>
      <c r="C551" s="131" t="inlineStr">
        <is>
          <t>-</t>
        </is>
      </c>
      <c r="D551" s="131" t="n">
        <v>5000</v>
      </c>
      <c r="E551" s="131" t="n">
        <v>0</v>
      </c>
      <c r="F551" s="131" t="n">
        <v>148580.37</v>
      </c>
      <c r="G551" s="131" t="inlineStr">
        <is>
          <t>Personal</t>
        </is>
      </c>
      <c r="H551" s="131" t="inlineStr">
        <is>
          <t>AXIS 7042</t>
        </is>
      </c>
    </row>
    <row r="552">
      <c r="A552" s="130" t="n">
        <v>45582</v>
      </c>
      <c r="B552" s="131" t="inlineStr">
        <is>
          <t>NET PI TO HSL SEC A/C 523686-00602340029434</t>
        </is>
      </c>
      <c r="C552" s="131" t="inlineStr">
        <is>
          <t>0000000573129120</t>
        </is>
      </c>
      <c r="D552" s="131" t="n">
        <v>365.66</v>
      </c>
      <c r="E552" s="131" t="n">
        <v>0</v>
      </c>
      <c r="F552" s="131" t="n">
        <v>235171.51</v>
      </c>
      <c r="G552" s="131" t="inlineStr">
        <is>
          <t>HDFC Securities</t>
        </is>
      </c>
      <c r="H552" s="131" t="inlineStr">
        <is>
          <t>HDFC 0094</t>
        </is>
      </c>
    </row>
    <row r="553">
      <c r="A553" s="130" t="n">
        <v>45582</v>
      </c>
      <c r="B553" s="131" t="inlineStr">
        <is>
          <t>NET PI TO HSL SEC A/C 523686-00602340029434</t>
        </is>
      </c>
      <c r="C553" s="131" t="inlineStr">
        <is>
          <t>0000000573313947</t>
        </is>
      </c>
      <c r="D553" s="131" t="n">
        <v>11850.76</v>
      </c>
      <c r="E553" s="131" t="n">
        <v>0</v>
      </c>
      <c r="F553" s="131" t="n">
        <v>223320.75</v>
      </c>
      <c r="G553" s="131" t="inlineStr">
        <is>
          <t>HDFC Securities</t>
        </is>
      </c>
      <c r="H553" s="131" t="inlineStr">
        <is>
          <t>HDFC 0094</t>
        </is>
      </c>
    </row>
    <row r="554">
      <c r="A554" s="130" t="n">
        <v>45582</v>
      </c>
      <c r="B554" s="131" t="inlineStr">
        <is>
          <t>FT- 572987110-50200085415108 - HDFC SECURITIES LTD-CLIENT DSCNB A/C -</t>
        </is>
      </c>
      <c r="C554" s="131" t="inlineStr">
        <is>
          <t>0000000808728361</t>
        </is>
      </c>
      <c r="D554" s="131" t="n">
        <v>0</v>
      </c>
      <c r="E554" s="131" t="n">
        <v>32327.51</v>
      </c>
      <c r="F554" s="131" t="n">
        <v>235537.17</v>
      </c>
      <c r="G554" s="131" t="inlineStr">
        <is>
          <t>HDFC Securities</t>
        </is>
      </c>
      <c r="H554" s="131" t="inlineStr">
        <is>
          <t>HDFC 0094</t>
        </is>
      </c>
    </row>
    <row r="555">
      <c r="A555" s="130" t="n">
        <v>45583</v>
      </c>
      <c r="B555" s="131" t="inlineStr">
        <is>
          <t>ATW-498792XXXXXX0500-S1ANRS37-KOTA</t>
        </is>
      </c>
      <c r="C555" s="131" t="inlineStr">
        <is>
          <t>0000000000000319</t>
        </is>
      </c>
      <c r="D555" s="131" t="n">
        <v>10000</v>
      </c>
      <c r="E555" s="131" t="n">
        <v>0</v>
      </c>
      <c r="F555" s="131" t="n">
        <v>213320.75</v>
      </c>
      <c r="G555" s="131" t="inlineStr">
        <is>
          <t>Cash</t>
        </is>
      </c>
      <c r="H555" s="131" t="inlineStr">
        <is>
          <t>HDFC 0094</t>
        </is>
      </c>
    </row>
    <row r="556">
      <c r="A556" s="130" t="n">
        <v>45583</v>
      </c>
      <c r="B556" s="131" t="inlineStr">
        <is>
          <t>NET PI TO HSL SEC A/C 523686-00602340029434</t>
        </is>
      </c>
      <c r="C556" s="131" t="inlineStr">
        <is>
          <t>0000000573562723</t>
        </is>
      </c>
      <c r="D556" s="131" t="n">
        <v>347.39</v>
      </c>
      <c r="E556" s="131" t="n">
        <v>0</v>
      </c>
      <c r="F556" s="131" t="n">
        <v>212973.36</v>
      </c>
      <c r="G556" s="131" t="inlineStr">
        <is>
          <t>HDFC Securities</t>
        </is>
      </c>
      <c r="H556" s="131" t="inlineStr">
        <is>
          <t>HDFC 0094</t>
        </is>
      </c>
    </row>
    <row r="557">
      <c r="A557" s="130" t="n">
        <v>45583</v>
      </c>
      <c r="B557" s="131" t="inlineStr">
        <is>
          <t>NEFT CR-SBIN0004266-SBI GENERAL INSURANCE CO LTDSBI GEN-SUNITA GUPTA 0000000002717756-SBIN124292890137</t>
        </is>
      </c>
      <c r="C557" s="131" t="inlineStr">
        <is>
          <t>SBIN124292890137</t>
        </is>
      </c>
      <c r="D557" s="131" t="n">
        <v>0</v>
      </c>
      <c r="E557" s="131" t="n">
        <v>2738</v>
      </c>
      <c r="F557" s="131" t="n">
        <v>215711.36</v>
      </c>
      <c r="G557" s="131" t="inlineStr">
        <is>
          <t>Sunita Gupta</t>
        </is>
      </c>
      <c r="H557" s="131" t="inlineStr">
        <is>
          <t>HDFC 0094</t>
        </is>
      </c>
    </row>
    <row r="558">
      <c r="A558" s="130" t="n">
        <v>45583</v>
      </c>
      <c r="B558" s="131" t="inlineStr">
        <is>
          <t>NET PI TO HSL SEC A/C 523686-00602340029434</t>
        </is>
      </c>
      <c r="C558" s="131" t="inlineStr">
        <is>
          <t>0000000573737824</t>
        </is>
      </c>
      <c r="D558" s="131" t="n">
        <v>2268.59</v>
      </c>
      <c r="E558" s="131" t="n">
        <v>0</v>
      </c>
      <c r="F558" s="131" t="n">
        <v>213442.77</v>
      </c>
      <c r="G558" s="131" t="inlineStr">
        <is>
          <t>HDFC Securities</t>
        </is>
      </c>
      <c r="H558" s="131" t="inlineStr">
        <is>
          <t>HDFC 0094</t>
        </is>
      </c>
    </row>
    <row r="559">
      <c r="A559" s="130" t="n">
        <v>45584</v>
      </c>
      <c r="B559" s="131" t="inlineStr">
        <is>
          <t>YHDF2461369507/BILLDKTHECALCUTTAELE</t>
        </is>
      </c>
      <c r="C559" s="131" t="inlineStr">
        <is>
          <t>0002429365018211</t>
        </is>
      </c>
      <c r="D559" s="131" t="n">
        <v>19498</v>
      </c>
      <c r="E559" s="131" t="n">
        <v>0</v>
      </c>
      <c r="F559" s="131" t="n">
        <v>193944.77</v>
      </c>
      <c r="G559" s="131" t="inlineStr">
        <is>
          <t>SIP</t>
        </is>
      </c>
      <c r="H559" s="131" t="inlineStr">
        <is>
          <t>HDFC 0094</t>
        </is>
      </c>
    </row>
    <row r="560">
      <c r="A560" s="130" t="n">
        <v>45586</v>
      </c>
      <c r="B560" s="131" t="inlineStr">
        <is>
          <t>NET PI TO HSL SEC A/C 523686-00602340029434</t>
        </is>
      </c>
      <c r="C560" s="131" t="inlineStr">
        <is>
          <t>0000000574236069</t>
        </is>
      </c>
      <c r="D560" s="131" t="n">
        <v>10739.78</v>
      </c>
      <c r="E560" s="131" t="n">
        <v>0</v>
      </c>
      <c r="F560" s="131" t="n">
        <v>182897.31</v>
      </c>
      <c r="G560" s="131" t="inlineStr">
        <is>
          <t>HDFC Securities</t>
        </is>
      </c>
      <c r="H560" s="131" t="inlineStr">
        <is>
          <t>HDFC 0094</t>
        </is>
      </c>
    </row>
    <row r="561">
      <c r="A561" s="130" t="n">
        <v>45586</v>
      </c>
      <c r="B561" s="131" t="inlineStr">
        <is>
          <t>ACH C- NMDC LTD-0000020308359</t>
        </is>
      </c>
      <c r="C561" s="131" t="inlineStr">
        <is>
          <t>0000000286327922</t>
        </is>
      </c>
      <c r="D561" s="131" t="n">
        <v>0</v>
      </c>
      <c r="E561" s="131" t="n">
        <v>750</v>
      </c>
      <c r="F561" s="131" t="n">
        <v>194694.77</v>
      </c>
      <c r="G561" s="131" t="inlineStr">
        <is>
          <t>Dividend Income</t>
        </is>
      </c>
      <c r="H561" s="131" t="inlineStr">
        <is>
          <t>HDFC 0094</t>
        </is>
      </c>
    </row>
    <row r="562">
      <c r="A562" s="130" t="n">
        <v>45586</v>
      </c>
      <c r="B562" s="131" t="inlineStr">
        <is>
          <t>UPI/P2A/429536466098/BHAGAWATI PRASAD MAND/UPI/ICICI Bank</t>
        </is>
      </c>
      <c r="C562" s="131" t="inlineStr">
        <is>
          <t>-</t>
        </is>
      </c>
      <c r="D562" s="131" t="n">
        <v>15</v>
      </c>
      <c r="E562" s="131" t="n">
        <v>0</v>
      </c>
      <c r="F562" s="131" t="n">
        <v>148565.37</v>
      </c>
      <c r="G562" s="131" t="inlineStr">
        <is>
          <t>Personal</t>
        </is>
      </c>
      <c r="H562" s="131" t="inlineStr">
        <is>
          <t>AXIS 7042</t>
        </is>
      </c>
    </row>
    <row r="563">
      <c r="A563" s="130" t="n">
        <v>45586</v>
      </c>
      <c r="B563" s="131" t="inlineStr">
        <is>
          <t>NET PI TO HSL SEC A/C 523686-00602340029434</t>
        </is>
      </c>
      <c r="C563" s="131" t="inlineStr">
        <is>
          <t>0000000574056397</t>
        </is>
      </c>
      <c r="D563" s="131" t="n">
        <v>1057.68</v>
      </c>
      <c r="E563" s="131" t="n">
        <v>0</v>
      </c>
      <c r="F563" s="131" t="n">
        <v>193637.09</v>
      </c>
      <c r="G563" s="131" t="inlineStr">
        <is>
          <t>HDFC Securities</t>
        </is>
      </c>
      <c r="H563" s="131" t="inlineStr">
        <is>
          <t>HDFC 0094</t>
        </is>
      </c>
    </row>
    <row r="564">
      <c r="A564" s="130" t="n">
        <v>45587</v>
      </c>
      <c r="B564" s="131" t="inlineStr">
        <is>
          <t>NET PI TO HSL SEC A/C 523686-00602340029434</t>
        </is>
      </c>
      <c r="C564" s="131" t="inlineStr">
        <is>
          <t>0000000574519625</t>
        </is>
      </c>
      <c r="D564" s="131" t="n">
        <v>355.42</v>
      </c>
      <c r="E564" s="131" t="n">
        <v>0</v>
      </c>
      <c r="F564" s="131" t="n">
        <v>182541.89</v>
      </c>
      <c r="G564" s="131" t="inlineStr">
        <is>
          <t>HDFC Securities</t>
        </is>
      </c>
      <c r="H564" s="131" t="inlineStr">
        <is>
          <t>HDFC 0094</t>
        </is>
      </c>
    </row>
    <row r="565">
      <c r="A565" s="130" t="n">
        <v>45587</v>
      </c>
      <c r="B565" s="131" t="inlineStr">
        <is>
          <t>TRF JAYPEE INFRATECH LTD</t>
        </is>
      </c>
      <c r="C565" s="131" t="inlineStr">
        <is>
          <t>0000000000508099</t>
        </is>
      </c>
      <c r="D565" s="131" t="n">
        <v>0</v>
      </c>
      <c r="E565" s="131" t="n">
        <v>7.24</v>
      </c>
      <c r="F565" s="131" t="n">
        <v>182549.13</v>
      </c>
      <c r="G565" s="131" t="inlineStr">
        <is>
          <t>Dividend Income</t>
        </is>
      </c>
      <c r="H565" s="131" t="inlineStr">
        <is>
          <t>HDFC 0094</t>
        </is>
      </c>
    </row>
    <row r="566">
      <c r="A566" s="130" t="n">
        <v>45587</v>
      </c>
      <c r="B566" s="131" t="inlineStr">
        <is>
          <t>NET PI TO HSL SEC A/C 523686-00602340029434</t>
        </is>
      </c>
      <c r="C566" s="131" t="inlineStr">
        <is>
          <t>0000000574741799</t>
        </is>
      </c>
      <c r="D566" s="131" t="n">
        <v>38201.14</v>
      </c>
      <c r="E566" s="131" t="n">
        <v>0</v>
      </c>
      <c r="F566" s="131" t="n">
        <v>144347.99</v>
      </c>
      <c r="G566" s="131" t="inlineStr">
        <is>
          <t>HDFC Securities</t>
        </is>
      </c>
      <c r="H566" s="131" t="inlineStr">
        <is>
          <t>HDFC 0094</t>
        </is>
      </c>
    </row>
    <row r="567">
      <c r="A567" s="130" t="n">
        <v>45588</v>
      </c>
      <c r="B567" s="131" t="inlineStr">
        <is>
          <t>NET PI TO HSL SEC A/C 523686-00602340029434</t>
        </is>
      </c>
      <c r="C567" s="131" t="inlineStr">
        <is>
          <t>0000000575011153</t>
        </is>
      </c>
      <c r="D567" s="131" t="n">
        <v>341.81</v>
      </c>
      <c r="E567" s="131" t="n">
        <v>0</v>
      </c>
      <c r="F567" s="131" t="n">
        <v>144006.18</v>
      </c>
      <c r="G567" s="131" t="inlineStr">
        <is>
          <t>HDFC Securities</t>
        </is>
      </c>
      <c r="H567" s="131" t="inlineStr">
        <is>
          <t>HDFC 0094</t>
        </is>
      </c>
    </row>
    <row r="568">
      <c r="A568" s="130" t="n">
        <v>45589</v>
      </c>
      <c r="B568" s="131" t="inlineStr">
        <is>
          <t>UPI/P2M/466409647719/REET FASHION         /UPI/Yes Bank Ltd</t>
        </is>
      </c>
      <c r="C568" s="131" t="inlineStr">
        <is>
          <t>-</t>
        </is>
      </c>
      <c r="D568" s="131" t="n">
        <v>7000</v>
      </c>
      <c r="E568" s="131" t="n">
        <v>0</v>
      </c>
      <c r="F568" s="131" t="n">
        <v>141565.37</v>
      </c>
      <c r="G568" s="131" t="inlineStr">
        <is>
          <t>Personal</t>
        </is>
      </c>
      <c r="H568" s="131" t="inlineStr">
        <is>
          <t>AXIS 7042</t>
        </is>
      </c>
    </row>
    <row r="569">
      <c r="A569" s="130" t="n">
        <v>45589</v>
      </c>
      <c r="B569" s="131" t="inlineStr">
        <is>
          <t>FT- 575331981-50200085415108 - HDFC SECURITIES LTD-CLIENT DSCNB A/C -</t>
        </is>
      </c>
      <c r="C569" s="131" t="inlineStr">
        <is>
          <t>0000000815410366</t>
        </is>
      </c>
      <c r="D569" s="131" t="n">
        <v>0</v>
      </c>
      <c r="E569" s="131" t="n">
        <v>5487.3</v>
      </c>
      <c r="F569" s="131" t="n">
        <v>149493.48</v>
      </c>
      <c r="G569" s="131" t="inlineStr">
        <is>
          <t>HDFC Securities</t>
        </is>
      </c>
      <c r="H569" s="131" t="inlineStr">
        <is>
          <t>HDFC 0094</t>
        </is>
      </c>
    </row>
    <row r="570">
      <c r="A570" s="130" t="n">
        <v>45589</v>
      </c>
      <c r="B570" s="131" t="inlineStr">
        <is>
          <t>NET PI TO HSL SEC A/C 523686-00602340029434</t>
        </is>
      </c>
      <c r="C570" s="131" t="inlineStr">
        <is>
          <t>0000000575448938</t>
        </is>
      </c>
      <c r="D570" s="131" t="n">
        <v>350.21</v>
      </c>
      <c r="E570" s="131" t="n">
        <v>0</v>
      </c>
      <c r="F570" s="131" t="n">
        <v>149143.27</v>
      </c>
      <c r="G570" s="131" t="inlineStr">
        <is>
          <t>HDFC Securities</t>
        </is>
      </c>
      <c r="H570" s="131" t="inlineStr">
        <is>
          <t>HDFC 0094</t>
        </is>
      </c>
    </row>
    <row r="571">
      <c r="A571" s="130" t="n">
        <v>45589</v>
      </c>
      <c r="B571" s="131" t="inlineStr">
        <is>
          <t>ACH C- COFORGE LTD-93826</t>
        </is>
      </c>
      <c r="C571" s="131" t="inlineStr">
        <is>
          <t>0000000401527723</t>
        </is>
      </c>
      <c r="D571" s="131" t="n">
        <v>0</v>
      </c>
      <c r="E571" s="131" t="n">
        <v>627</v>
      </c>
      <c r="F571" s="131" t="n">
        <v>149770.27</v>
      </c>
      <c r="G571" s="131" t="inlineStr">
        <is>
          <t>Dividend Income</t>
        </is>
      </c>
      <c r="H571" s="131" t="inlineStr">
        <is>
          <t>HDFC 0094</t>
        </is>
      </c>
    </row>
    <row r="572">
      <c r="A572" s="130" t="n">
        <v>45589</v>
      </c>
      <c r="B572" s="131" t="inlineStr">
        <is>
          <t>NET PI TO HSL SEC A/C 523686-00602340029434</t>
        </is>
      </c>
      <c r="C572" s="131" t="inlineStr">
        <is>
          <t>0000000575631090</t>
        </is>
      </c>
      <c r="D572" s="131" t="n">
        <v>15969.06</v>
      </c>
      <c r="E572" s="131" t="n">
        <v>0</v>
      </c>
      <c r="F572" s="131" t="n">
        <v>116440.46</v>
      </c>
      <c r="G572" s="131" t="inlineStr">
        <is>
          <t>HDFC Securities</t>
        </is>
      </c>
      <c r="H572" s="131" t="inlineStr">
        <is>
          <t>HDFC 0094</t>
        </is>
      </c>
    </row>
    <row r="573">
      <c r="A573" s="130" t="n">
        <v>45589</v>
      </c>
      <c r="B573" s="131" t="inlineStr">
        <is>
          <t>NET PI TO HSL SEC A/C 523686-00602340029434</t>
        </is>
      </c>
      <c r="C573" s="131" t="inlineStr">
        <is>
          <t>0000000575580835</t>
        </is>
      </c>
      <c r="D573" s="131" t="n">
        <v>17360.75</v>
      </c>
      <c r="E573" s="131" t="n">
        <v>0</v>
      </c>
      <c r="F573" s="131" t="n">
        <v>132409.52</v>
      </c>
      <c r="G573" s="131" t="inlineStr">
        <is>
          <t>HDFC Securities</t>
        </is>
      </c>
      <c r="H573" s="131" t="inlineStr">
        <is>
          <t>HDFC 0094</t>
        </is>
      </c>
    </row>
    <row r="574">
      <c r="A574" s="130" t="n">
        <v>45590</v>
      </c>
      <c r="B574" s="131" t="inlineStr">
        <is>
          <t>ACH D- INDIAN CLEARING CORP-P25847643X05</t>
        </is>
      </c>
      <c r="C574" s="131" t="inlineStr">
        <is>
          <t>0000000408761218</t>
        </is>
      </c>
      <c r="D574" s="131" t="n">
        <v>10000</v>
      </c>
      <c r="E574" s="131" t="n">
        <v>0</v>
      </c>
      <c r="F574" s="131" t="n">
        <v>106440.46</v>
      </c>
      <c r="G574" s="131" t="inlineStr">
        <is>
          <t>Mutual_Fund_Investments</t>
        </is>
      </c>
      <c r="H574" s="131" t="inlineStr">
        <is>
          <t>HDFC 0094</t>
        </is>
      </c>
    </row>
    <row r="575">
      <c r="A575" s="130" t="n">
        <v>45590</v>
      </c>
      <c r="B575" s="131" t="inlineStr">
        <is>
          <t>ACH C- HINDUSTAN COPPER LTD-509416</t>
        </is>
      </c>
      <c r="C575" s="131" t="inlineStr">
        <is>
          <t>0000000340032182</t>
        </is>
      </c>
      <c r="D575" s="131" t="n">
        <v>0</v>
      </c>
      <c r="E575" s="131" t="n">
        <v>276</v>
      </c>
      <c r="F575" s="131" t="n">
        <v>106369.99</v>
      </c>
      <c r="G575" s="131" t="inlineStr">
        <is>
          <t>Dividend Income</t>
        </is>
      </c>
      <c r="H575" s="131" t="inlineStr">
        <is>
          <t>HDFC 0094</t>
        </is>
      </c>
    </row>
    <row r="576">
      <c r="A576" s="130" t="n">
        <v>45590</v>
      </c>
      <c r="B576" s="131" t="inlineStr">
        <is>
          <t>NET PI TO HSL SEC A/C 523686-00602340029434</t>
        </is>
      </c>
      <c r="C576" s="131" t="inlineStr">
        <is>
          <t>0000000576054373</t>
        </is>
      </c>
      <c r="D576" s="131" t="n">
        <v>22819.61</v>
      </c>
      <c r="E576" s="131" t="n">
        <v>0</v>
      </c>
      <c r="F576" s="131" t="n">
        <v>83550.38</v>
      </c>
      <c r="G576" s="131" t="inlineStr">
        <is>
          <t>HDFC Securities</t>
        </is>
      </c>
      <c r="H576" s="131" t="inlineStr">
        <is>
          <t>HDFC 0094</t>
        </is>
      </c>
    </row>
    <row r="577">
      <c r="A577" s="130" t="n">
        <v>45590</v>
      </c>
      <c r="B577" s="131" t="inlineStr">
        <is>
          <t>NET PI TO HSL SEC A/C 523686-00602340029434</t>
        </is>
      </c>
      <c r="C577" s="131" t="inlineStr">
        <is>
          <t>0000000575892635</t>
        </is>
      </c>
      <c r="D577" s="131" t="n">
        <v>346.47</v>
      </c>
      <c r="E577" s="131" t="n">
        <v>0</v>
      </c>
      <c r="F577" s="131" t="n">
        <v>106093.99</v>
      </c>
      <c r="G577" s="131" t="inlineStr">
        <is>
          <t>HDFC Securities</t>
        </is>
      </c>
      <c r="H577" s="131" t="inlineStr">
        <is>
          <t>HDFC 0094</t>
        </is>
      </c>
    </row>
    <row r="578">
      <c r="A578" s="130" t="n">
        <v>45591</v>
      </c>
      <c r="B578" s="131" t="inlineStr">
        <is>
          <t>NET PI TO HSL SEC A/C 523686-00602340029434</t>
        </is>
      </c>
      <c r="C578" s="131" t="inlineStr">
        <is>
          <t>0000000576144331</t>
        </is>
      </c>
      <c r="D578" s="131" t="n">
        <v>29876.83</v>
      </c>
      <c r="E578" s="131" t="n">
        <v>0</v>
      </c>
      <c r="F578" s="131" t="n">
        <v>53673.55</v>
      </c>
      <c r="G578" s="131" t="inlineStr">
        <is>
          <t>HDFC Securities</t>
        </is>
      </c>
      <c r="H578" s="131" t="inlineStr">
        <is>
          <t>HDFC 0094</t>
        </is>
      </c>
    </row>
    <row r="579">
      <c r="A579" s="130" t="n">
        <v>45592</v>
      </c>
      <c r="B579" s="131" t="inlineStr">
        <is>
          <t>50100128155413-TPT-BOROW FROM AAYUSH-AAYUSH KUMAR GUPTA</t>
        </is>
      </c>
      <c r="C579" s="131" t="inlineStr">
        <is>
          <t>0000000566404752</t>
        </is>
      </c>
      <c r="D579" s="131" t="n">
        <v>20000</v>
      </c>
      <c r="E579" s="131" t="n">
        <v>0</v>
      </c>
      <c r="F579" s="131" t="n">
        <v>33673.55</v>
      </c>
      <c r="G579" s="131" t="inlineStr">
        <is>
          <t>Transfer</t>
        </is>
      </c>
      <c r="H579" s="131" t="inlineStr">
        <is>
          <t>HDFC 0094</t>
        </is>
      </c>
    </row>
    <row r="580">
      <c r="A580" s="130" t="n">
        <v>45592</v>
      </c>
      <c r="B580" s="131" t="inlineStr">
        <is>
          <t>INB/IFT/Ajay Kumar Gupta/TPARTY TRANSFER</t>
        </is>
      </c>
      <c r="C580" s="131" t="inlineStr">
        <is>
          <t>-</t>
        </is>
      </c>
      <c r="D580" s="131" t="n">
        <v>100000</v>
      </c>
      <c r="E580" s="131" t="n">
        <v>0</v>
      </c>
      <c r="F580" s="131" t="n">
        <v>41565.37</v>
      </c>
      <c r="G580" s="131" t="inlineStr">
        <is>
          <t>Ajay Gupta</t>
        </is>
      </c>
      <c r="H580" s="131" t="inlineStr">
        <is>
          <t>AXIS 7042</t>
        </is>
      </c>
    </row>
    <row r="581">
      <c r="A581" s="130" t="n">
        <v>45593</v>
      </c>
      <c r="B581" s="131" t="inlineStr">
        <is>
          <t>NET PI TO HSL SEC A/C 523686-00602340029434</t>
        </is>
      </c>
      <c r="C581" s="131" t="inlineStr">
        <is>
          <t>0000000576467917</t>
        </is>
      </c>
      <c r="D581" s="131" t="n">
        <v>1007.49</v>
      </c>
      <c r="E581" s="131" t="n">
        <v>0</v>
      </c>
      <c r="F581" s="131" t="n">
        <v>32666.06</v>
      </c>
      <c r="G581" s="131" t="inlineStr">
        <is>
          <t>HDFC Securities</t>
        </is>
      </c>
      <c r="H581" s="131" t="inlineStr">
        <is>
          <t>HDFC 0094</t>
        </is>
      </c>
    </row>
    <row r="582">
      <c r="A582" s="130" t="n">
        <v>45593</v>
      </c>
      <c r="B582" s="131" t="inlineStr">
        <is>
          <t>NEFT CR-SBIN0004266-SBI GENERAL INSURANCE CO LTDSBI GEN-SUNITA GUPTA 0000000002717756-SBIN424302247596</t>
        </is>
      </c>
      <c r="C582" s="131" t="inlineStr">
        <is>
          <t>SBIN424302247596</t>
        </is>
      </c>
      <c r="D582" s="131" t="n">
        <v>0</v>
      </c>
      <c r="E582" s="131" t="n">
        <v>19498</v>
      </c>
      <c r="F582" s="131" t="n">
        <v>52164.06</v>
      </c>
      <c r="G582" s="131" t="inlineStr">
        <is>
          <t>Sunita Gupta</t>
        </is>
      </c>
      <c r="H582" s="131" t="inlineStr">
        <is>
          <t>HDFC 0094</t>
        </is>
      </c>
    </row>
    <row r="583">
      <c r="A583" s="130" t="n">
        <v>45594</v>
      </c>
      <c r="B583" s="131" t="inlineStr">
        <is>
          <t>FT- 576770898-50200085415108 - HDFC SECURITIES LTD-CLIENT DSCNB A/C -</t>
        </is>
      </c>
      <c r="C583" s="131" t="inlineStr">
        <is>
          <t>0000000821172241</t>
        </is>
      </c>
      <c r="D583" s="131" t="n">
        <v>0</v>
      </c>
      <c r="E583" s="131" t="n">
        <v>13135.57</v>
      </c>
      <c r="F583" s="131" t="n">
        <v>65299.63</v>
      </c>
      <c r="G583" s="131" t="inlineStr">
        <is>
          <t>HDFC Securities</t>
        </is>
      </c>
      <c r="H583" s="131" t="inlineStr">
        <is>
          <t>HDFC 0094</t>
        </is>
      </c>
    </row>
    <row r="584">
      <c r="A584" s="130" t="n">
        <v>45594</v>
      </c>
      <c r="B584" s="131" t="inlineStr">
        <is>
          <t>NEFT CR-UTIB0000004-AXIS MUTUAL FUND DIVIDEND A/C-SUNITA GUPTA-AXISCN0795685543</t>
        </is>
      </c>
      <c r="C584" s="131" t="inlineStr">
        <is>
          <t>AXISCN0795685543</t>
        </is>
      </c>
      <c r="D584" s="131" t="n">
        <v>0</v>
      </c>
      <c r="E584" s="131" t="n">
        <v>84.56999999999999</v>
      </c>
      <c r="F584" s="131" t="n">
        <v>65038.49</v>
      </c>
      <c r="G584" s="131" t="inlineStr">
        <is>
          <t>Dividend Income</t>
        </is>
      </c>
      <c r="H584" s="131" t="inlineStr">
        <is>
          <t>HDFC 0094</t>
        </is>
      </c>
    </row>
    <row r="585">
      <c r="A585" s="130" t="n">
        <v>45594</v>
      </c>
      <c r="B585" s="131" t="inlineStr">
        <is>
          <t>NET PI TO HSL SEC A/C 523686-00602340029434</t>
        </is>
      </c>
      <c r="C585" s="131" t="inlineStr">
        <is>
          <t>0000000577072362</t>
        </is>
      </c>
      <c r="D585" s="131" t="n">
        <v>1449.86</v>
      </c>
      <c r="E585" s="131" t="n">
        <v>0</v>
      </c>
      <c r="F585" s="131" t="n">
        <v>63588.63</v>
      </c>
      <c r="G585" s="131" t="inlineStr">
        <is>
          <t>HDFC Securities</t>
        </is>
      </c>
      <c r="H585" s="131" t="inlineStr">
        <is>
          <t>HDFC 0094</t>
        </is>
      </c>
    </row>
    <row r="586">
      <c r="A586" s="130" t="n">
        <v>45594</v>
      </c>
      <c r="B586" s="131" t="inlineStr">
        <is>
          <t>NET PI TO HSL SEC A/C 523686-00602340029434</t>
        </is>
      </c>
      <c r="C586" s="131" t="inlineStr">
        <is>
          <t>0000000576911551</t>
        </is>
      </c>
      <c r="D586" s="131" t="n">
        <v>345.71</v>
      </c>
      <c r="E586" s="131" t="n">
        <v>0</v>
      </c>
      <c r="F586" s="131" t="n">
        <v>64953.92</v>
      </c>
      <c r="G586" s="131" t="inlineStr">
        <is>
          <t>HDFC Securities</t>
        </is>
      </c>
      <c r="H586" s="131" t="inlineStr">
        <is>
          <t>HDFC 0094</t>
        </is>
      </c>
    </row>
    <row r="587">
      <c r="A587" s="130" t="n">
        <v>45594</v>
      </c>
      <c r="B587" s="131" t="inlineStr">
        <is>
          <t>UPI/P2M/430390809811/Zerodha Broking Ltd  /505142/HDFC BANK LTD</t>
        </is>
      </c>
      <c r="C587" s="131" t="inlineStr">
        <is>
          <t>-</t>
        </is>
      </c>
      <c r="D587" s="131" t="n">
        <v>25000</v>
      </c>
      <c r="E587" s="131" t="n">
        <v>0</v>
      </c>
      <c r="F587" s="131" t="n">
        <v>16565.37</v>
      </c>
      <c r="G587" s="131" t="inlineStr">
        <is>
          <t>Zerodha Broking Limited</t>
        </is>
      </c>
      <c r="H587" s="131" t="inlineStr">
        <is>
          <t>AXIS 7042</t>
        </is>
      </c>
    </row>
    <row r="588">
      <c r="A588" s="130" t="n">
        <v>45595</v>
      </c>
      <c r="B588" s="131" t="inlineStr">
        <is>
          <t>NET PI TO HSL SEC A/C 523686-00602340029434</t>
        </is>
      </c>
      <c r="C588" s="131" t="inlineStr">
        <is>
          <t>0000000577342244</t>
        </is>
      </c>
      <c r="D588" s="131" t="n">
        <v>349.87</v>
      </c>
      <c r="E588" s="131" t="n">
        <v>0</v>
      </c>
      <c r="F588" s="131" t="n">
        <v>63238.76</v>
      </c>
      <c r="G588" s="131" t="inlineStr">
        <is>
          <t>HDFC Securities</t>
        </is>
      </c>
      <c r="H588" s="131" t="inlineStr">
        <is>
          <t>HDFC 0094</t>
        </is>
      </c>
    </row>
    <row r="589">
      <c r="A589" s="130" t="n">
        <v>45596</v>
      </c>
      <c r="B589" s="131" t="inlineStr">
        <is>
          <t>NET PI TO HSL SEC A/C 523686-00602340029434</t>
        </is>
      </c>
      <c r="C589" s="131" t="inlineStr">
        <is>
          <t>0000000577876068</t>
        </is>
      </c>
      <c r="D589" s="131" t="n">
        <v>85773.87</v>
      </c>
      <c r="E589" s="131" t="n">
        <v>0</v>
      </c>
      <c r="F589" s="131" t="n">
        <v>28899.64</v>
      </c>
      <c r="G589" s="131" t="inlineStr">
        <is>
          <t>HDFC Securities</t>
        </is>
      </c>
      <c r="H589" s="131" t="inlineStr">
        <is>
          <t>HDFC 0094</t>
        </is>
      </c>
    </row>
    <row r="590">
      <c r="A590" s="130" t="n">
        <v>45596</v>
      </c>
      <c r="B590" s="131" t="inlineStr">
        <is>
          <t>NET PI TO HSL SEC A/C 523686-00602340029434</t>
        </is>
      </c>
      <c r="C590" s="131" t="inlineStr">
        <is>
          <t>0000000577842363</t>
        </is>
      </c>
      <c r="D590" s="131" t="n">
        <v>6912.76</v>
      </c>
      <c r="E590" s="131" t="n">
        <v>0</v>
      </c>
      <c r="F590" s="131" t="n">
        <v>114673.51</v>
      </c>
      <c r="G590" s="131" t="inlineStr">
        <is>
          <t>HDFC Securities</t>
        </is>
      </c>
      <c r="H590" s="131" t="inlineStr">
        <is>
          <t>HDFC 0094</t>
        </is>
      </c>
    </row>
    <row r="591">
      <c r="A591" s="130" t="n">
        <v>45596</v>
      </c>
      <c r="B591" s="131" t="inlineStr">
        <is>
          <t>FT- INVESCO MF A/C - BS77 11104515 31020891566 45871233</t>
        </is>
      </c>
      <c r="C591" s="131" t="inlineStr">
        <is>
          <t>0000001826217238</t>
        </is>
      </c>
      <c r="D591" s="131" t="n">
        <v>0</v>
      </c>
      <c r="E591" s="131" t="n">
        <v>51273.2</v>
      </c>
      <c r="F591" s="131" t="n">
        <v>121936.14</v>
      </c>
      <c r="G591" s="131" t="inlineStr">
        <is>
          <t>Mutual Funds</t>
        </is>
      </c>
      <c r="H591" s="131" t="inlineStr">
        <is>
          <t>HDFC 0094</t>
        </is>
      </c>
    </row>
    <row r="592">
      <c r="A592" s="130" t="n">
        <v>45596</v>
      </c>
      <c r="B592" s="131" t="inlineStr">
        <is>
          <t>FT- 577607783-50200085415108 - HDFC SECURITIES LTD-CLIENT DSCNB A/C -</t>
        </is>
      </c>
      <c r="C592" s="131" t="inlineStr">
        <is>
          <t>0000000826132772</t>
        </is>
      </c>
      <c r="D592" s="131" t="n">
        <v>0</v>
      </c>
      <c r="E592" s="131" t="n">
        <v>7424.18</v>
      </c>
      <c r="F592" s="131" t="n">
        <v>70662.94</v>
      </c>
      <c r="G592" s="131" t="inlineStr">
        <is>
          <t>HDFC Securities</t>
        </is>
      </c>
      <c r="H592" s="131" t="inlineStr">
        <is>
          <t>HDFC 0094</t>
        </is>
      </c>
    </row>
    <row r="593">
      <c r="A593" s="130" t="n">
        <v>45596</v>
      </c>
      <c r="B593" s="131" t="inlineStr">
        <is>
          <t>NET PI TO HSL SEC A/C 523686-00602340029434</t>
        </is>
      </c>
      <c r="C593" s="131" t="inlineStr">
        <is>
          <t>0000000577728982</t>
        </is>
      </c>
      <c r="D593" s="131" t="n">
        <v>349.87</v>
      </c>
      <c r="E593" s="131" t="n">
        <v>0</v>
      </c>
      <c r="F593" s="131" t="n">
        <v>121586.27</v>
      </c>
      <c r="G593" s="131" t="inlineStr">
        <is>
          <t>HDFC Securities</t>
        </is>
      </c>
      <c r="H593" s="131" t="inlineStr">
        <is>
          <t>HDFC 0094</t>
        </is>
      </c>
    </row>
    <row r="594">
      <c r="A594" s="130" t="n">
        <v>45596</v>
      </c>
      <c r="B594" s="131" t="inlineStr">
        <is>
          <t>Dr Card Charges GST ANNUAL 4153XXXXXXXX5568</t>
        </is>
      </c>
      <c r="C594" s="131" t="inlineStr">
        <is>
          <t>-</t>
        </is>
      </c>
      <c r="D594" s="131" t="n">
        <v>590</v>
      </c>
      <c r="E594" s="131" t="n">
        <v>0</v>
      </c>
      <c r="F594" s="131" t="n">
        <v>15975.37</v>
      </c>
      <c r="G594" s="131" t="inlineStr">
        <is>
          <t>Bank Charges</t>
        </is>
      </c>
      <c r="H594" s="131" t="inlineStr">
        <is>
          <t>AXIS 7042</t>
        </is>
      </c>
    </row>
    <row r="595">
      <c r="A595" s="130" t="n">
        <v>45597</v>
      </c>
      <c r="B595" s="131" t="inlineStr">
        <is>
          <t>NEFT/YESF343062522862/ZERODHA BROKING LTD-DSCNB A//YES BANK/ad64ca2b52d2cc19a41251 Zerodh</t>
        </is>
      </c>
      <c r="C595" s="131" t="inlineStr">
        <is>
          <t>-</t>
        </is>
      </c>
      <c r="D595" s="131" t="n">
        <v>0</v>
      </c>
      <c r="E595" s="131" t="n">
        <v>25000</v>
      </c>
      <c r="F595" s="131" t="n">
        <v>40975.37</v>
      </c>
      <c r="G595" s="131" t="inlineStr">
        <is>
          <t>Transfer</t>
        </is>
      </c>
      <c r="H595" s="131" t="inlineStr">
        <is>
          <t>AXIS 7042</t>
        </is>
      </c>
    </row>
    <row r="596">
      <c r="A596" s="130" t="n">
        <v>45598</v>
      </c>
      <c r="B596" s="131" t="inlineStr">
        <is>
          <t>NET PI TO HSL SEC A/C 523686-00602340029434</t>
        </is>
      </c>
      <c r="C596" s="131" t="inlineStr">
        <is>
          <t>0000000578098192</t>
        </is>
      </c>
      <c r="D596" s="131" t="n">
        <v>6890.76</v>
      </c>
      <c r="E596" s="131" t="n">
        <v>0</v>
      </c>
      <c r="F596" s="131" t="n">
        <v>22008.88</v>
      </c>
      <c r="G596" s="131" t="inlineStr">
        <is>
          <t>HDFC Securities</t>
        </is>
      </c>
      <c r="H596" s="131" t="inlineStr">
        <is>
          <t>HDFC 0094</t>
        </is>
      </c>
    </row>
    <row r="597">
      <c r="A597" s="130" t="n">
        <v>45600</v>
      </c>
      <c r="B597" s="131" t="inlineStr">
        <is>
          <t>FT- 578249626-50200085415108 - HDFC SECURITIES LTD-CLIENT DSCNB A/C -</t>
        </is>
      </c>
      <c r="C597" s="131" t="inlineStr">
        <is>
          <t>0000000827846288</t>
        </is>
      </c>
      <c r="D597" s="131" t="n">
        <v>0</v>
      </c>
      <c r="E597" s="131" t="n">
        <v>10084.36</v>
      </c>
      <c r="F597" s="131" t="n">
        <v>32093.24</v>
      </c>
      <c r="G597" s="131" t="inlineStr">
        <is>
          <t>HDFC Securities</t>
        </is>
      </c>
      <c r="H597" s="131" t="inlineStr">
        <is>
          <t>HDFC 0094</t>
        </is>
      </c>
    </row>
    <row r="598">
      <c r="A598" s="130" t="n">
        <v>45600</v>
      </c>
      <c r="B598" s="131" t="inlineStr">
        <is>
          <t>NET PI TO HSL SEC A/C 523686-00602340029434</t>
        </is>
      </c>
      <c r="C598" s="131" t="inlineStr">
        <is>
          <t>0000000578523399</t>
        </is>
      </c>
      <c r="D598" s="131" t="n">
        <v>1287.88</v>
      </c>
      <c r="E598" s="131" t="n">
        <v>0</v>
      </c>
      <c r="F598" s="131" t="n">
        <v>30805.36</v>
      </c>
      <c r="G598" s="131" t="inlineStr">
        <is>
          <t>HDFC Securities</t>
        </is>
      </c>
      <c r="H598" s="131" t="inlineStr">
        <is>
          <t>HDFC 0094</t>
        </is>
      </c>
    </row>
    <row r="599">
      <c r="A599" s="130" t="n">
        <v>45600</v>
      </c>
      <c r="B599" s="131" t="inlineStr">
        <is>
          <t>NET PI TO HSL SEC A/C 523686-00602340029434</t>
        </is>
      </c>
      <c r="C599" s="131" t="inlineStr">
        <is>
          <t>0000000578766618</t>
        </is>
      </c>
      <c r="D599" s="131" t="n">
        <v>12909.03</v>
      </c>
      <c r="E599" s="131" t="n">
        <v>0</v>
      </c>
      <c r="F599" s="131" t="n">
        <v>17896.33</v>
      </c>
      <c r="G599" s="131" t="inlineStr">
        <is>
          <t>HDFC Securities</t>
        </is>
      </c>
      <c r="H599" s="131" t="inlineStr">
        <is>
          <t>HDFC 0094</t>
        </is>
      </c>
    </row>
    <row r="600">
      <c r="A600" s="130" t="n">
        <v>45601</v>
      </c>
      <c r="B600" s="131" t="inlineStr">
        <is>
          <t>ACH C- TCS2NDINTDIV051124-852371</t>
        </is>
      </c>
      <c r="C600" s="131" t="inlineStr">
        <is>
          <t>0000000599566692</t>
        </is>
      </c>
      <c r="D600" s="131" t="n">
        <v>0</v>
      </c>
      <c r="E600" s="131" t="n">
        <v>460</v>
      </c>
      <c r="F600" s="131" t="n">
        <v>17972.13</v>
      </c>
      <c r="G600" s="131" t="inlineStr">
        <is>
          <t>Dividend Income</t>
        </is>
      </c>
      <c r="H600" s="131" t="inlineStr">
        <is>
          <t>HDFC 0094</t>
        </is>
      </c>
    </row>
    <row r="601">
      <c r="A601" s="130" t="n">
        <v>45601</v>
      </c>
      <c r="B601" s="131" t="inlineStr">
        <is>
          <t>NET PI TO HSL SEC A/C 523686-00602340029434</t>
        </is>
      </c>
      <c r="C601" s="131" t="inlineStr">
        <is>
          <t>0000000579068219</t>
        </is>
      </c>
      <c r="D601" s="131" t="n">
        <v>384.2</v>
      </c>
      <c r="E601" s="131" t="n">
        <v>0</v>
      </c>
      <c r="F601" s="131" t="n">
        <v>17512.13</v>
      </c>
      <c r="G601" s="131" t="inlineStr">
        <is>
          <t>HDFC Securities</t>
        </is>
      </c>
      <c r="H601" s="131" t="inlineStr">
        <is>
          <t>HDFC 0094</t>
        </is>
      </c>
    </row>
    <row r="602">
      <c r="A602" s="130" t="n">
        <v>45602</v>
      </c>
      <c r="B602" s="131" t="inlineStr">
        <is>
          <t>NET PI TO HSL SEC A/C 523686-00602340029434</t>
        </is>
      </c>
      <c r="C602" s="131" t="inlineStr">
        <is>
          <t>0000000579511644</t>
        </is>
      </c>
      <c r="D602" s="131" t="n">
        <v>384.2</v>
      </c>
      <c r="E602" s="131" t="n">
        <v>0</v>
      </c>
      <c r="F602" s="131" t="n">
        <v>28596.14</v>
      </c>
      <c r="G602" s="131" t="inlineStr">
        <is>
          <t>HDFC Securities</t>
        </is>
      </c>
      <c r="H602" s="131" t="inlineStr">
        <is>
          <t>HDFC 0094</t>
        </is>
      </c>
    </row>
    <row r="603">
      <c r="A603" s="130" t="n">
        <v>45602</v>
      </c>
      <c r="B603" s="131" t="inlineStr">
        <is>
          <t>FT- 579367524-50200085415108 - HDFC SECURITIES LTD-CLIENT DSCNB A/C -</t>
        </is>
      </c>
      <c r="C603" s="131" t="inlineStr">
        <is>
          <t>0000000830495722</t>
        </is>
      </c>
      <c r="D603" s="131" t="n">
        <v>0</v>
      </c>
      <c r="E603" s="131" t="n">
        <v>11008.21</v>
      </c>
      <c r="F603" s="131" t="n">
        <v>28980.34</v>
      </c>
      <c r="G603" s="131" t="inlineStr">
        <is>
          <t>HDFC Securities</t>
        </is>
      </c>
      <c r="H603" s="131" t="inlineStr">
        <is>
          <t>HDFC 0094</t>
        </is>
      </c>
    </row>
    <row r="604">
      <c r="A604" s="130" t="n">
        <v>45603</v>
      </c>
      <c r="B604" s="131" t="inlineStr">
        <is>
          <t>NET PI TO HSL SEC A/C 523686-00602340029434</t>
        </is>
      </c>
      <c r="C604" s="131" t="inlineStr">
        <is>
          <t>0000000580130123</t>
        </is>
      </c>
      <c r="D604" s="131" t="n">
        <v>12083.67</v>
      </c>
      <c r="E604" s="131" t="n">
        <v>0</v>
      </c>
      <c r="F604" s="131" t="n">
        <v>73715.74000000001</v>
      </c>
      <c r="G604" s="131" t="inlineStr">
        <is>
          <t>HDFC Securities</t>
        </is>
      </c>
      <c r="H604" s="131" t="inlineStr">
        <is>
          <t>HDFC 0094</t>
        </is>
      </c>
    </row>
    <row r="605">
      <c r="A605" s="130" t="n">
        <v>45603</v>
      </c>
      <c r="B605" s="131" t="inlineStr">
        <is>
          <t>NEFT CR-SBIN0004266-SBI GENERAL INSURANCE CO LTDSBI GEN-SUNITA GUPTA 0000000002717756-SBIN224312774608</t>
        </is>
      </c>
      <c r="C605" s="131" t="inlineStr">
        <is>
          <t>SBIN224312774608</t>
        </is>
      </c>
      <c r="D605" s="131" t="n">
        <v>0</v>
      </c>
      <c r="E605" s="131" t="n">
        <v>36958</v>
      </c>
      <c r="F605" s="131" t="n">
        <v>85799.41</v>
      </c>
      <c r="G605" s="131" t="inlineStr">
        <is>
          <t>Sunita Gupta</t>
        </is>
      </c>
      <c r="H605" s="131" t="inlineStr">
        <is>
          <t>HDFC 0094</t>
        </is>
      </c>
    </row>
    <row r="606">
      <c r="A606" s="130" t="n">
        <v>45603</v>
      </c>
      <c r="B606" s="131" t="inlineStr">
        <is>
          <t>NET PI TO HSL SEC A/C 523686-00602340029434</t>
        </is>
      </c>
      <c r="C606" s="131" t="inlineStr">
        <is>
          <t>0000000579946012</t>
        </is>
      </c>
      <c r="D606" s="131" t="n">
        <v>388.12</v>
      </c>
      <c r="E606" s="131" t="n">
        <v>0</v>
      </c>
      <c r="F606" s="131" t="n">
        <v>48141.41</v>
      </c>
      <c r="G606" s="131" t="inlineStr">
        <is>
          <t>HDFC Securities</t>
        </is>
      </c>
      <c r="H606" s="131" t="inlineStr">
        <is>
          <t>HDFC 0094</t>
        </is>
      </c>
    </row>
    <row r="607">
      <c r="A607" s="130" t="n">
        <v>45603</v>
      </c>
      <c r="B607" s="131" t="inlineStr">
        <is>
          <t>FT- 579792596-50200085415108 - HDFC SECURITIES LTD-CLIENT DSCNB A/C -</t>
        </is>
      </c>
      <c r="C607" s="131" t="inlineStr">
        <is>
          <t>0000000831980312</t>
        </is>
      </c>
      <c r="D607" s="131" t="n">
        <v>0</v>
      </c>
      <c r="E607" s="131" t="n">
        <v>19933.39</v>
      </c>
      <c r="F607" s="131" t="n">
        <v>48529.53</v>
      </c>
      <c r="G607" s="131" t="inlineStr">
        <is>
          <t>HDFC Securities</t>
        </is>
      </c>
      <c r="H607" s="131" t="inlineStr">
        <is>
          <t>HDFC 0094</t>
        </is>
      </c>
    </row>
    <row r="608">
      <c r="A608" s="130" t="n">
        <v>45603</v>
      </c>
      <c r="B608" s="131" t="inlineStr">
        <is>
          <t>ACH C- LTIMIN INT 2024 25-184405</t>
        </is>
      </c>
      <c r="C608" s="131" t="inlineStr">
        <is>
          <t>0000000844690671</t>
        </is>
      </c>
      <c r="D608" s="131" t="n">
        <v>0</v>
      </c>
      <c r="E608" s="131" t="n">
        <v>700</v>
      </c>
      <c r="F608" s="131" t="n">
        <v>48841.41</v>
      </c>
      <c r="G608" s="131" t="inlineStr">
        <is>
          <t>Dividend Income</t>
        </is>
      </c>
      <c r="H608" s="131" t="inlineStr">
        <is>
          <t>HDFC 0094</t>
        </is>
      </c>
    </row>
    <row r="609">
      <c r="A609" s="130" t="n">
        <v>45604</v>
      </c>
      <c r="B609" s="131" t="inlineStr">
        <is>
          <t>0611208954 INFY INTDIV2024-25 45328804</t>
        </is>
      </c>
      <c r="C609" s="131" t="inlineStr">
        <is>
          <t>0000061124134567</t>
        </is>
      </c>
      <c r="D609" s="131" t="n">
        <v>0</v>
      </c>
      <c r="E609" s="131" t="n">
        <v>840</v>
      </c>
      <c r="F609" s="131" t="n">
        <v>74555.74000000001</v>
      </c>
      <c r="G609" s="131" t="inlineStr">
        <is>
          <t>Dividend Income</t>
        </is>
      </c>
      <c r="H609" s="131" t="inlineStr">
        <is>
          <t>HDFC 0094</t>
        </is>
      </c>
    </row>
    <row r="610">
      <c r="A610" s="130" t="n">
        <v>45604</v>
      </c>
      <c r="B610" s="131" t="inlineStr">
        <is>
          <t>NET PI TO HSL SEC A/C 523686-00602340029434</t>
        </is>
      </c>
      <c r="C610" s="131" t="inlineStr">
        <is>
          <t>0000000580606205</t>
        </is>
      </c>
      <c r="D610" s="131" t="n">
        <v>21327.23</v>
      </c>
      <c r="E610" s="131" t="n">
        <v>0</v>
      </c>
      <c r="F610" s="131" t="n">
        <v>52837.6</v>
      </c>
      <c r="G610" s="131" t="inlineStr">
        <is>
          <t>HDFC Securities</t>
        </is>
      </c>
      <c r="H610" s="131" t="inlineStr">
        <is>
          <t>HDFC 0094</t>
        </is>
      </c>
    </row>
    <row r="611">
      <c r="A611" s="130" t="n">
        <v>45604</v>
      </c>
      <c r="B611" s="131" t="inlineStr">
        <is>
          <t>NET PI TO HSL SEC A/C 523686-00602340029434</t>
        </is>
      </c>
      <c r="C611" s="131" t="inlineStr">
        <is>
          <t>0000000580395647</t>
        </is>
      </c>
      <c r="D611" s="131" t="n">
        <v>390.91</v>
      </c>
      <c r="E611" s="131" t="n">
        <v>0</v>
      </c>
      <c r="F611" s="131" t="n">
        <v>74164.83</v>
      </c>
      <c r="G611" s="131" t="inlineStr">
        <is>
          <t>HDFC Securities</t>
        </is>
      </c>
      <c r="H611" s="131" t="inlineStr">
        <is>
          <t>HDFC 0094</t>
        </is>
      </c>
    </row>
    <row r="612">
      <c r="A612" s="130" t="n">
        <v>45607</v>
      </c>
      <c r="B612" s="131" t="inlineStr">
        <is>
          <t>NET PI TO HSL SEC A/C 523686-00602340029434</t>
        </is>
      </c>
      <c r="C612" s="131" t="inlineStr">
        <is>
          <t>0000000580935996</t>
        </is>
      </c>
      <c r="D612" s="131" t="n">
        <v>1149.96</v>
      </c>
      <c r="E612" s="131" t="n">
        <v>0</v>
      </c>
      <c r="F612" s="131" t="n">
        <v>51687.64</v>
      </c>
      <c r="G612" s="131" t="inlineStr">
        <is>
          <t>HDFC Securities</t>
        </is>
      </c>
      <c r="H612" s="131" t="inlineStr">
        <is>
          <t>HDFC 0094</t>
        </is>
      </c>
    </row>
    <row r="613">
      <c r="A613" s="130" t="n">
        <v>45608</v>
      </c>
      <c r="B613" s="131" t="inlineStr">
        <is>
          <t>UPI/P2A/431766739628/BHARTI RATAN DEVNANI /UPI/Union Bank of India</t>
        </is>
      </c>
      <c r="C613" s="131" t="inlineStr">
        <is>
          <t>-</t>
        </is>
      </c>
      <c r="D613" s="131" t="n">
        <v>3420</v>
      </c>
      <c r="E613" s="131" t="n">
        <v>0</v>
      </c>
      <c r="F613" s="131" t="n">
        <v>37555.37</v>
      </c>
      <c r="G613" s="131" t="inlineStr">
        <is>
          <t>Personal</t>
        </is>
      </c>
      <c r="H613" s="131" t="inlineStr">
        <is>
          <t>AXIS 7042</t>
        </is>
      </c>
    </row>
    <row r="614">
      <c r="A614" s="130" t="n">
        <v>45608</v>
      </c>
      <c r="B614" s="131" t="inlineStr">
        <is>
          <t>NET PI TO HSL SEC A/C 523686-00602340029434</t>
        </is>
      </c>
      <c r="C614" s="131" t="inlineStr">
        <is>
          <t>0000000581143374</t>
        </is>
      </c>
      <c r="D614" s="131" t="n">
        <v>18988.82</v>
      </c>
      <c r="E614" s="131" t="n">
        <v>0</v>
      </c>
      <c r="F614" s="131" t="n">
        <v>32698.82</v>
      </c>
      <c r="G614" s="131" t="inlineStr">
        <is>
          <t>HDFC Securities</t>
        </is>
      </c>
      <c r="H614" s="131" t="inlineStr">
        <is>
          <t>HDFC 0094</t>
        </is>
      </c>
    </row>
    <row r="615">
      <c r="A615" s="130" t="n">
        <v>45608</v>
      </c>
      <c r="B615" s="131" t="inlineStr">
        <is>
          <t>FT- 581299632-50200085415108 - HDFC SECURITIES LTD-CLIENT DSCNB A/C -</t>
        </is>
      </c>
      <c r="C615" s="131" t="inlineStr">
        <is>
          <t>0000000838553458</t>
        </is>
      </c>
      <c r="D615" s="131" t="n">
        <v>0</v>
      </c>
      <c r="E615" s="131" t="n">
        <v>12632.07</v>
      </c>
      <c r="F615" s="131" t="n">
        <v>45330.89</v>
      </c>
      <c r="G615" s="131" t="inlineStr">
        <is>
          <t>HDFC Securities</t>
        </is>
      </c>
      <c r="H615" s="131" t="inlineStr">
        <is>
          <t>HDFC 0094</t>
        </is>
      </c>
    </row>
    <row r="616">
      <c r="A616" s="130" t="n">
        <v>45608</v>
      </c>
      <c r="B616" s="131" t="inlineStr">
        <is>
          <t>NET PI TO HSL SEC A/C 523686-00602340029434</t>
        </is>
      </c>
      <c r="C616" s="131" t="inlineStr">
        <is>
          <t>0000000581598063</t>
        </is>
      </c>
      <c r="D616" s="131" t="n">
        <v>10252.52</v>
      </c>
      <c r="E616" s="131" t="n">
        <v>0</v>
      </c>
      <c r="F616" s="131" t="n">
        <v>34701.82</v>
      </c>
      <c r="G616" s="131" t="inlineStr">
        <is>
          <t>HDFC Securities</t>
        </is>
      </c>
      <c r="H616" s="131" t="inlineStr">
        <is>
          <t>HDFC 0094</t>
        </is>
      </c>
    </row>
    <row r="617">
      <c r="A617" s="130" t="n">
        <v>45608</v>
      </c>
      <c r="B617" s="131" t="inlineStr">
        <is>
          <t>NET PI TO HSL SEC A/C 523686-00602340029434</t>
        </is>
      </c>
      <c r="C617" s="131" t="inlineStr">
        <is>
          <t>0000000581420546</t>
        </is>
      </c>
      <c r="D617" s="131" t="n">
        <v>376.55</v>
      </c>
      <c r="E617" s="131" t="n">
        <v>0</v>
      </c>
      <c r="F617" s="131" t="n">
        <v>44954.34</v>
      </c>
      <c r="G617" s="131" t="inlineStr">
        <is>
          <t>HDFC Securities</t>
        </is>
      </c>
      <c r="H617" s="131" t="inlineStr">
        <is>
          <t>HDFC 0094</t>
        </is>
      </c>
    </row>
    <row r="618">
      <c r="A618" s="130" t="n">
        <v>45609</v>
      </c>
      <c r="B618" s="131" t="inlineStr">
        <is>
          <t>DEPOSITORY CHARGES OCT24 - 41060499</t>
        </is>
      </c>
      <c r="C618" s="131" t="inlineStr">
        <is>
          <t>000000000000000</t>
        </is>
      </c>
      <c r="D618" s="131" t="n">
        <v>507.4</v>
      </c>
      <c r="E618" s="131" t="n">
        <v>0</v>
      </c>
      <c r="F618" s="131" t="n">
        <v>34194.42</v>
      </c>
      <c r="G618" s="131" t="inlineStr">
        <is>
          <t>Depository Charges</t>
        </is>
      </c>
      <c r="H618" s="131" t="inlineStr">
        <is>
          <t>HDFC 0094</t>
        </is>
      </c>
    </row>
    <row r="619">
      <c r="A619" s="130" t="n">
        <v>45609</v>
      </c>
      <c r="B619" s="131" t="inlineStr">
        <is>
          <t>NET PI TO HSL SEC A/C 523686-00602340029434</t>
        </is>
      </c>
      <c r="C619" s="131" t="inlineStr">
        <is>
          <t>0000000582092439</t>
        </is>
      </c>
      <c r="D619" s="131" t="n">
        <v>25275.8</v>
      </c>
      <c r="E619" s="131" t="n">
        <v>0</v>
      </c>
      <c r="F619" s="131" t="n">
        <v>8545.719999999999</v>
      </c>
      <c r="G619" s="131" t="inlineStr">
        <is>
          <t>HDFC Securities</t>
        </is>
      </c>
      <c r="H619" s="131" t="inlineStr">
        <is>
          <t>HDFC 0094</t>
        </is>
      </c>
    </row>
    <row r="620">
      <c r="A620" s="130" t="n">
        <v>45609</v>
      </c>
      <c r="B620" s="131" t="inlineStr">
        <is>
          <t>UPI/P2A/431861950461/ARCHIT GUPTA         /UPI/AXIS BANK</t>
        </is>
      </c>
      <c r="C620" s="131" t="inlineStr">
        <is>
          <t>-</t>
        </is>
      </c>
      <c r="D620" s="131" t="n">
        <v>10000</v>
      </c>
      <c r="E620" s="131" t="n">
        <v>0</v>
      </c>
      <c r="F620" s="131" t="n">
        <v>27555.37</v>
      </c>
      <c r="G620" s="131" t="inlineStr">
        <is>
          <t>Archit Gupta</t>
        </is>
      </c>
      <c r="H620" s="131" t="inlineStr">
        <is>
          <t>AXIS 7042</t>
        </is>
      </c>
    </row>
    <row r="621">
      <c r="A621" s="130" t="n">
        <v>45609</v>
      </c>
      <c r="B621" s="131" t="inlineStr">
        <is>
          <t>UPI/P2A/975907133184/GOOGLE IN/AXIS BANK/Rewarded/</t>
        </is>
      </c>
      <c r="C621" s="131" t="inlineStr">
        <is>
          <t>-</t>
        </is>
      </c>
      <c r="D621" s="131" t="n">
        <v>0</v>
      </c>
      <c r="E621" s="131" t="n">
        <v>5</v>
      </c>
      <c r="F621" s="131" t="n">
        <v>27560.37</v>
      </c>
      <c r="G621" s="131" t="inlineStr">
        <is>
          <t>Personal</t>
        </is>
      </c>
      <c r="H621" s="131" t="inlineStr">
        <is>
          <t>AXIS 7042</t>
        </is>
      </c>
    </row>
    <row r="622">
      <c r="A622" s="130" t="n">
        <v>45609</v>
      </c>
      <c r="B622" s="131" t="inlineStr">
        <is>
          <t>NET PI TO HSL SEC A/C 523686-00602340029434</t>
        </is>
      </c>
      <c r="C622" s="131" t="inlineStr">
        <is>
          <t>0000000581859372</t>
        </is>
      </c>
      <c r="D622" s="131" t="n">
        <v>372.9</v>
      </c>
      <c r="E622" s="131" t="n">
        <v>0</v>
      </c>
      <c r="F622" s="131" t="n">
        <v>33821.52</v>
      </c>
      <c r="G622" s="131" t="inlineStr">
        <is>
          <t>HDFC Securities</t>
        </is>
      </c>
      <c r="H622" s="131" t="inlineStr">
        <is>
          <t>HDFC 0094</t>
        </is>
      </c>
    </row>
    <row r="623">
      <c r="A623" s="130" t="n">
        <v>45609</v>
      </c>
      <c r="B623" s="131" t="inlineStr">
        <is>
          <t>UPI/P2A/431836159142/ARCHIT GU/Axis Bank/UPI/</t>
        </is>
      </c>
      <c r="C623" s="131" t="inlineStr">
        <is>
          <t>-</t>
        </is>
      </c>
      <c r="D623" s="131" t="n">
        <v>0</v>
      </c>
      <c r="E623" s="131" t="n">
        <v>10000</v>
      </c>
      <c r="F623" s="131" t="n">
        <v>37560.37</v>
      </c>
      <c r="G623" s="131" t="inlineStr">
        <is>
          <t>Archit Gupta</t>
        </is>
      </c>
      <c r="H623" s="131" t="inlineStr">
        <is>
          <t>AXIS 7042</t>
        </is>
      </c>
    </row>
    <row r="624">
      <c r="A624" s="130" t="n">
        <v>45610</v>
      </c>
      <c r="B624" s="131" t="inlineStr">
        <is>
          <t>NET PI TO HSL SEC A/C 523686-00602340029434</t>
        </is>
      </c>
      <c r="C624" s="131" t="inlineStr">
        <is>
          <t>0000000582532586</t>
        </is>
      </c>
      <c r="D624" s="131" t="n">
        <v>4836.18</v>
      </c>
      <c r="E624" s="131" t="n">
        <v>0</v>
      </c>
      <c r="F624" s="131" t="n">
        <v>3345.64</v>
      </c>
      <c r="G624" s="131" t="inlineStr">
        <is>
          <t>HDFC Securities</t>
        </is>
      </c>
      <c r="H624" s="131" t="inlineStr">
        <is>
          <t>HDFC 0094</t>
        </is>
      </c>
    </row>
    <row r="625">
      <c r="A625" s="130" t="n">
        <v>45610</v>
      </c>
      <c r="B625" s="131" t="inlineStr">
        <is>
          <t>NET PI TO HSL SEC A/C 523686-00602340029434</t>
        </is>
      </c>
      <c r="C625" s="131" t="inlineStr">
        <is>
          <t>0000000582351694</t>
        </is>
      </c>
      <c r="D625" s="131" t="n">
        <v>363.9</v>
      </c>
      <c r="E625" s="131" t="n">
        <v>0</v>
      </c>
      <c r="F625" s="131" t="n">
        <v>8181.82</v>
      </c>
      <c r="G625" s="131" t="inlineStr">
        <is>
          <t>HDFC Securities</t>
        </is>
      </c>
      <c r="H625" s="131" t="inlineStr">
        <is>
          <t>HDFC 0094</t>
        </is>
      </c>
    </row>
    <row r="626">
      <c r="A626" s="130" t="n">
        <v>45611</v>
      </c>
      <c r="B626" s="131" t="inlineStr">
        <is>
          <t>01671000085930-TPT-BORROW FROM AJAY HDFC-AJAY KUMAR GUPTA</t>
        </is>
      </c>
      <c r="C626" s="131" t="inlineStr">
        <is>
          <t>0000000178961580</t>
        </is>
      </c>
      <c r="D626" s="131" t="n">
        <v>0</v>
      </c>
      <c r="E626" s="131" t="n">
        <v>25000</v>
      </c>
      <c r="F626" s="131" t="n">
        <v>28345.64</v>
      </c>
      <c r="G626" s="131" t="inlineStr">
        <is>
          <t>Ajay Gupta</t>
        </is>
      </c>
      <c r="H626" s="131" t="inlineStr">
        <is>
          <t>HDFC 0094</t>
        </is>
      </c>
    </row>
    <row r="627">
      <c r="A627" s="130" t="n">
        <v>45612</v>
      </c>
      <c r="B627" s="131" t="inlineStr">
        <is>
          <t>DR LAL PATH DIV24 2500000000000000008238</t>
        </is>
      </c>
      <c r="C627" s="131" t="inlineStr">
        <is>
          <t>0000243218238387</t>
        </is>
      </c>
      <c r="D627" s="131" t="n">
        <v>0</v>
      </c>
      <c r="E627" s="131" t="n">
        <v>210</v>
      </c>
      <c r="F627" s="131" t="n">
        <v>28555.64</v>
      </c>
      <c r="G627" s="131" t="inlineStr">
        <is>
          <t>Dividend Income</t>
        </is>
      </c>
      <c r="H627" s="131" t="inlineStr">
        <is>
          <t>HDFC 0094</t>
        </is>
      </c>
    </row>
    <row r="628">
      <c r="A628" s="130" t="n">
        <v>45614</v>
      </c>
      <c r="B628" s="131" t="inlineStr">
        <is>
          <t>NET PI TO HSL SEC A/C 523686-00602340029434</t>
        </is>
      </c>
      <c r="C628" s="131" t="inlineStr">
        <is>
          <t>0000000582858649</t>
        </is>
      </c>
      <c r="D628" s="131" t="n">
        <v>1448.72</v>
      </c>
      <c r="E628" s="131" t="n">
        <v>0</v>
      </c>
      <c r="F628" s="131" t="n">
        <v>22106.92</v>
      </c>
      <c r="G628" s="131" t="inlineStr">
        <is>
          <t>HDFC Securities</t>
        </is>
      </c>
      <c r="H628" s="131" t="inlineStr">
        <is>
          <t>HDFC 0094</t>
        </is>
      </c>
    </row>
    <row r="629">
      <c r="A629" s="130" t="n">
        <v>45614</v>
      </c>
      <c r="B629" s="131" t="inlineStr">
        <is>
          <t>ACH D- INDIAN CLEARING CORP-P25847643X05</t>
        </is>
      </c>
      <c r="C629" s="131" t="inlineStr">
        <is>
          <t>0000001210939104</t>
        </is>
      </c>
      <c r="D629" s="131" t="n">
        <v>5000</v>
      </c>
      <c r="E629" s="131" t="n">
        <v>0</v>
      </c>
      <c r="F629" s="131" t="n">
        <v>23555.64</v>
      </c>
      <c r="G629" s="131" t="inlineStr">
        <is>
          <t>Mutual_Fund_Investments</t>
        </is>
      </c>
      <c r="H629" s="131" t="inlineStr">
        <is>
          <t>HDFC 0094</t>
        </is>
      </c>
    </row>
    <row r="630">
      <c r="A630" s="130" t="n">
        <v>45615</v>
      </c>
      <c r="B630" s="131" t="inlineStr">
        <is>
          <t>ACH C- SHRIRAM.FINLTD IDV25-STFCIN300476</t>
        </is>
      </c>
      <c r="C630" s="131" t="inlineStr">
        <is>
          <t>0000001382701632</t>
        </is>
      </c>
      <c r="D630" s="131" t="n">
        <v>0</v>
      </c>
      <c r="E630" s="131" t="n">
        <v>704</v>
      </c>
      <c r="F630" s="131" t="n">
        <v>23954.71</v>
      </c>
      <c r="G630" s="131" t="inlineStr">
        <is>
          <t>Dividend Income</t>
        </is>
      </c>
      <c r="H630" s="131" t="inlineStr">
        <is>
          <t>HDFC 0094</t>
        </is>
      </c>
    </row>
    <row r="631">
      <c r="A631" s="130" t="n">
        <v>45615</v>
      </c>
      <c r="B631" s="131" t="inlineStr">
        <is>
          <t>ACH C- CAMS 2ND INT 2024 25-162211</t>
        </is>
      </c>
      <c r="C631" s="131" t="inlineStr">
        <is>
          <t>0000001317850832</t>
        </is>
      </c>
      <c r="D631" s="131" t="n">
        <v>0</v>
      </c>
      <c r="E631" s="131" t="n">
        <v>375</v>
      </c>
      <c r="F631" s="131" t="n">
        <v>23250.71</v>
      </c>
      <c r="G631" s="131" t="inlineStr">
        <is>
          <t>Dividend Income</t>
        </is>
      </c>
      <c r="H631" s="131" t="inlineStr">
        <is>
          <t>HDFC 0094</t>
        </is>
      </c>
    </row>
    <row r="632">
      <c r="A632" s="130" t="n">
        <v>45615</v>
      </c>
      <c r="B632" s="131" t="inlineStr">
        <is>
          <t>NET PI TO HSL SEC A/C 523686-00602340029434</t>
        </is>
      </c>
      <c r="C632" s="131" t="inlineStr">
        <is>
          <t>0000000583320782</t>
        </is>
      </c>
      <c r="D632" s="131" t="n">
        <v>362.18</v>
      </c>
      <c r="E632" s="131" t="n">
        <v>0</v>
      </c>
      <c r="F632" s="131" t="n">
        <v>22875.71</v>
      </c>
      <c r="G632" s="131" t="inlineStr">
        <is>
          <t>HDFC Securities</t>
        </is>
      </c>
      <c r="H632" s="131" t="inlineStr">
        <is>
          <t>HDFC 0094</t>
        </is>
      </c>
    </row>
    <row r="633">
      <c r="A633" s="130" t="n">
        <v>45615</v>
      </c>
      <c r="B633" s="131" t="inlineStr">
        <is>
          <t>FT- 583186864-50200085415108 - HDFC SECURITIES LTD-CLIENT DSCNB A/C -</t>
        </is>
      </c>
      <c r="C633" s="131" t="inlineStr">
        <is>
          <t>0000000844903657</t>
        </is>
      </c>
      <c r="D633" s="131" t="n">
        <v>0</v>
      </c>
      <c r="E633" s="131" t="n">
        <v>1130.97</v>
      </c>
      <c r="F633" s="131" t="n">
        <v>23237.89</v>
      </c>
      <c r="G633" s="131" t="inlineStr">
        <is>
          <t>HDFC Securities</t>
        </is>
      </c>
      <c r="H633" s="131" t="inlineStr">
        <is>
          <t>HDFC 0094</t>
        </is>
      </c>
    </row>
    <row r="634">
      <c r="A634" s="130" t="n">
        <v>45617</v>
      </c>
      <c r="B634" s="131" t="inlineStr">
        <is>
          <t>FT- 583585295-50200085415108 - HDFC SECURITIES LTD-CLIENT DSCNB A/C -</t>
        </is>
      </c>
      <c r="C634" s="131" t="inlineStr">
        <is>
          <t>0000000846872023</t>
        </is>
      </c>
      <c r="D634" s="131" t="n">
        <v>0</v>
      </c>
      <c r="E634" s="131" t="n">
        <v>4778.92</v>
      </c>
      <c r="F634" s="131" t="n">
        <v>28733.63</v>
      </c>
      <c r="G634" s="131" t="inlineStr">
        <is>
          <t>HDFC Securities</t>
        </is>
      </c>
      <c r="H634" s="131" t="inlineStr">
        <is>
          <t>HDFC 0094</t>
        </is>
      </c>
    </row>
    <row r="635">
      <c r="A635" s="130" t="n">
        <v>45617</v>
      </c>
      <c r="B635" s="131" t="inlineStr">
        <is>
          <t>ACH C- COAL INDIA LTD-1619328</t>
        </is>
      </c>
      <c r="C635" s="131" t="inlineStr">
        <is>
          <t>0000001437922408</t>
        </is>
      </c>
      <c r="D635" s="131" t="n">
        <v>0</v>
      </c>
      <c r="E635" s="131" t="n">
        <v>47</v>
      </c>
      <c r="F635" s="131" t="n">
        <v>28055.47</v>
      </c>
      <c r="G635" s="131" t="inlineStr">
        <is>
          <t>Dividend Income</t>
        </is>
      </c>
      <c r="H635" s="131" t="inlineStr">
        <is>
          <t>HDFC 0094</t>
        </is>
      </c>
    </row>
    <row r="636">
      <c r="A636" s="130" t="n">
        <v>45617</v>
      </c>
      <c r="B636" s="131" t="inlineStr">
        <is>
          <t>ACH C- HUL INT AND SPLDIV24-000000000000</t>
        </is>
      </c>
      <c r="C636" s="131" t="inlineStr">
        <is>
          <t>0000007329202326</t>
        </is>
      </c>
      <c r="D636" s="131" t="n">
        <v>0</v>
      </c>
      <c r="E636" s="131" t="n">
        <v>870</v>
      </c>
      <c r="F636" s="131" t="n">
        <v>28925.47</v>
      </c>
      <c r="G636" s="131" t="inlineStr">
        <is>
          <t>Dividend Income</t>
        </is>
      </c>
      <c r="H636" s="131" t="inlineStr">
        <is>
          <t>HDFC 0094</t>
        </is>
      </c>
    </row>
    <row r="637">
      <c r="A637" s="130" t="n">
        <v>45617</v>
      </c>
      <c r="B637" s="131" t="inlineStr">
        <is>
          <t>ACH C- NAVIN FLUORINE-000000000000037301</t>
        </is>
      </c>
      <c r="C637" s="131" t="inlineStr">
        <is>
          <t>0000007549226326</t>
        </is>
      </c>
      <c r="D637" s="131" t="n">
        <v>0</v>
      </c>
      <c r="E637" s="131" t="n">
        <v>250</v>
      </c>
      <c r="F637" s="131" t="n">
        <v>29175.47</v>
      </c>
      <c r="G637" s="131" t="inlineStr">
        <is>
          <t>Dividend Income</t>
        </is>
      </c>
      <c r="H637" s="131" t="inlineStr">
        <is>
          <t>HDFC 0094</t>
        </is>
      </c>
    </row>
    <row r="638">
      <c r="A638" s="130" t="n">
        <v>45617</v>
      </c>
      <c r="B638" s="131" t="inlineStr">
        <is>
          <t>NET PI TO HSL SEC A/C 523686-00602340029434</t>
        </is>
      </c>
      <c r="C638" s="131" t="inlineStr">
        <is>
          <t>0000000583965639</t>
        </is>
      </c>
      <c r="D638" s="131" t="n">
        <v>8025.47</v>
      </c>
      <c r="E638" s="131" t="n">
        <v>0</v>
      </c>
      <c r="F638" s="131" t="n">
        <v>21150</v>
      </c>
      <c r="G638" s="131" t="inlineStr">
        <is>
          <t>HDFC Securities</t>
        </is>
      </c>
      <c r="H638" s="131" t="inlineStr">
        <is>
          <t>HDFC 0094</t>
        </is>
      </c>
    </row>
    <row r="639">
      <c r="A639" s="130" t="n">
        <v>45617</v>
      </c>
      <c r="B639" s="131" t="inlineStr">
        <is>
          <t>NET PI TO HSL SEC A/C 523686-00602340029434</t>
        </is>
      </c>
      <c r="C639" s="131" t="inlineStr">
        <is>
          <t>0000000583741513</t>
        </is>
      </c>
      <c r="D639" s="131" t="n">
        <v>725.16</v>
      </c>
      <c r="E639" s="131" t="n">
        <v>0</v>
      </c>
      <c r="F639" s="131" t="n">
        <v>28008.47</v>
      </c>
      <c r="G639" s="131" t="inlineStr">
        <is>
          <t>HDFC Securities</t>
        </is>
      </c>
      <c r="H639" s="131" t="inlineStr">
        <is>
          <t>HDFC 0094</t>
        </is>
      </c>
    </row>
    <row r="640">
      <c r="A640" s="130" t="n">
        <v>45618</v>
      </c>
      <c r="B640" s="131" t="inlineStr">
        <is>
          <t>NET PI TO HSL SEC A/C 523686-00602340029434</t>
        </is>
      </c>
      <c r="C640" s="131" t="inlineStr">
        <is>
          <t>0000000584231215</t>
        </is>
      </c>
      <c r="D640" s="131" t="n">
        <v>361.42</v>
      </c>
      <c r="E640" s="131" t="n">
        <v>0</v>
      </c>
      <c r="F640" s="131" t="n">
        <v>20788.58</v>
      </c>
      <c r="G640" s="131" t="inlineStr">
        <is>
          <t>HDFC Securities</t>
        </is>
      </c>
      <c r="H640" s="131" t="inlineStr">
        <is>
          <t>HDFC 0094</t>
        </is>
      </c>
    </row>
    <row r="641">
      <c r="A641" s="130" t="n">
        <v>45618</v>
      </c>
      <c r="B641" s="131" t="inlineStr">
        <is>
          <t>ACH C- DABUR INDIA LIMITED-9118516</t>
        </is>
      </c>
      <c r="C641" s="131" t="inlineStr">
        <is>
          <t>0000001426867930</t>
        </is>
      </c>
      <c r="D641" s="131" t="n">
        <v>0</v>
      </c>
      <c r="E641" s="131" t="n">
        <v>206.25</v>
      </c>
      <c r="F641" s="131" t="n">
        <v>20994.83</v>
      </c>
      <c r="G641" s="131" t="inlineStr">
        <is>
          <t>Dividend Income</t>
        </is>
      </c>
      <c r="H641" s="131" t="inlineStr">
        <is>
          <t>HDFC 0094</t>
        </is>
      </c>
    </row>
    <row r="642">
      <c r="A642" s="130" t="n">
        <v>45618</v>
      </c>
      <c r="B642" s="131" t="inlineStr">
        <is>
          <t>YHDF2482557867/BILLDKTHECALCUTTAELE</t>
        </is>
      </c>
      <c r="C642" s="131" t="inlineStr">
        <is>
          <t>0002432768309002</t>
        </is>
      </c>
      <c r="D642" s="131" t="n">
        <v>15773</v>
      </c>
      <c r="E642" s="131" t="n">
        <v>0</v>
      </c>
      <c r="F642" s="131" t="n">
        <v>5221.83</v>
      </c>
      <c r="G642" s="131" t="inlineStr">
        <is>
          <t>SIP</t>
        </is>
      </c>
      <c r="H642" s="131" t="inlineStr">
        <is>
          <t>HDFC 0094</t>
        </is>
      </c>
    </row>
    <row r="643">
      <c r="A643" s="130" t="n">
        <v>45621</v>
      </c>
      <c r="B643" s="131" t="inlineStr">
        <is>
          <t>FT- 584504407-50200085415108 - HDFC SECURITIES LTD-CLIENT DSCNB A/C -</t>
        </is>
      </c>
      <c r="C643" s="131" t="inlineStr">
        <is>
          <t>0000000849717570</t>
        </is>
      </c>
      <c r="D643" s="131" t="n">
        <v>0</v>
      </c>
      <c r="E643" s="131" t="n">
        <v>16228.32</v>
      </c>
      <c r="F643" s="131" t="n">
        <v>21450.15</v>
      </c>
      <c r="G643" s="131" t="inlineStr">
        <is>
          <t>HDFC Securities</t>
        </is>
      </c>
      <c r="H643" s="131" t="inlineStr">
        <is>
          <t>HDFC 0094</t>
        </is>
      </c>
    </row>
    <row r="644">
      <c r="A644" s="130" t="n">
        <v>45621</v>
      </c>
      <c r="B644" s="131" t="inlineStr">
        <is>
          <t>FT- 584540072-50200085415108 - HDFC SECURITIES LTD-CLIENT DSCNB A/C -</t>
        </is>
      </c>
      <c r="C644" s="131" t="inlineStr">
        <is>
          <t>0000000849737762</t>
        </is>
      </c>
      <c r="D644" s="131" t="n">
        <v>0</v>
      </c>
      <c r="E644" s="131" t="n">
        <v>54843.1</v>
      </c>
      <c r="F644" s="131" t="n">
        <v>76293.25</v>
      </c>
      <c r="G644" s="131" t="inlineStr">
        <is>
          <t>HDFC Securities</t>
        </is>
      </c>
      <c r="H644" s="131" t="inlineStr">
        <is>
          <t>HDFC 0094</t>
        </is>
      </c>
    </row>
    <row r="645">
      <c r="A645" s="130" t="n">
        <v>45621</v>
      </c>
      <c r="B645" s="131" t="inlineStr">
        <is>
          <t>ACH D- INDIAN CLEARING CORP-P25847643X05</t>
        </is>
      </c>
      <c r="C645" s="131" t="inlineStr">
        <is>
          <t>0000001466313921</t>
        </is>
      </c>
      <c r="D645" s="131" t="n">
        <v>10000</v>
      </c>
      <c r="E645" s="131" t="n">
        <v>0</v>
      </c>
      <c r="F645" s="131" t="n">
        <v>66293.25</v>
      </c>
      <c r="G645" s="131" t="inlineStr">
        <is>
          <t>Mutual_Fund_Investments</t>
        </is>
      </c>
      <c r="H645" s="131" t="inlineStr">
        <is>
          <t>HDFC 0094</t>
        </is>
      </c>
    </row>
    <row r="646">
      <c r="A646" s="130" t="n">
        <v>45621</v>
      </c>
      <c r="B646" s="131" t="inlineStr">
        <is>
          <t>ACH C- CONCOR 2ND INT DIV 2-CN1511240039</t>
        </is>
      </c>
      <c r="C646" s="131" t="inlineStr">
        <is>
          <t>0000001482967108</t>
        </is>
      </c>
      <c r="D646" s="131" t="n">
        <v>0</v>
      </c>
      <c r="E646" s="131" t="n">
        <v>438.75</v>
      </c>
      <c r="F646" s="131" t="n">
        <v>66732</v>
      </c>
      <c r="G646" s="131" t="inlineStr">
        <is>
          <t>Dividend Income</t>
        </is>
      </c>
      <c r="H646" s="131" t="inlineStr">
        <is>
          <t>HDFC 0094</t>
        </is>
      </c>
    </row>
    <row r="647">
      <c r="A647" s="130" t="n">
        <v>45621</v>
      </c>
      <c r="B647" s="131" t="inlineStr">
        <is>
          <t>NET PI TO HSL SEC A/C 523686-00602340029434</t>
        </is>
      </c>
      <c r="C647" s="131" t="inlineStr">
        <is>
          <t>0000000584691939</t>
        </is>
      </c>
      <c r="D647" s="131" t="n">
        <v>1084.26</v>
      </c>
      <c r="E647" s="131" t="n">
        <v>0</v>
      </c>
      <c r="F647" s="131" t="n">
        <v>65647.74000000001</v>
      </c>
      <c r="G647" s="131" t="inlineStr">
        <is>
          <t>HDFC Securities</t>
        </is>
      </c>
      <c r="H647" s="131" t="inlineStr">
        <is>
          <t>HDFC 0094</t>
        </is>
      </c>
    </row>
    <row r="648">
      <c r="A648" s="130" t="n">
        <v>45622</v>
      </c>
      <c r="B648" s="131" t="inlineStr">
        <is>
          <t>FT- 584941938-50200085415108 - HDFC SECURITIES LTD-CLIENT DSCNB A/C -</t>
        </is>
      </c>
      <c r="C648" s="131" t="inlineStr">
        <is>
          <t>0000000850819360</t>
        </is>
      </c>
      <c r="D648" s="131" t="n">
        <v>0</v>
      </c>
      <c r="E648" s="131" t="n">
        <v>21888.96</v>
      </c>
      <c r="F648" s="131" t="n">
        <v>87536.7</v>
      </c>
      <c r="G648" s="131" t="inlineStr">
        <is>
          <t>HDFC Securities</t>
        </is>
      </c>
      <c r="H648" s="131" t="inlineStr">
        <is>
          <t>HDFC 0094</t>
        </is>
      </c>
    </row>
    <row r="649">
      <c r="A649" s="130" t="n">
        <v>45622</v>
      </c>
      <c r="B649" s="131" t="inlineStr">
        <is>
          <t>ACH C- IRFC LTD-IR1511240142832</t>
        </is>
      </c>
      <c r="C649" s="131" t="inlineStr">
        <is>
          <t>0000001542888603</t>
        </is>
      </c>
      <c r="D649" s="131" t="n">
        <v>0</v>
      </c>
      <c r="E649" s="131" t="n">
        <v>240</v>
      </c>
      <c r="F649" s="131" t="n">
        <v>87409.5</v>
      </c>
      <c r="G649" s="131" t="inlineStr">
        <is>
          <t>Dividend Income</t>
        </is>
      </c>
      <c r="H649" s="131" t="inlineStr">
        <is>
          <t>HDFC 0094</t>
        </is>
      </c>
    </row>
    <row r="650">
      <c r="A650" s="130" t="n">
        <v>45622</v>
      </c>
      <c r="B650" s="131" t="inlineStr">
        <is>
          <t>NET PI TO HSL SEC A/C 523686-00602340029434</t>
        </is>
      </c>
      <c r="C650" s="131" t="inlineStr">
        <is>
          <t>0000000585074480</t>
        </is>
      </c>
      <c r="D650" s="131" t="n">
        <v>367.2</v>
      </c>
      <c r="E650" s="131" t="n">
        <v>0</v>
      </c>
      <c r="F650" s="131" t="n">
        <v>87169.5</v>
      </c>
      <c r="G650" s="131" t="inlineStr">
        <is>
          <t>HDFC Securities</t>
        </is>
      </c>
      <c r="H650" s="131" t="inlineStr">
        <is>
          <t>HDFC 0094</t>
        </is>
      </c>
    </row>
    <row r="651">
      <c r="A651" s="130" t="n">
        <v>45623</v>
      </c>
      <c r="B651" s="131" t="inlineStr">
        <is>
          <t>UPI/P2M/469858954034/Shiv Shakti Saundarya/jewell/Yes Bank Ltd</t>
        </is>
      </c>
      <c r="C651" s="131" t="inlineStr">
        <is>
          <t>-</t>
        </is>
      </c>
      <c r="D651" s="131" t="n">
        <v>2280</v>
      </c>
      <c r="E651" s="131" t="n">
        <v>0</v>
      </c>
      <c r="F651" s="131" t="n">
        <v>35280.37</v>
      </c>
      <c r="G651" s="131" t="inlineStr">
        <is>
          <t>Personal</t>
        </is>
      </c>
      <c r="H651" s="131" t="inlineStr">
        <is>
          <t>AXIS 7042</t>
        </is>
      </c>
    </row>
    <row r="652">
      <c r="A652" s="130" t="n">
        <v>45623</v>
      </c>
      <c r="B652" s="131" t="inlineStr">
        <is>
          <t>NET PI TO HSL SEC A/C 523686-00602340029434</t>
        </is>
      </c>
      <c r="C652" s="131" t="inlineStr">
        <is>
          <t>0000000585481903</t>
        </is>
      </c>
      <c r="D652" s="131" t="n">
        <v>375</v>
      </c>
      <c r="E652" s="131" t="n">
        <v>0</v>
      </c>
      <c r="F652" s="131" t="n">
        <v>118777.45</v>
      </c>
      <c r="G652" s="131" t="inlineStr">
        <is>
          <t>HDFC Securities</t>
        </is>
      </c>
      <c r="H652" s="131" t="inlineStr">
        <is>
          <t>HDFC 0094</t>
        </is>
      </c>
    </row>
    <row r="653">
      <c r="A653" s="130" t="n">
        <v>45623</v>
      </c>
      <c r="B653" s="131" t="inlineStr">
        <is>
          <t>FT- 585351267-50200085415108 - HDFC SECURITIES LTD-CLIENT DSCNB A/C -</t>
        </is>
      </c>
      <c r="C653" s="131" t="inlineStr">
        <is>
          <t>0000000852413361</t>
        </is>
      </c>
      <c r="D653" s="131" t="n">
        <v>0</v>
      </c>
      <c r="E653" s="131" t="n">
        <v>31742.95</v>
      </c>
      <c r="F653" s="131" t="n">
        <v>119152.45</v>
      </c>
      <c r="G653" s="131" t="inlineStr">
        <is>
          <t>HDFC Securities</t>
        </is>
      </c>
      <c r="H653" s="131" t="inlineStr">
        <is>
          <t>HDFC 0094</t>
        </is>
      </c>
    </row>
    <row r="654">
      <c r="A654" s="130" t="n">
        <v>45624</v>
      </c>
      <c r="B654" s="131" t="inlineStr">
        <is>
          <t>NEFT CR-UTIB0000004-AXIS ASSET MANAGEMENT COMPANY LTD-SUNITA GUPTA-AXISP00576026071</t>
        </is>
      </c>
      <c r="C654" s="131" t="inlineStr">
        <is>
          <t>AXISP00576026071</t>
        </is>
      </c>
      <c r="D654" s="131" t="n">
        <v>0</v>
      </c>
      <c r="E654" s="131" t="n">
        <v>84.56999999999999</v>
      </c>
      <c r="F654" s="131" t="n">
        <v>125711.25</v>
      </c>
      <c r="G654" s="131" t="inlineStr">
        <is>
          <t>Sunita Gupta</t>
        </is>
      </c>
      <c r="H654" s="131" t="inlineStr">
        <is>
          <t>HDFC 0094</t>
        </is>
      </c>
    </row>
    <row r="655">
      <c r="A655" s="130" t="n">
        <v>45624</v>
      </c>
      <c r="B655" s="131" t="inlineStr">
        <is>
          <t>FT- 585750863-50200085415108 - HDFC SECURITIES LTD-CLIENT DSCNB A/C -</t>
        </is>
      </c>
      <c r="C655" s="131" t="inlineStr">
        <is>
          <t>0000000853418067</t>
        </is>
      </c>
      <c r="D655" s="131" t="n">
        <v>0</v>
      </c>
      <c r="E655" s="131" t="n">
        <v>7204.86</v>
      </c>
      <c r="F655" s="131" t="n">
        <v>125982.31</v>
      </c>
      <c r="G655" s="131" t="inlineStr">
        <is>
          <t>HDFC Securities</t>
        </is>
      </c>
      <c r="H655" s="131" t="inlineStr">
        <is>
          <t>HDFC 0094</t>
        </is>
      </c>
    </row>
    <row r="656">
      <c r="A656" s="130" t="n">
        <v>45624</v>
      </c>
      <c r="B656" s="131" t="inlineStr">
        <is>
          <t>NET PI TO HSL SEC A/C 523686-00602340029434</t>
        </is>
      </c>
      <c r="C656" s="131" t="inlineStr">
        <is>
          <t>0000000585901913</t>
        </is>
      </c>
      <c r="D656" s="131" t="n">
        <v>355.63</v>
      </c>
      <c r="E656" s="131" t="n">
        <v>0</v>
      </c>
      <c r="F656" s="131" t="n">
        <v>125626.68</v>
      </c>
      <c r="G656" s="131" t="inlineStr">
        <is>
          <t>HDFC Securities</t>
        </is>
      </c>
      <c r="H656" s="131" t="inlineStr">
        <is>
          <t>HDFC 0094</t>
        </is>
      </c>
    </row>
    <row r="657">
      <c r="A657" s="130" t="n">
        <v>45625</v>
      </c>
      <c r="B657" s="131" t="inlineStr">
        <is>
          <t>NET PI TO HSL SEC A/C 523686-00602340029434</t>
        </is>
      </c>
      <c r="C657" s="131" t="inlineStr">
        <is>
          <t>0000000586347592</t>
        </is>
      </c>
      <c r="D657" s="131" t="n">
        <v>357.07</v>
      </c>
      <c r="E657" s="131" t="n">
        <v>0</v>
      </c>
      <c r="F657" s="131" t="n">
        <v>122199.94</v>
      </c>
      <c r="G657" s="131" t="inlineStr">
        <is>
          <t>HDFC Securities</t>
        </is>
      </c>
      <c r="H657" s="131" t="inlineStr">
        <is>
          <t>HDFC 0094</t>
        </is>
      </c>
    </row>
    <row r="658">
      <c r="A658" s="130" t="n">
        <v>45625</v>
      </c>
      <c r="B658" s="131" t="inlineStr">
        <is>
          <t>NET PI TO HSL SEC A/C 523686-00602340029434</t>
        </is>
      </c>
      <c r="C658" s="131" t="inlineStr">
        <is>
          <t>0000000586098641</t>
        </is>
      </c>
      <c r="D658" s="131" t="n">
        <v>3154.24</v>
      </c>
      <c r="E658" s="131" t="n">
        <v>0</v>
      </c>
      <c r="F658" s="131" t="n">
        <v>122557.01</v>
      </c>
      <c r="G658" s="131" t="inlineStr">
        <is>
          <t>HDFC Securities</t>
        </is>
      </c>
      <c r="H658" s="131" t="inlineStr">
        <is>
          <t>HDFC 0094</t>
        </is>
      </c>
    </row>
    <row r="659">
      <c r="A659" s="130" t="n">
        <v>45626</v>
      </c>
      <c r="B659" s="131" t="inlineStr">
        <is>
          <t>NET PI TO HSL SEC A/C 523686-00602340029434</t>
        </is>
      </c>
      <c r="C659" s="131" t="inlineStr">
        <is>
          <t>0000000586506339</t>
        </is>
      </c>
      <c r="D659" s="131" t="n">
        <v>876.99</v>
      </c>
      <c r="E659" s="131" t="n">
        <v>0</v>
      </c>
      <c r="F659" s="131" t="n">
        <v>121322.95</v>
      </c>
      <c r="G659" s="131" t="inlineStr">
        <is>
          <t>HDFC Securities</t>
        </is>
      </c>
      <c r="H659" s="131" t="inlineStr">
        <is>
          <t>HDFC 0094</t>
        </is>
      </c>
    </row>
    <row r="660">
      <c r="A660" s="130" t="n">
        <v>45627</v>
      </c>
      <c r="B660" s="131" t="inlineStr">
        <is>
          <t>ATW-498792XXXXXX0500-S1ANRS37-KOTA</t>
        </is>
      </c>
      <c r="C660" s="131" t="inlineStr">
        <is>
          <t>0000000000006796</t>
        </is>
      </c>
      <c r="D660" s="131" t="n">
        <v>20000</v>
      </c>
      <c r="E660" s="131" t="n">
        <v>0</v>
      </c>
      <c r="F660" s="131" t="n">
        <v>101322.95</v>
      </c>
      <c r="G660" s="131" t="inlineStr">
        <is>
          <t>Cash</t>
        </is>
      </c>
      <c r="H660" s="131" t="inlineStr">
        <is>
          <t>HDFC 0094</t>
        </is>
      </c>
    </row>
    <row r="661">
      <c r="A661" s="130" t="n">
        <v>45628</v>
      </c>
      <c r="B661" s="131" t="inlineStr">
        <is>
          <t>NET PI TO HSL SEC A/C 523686-00602340029434</t>
        </is>
      </c>
      <c r="C661" s="131" t="inlineStr">
        <is>
          <t>0000000586839432</t>
        </is>
      </c>
      <c r="D661" s="131" t="n">
        <v>1070.28</v>
      </c>
      <c r="E661" s="131" t="n">
        <v>0</v>
      </c>
      <c r="F661" s="131" t="n">
        <v>100252.67</v>
      </c>
      <c r="G661" s="131" t="inlineStr">
        <is>
          <t>HDFC Securities</t>
        </is>
      </c>
      <c r="H661" s="131" t="inlineStr">
        <is>
          <t>HDFC 0094</t>
        </is>
      </c>
    </row>
    <row r="662">
      <c r="A662" s="130" t="n">
        <v>45629</v>
      </c>
      <c r="B662" s="131" t="inlineStr">
        <is>
          <t>FT- 587120347-50200085415108 - HDFC SECURITIES LTD-CLIENT DSCNB A/C -</t>
        </is>
      </c>
      <c r="C662" s="131" t="inlineStr">
        <is>
          <t>0000000859117432</t>
        </is>
      </c>
      <c r="D662" s="131" t="n">
        <v>0</v>
      </c>
      <c r="E662" s="131" t="n">
        <v>6899.68</v>
      </c>
      <c r="F662" s="131" t="n">
        <v>107152.35</v>
      </c>
      <c r="G662" s="131" t="inlineStr">
        <is>
          <t>HDFC Securities</t>
        </is>
      </c>
      <c r="H662" s="131" t="inlineStr">
        <is>
          <t>HDFC 0094</t>
        </is>
      </c>
    </row>
    <row r="663">
      <c r="A663" s="130" t="n">
        <v>45629</v>
      </c>
      <c r="B663" s="131" t="inlineStr">
        <is>
          <t>NET PI TO HSL SEC A/C 523686-00602340029434</t>
        </is>
      </c>
      <c r="C663" s="131" t="inlineStr">
        <is>
          <t>0000000587405560</t>
        </is>
      </c>
      <c r="D663" s="131" t="n">
        <v>3144.23</v>
      </c>
      <c r="E663" s="131" t="n">
        <v>0</v>
      </c>
      <c r="F663" s="131" t="n">
        <v>103651.36</v>
      </c>
      <c r="G663" s="131" t="inlineStr">
        <is>
          <t>HDFC Securities</t>
        </is>
      </c>
      <c r="H663" s="131" t="inlineStr">
        <is>
          <t>HDFC 0094</t>
        </is>
      </c>
    </row>
    <row r="664">
      <c r="A664" s="130" t="n">
        <v>45629</v>
      </c>
      <c r="B664" s="131" t="inlineStr">
        <is>
          <t>NET PI TO HSL SEC A/C 523686-00602340029434</t>
        </is>
      </c>
      <c r="C664" s="131" t="inlineStr">
        <is>
          <t>0000000587249871</t>
        </is>
      </c>
      <c r="D664" s="131" t="n">
        <v>356.76</v>
      </c>
      <c r="E664" s="131" t="n">
        <v>0</v>
      </c>
      <c r="F664" s="131" t="n">
        <v>106795.59</v>
      </c>
      <c r="G664" s="131" t="inlineStr">
        <is>
          <t>HDFC Securities</t>
        </is>
      </c>
      <c r="H664" s="131" t="inlineStr">
        <is>
          <t>HDFC 0094</t>
        </is>
      </c>
    </row>
    <row r="665">
      <c r="A665" s="130" t="n">
        <v>45630</v>
      </c>
      <c r="B665" s="131" t="inlineStr">
        <is>
          <t>FT- 587569592-50200085415108 - HDFC SECURITIES LTD-CLIENT DSCNB A/C -</t>
        </is>
      </c>
      <c r="C665" s="131" t="inlineStr">
        <is>
          <t>0000000860906420</t>
        </is>
      </c>
      <c r="D665" s="131" t="n">
        <v>0</v>
      </c>
      <c r="E665" s="131" t="n">
        <v>62818.16</v>
      </c>
      <c r="F665" s="131" t="n">
        <v>166469.52</v>
      </c>
      <c r="G665" s="131" t="inlineStr">
        <is>
          <t>HDFC Securities</t>
        </is>
      </c>
      <c r="H665" s="131" t="inlineStr">
        <is>
          <t>HDFC 0094</t>
        </is>
      </c>
    </row>
    <row r="666">
      <c r="A666" s="130" t="n">
        <v>45630</v>
      </c>
      <c r="B666" s="131" t="inlineStr">
        <is>
          <t>NET PI TO HSL SEC A/C 523686-00602340029434</t>
        </is>
      </c>
      <c r="C666" s="131" t="inlineStr">
        <is>
          <t>0000000587670098</t>
        </is>
      </c>
      <c r="D666" s="131" t="n">
        <v>358.1</v>
      </c>
      <c r="E666" s="131" t="n">
        <v>0</v>
      </c>
      <c r="F666" s="131" t="n">
        <v>166111.42</v>
      </c>
      <c r="G666" s="131" t="inlineStr">
        <is>
          <t>HDFC Securities</t>
        </is>
      </c>
      <c r="H666" s="131" t="inlineStr">
        <is>
          <t>HDFC 0094</t>
        </is>
      </c>
    </row>
    <row r="667">
      <c r="A667" s="130" t="n">
        <v>45630</v>
      </c>
      <c r="B667" s="131" t="inlineStr">
        <is>
          <t>NET PI TO HSL SEC A/C 523686-00602340029434</t>
        </is>
      </c>
      <c r="C667" s="131" t="inlineStr">
        <is>
          <t>0000000587822376</t>
        </is>
      </c>
      <c r="D667" s="131" t="n">
        <v>53239.43</v>
      </c>
      <c r="E667" s="131" t="n">
        <v>0</v>
      </c>
      <c r="F667" s="131" t="n">
        <v>113321.99</v>
      </c>
      <c r="G667" s="131" t="inlineStr">
        <is>
          <t>HDFC Securities</t>
        </is>
      </c>
      <c r="H667" s="131" t="inlineStr">
        <is>
          <t>HDFC 0094</t>
        </is>
      </c>
    </row>
    <row r="668">
      <c r="A668" s="130" t="n">
        <v>45630</v>
      </c>
      <c r="B668" s="131" t="inlineStr">
        <is>
          <t>ACH C- POWER GRID CORPORATI-96351445</t>
        </is>
      </c>
      <c r="C668" s="131" t="inlineStr">
        <is>
          <t>0000001850605510</t>
        </is>
      </c>
      <c r="D668" s="131" t="n">
        <v>0</v>
      </c>
      <c r="E668" s="131" t="n">
        <v>450</v>
      </c>
      <c r="F668" s="131" t="n">
        <v>166561.42</v>
      </c>
      <c r="G668" s="131" t="inlineStr">
        <is>
          <t>Dividend Income</t>
        </is>
      </c>
      <c r="H668" s="131" t="inlineStr">
        <is>
          <t>HDFC 0094</t>
        </is>
      </c>
    </row>
    <row r="669">
      <c r="A669" s="130" t="n">
        <v>45631</v>
      </c>
      <c r="B669" s="131" t="inlineStr">
        <is>
          <t>NET PI TO HSL SEC A/C 523686-00602340029434</t>
        </is>
      </c>
      <c r="C669" s="131" t="inlineStr">
        <is>
          <t>0000000588109710</t>
        </is>
      </c>
      <c r="D669" s="131" t="n">
        <v>339.13</v>
      </c>
      <c r="E669" s="131" t="n">
        <v>0</v>
      </c>
      <c r="F669" s="131" t="n">
        <v>112982.86</v>
      </c>
      <c r="G669" s="131" t="inlineStr">
        <is>
          <t>HDFC Securities</t>
        </is>
      </c>
      <c r="H669" s="131" t="inlineStr">
        <is>
          <t>HDFC 0094</t>
        </is>
      </c>
    </row>
    <row r="670">
      <c r="A670" s="130" t="n">
        <v>45632</v>
      </c>
      <c r="B670" s="131" t="inlineStr">
        <is>
          <t>NET PO FROM HSL A/C 523686-50200085415108</t>
        </is>
      </c>
      <c r="C670" s="131" t="inlineStr">
        <is>
          <t>0000000588705484</t>
        </is>
      </c>
      <c r="D670" s="131" t="n">
        <v>0</v>
      </c>
      <c r="E670" s="131" t="n">
        <v>3335.15</v>
      </c>
      <c r="F670" s="131" t="n">
        <v>125794.17</v>
      </c>
      <c r="G670" s="131" t="inlineStr">
        <is>
          <t>HDFC Securities</t>
        </is>
      </c>
      <c r="H670" s="131" t="inlineStr">
        <is>
          <t>HDFC 0094</t>
        </is>
      </c>
    </row>
    <row r="671">
      <c r="A671" s="130" t="n">
        <v>45632</v>
      </c>
      <c r="B671" s="131" t="inlineStr">
        <is>
          <t>NET PI TO HSL SEC A/C 523686-00602340029434</t>
        </is>
      </c>
      <c r="C671" s="131" t="inlineStr">
        <is>
          <t>0000000588534715</t>
        </is>
      </c>
      <c r="D671" s="131" t="n">
        <v>392.31</v>
      </c>
      <c r="E671" s="131" t="n">
        <v>0</v>
      </c>
      <c r="F671" s="131" t="n">
        <v>122459.02</v>
      </c>
      <c r="G671" s="131" t="inlineStr">
        <is>
          <t>HDFC Securities</t>
        </is>
      </c>
      <c r="H671" s="131" t="inlineStr">
        <is>
          <t>HDFC 0094</t>
        </is>
      </c>
    </row>
    <row r="672">
      <c r="A672" s="130" t="n">
        <v>45632</v>
      </c>
      <c r="B672" s="131" t="inlineStr">
        <is>
          <t>FT- 588392744-50200085415108 - HDFC SECURITIES LTD-CLIENT DSCNB A/C -</t>
        </is>
      </c>
      <c r="C672" s="131" t="inlineStr">
        <is>
          <t>0000000863934371</t>
        </is>
      </c>
      <c r="D672" s="131" t="n">
        <v>0</v>
      </c>
      <c r="E672" s="131" t="n">
        <v>9868.469999999999</v>
      </c>
      <c r="F672" s="131" t="n">
        <v>122851.33</v>
      </c>
      <c r="G672" s="131" t="inlineStr">
        <is>
          <t>HDFC Securities</t>
        </is>
      </c>
      <c r="H672" s="131" t="inlineStr">
        <is>
          <t>HDFC 0094</t>
        </is>
      </c>
    </row>
    <row r="673">
      <c r="A673" s="130" t="n">
        <v>45633</v>
      </c>
      <c r="B673" s="131" t="inlineStr">
        <is>
          <t>NEFT CR-SBIN0004266-SBI GENERAL INSURANCE CO LTDSBI GEN-SUNITA GUPTA 0000000002717756-SBIN324342428946</t>
        </is>
      </c>
      <c r="C673" s="131" t="inlineStr">
        <is>
          <t>SBIN324342428946</t>
        </is>
      </c>
      <c r="D673" s="131" t="n">
        <v>0</v>
      </c>
      <c r="E673" s="131" t="n">
        <v>34220</v>
      </c>
      <c r="F673" s="131" t="n">
        <v>160014.17</v>
      </c>
      <c r="G673" s="131" t="inlineStr">
        <is>
          <t>Sunita Gupta</t>
        </is>
      </c>
      <c r="H673" s="131" t="inlineStr">
        <is>
          <t>HDFC 0094</t>
        </is>
      </c>
    </row>
    <row r="674">
      <c r="A674" s="130" t="n">
        <v>45635</v>
      </c>
      <c r="B674" s="131" t="inlineStr">
        <is>
          <t>NET PI TO HSL SEC A/C 523686-00602340029434</t>
        </is>
      </c>
      <c r="C674" s="131" t="inlineStr">
        <is>
          <t>0000000589050215</t>
        </is>
      </c>
      <c r="D674" s="131" t="n">
        <v>1191.03</v>
      </c>
      <c r="E674" s="131" t="n">
        <v>0</v>
      </c>
      <c r="F674" s="131" t="n">
        <v>158823.14</v>
      </c>
      <c r="G674" s="131" t="inlineStr">
        <is>
          <t>HDFC Securities</t>
        </is>
      </c>
      <c r="H674" s="131" t="inlineStr">
        <is>
          <t>HDFC 0094</t>
        </is>
      </c>
    </row>
    <row r="675">
      <c r="A675" s="130" t="n">
        <v>45635</v>
      </c>
      <c r="B675" s="131" t="inlineStr">
        <is>
          <t>UPI/P2M/471025503720/GHANSHYAM ABHUSHAN BH/jewell/Yes Bank Ltd</t>
        </is>
      </c>
      <c r="C675" s="131" t="inlineStr">
        <is>
          <t>-</t>
        </is>
      </c>
      <c r="D675" s="131" t="n">
        <v>2700</v>
      </c>
      <c r="E675" s="131" t="n">
        <v>0</v>
      </c>
      <c r="F675" s="131" t="n">
        <v>32580.37</v>
      </c>
      <c r="G675" s="131" t="inlineStr">
        <is>
          <t>Shopping</t>
        </is>
      </c>
      <c r="H675" s="131" t="inlineStr">
        <is>
          <t>AXIS 7042</t>
        </is>
      </c>
    </row>
    <row r="676">
      <c r="A676" s="130" t="n">
        <v>45636</v>
      </c>
      <c r="B676" s="131" t="inlineStr">
        <is>
          <t>NEFT CR-SBIN0004266-SBI GENERAL INSURANCE CO LTDSBI GEN-SUNITA GUPTA 0000000002717756-SBIN124345927368</t>
        </is>
      </c>
      <c r="C676" s="131" t="inlineStr">
        <is>
          <t>SBIN124345927368</t>
        </is>
      </c>
      <c r="D676" s="131" t="n">
        <v>0</v>
      </c>
      <c r="E676" s="131" t="n">
        <v>15773</v>
      </c>
      <c r="F676" s="131" t="n">
        <v>203804.07</v>
      </c>
      <c r="G676" s="131" t="inlineStr">
        <is>
          <t>Sunita Gupta</t>
        </is>
      </c>
      <c r="H676" s="131" t="inlineStr">
        <is>
          <t>HDFC 0094</t>
        </is>
      </c>
    </row>
    <row r="677">
      <c r="A677" s="130" t="n">
        <v>45636</v>
      </c>
      <c r="B677" s="131" t="inlineStr">
        <is>
          <t>NET PI TO HSL SEC A/C 523686-00602340029434</t>
        </is>
      </c>
      <c r="C677" s="131" t="inlineStr">
        <is>
          <t>0000000589607900</t>
        </is>
      </c>
      <c r="D677" s="131" t="n">
        <v>11845.93</v>
      </c>
      <c r="E677" s="131" t="n">
        <v>0</v>
      </c>
      <c r="F677" s="131" t="n">
        <v>188031.07</v>
      </c>
      <c r="G677" s="131" t="inlineStr">
        <is>
          <t>HDFC Securities</t>
        </is>
      </c>
      <c r="H677" s="131" t="inlineStr">
        <is>
          <t>HDFC 0094</t>
        </is>
      </c>
    </row>
    <row r="678">
      <c r="A678" s="130" t="n">
        <v>45636</v>
      </c>
      <c r="B678" s="131" t="inlineStr">
        <is>
          <t>NET PI TO HSL SEC A/C 523686-00602340029434</t>
        </is>
      </c>
      <c r="C678" s="131" t="inlineStr">
        <is>
          <t>0000000589525318</t>
        </is>
      </c>
      <c r="D678" s="131" t="n">
        <v>397.01</v>
      </c>
      <c r="E678" s="131" t="n">
        <v>0</v>
      </c>
      <c r="F678" s="131" t="n">
        <v>199877</v>
      </c>
      <c r="G678" s="131" t="inlineStr">
        <is>
          <t>HDFC Securities</t>
        </is>
      </c>
      <c r="H678" s="131" t="inlineStr">
        <is>
          <t>HDFC 0094</t>
        </is>
      </c>
    </row>
    <row r="679">
      <c r="A679" s="130" t="n">
        <v>45636</v>
      </c>
      <c r="B679" s="131" t="inlineStr">
        <is>
          <t>FT- 589344583-50200085415108 - HDFC SECURITIES LTD-CLIENT DSCNB A/C -</t>
        </is>
      </c>
      <c r="C679" s="131" t="inlineStr">
        <is>
          <t>0000000869671393</t>
        </is>
      </c>
      <c r="D679" s="131" t="n">
        <v>0</v>
      </c>
      <c r="E679" s="131" t="n">
        <v>41450.87</v>
      </c>
      <c r="F679" s="131" t="n">
        <v>200274.01</v>
      </c>
      <c r="G679" s="131" t="inlineStr">
        <is>
          <t>HDFC Securities</t>
        </is>
      </c>
      <c r="H679" s="131" t="inlineStr">
        <is>
          <t>HDFC 0094</t>
        </is>
      </c>
    </row>
    <row r="680">
      <c r="A680" s="130" t="n">
        <v>45637</v>
      </c>
      <c r="B680" s="131" t="inlineStr">
        <is>
          <t>NET PI TO HSL SEC A/C 523686-00602340029434</t>
        </is>
      </c>
      <c r="C680" s="131" t="inlineStr">
        <is>
          <t>0000000589947458</t>
        </is>
      </c>
      <c r="D680" s="131" t="n">
        <v>380.71</v>
      </c>
      <c r="E680" s="131" t="n">
        <v>0</v>
      </c>
      <c r="F680" s="131" t="n">
        <v>205618.82</v>
      </c>
      <c r="G680" s="131" t="inlineStr">
        <is>
          <t>HDFC Securities</t>
        </is>
      </c>
      <c r="H680" s="131" t="inlineStr">
        <is>
          <t>HDFC 0094</t>
        </is>
      </c>
    </row>
    <row r="681">
      <c r="A681" s="130" t="n">
        <v>45637</v>
      </c>
      <c r="B681" s="131" t="inlineStr">
        <is>
          <t>FT- 589801141-50200085415108 - HDFC SECURITIES LTD-CLIENT DSCNB A/C -</t>
        </is>
      </c>
      <c r="C681" s="131" t="inlineStr">
        <is>
          <t>0000000871291904</t>
        </is>
      </c>
      <c r="D681" s="131" t="n">
        <v>0</v>
      </c>
      <c r="E681" s="131" t="n">
        <v>2195.46</v>
      </c>
      <c r="F681" s="131" t="n">
        <v>205999.53</v>
      </c>
      <c r="G681" s="131" t="inlineStr">
        <is>
          <t>HDFC Securities</t>
        </is>
      </c>
      <c r="H681" s="131" t="inlineStr">
        <is>
          <t>HDFC 0094</t>
        </is>
      </c>
    </row>
    <row r="682">
      <c r="A682" s="130" t="n">
        <v>45638</v>
      </c>
      <c r="B682" s="131" t="inlineStr">
        <is>
          <t>NET PI TO HSL SEC A/C 523686-00602340029434</t>
        </is>
      </c>
      <c r="C682" s="131" t="inlineStr">
        <is>
          <t>0000000590517535</t>
        </is>
      </c>
      <c r="D682" s="131" t="n">
        <v>102886.18</v>
      </c>
      <c r="E682" s="131" t="n">
        <v>0</v>
      </c>
      <c r="F682" s="131" t="n">
        <v>109031.93</v>
      </c>
      <c r="G682" s="131" t="inlineStr">
        <is>
          <t>HDFC Securities</t>
        </is>
      </c>
      <c r="H682" s="131" t="inlineStr">
        <is>
          <t>HDFC 0094</t>
        </is>
      </c>
    </row>
    <row r="683">
      <c r="A683" s="130" t="n">
        <v>45638</v>
      </c>
      <c r="B683" s="131" t="inlineStr">
        <is>
          <t>NET PI TO HSL SEC A/C 523686-00602340029434</t>
        </is>
      </c>
      <c r="C683" s="131" t="inlineStr">
        <is>
          <t>0000000590451903</t>
        </is>
      </c>
      <c r="D683" s="131" t="n">
        <v>28834.96</v>
      </c>
      <c r="E683" s="131" t="n">
        <v>0</v>
      </c>
      <c r="F683" s="131" t="n">
        <v>211918.11</v>
      </c>
      <c r="G683" s="131" t="inlineStr">
        <is>
          <t>HDFC Securities</t>
        </is>
      </c>
      <c r="H683" s="131" t="inlineStr">
        <is>
          <t>HDFC 0094</t>
        </is>
      </c>
    </row>
    <row r="684">
      <c r="A684" s="130" t="n">
        <v>45638</v>
      </c>
      <c r="B684" s="131" t="inlineStr">
        <is>
          <t>NET PI TO HSL SEC A/C 523686-00602340029434</t>
        </is>
      </c>
      <c r="C684" s="131" t="inlineStr">
        <is>
          <t>0000000590333265</t>
        </is>
      </c>
      <c r="D684" s="131" t="n">
        <v>381.49</v>
      </c>
      <c r="E684" s="131" t="n">
        <v>0</v>
      </c>
      <c r="F684" s="131" t="n">
        <v>240753.07</v>
      </c>
      <c r="G684" s="131" t="inlineStr">
        <is>
          <t>HDFC Securities</t>
        </is>
      </c>
      <c r="H684" s="131" t="inlineStr">
        <is>
          <t>HDFC 0094</t>
        </is>
      </c>
    </row>
    <row r="685">
      <c r="A685" s="130" t="n">
        <v>45638</v>
      </c>
      <c r="B685" s="131" t="inlineStr">
        <is>
          <t>FT- 590196612-50200085415108 - HDFC SECURITIES LTD-CLIENT DSCNB A/C -</t>
        </is>
      </c>
      <c r="C685" s="131" t="inlineStr">
        <is>
          <t>0000000872656874</t>
        </is>
      </c>
      <c r="D685" s="131" t="n">
        <v>0</v>
      </c>
      <c r="E685" s="131" t="n">
        <v>35515.74</v>
      </c>
      <c r="F685" s="131" t="n">
        <v>241134.56</v>
      </c>
      <c r="G685" s="131" t="inlineStr">
        <is>
          <t>HDFC Securities</t>
        </is>
      </c>
      <c r="H685" s="131" t="inlineStr">
        <is>
          <t>HDFC 0094</t>
        </is>
      </c>
    </row>
    <row r="686">
      <c r="A686" s="130" t="n">
        <v>45639</v>
      </c>
      <c r="B686" s="131" t="inlineStr">
        <is>
          <t>NET PI TO HSL SEC A/C 523686-00602340029434</t>
        </is>
      </c>
      <c r="C686" s="131" t="inlineStr">
        <is>
          <t>0000000590938039</t>
        </is>
      </c>
      <c r="D686" s="131" t="n">
        <v>3981.96</v>
      </c>
      <c r="E686" s="131" t="n">
        <v>0</v>
      </c>
      <c r="F686" s="131" t="n">
        <v>99187.50999999999</v>
      </c>
      <c r="G686" s="131" t="inlineStr">
        <is>
          <t>HDFC Securities</t>
        </is>
      </c>
      <c r="H686" s="131" t="inlineStr">
        <is>
          <t>HDFC 0094</t>
        </is>
      </c>
    </row>
    <row r="687">
      <c r="A687" s="130" t="n">
        <v>45639</v>
      </c>
      <c r="B687" s="131" t="inlineStr">
        <is>
          <t>NET PI TO HSL SEC A/C 523686-00602340029434</t>
        </is>
      </c>
      <c r="C687" s="131" t="inlineStr">
        <is>
          <t>0000000590888219</t>
        </is>
      </c>
      <c r="D687" s="131" t="n">
        <v>25530.01</v>
      </c>
      <c r="E687" s="131" t="n">
        <v>0</v>
      </c>
      <c r="F687" s="131" t="n">
        <v>103169.47</v>
      </c>
      <c r="G687" s="131" t="inlineStr">
        <is>
          <t>HDFC Securities</t>
        </is>
      </c>
      <c r="H687" s="131" t="inlineStr">
        <is>
          <t>HDFC 0094</t>
        </is>
      </c>
    </row>
    <row r="688">
      <c r="A688" s="130" t="n">
        <v>45639</v>
      </c>
      <c r="B688" s="131" t="inlineStr">
        <is>
          <t>CASH DEPOSIT BY - SELF - VISHWAKARMA CIRCLE</t>
        </is>
      </c>
      <c r="C688" s="131" t="inlineStr">
        <is>
          <t>000000000000000</t>
        </is>
      </c>
      <c r="D688" s="131" t="n">
        <v>0</v>
      </c>
      <c r="E688" s="131" t="n">
        <v>20000</v>
      </c>
      <c r="F688" s="131" t="n">
        <v>128699.48</v>
      </c>
      <c r="G688" s="131" t="inlineStr">
        <is>
          <t>Cash</t>
        </is>
      </c>
      <c r="H688" s="131" t="inlineStr">
        <is>
          <t>HDFC 0094</t>
        </is>
      </c>
    </row>
    <row r="689">
      <c r="A689" s="130" t="n">
        <v>45639</v>
      </c>
      <c r="B689" s="131" t="inlineStr">
        <is>
          <t>NET PI TO HSL SEC A/C 523686-00602340029434</t>
        </is>
      </c>
      <c r="C689" s="131" t="inlineStr">
        <is>
          <t>0000000590756029</t>
        </is>
      </c>
      <c r="D689" s="131" t="n">
        <v>332.45</v>
      </c>
      <c r="E689" s="131" t="n">
        <v>0</v>
      </c>
      <c r="F689" s="131" t="n">
        <v>108699.48</v>
      </c>
      <c r="G689" s="131" t="inlineStr">
        <is>
          <t>HDFC Securities</t>
        </is>
      </c>
      <c r="H689" s="131" t="inlineStr">
        <is>
          <t>HDFC 0094</t>
        </is>
      </c>
    </row>
    <row r="690">
      <c r="A690" s="130" t="n">
        <v>45642</v>
      </c>
      <c r="B690" s="131" t="inlineStr">
        <is>
          <t>UPI/P2M/435186763971/SHIVANJALI           /UPI/Yes Bank Ltd</t>
        </is>
      </c>
      <c r="C690" s="131" t="inlineStr">
        <is>
          <t>-</t>
        </is>
      </c>
      <c r="D690" s="131" t="n">
        <v>500</v>
      </c>
      <c r="E690" s="131" t="n">
        <v>0</v>
      </c>
      <c r="F690" s="131" t="n">
        <v>32080.37</v>
      </c>
      <c r="G690" s="131" t="inlineStr">
        <is>
          <t>Personal</t>
        </is>
      </c>
      <c r="H690" s="131" t="inlineStr">
        <is>
          <t>AXIS 7042</t>
        </is>
      </c>
    </row>
    <row r="691">
      <c r="A691" s="130" t="n">
        <v>45642</v>
      </c>
      <c r="B691" s="131" t="inlineStr">
        <is>
          <t>NET PI TO HSL SEC A/C 523686-00602340029434</t>
        </is>
      </c>
      <c r="C691" s="131" t="inlineStr">
        <is>
          <t>0000000591246255</t>
        </is>
      </c>
      <c r="D691" s="131" t="n">
        <v>1265.34</v>
      </c>
      <c r="E691" s="131" t="n">
        <v>0</v>
      </c>
      <c r="F691" s="131" t="n">
        <v>92922.17</v>
      </c>
      <c r="G691" s="131" t="inlineStr">
        <is>
          <t>HDFC Securities</t>
        </is>
      </c>
      <c r="H691" s="131" t="inlineStr">
        <is>
          <t>HDFC 0094</t>
        </is>
      </c>
    </row>
    <row r="692">
      <c r="A692" s="130" t="n">
        <v>45642</v>
      </c>
      <c r="B692" s="131" t="inlineStr">
        <is>
          <t>ACH D- INDIAN CLEARING CORP-P25847643X05</t>
        </is>
      </c>
      <c r="C692" s="131" t="inlineStr">
        <is>
          <t>0000002312871648</t>
        </is>
      </c>
      <c r="D692" s="131" t="n">
        <v>5000</v>
      </c>
      <c r="E692" s="131" t="n">
        <v>0</v>
      </c>
      <c r="F692" s="131" t="n">
        <v>94187.50999999999</v>
      </c>
      <c r="G692" s="131" t="inlineStr">
        <is>
          <t>Mutual_Fund_Investments</t>
        </is>
      </c>
      <c r="H692" s="131" t="inlineStr">
        <is>
          <t>HDFC 0094</t>
        </is>
      </c>
    </row>
    <row r="693">
      <c r="A693" s="130" t="n">
        <v>45642</v>
      </c>
      <c r="B693" s="131" t="inlineStr">
        <is>
          <t>NET PI TO HSL SEC A/C 523686-00602340029434</t>
        </is>
      </c>
      <c r="C693" s="131" t="inlineStr">
        <is>
          <t>0000000591399847</t>
        </is>
      </c>
      <c r="D693" s="131" t="n">
        <v>4528.87</v>
      </c>
      <c r="E693" s="131" t="n">
        <v>0</v>
      </c>
      <c r="F693" s="131" t="n">
        <v>88393.3</v>
      </c>
      <c r="G693" s="131" t="inlineStr">
        <is>
          <t>HDFC Securities</t>
        </is>
      </c>
      <c r="H693" s="131" t="inlineStr">
        <is>
          <t>HDFC 0094</t>
        </is>
      </c>
    </row>
    <row r="694">
      <c r="A694" s="130" t="n">
        <v>45643</v>
      </c>
      <c r="B694" s="131" t="inlineStr">
        <is>
          <t>NET PI TO HSL SEC A/C 523686-00602340029434</t>
        </is>
      </c>
      <c r="C694" s="131" t="inlineStr">
        <is>
          <t>0000000591651541</t>
        </is>
      </c>
      <c r="D694" s="131" t="n">
        <v>420.17</v>
      </c>
      <c r="E694" s="131" t="n">
        <v>0</v>
      </c>
      <c r="F694" s="131" t="n">
        <v>87973.13</v>
      </c>
      <c r="G694" s="131" t="inlineStr">
        <is>
          <t>HDFC Securities</t>
        </is>
      </c>
      <c r="H694" s="131" t="inlineStr">
        <is>
          <t>HDFC 0094</t>
        </is>
      </c>
    </row>
    <row r="695">
      <c r="A695" s="130" t="n">
        <v>45643</v>
      </c>
      <c r="B695" s="131" t="inlineStr">
        <is>
          <t>NET PI TO HSL SEC A/C 523686-00602340029434</t>
        </is>
      </c>
      <c r="C695" s="131" t="inlineStr">
        <is>
          <t>0000000591848095</t>
        </is>
      </c>
      <c r="D695" s="131" t="n">
        <v>26795.86</v>
      </c>
      <c r="E695" s="131" t="n">
        <v>0</v>
      </c>
      <c r="F695" s="131" t="n">
        <v>60858.67</v>
      </c>
      <c r="G695" s="131" t="inlineStr">
        <is>
          <t>HDFC Securities</t>
        </is>
      </c>
      <c r="H695" s="131" t="inlineStr">
        <is>
          <t>HDFC 0094</t>
        </is>
      </c>
    </row>
    <row r="696">
      <c r="A696" s="130" t="n">
        <v>45643</v>
      </c>
      <c r="B696" s="131" t="inlineStr">
        <is>
          <t>DEPOSITORY CHARGES NOV24 - 41060499</t>
        </is>
      </c>
      <c r="C696" s="131" t="inlineStr">
        <is>
          <t>000000000000000</t>
        </is>
      </c>
      <c r="D696" s="131" t="n">
        <v>318.6</v>
      </c>
      <c r="E696" s="131" t="n">
        <v>0</v>
      </c>
      <c r="F696" s="131" t="n">
        <v>87654.53</v>
      </c>
      <c r="G696" s="131" t="inlineStr">
        <is>
          <t>Depository Charges</t>
        </is>
      </c>
      <c r="H696" s="131" t="inlineStr">
        <is>
          <t>HDFC 0094</t>
        </is>
      </c>
    </row>
    <row r="697">
      <c r="A697" s="130" t="n">
        <v>45644</v>
      </c>
      <c r="B697" s="131" t="inlineStr">
        <is>
          <t>NET PI TO HSL SEC A/C 523686-00602340029434</t>
        </is>
      </c>
      <c r="C697" s="131" t="inlineStr">
        <is>
          <t>0000000592289455</t>
        </is>
      </c>
      <c r="D697" s="131" t="n">
        <v>19885.93</v>
      </c>
      <c r="E697" s="131" t="n">
        <v>0</v>
      </c>
      <c r="F697" s="131" t="n">
        <v>70973.49000000001</v>
      </c>
      <c r="G697" s="131" t="inlineStr">
        <is>
          <t>HDFC Securities</t>
        </is>
      </c>
      <c r="H697" s="131" t="inlineStr">
        <is>
          <t>HDFC 0094</t>
        </is>
      </c>
    </row>
    <row r="698">
      <c r="A698" s="130" t="n">
        <v>45644</v>
      </c>
      <c r="B698" s="131" t="inlineStr">
        <is>
          <t>NET PI TO HSL SEC A/C 523686-00602340029434</t>
        </is>
      </c>
      <c r="C698" s="131" t="inlineStr">
        <is>
          <t>0000000592103571</t>
        </is>
      </c>
      <c r="D698" s="131" t="n">
        <v>410.63</v>
      </c>
      <c r="E698" s="131" t="n">
        <v>0</v>
      </c>
      <c r="F698" s="131" t="n">
        <v>90859.42</v>
      </c>
      <c r="G698" s="131" t="inlineStr">
        <is>
          <t>HDFC Securities</t>
        </is>
      </c>
      <c r="H698" s="131" t="inlineStr">
        <is>
          <t>HDFC 0094</t>
        </is>
      </c>
    </row>
    <row r="699">
      <c r="A699" s="130" t="n">
        <v>45644</v>
      </c>
      <c r="B699" s="131" t="inlineStr">
        <is>
          <t>FT- 591999594-50200085415108 - HDFC SECURITIES LTD-CLIENT DSCNB A/C -</t>
        </is>
      </c>
      <c r="C699" s="131" t="inlineStr">
        <is>
          <t>0000000878544326</t>
        </is>
      </c>
      <c r="D699" s="131" t="n">
        <v>0</v>
      </c>
      <c r="E699" s="131" t="n">
        <v>30411.38</v>
      </c>
      <c r="F699" s="131" t="n">
        <v>91270.05</v>
      </c>
      <c r="G699" s="131" t="inlineStr">
        <is>
          <t>HDFC Securities</t>
        </is>
      </c>
      <c r="H699" s="131" t="inlineStr">
        <is>
          <t>HDFC 0094</t>
        </is>
      </c>
    </row>
    <row r="700">
      <c r="A700" s="130" t="n">
        <v>45645</v>
      </c>
      <c r="B700" s="131" t="inlineStr">
        <is>
          <t>NEFT CR-SBIN0004266-SBI GENERAL INSURANCE CO LTDSBI GEN-SUNITA GUPTA 0000000002717756-SBIN224354335526</t>
        </is>
      </c>
      <c r="C700" s="131" t="inlineStr">
        <is>
          <t>SBIN224354335526</t>
        </is>
      </c>
      <c r="D700" s="131" t="n">
        <v>0</v>
      </c>
      <c r="E700" s="131" t="n">
        <v>2738</v>
      </c>
      <c r="F700" s="131" t="n">
        <v>73297.07000000001</v>
      </c>
      <c r="G700" s="131" t="inlineStr">
        <is>
          <t>Sunita Gupta</t>
        </is>
      </c>
      <c r="H700" s="131" t="inlineStr">
        <is>
          <t>HDFC 0094</t>
        </is>
      </c>
    </row>
    <row r="701">
      <c r="A701" s="130" t="n">
        <v>45645</v>
      </c>
      <c r="B701" s="131" t="inlineStr">
        <is>
          <t>NET PI TO HSL SEC A/C 523686-00602340029434</t>
        </is>
      </c>
      <c r="C701" s="131" t="inlineStr">
        <is>
          <t>0000000592597224</t>
        </is>
      </c>
      <c r="D701" s="131" t="n">
        <v>414.42</v>
      </c>
      <c r="E701" s="131" t="n">
        <v>0</v>
      </c>
      <c r="F701" s="131" t="n">
        <v>70559.07000000001</v>
      </c>
      <c r="G701" s="131" t="inlineStr">
        <is>
          <t>HDFC Securities</t>
        </is>
      </c>
      <c r="H701" s="131" t="inlineStr">
        <is>
          <t>HDFC 0094</t>
        </is>
      </c>
    </row>
    <row r="702">
      <c r="A702" s="130" t="n">
        <v>45645</v>
      </c>
      <c r="B702" s="131" t="inlineStr">
        <is>
          <t>NET PI TO HSL SEC A/C 523686-00602340029434</t>
        </is>
      </c>
      <c r="C702" s="131" t="inlineStr">
        <is>
          <t>0000000592781335</t>
        </is>
      </c>
      <c r="D702" s="131" t="n">
        <v>18958.63</v>
      </c>
      <c r="E702" s="131" t="n">
        <v>0</v>
      </c>
      <c r="F702" s="131" t="n">
        <v>54338.44</v>
      </c>
      <c r="G702" s="131" t="inlineStr">
        <is>
          <t>HDFC Securities</t>
        </is>
      </c>
      <c r="H702" s="131" t="inlineStr">
        <is>
          <t>HDFC 0094</t>
        </is>
      </c>
    </row>
    <row r="703">
      <c r="A703" s="130" t="n">
        <v>45646</v>
      </c>
      <c r="B703" s="131" t="inlineStr">
        <is>
          <t>NET PI TO HSL SEC A/C 523686-00602340029434</t>
        </is>
      </c>
      <c r="C703" s="131" t="inlineStr">
        <is>
          <t>0000000593286867</t>
        </is>
      </c>
      <c r="D703" s="131" t="n">
        <v>38644.96</v>
      </c>
      <c r="E703" s="131" t="n">
        <v>0</v>
      </c>
      <c r="F703" s="131" t="n">
        <v>15275.79</v>
      </c>
      <c r="G703" s="131" t="inlineStr">
        <is>
          <t>HDFC Securities</t>
        </is>
      </c>
      <c r="H703" s="131" t="inlineStr">
        <is>
          <t>HDFC 0094</t>
        </is>
      </c>
    </row>
    <row r="704">
      <c r="A704" s="130" t="n">
        <v>45646</v>
      </c>
      <c r="B704" s="131" t="inlineStr">
        <is>
          <t>NET PI TO HSL SEC A/C 523686-00602340029434</t>
        </is>
      </c>
      <c r="C704" s="131" t="inlineStr">
        <is>
          <t>0000000593079110</t>
        </is>
      </c>
      <c r="D704" s="131" t="n">
        <v>417.69</v>
      </c>
      <c r="E704" s="131" t="n">
        <v>0</v>
      </c>
      <c r="F704" s="131" t="n">
        <v>53920.75</v>
      </c>
      <c r="G704" s="131" t="inlineStr">
        <is>
          <t>HDFC Securities</t>
        </is>
      </c>
      <c r="H704" s="131" t="inlineStr">
        <is>
          <t>HDFC 0094</t>
        </is>
      </c>
    </row>
    <row r="705">
      <c r="A705" s="130" t="n">
        <v>45649</v>
      </c>
      <c r="B705" s="131" t="inlineStr">
        <is>
          <t>NET PI TO HSL SEC A/C 523686-00602340029434</t>
        </is>
      </c>
      <c r="C705" s="131" t="inlineStr">
        <is>
          <t>0000000593602456</t>
        </is>
      </c>
      <c r="D705" s="131" t="n">
        <v>1263.93</v>
      </c>
      <c r="E705" s="131" t="n">
        <v>0</v>
      </c>
      <c r="F705" s="131" t="n">
        <v>14011.86</v>
      </c>
      <c r="G705" s="131" t="inlineStr">
        <is>
          <t>HDFC Securities</t>
        </is>
      </c>
      <c r="H705" s="131" t="inlineStr">
        <is>
          <t>HDFC 0094</t>
        </is>
      </c>
    </row>
    <row r="706">
      <c r="A706" s="130" t="n">
        <v>45649</v>
      </c>
      <c r="B706" s="131" t="inlineStr">
        <is>
          <t>NET PI TO HSL SEC A/C 523686-00602340029434</t>
        </is>
      </c>
      <c r="C706" s="131" t="inlineStr">
        <is>
          <t>0000000593760155</t>
        </is>
      </c>
      <c r="D706" s="131" t="n">
        <v>11981.51</v>
      </c>
      <c r="E706" s="131" t="n">
        <v>0</v>
      </c>
      <c r="F706" s="131" t="n">
        <v>2030.35</v>
      </c>
      <c r="G706" s="131" t="inlineStr">
        <is>
          <t>HDFC Securities</t>
        </is>
      </c>
      <c r="H706" s="131" t="inlineStr">
        <is>
          <t>HDFC 0094</t>
        </is>
      </c>
    </row>
    <row r="707">
      <c r="A707" s="130" t="n">
        <v>45650</v>
      </c>
      <c r="B707" s="131" t="inlineStr">
        <is>
          <t>NET PI TO HSL SEC A/C 523686-00602340029434</t>
        </is>
      </c>
      <c r="C707" s="131" t="inlineStr">
        <is>
          <t>0000000594022488</t>
        </is>
      </c>
      <c r="D707" s="131" t="n">
        <v>425.67</v>
      </c>
      <c r="E707" s="131" t="n">
        <v>0</v>
      </c>
      <c r="F707" s="131" t="n">
        <v>1604.68</v>
      </c>
      <c r="G707" s="131" t="inlineStr">
        <is>
          <t>HDFC Securities</t>
        </is>
      </c>
      <c r="H707" s="131" t="inlineStr">
        <is>
          <t>HDFC 0094</t>
        </is>
      </c>
    </row>
    <row r="708">
      <c r="A708" s="130" t="n">
        <v>45651</v>
      </c>
      <c r="B708" s="131" t="inlineStr">
        <is>
          <t>01671000085930-TPT-BORROW FROM AKG-AJAY KUMAR GUPTA</t>
        </is>
      </c>
      <c r="C708" s="131" t="inlineStr">
        <is>
          <t>0000000503524290</t>
        </is>
      </c>
      <c r="D708" s="131" t="n">
        <v>0</v>
      </c>
      <c r="E708" s="131" t="n">
        <v>20000</v>
      </c>
      <c r="F708" s="131" t="n">
        <v>21604.68</v>
      </c>
      <c r="G708" s="131" t="inlineStr">
        <is>
          <t>Ajay Gupta</t>
        </is>
      </c>
      <c r="H708" s="131" t="inlineStr">
        <is>
          <t>HDFC 0094</t>
        </is>
      </c>
    </row>
    <row r="709">
      <c r="A709" s="130" t="n">
        <v>45651</v>
      </c>
      <c r="B709" s="131" t="inlineStr">
        <is>
          <t>YHDF2500679849/BILLDKTHECALCUTTAELE</t>
        </is>
      </c>
      <c r="C709" s="131" t="inlineStr">
        <is>
          <t>0002436071393645</t>
        </is>
      </c>
      <c r="D709" s="131" t="n">
        <v>11832</v>
      </c>
      <c r="E709" s="131" t="n">
        <v>0</v>
      </c>
      <c r="F709" s="131" t="n">
        <v>9772.68</v>
      </c>
      <c r="G709" s="131" t="inlineStr">
        <is>
          <t>SIP</t>
        </is>
      </c>
      <c r="H709" s="131" t="inlineStr">
        <is>
          <t>HDFC 0094</t>
        </is>
      </c>
    </row>
    <row r="710">
      <c r="A710" s="130" t="n">
        <v>45651</v>
      </c>
      <c r="B710" s="131" t="inlineStr">
        <is>
          <t xml:space="preserve">   CREDIT INTEREST---</t>
        </is>
      </c>
      <c r="C710" s="131" t="n">
        <v/>
      </c>
      <c r="D710" s="131" t="n">
        <v>0</v>
      </c>
      <c r="E710" s="131" t="n">
        <v>149</v>
      </c>
      <c r="F710" s="131" t="n">
        <v>22354.7</v>
      </c>
      <c r="G710" s="131" t="inlineStr">
        <is>
          <t>Bank Interest</t>
        </is>
      </c>
      <c r="H710" s="131" t="inlineStr">
        <is>
          <t>SBI 7685</t>
        </is>
      </c>
    </row>
    <row r="711">
      <c r="A711" s="130" t="n">
        <v>45652</v>
      </c>
      <c r="B711" s="131" t="inlineStr">
        <is>
          <t>FT- 594273619-50200085415108 - HDFC SECURITIES LTD-CLIENT DSCNB A/C -</t>
        </is>
      </c>
      <c r="C711" s="131" t="inlineStr">
        <is>
          <t>0000000886172799</t>
        </is>
      </c>
      <c r="D711" s="131" t="n">
        <v>0</v>
      </c>
      <c r="E711" s="131" t="n">
        <v>1057.24</v>
      </c>
      <c r="F711" s="131" t="n">
        <v>10829.92</v>
      </c>
      <c r="G711" s="131" t="inlineStr">
        <is>
          <t>HDFC Securities</t>
        </is>
      </c>
      <c r="H711" s="131" t="inlineStr">
        <is>
          <t>HDFC 0094</t>
        </is>
      </c>
    </row>
    <row r="712">
      <c r="A712" s="130" t="n">
        <v>45652</v>
      </c>
      <c r="B712" s="131" t="inlineStr">
        <is>
          <t>ACH D- TP ACH INDIANESIGN-1660009188</t>
        </is>
      </c>
      <c r="C712" s="131" t="inlineStr">
        <is>
          <t>0000002662972044</t>
        </is>
      </c>
      <c r="D712" s="131" t="n">
        <v>10000</v>
      </c>
      <c r="E712" s="131" t="n">
        <v>0</v>
      </c>
      <c r="F712" s="131" t="n">
        <v>829.92</v>
      </c>
      <c r="G712" s="131" t="inlineStr">
        <is>
          <t>SIP</t>
        </is>
      </c>
      <c r="H712" s="131" t="inlineStr">
        <is>
          <t>HDFC 0094</t>
        </is>
      </c>
    </row>
    <row r="713">
      <c r="A713" s="130" t="n">
        <v>45652</v>
      </c>
      <c r="B713" s="131" t="inlineStr">
        <is>
          <t>NET PI TO HSL SEC A/C 523686-00602340029434</t>
        </is>
      </c>
      <c r="C713" s="131" t="inlineStr">
        <is>
          <t>0000000594440742</t>
        </is>
      </c>
      <c r="D713" s="131" t="n">
        <v>829.92</v>
      </c>
      <c r="E713" s="131" t="n">
        <v>0</v>
      </c>
      <c r="F713" s="131" t="n">
        <v>0</v>
      </c>
      <c r="G713" s="131" t="inlineStr">
        <is>
          <t>HDFC Securities</t>
        </is>
      </c>
      <c r="H713" s="131" t="inlineStr">
        <is>
          <t>HDFC 0094</t>
        </is>
      </c>
    </row>
    <row r="714">
      <c r="A714" s="130" t="n">
        <v>45656</v>
      </c>
      <c r="B714" s="131" t="inlineStr">
        <is>
          <t>NET PI TO HSL SEC A/C 523686-00602340029434</t>
        </is>
      </c>
      <c r="C714" s="131" t="inlineStr">
        <is>
          <t>0000000595531923</t>
        </is>
      </c>
      <c r="D714" s="131" t="n">
        <v>84.56999999999999</v>
      </c>
      <c r="E714" s="131" t="n">
        <v>0</v>
      </c>
      <c r="F714" s="131" t="n">
        <v>0</v>
      </c>
      <c r="G714" s="131" t="inlineStr">
        <is>
          <t>HDFC Securities</t>
        </is>
      </c>
      <c r="H714" s="131" t="inlineStr">
        <is>
          <t>HDFC 0094</t>
        </is>
      </c>
    </row>
    <row r="715">
      <c r="A715" s="130" t="n">
        <v>45656</v>
      </c>
      <c r="B715" s="131" t="inlineStr">
        <is>
          <t>NEFT CR-UTIB0000004-AXIS MUTUAL FUND DIVIDEND A/C-SUNITA GUPTA-AXISCN0872204867</t>
        </is>
      </c>
      <c r="C715" s="131" t="inlineStr">
        <is>
          <t>AXISCN0872204867</t>
        </is>
      </c>
      <c r="D715" s="131" t="n">
        <v>0</v>
      </c>
      <c r="E715" s="131" t="n">
        <v>84.56999999999999</v>
      </c>
      <c r="F715" s="131" t="n">
        <v>84.56999999999999</v>
      </c>
      <c r="G715" s="131" t="inlineStr">
        <is>
          <t>Dividend Income</t>
        </is>
      </c>
      <c r="H715" s="131" t="inlineStr">
        <is>
          <t>HDFC 0094</t>
        </is>
      </c>
    </row>
    <row r="716">
      <c r="A716" s="130" t="n">
        <v>45657</v>
      </c>
      <c r="B716" s="131" t="inlineStr">
        <is>
          <t>NET PI TO HSL SEC A/C 523686-00602340029434</t>
        </is>
      </c>
      <c r="C716" s="131" t="inlineStr">
        <is>
          <t>0000000595927394</t>
        </is>
      </c>
      <c r="D716" s="131" t="n">
        <v>6300.62</v>
      </c>
      <c r="E716" s="131" t="n">
        <v>0</v>
      </c>
      <c r="F716" s="131" t="n">
        <v>18222.9</v>
      </c>
      <c r="G716" s="131" t="inlineStr">
        <is>
          <t>HDFC Securities</t>
        </is>
      </c>
      <c r="H716" s="131" t="inlineStr">
        <is>
          <t>HDFC 0094</t>
        </is>
      </c>
    </row>
    <row r="717">
      <c r="A717" s="130" t="n">
        <v>45657</v>
      </c>
      <c r="B717" s="131" t="inlineStr">
        <is>
          <t>NET PI TO HSL SEC A/C 523686-00602340029434</t>
        </is>
      </c>
      <c r="C717" s="131" t="inlineStr">
        <is>
          <t>0000000595770114</t>
        </is>
      </c>
      <c r="D717" s="131" t="n">
        <v>426.63</v>
      </c>
      <c r="E717" s="131" t="n">
        <v>0</v>
      </c>
      <c r="F717" s="131" t="n">
        <v>24523.52</v>
      </c>
      <c r="G717" s="131" t="inlineStr">
        <is>
          <t>HDFC Securities</t>
        </is>
      </c>
      <c r="H717" s="131" t="inlineStr">
        <is>
          <t>HDFC 0094</t>
        </is>
      </c>
    </row>
    <row r="718">
      <c r="A718" s="130" t="n">
        <v>45657</v>
      </c>
      <c r="B718" s="131" t="inlineStr">
        <is>
          <t>FT- 595680118-50200085415108 - HDFC SECURITIES LTD-CLIENT DSCNB A/C -</t>
        </is>
      </c>
      <c r="C718" s="131" t="inlineStr">
        <is>
          <t>0000000891478194</t>
        </is>
      </c>
      <c r="D718" s="131" t="n">
        <v>0</v>
      </c>
      <c r="E718" s="131" t="n">
        <v>24950.15</v>
      </c>
      <c r="F718" s="131" t="n">
        <v>24950.15</v>
      </c>
      <c r="G718" s="131" t="inlineStr">
        <is>
          <t>HDFC Securities</t>
        </is>
      </c>
      <c r="H718" s="131" t="inlineStr">
        <is>
          <t>HDFC 0094</t>
        </is>
      </c>
    </row>
    <row r="719">
      <c r="A719" s="130" t="n">
        <v>45658</v>
      </c>
      <c r="B719" s="131" t="inlineStr">
        <is>
          <t>SB:919010088767042:Int.Pd:01-10-2024 to 31-12-2024</t>
        </is>
      </c>
      <c r="C719" s="131" t="inlineStr">
        <is>
          <t>-</t>
        </is>
      </c>
      <c r="D719" s="131" t="n">
        <v>0</v>
      </c>
      <c r="E719" s="131" t="n">
        <v>505</v>
      </c>
      <c r="F719" s="131" t="n">
        <v>32585.37</v>
      </c>
      <c r="G719" s="131" t="inlineStr">
        <is>
          <t>Bank Interest</t>
        </is>
      </c>
      <c r="H719" s="131" t="inlineStr">
        <is>
          <t>AXIS 7042</t>
        </is>
      </c>
    </row>
    <row r="720">
      <c r="A720" s="130" t="n">
        <v>45658</v>
      </c>
      <c r="B720" s="131" t="inlineStr">
        <is>
          <t>NET PI TO HSL SEC A/C 523686-00602340029434</t>
        </is>
      </c>
      <c r="C720" s="131" t="inlineStr">
        <is>
          <t>0000000596236855</t>
        </is>
      </c>
      <c r="D720" s="131" t="n">
        <v>419.42</v>
      </c>
      <c r="E720" s="131" t="n">
        <v>0</v>
      </c>
      <c r="F720" s="131" t="n">
        <v>18337.48</v>
      </c>
      <c r="G720" s="131" t="inlineStr">
        <is>
          <t>HDFC Securities</t>
        </is>
      </c>
      <c r="H720" s="131" t="inlineStr">
        <is>
          <t>HDFC 0094</t>
        </is>
      </c>
    </row>
    <row r="721">
      <c r="A721" s="130" t="n">
        <v>45658</v>
      </c>
      <c r="B721" s="131" t="inlineStr">
        <is>
          <t>INTEREST PAID TILL 31-DEC-2024</t>
        </is>
      </c>
      <c r="C721" s="131" t="inlineStr">
        <is>
          <t>000000000000000</t>
        </is>
      </c>
      <c r="D721" s="131" t="n">
        <v>0</v>
      </c>
      <c r="E721" s="131" t="n">
        <v>534</v>
      </c>
      <c r="F721" s="131" t="n">
        <v>18756.9</v>
      </c>
      <c r="G721" s="131" t="inlineStr">
        <is>
          <t>Bank Interest</t>
        </is>
      </c>
      <c r="H721" s="131" t="inlineStr">
        <is>
          <t>HDFC 0094</t>
        </is>
      </c>
    </row>
    <row r="722">
      <c r="A722" s="130" t="n">
        <v>45659</v>
      </c>
      <c r="B722" s="131" t="inlineStr">
        <is>
          <t>NET PI TO HSL SEC A/C 523686-00602340029434</t>
        </is>
      </c>
      <c r="C722" s="131" t="inlineStr">
        <is>
          <t>0000000596618890</t>
        </is>
      </c>
      <c r="D722" s="131" t="n">
        <v>419.42</v>
      </c>
      <c r="E722" s="131" t="n">
        <v>0</v>
      </c>
      <c r="F722" s="131" t="n">
        <v>19910.73</v>
      </c>
      <c r="G722" s="131" t="inlineStr">
        <is>
          <t>HDFC Securities</t>
        </is>
      </c>
      <c r="H722" s="131" t="inlineStr">
        <is>
          <t>HDFC 0094</t>
        </is>
      </c>
    </row>
    <row r="723">
      <c r="A723" s="130" t="n">
        <v>45659</v>
      </c>
      <c r="B723" s="131" t="inlineStr">
        <is>
          <t>FT- 596476875-50200085415108 - HDFC SECURITIES LTD-CLIENT DSCNB A/C -</t>
        </is>
      </c>
      <c r="C723" s="131" t="inlineStr">
        <is>
          <t>0000000894520930</t>
        </is>
      </c>
      <c r="D723" s="131" t="n">
        <v>0</v>
      </c>
      <c r="E723" s="131" t="n">
        <v>1992.67</v>
      </c>
      <c r="F723" s="131" t="n">
        <v>20330.15</v>
      </c>
      <c r="G723" s="131" t="inlineStr">
        <is>
          <t>HDFC Securities</t>
        </is>
      </c>
      <c r="H723" s="131" t="inlineStr">
        <is>
          <t>HDFC 0094</t>
        </is>
      </c>
    </row>
    <row r="724">
      <c r="A724" s="130" t="n">
        <v>45659</v>
      </c>
      <c r="B724" s="131" t="inlineStr">
        <is>
          <t>01671000085930-TPT-TRANSFER FROM AJAY-AJAY KUMAR GUPTA</t>
        </is>
      </c>
      <c r="C724" s="131" t="inlineStr">
        <is>
          <t>0000000255304792</t>
        </is>
      </c>
      <c r="D724" s="131" t="n">
        <v>0</v>
      </c>
      <c r="E724" s="131" t="n">
        <v>100000</v>
      </c>
      <c r="F724" s="131" t="n">
        <v>119910.73</v>
      </c>
      <c r="G724" s="131" t="inlineStr">
        <is>
          <t>Ajay Gupta</t>
        </is>
      </c>
      <c r="H724" s="131" t="inlineStr">
        <is>
          <t>HDFC 0094</t>
        </is>
      </c>
    </row>
    <row r="725">
      <c r="A725" s="130" t="n">
        <v>45660</v>
      </c>
      <c r="B725" s="131" t="inlineStr">
        <is>
          <t>NET PI TO HSL SEC A/C 523686-00602340029434</t>
        </is>
      </c>
      <c r="C725" s="131" t="inlineStr">
        <is>
          <t>0000000597045165</t>
        </is>
      </c>
      <c r="D725" s="131" t="n">
        <v>420.13</v>
      </c>
      <c r="E725" s="131" t="n">
        <v>0</v>
      </c>
      <c r="F725" s="131" t="n">
        <v>140247.38</v>
      </c>
      <c r="G725" s="131" t="inlineStr">
        <is>
          <t>HDFC Securities</t>
        </is>
      </c>
      <c r="H725" s="131" t="inlineStr">
        <is>
          <t>HDFC 0094</t>
        </is>
      </c>
    </row>
    <row r="726">
      <c r="A726" s="130" t="n">
        <v>45660</v>
      </c>
      <c r="B726" s="131" t="inlineStr">
        <is>
          <t>NET PI TO HSL SEC A/C 523686-00602340029434</t>
        </is>
      </c>
      <c r="C726" s="131" t="inlineStr">
        <is>
          <t>0000000597251501</t>
        </is>
      </c>
      <c r="D726" s="131" t="n">
        <v>4805.21</v>
      </c>
      <c r="E726" s="131" t="n">
        <v>0</v>
      </c>
      <c r="F726" s="131" t="n">
        <v>135442.17</v>
      </c>
      <c r="G726" s="131" t="inlineStr">
        <is>
          <t>HDFC Securities</t>
        </is>
      </c>
      <c r="H726" s="131" t="inlineStr">
        <is>
          <t>HDFC 0094</t>
        </is>
      </c>
    </row>
    <row r="727">
      <c r="A727" s="130" t="n">
        <v>45660</v>
      </c>
      <c r="B727" s="131" t="inlineStr">
        <is>
          <t>FT- 596877830-50200085415108 - HDFC SECURITIES LTD-CLIENT DSCNB A/C -</t>
        </is>
      </c>
      <c r="C727" s="131" t="inlineStr">
        <is>
          <t>0000000895887386</t>
        </is>
      </c>
      <c r="D727" s="131" t="n">
        <v>0</v>
      </c>
      <c r="E727" s="131" t="n">
        <v>20756.78</v>
      </c>
      <c r="F727" s="131" t="n">
        <v>140667.51</v>
      </c>
      <c r="G727" s="131" t="inlineStr">
        <is>
          <t>HDFC Securities</t>
        </is>
      </c>
      <c r="H727" s="131" t="inlineStr">
        <is>
          <t>HDFC 0094</t>
        </is>
      </c>
    </row>
    <row r="728">
      <c r="A728" s="130" t="n">
        <v>45661</v>
      </c>
      <c r="B728" s="131" t="inlineStr">
        <is>
          <t>NEFT CR-SBIN0004266-SBI GENERAL INSURANCE CO LTDSBI GEN-SUNITA GUPTA 0000000002717756-SBIN225004018693</t>
        </is>
      </c>
      <c r="C728" s="131" t="inlineStr">
        <is>
          <t>SBIN225004018693</t>
        </is>
      </c>
      <c r="D728" s="131" t="n">
        <v>0</v>
      </c>
      <c r="E728" s="131" t="n">
        <v>11832</v>
      </c>
      <c r="F728" s="131" t="n">
        <v>147274.17</v>
      </c>
      <c r="G728" s="131" t="inlineStr">
        <is>
          <t>Sunita Gupta</t>
        </is>
      </c>
      <c r="H728" s="131" t="inlineStr">
        <is>
          <t>HDFC 0094</t>
        </is>
      </c>
    </row>
    <row r="729">
      <c r="A729" s="130" t="n">
        <v>45661</v>
      </c>
      <c r="B729" s="131" t="inlineStr">
        <is>
          <t>NEFT/YESF350044351321/ZERODHA BROKING LTD-DSCNB A//YES BANK/5c107df8698e45fda08666:Zerodh</t>
        </is>
      </c>
      <c r="C729" s="131" t="inlineStr">
        <is>
          <t>-</t>
        </is>
      </c>
      <c r="D729" s="131" t="n">
        <v>0</v>
      </c>
      <c r="E729" s="131" t="n">
        <v>24454.02</v>
      </c>
      <c r="F729" s="131" t="n">
        <v>57039.39</v>
      </c>
      <c r="G729" s="131" t="inlineStr">
        <is>
          <t>Transfer</t>
        </is>
      </c>
      <c r="H729" s="131" t="inlineStr">
        <is>
          <t>AXIS 7042</t>
        </is>
      </c>
    </row>
    <row r="730">
      <c r="A730" s="130" t="n">
        <v>45663</v>
      </c>
      <c r="B730" s="131" t="inlineStr">
        <is>
          <t>NET PI TO HSL SEC A/C 523686-00602340029434</t>
        </is>
      </c>
      <c r="C730" s="131" t="inlineStr">
        <is>
          <t>0000000597648313</t>
        </is>
      </c>
      <c r="D730" s="131" t="n">
        <v>1238.55</v>
      </c>
      <c r="E730" s="131" t="n">
        <v>0</v>
      </c>
      <c r="F730" s="131" t="n">
        <v>146035.62</v>
      </c>
      <c r="G730" s="131" t="inlineStr">
        <is>
          <t>HDFC Securities</t>
        </is>
      </c>
      <c r="H730" s="131" t="inlineStr">
        <is>
          <t>HDFC 0094</t>
        </is>
      </c>
    </row>
    <row r="731">
      <c r="A731" s="130" t="n">
        <v>45663</v>
      </c>
      <c r="B731" s="131" t="inlineStr">
        <is>
          <t>NEFT DR-CBIN0281641-MEGHA GUPTA-NETBANK, MUM-N006253497197898-EXPENSES FOR EVENT</t>
        </is>
      </c>
      <c r="C731" s="131" t="inlineStr">
        <is>
          <t>N006253497197898</t>
        </is>
      </c>
      <c r="D731" s="131" t="n">
        <v>50000</v>
      </c>
      <c r="E731" s="131" t="n">
        <v>0</v>
      </c>
      <c r="F731" s="131" t="n">
        <v>96035.62</v>
      </c>
      <c r="G731" s="131" t="inlineStr">
        <is>
          <t>Megha Gupta</t>
        </is>
      </c>
      <c r="H731" s="131" t="inlineStr">
        <is>
          <t>HDFC 0094</t>
        </is>
      </c>
    </row>
    <row r="732">
      <c r="A732" s="130" t="n">
        <v>45663</v>
      </c>
      <c r="B732" s="131" t="inlineStr">
        <is>
          <t>NET PI TO HSL SEC A/C 523686-00602340029434</t>
        </is>
      </c>
      <c r="C732" s="131" t="inlineStr">
        <is>
          <t>0000000597892509</t>
        </is>
      </c>
      <c r="D732" s="131" t="n">
        <v>28608.17</v>
      </c>
      <c r="E732" s="131" t="n">
        <v>0</v>
      </c>
      <c r="F732" s="131" t="n">
        <v>67427.45</v>
      </c>
      <c r="G732" s="131" t="inlineStr">
        <is>
          <t>HDFC Securities</t>
        </is>
      </c>
      <c r="H732" s="131" t="inlineStr">
        <is>
          <t>HDFC 0094</t>
        </is>
      </c>
    </row>
    <row r="733">
      <c r="A733" s="130" t="n">
        <v>45664</v>
      </c>
      <c r="B733" s="131" t="inlineStr">
        <is>
          <t>NET PI TO HSL SEC A/C 523686-00602340029434</t>
        </is>
      </c>
      <c r="C733" s="131" t="inlineStr">
        <is>
          <t>0000000598202343</t>
        </is>
      </c>
      <c r="D733" s="131" t="n">
        <v>402.67</v>
      </c>
      <c r="E733" s="131" t="n">
        <v>0</v>
      </c>
      <c r="F733" s="131" t="n">
        <v>67024.78</v>
      </c>
      <c r="G733" s="131" t="inlineStr">
        <is>
          <t>HDFC Securities</t>
        </is>
      </c>
      <c r="H733" s="131" t="inlineStr">
        <is>
          <t>HDFC 0094</t>
        </is>
      </c>
    </row>
    <row r="734">
      <c r="A734" s="130" t="n">
        <v>45664</v>
      </c>
      <c r="B734" s="131" t="inlineStr">
        <is>
          <t>NEFT CR-SBIN0004266-SBI GENERAL INSURANCE CO LTDSBI GEN-SUNITA GUPTA 0000000002717756-SBIN125007600924</t>
        </is>
      </c>
      <c r="C734" s="131" t="inlineStr">
        <is>
          <t>SBIN125007600924</t>
        </is>
      </c>
      <c r="D734" s="131" t="n">
        <v>0</v>
      </c>
      <c r="E734" s="131" t="n">
        <v>34220</v>
      </c>
      <c r="F734" s="131" t="n">
        <v>101244.78</v>
      </c>
      <c r="G734" s="131" t="inlineStr">
        <is>
          <t>Sunita Gupta</t>
        </is>
      </c>
      <c r="H734" s="131" t="inlineStr">
        <is>
          <t>HDFC 0094</t>
        </is>
      </c>
    </row>
    <row r="735">
      <c r="A735" s="130" t="n">
        <v>45665</v>
      </c>
      <c r="B735" s="131" t="inlineStr">
        <is>
          <t>FT- 598464901-50200085415108 - HDFC SECURITIES LTD-CLIENT DSCNB A/C -</t>
        </is>
      </c>
      <c r="C735" s="131" t="inlineStr">
        <is>
          <t>0000000903580821</t>
        </is>
      </c>
      <c r="D735" s="131" t="n">
        <v>0</v>
      </c>
      <c r="E735" s="131" t="n">
        <v>9537.74</v>
      </c>
      <c r="F735" s="131" t="n">
        <v>110782.52</v>
      </c>
      <c r="G735" s="131" t="inlineStr">
        <is>
          <t>HDFC Securities</t>
        </is>
      </c>
      <c r="H735" s="131" t="inlineStr">
        <is>
          <t>HDFC 0094</t>
        </is>
      </c>
    </row>
    <row r="736">
      <c r="A736" s="130" t="n">
        <v>45665</v>
      </c>
      <c r="B736" s="131" t="inlineStr">
        <is>
          <t>NET PI TO HSL SEC A/C 523686-00602340029434</t>
        </is>
      </c>
      <c r="C736" s="131" t="inlineStr">
        <is>
          <t>0000000598609135</t>
        </is>
      </c>
      <c r="D736" s="131" t="n">
        <v>402.67</v>
      </c>
      <c r="E736" s="131" t="n">
        <v>0</v>
      </c>
      <c r="F736" s="131" t="n">
        <v>110379.85</v>
      </c>
      <c r="G736" s="131" t="inlineStr">
        <is>
          <t>HDFC Securities</t>
        </is>
      </c>
      <c r="H736" s="131" t="inlineStr">
        <is>
          <t>HDFC 0094</t>
        </is>
      </c>
    </row>
    <row r="737">
      <c r="A737" s="130" t="n">
        <v>45665</v>
      </c>
      <c r="B737" s="131" t="inlineStr">
        <is>
          <t>NET PI TO HSL SEC A/C 523686-00602340029434</t>
        </is>
      </c>
      <c r="C737" s="131" t="inlineStr">
        <is>
          <t>0000000598774703</t>
        </is>
      </c>
      <c r="D737" s="131" t="n">
        <v>5884.13</v>
      </c>
      <c r="E737" s="131" t="n">
        <v>0</v>
      </c>
      <c r="F737" s="131" t="n">
        <v>104495.72</v>
      </c>
      <c r="G737" s="131" t="inlineStr">
        <is>
          <t>HDFC Securities</t>
        </is>
      </c>
      <c r="H737" s="131" t="inlineStr">
        <is>
          <t>HDFC 0094</t>
        </is>
      </c>
    </row>
    <row r="738">
      <c r="A738" s="130" t="n">
        <v>45666</v>
      </c>
      <c r="B738" s="131" t="inlineStr">
        <is>
          <t>NET PI TO HSL SEC A/C 523686-00602340029434</t>
        </is>
      </c>
      <c r="C738" s="131" t="inlineStr">
        <is>
          <t>0000000599232533</t>
        </is>
      </c>
      <c r="D738" s="131" t="n">
        <v>8119.52</v>
      </c>
      <c r="E738" s="131" t="n">
        <v>0</v>
      </c>
      <c r="F738" s="131" t="n">
        <v>95972.23</v>
      </c>
      <c r="G738" s="131" t="inlineStr">
        <is>
          <t>HDFC Securities</t>
        </is>
      </c>
      <c r="H738" s="131" t="inlineStr">
        <is>
          <t>HDFC 0094</t>
        </is>
      </c>
    </row>
    <row r="739">
      <c r="A739" s="130" t="n">
        <v>45666</v>
      </c>
      <c r="B739" s="131" t="inlineStr">
        <is>
          <t>NET PI TO HSL SEC A/C 523686-00602340029434</t>
        </is>
      </c>
      <c r="C739" s="131" t="inlineStr">
        <is>
          <t>0000000599038372</t>
        </is>
      </c>
      <c r="D739" s="131" t="n">
        <v>403.97</v>
      </c>
      <c r="E739" s="131" t="n">
        <v>0</v>
      </c>
      <c r="F739" s="131" t="n">
        <v>104091.75</v>
      </c>
      <c r="G739" s="131" t="inlineStr">
        <is>
          <t>HDFC Securities</t>
        </is>
      </c>
      <c r="H739" s="131" t="inlineStr">
        <is>
          <t>HDFC 0094</t>
        </is>
      </c>
    </row>
    <row r="740">
      <c r="A740" s="130" t="n">
        <v>45667</v>
      </c>
      <c r="B740" s="131" t="inlineStr">
        <is>
          <t>NET PI TO HSL SEC A/C 523686-00602340029434</t>
        </is>
      </c>
      <c r="C740" s="131" t="inlineStr">
        <is>
          <t>0000000599717217</t>
        </is>
      </c>
      <c r="D740" s="131" t="n">
        <v>19082.76</v>
      </c>
      <c r="E740" s="131" t="n">
        <v>0</v>
      </c>
      <c r="F740" s="131" t="n">
        <v>56488.4</v>
      </c>
      <c r="G740" s="131" t="inlineStr">
        <is>
          <t>HDFC Securities</t>
        </is>
      </c>
      <c r="H740" s="131" t="inlineStr">
        <is>
          <t>HDFC 0094</t>
        </is>
      </c>
    </row>
    <row r="741">
      <c r="A741" s="130" t="n">
        <v>45667</v>
      </c>
      <c r="B741" s="131" t="inlineStr">
        <is>
          <t>NET PI TO HSL SEC A/C 523686-00602340029434</t>
        </is>
      </c>
      <c r="C741" s="131" t="inlineStr">
        <is>
          <t>0000000599513072</t>
        </is>
      </c>
      <c r="D741" s="131" t="n">
        <v>401.07</v>
      </c>
      <c r="E741" s="131" t="n">
        <v>0</v>
      </c>
      <c r="F741" s="131" t="n">
        <v>75571.16</v>
      </c>
      <c r="G741" s="131" t="inlineStr">
        <is>
          <t>HDFC Securities</t>
        </is>
      </c>
      <c r="H741" s="131" t="inlineStr">
        <is>
          <t>HDFC 0094</t>
        </is>
      </c>
    </row>
    <row r="742">
      <c r="A742" s="130" t="n">
        <v>45667</v>
      </c>
      <c r="B742" s="131" t="inlineStr">
        <is>
          <t>ATW-498792XXXXXX0500-S1ANRS37-KOTA</t>
        </is>
      </c>
      <c r="C742" s="131" t="inlineStr">
        <is>
          <t>0000000000003380</t>
        </is>
      </c>
      <c r="D742" s="131" t="n">
        <v>20000</v>
      </c>
      <c r="E742" s="131" t="n">
        <v>0</v>
      </c>
      <c r="F742" s="131" t="n">
        <v>75972.23</v>
      </c>
      <c r="G742" s="131" t="inlineStr">
        <is>
          <t>Cash</t>
        </is>
      </c>
      <c r="H742" s="131" t="inlineStr">
        <is>
          <t>HDFC 0094</t>
        </is>
      </c>
    </row>
    <row r="743">
      <c r="A743" s="130" t="n">
        <v>45670</v>
      </c>
      <c r="B743" s="131" t="inlineStr">
        <is>
          <t>NET PI TO HSL SEC A/C 523686-00602340029434</t>
        </is>
      </c>
      <c r="C743" s="131" t="inlineStr">
        <is>
          <t>0000000600267015</t>
        </is>
      </c>
      <c r="D743" s="131" t="n">
        <v>34962.56</v>
      </c>
      <c r="E743" s="131" t="n">
        <v>0</v>
      </c>
      <c r="F743" s="131" t="n">
        <v>19670.4</v>
      </c>
      <c r="G743" s="131" t="inlineStr">
        <is>
          <t>HDFC Securities</t>
        </is>
      </c>
      <c r="H743" s="131" t="inlineStr">
        <is>
          <t>HDFC 0094</t>
        </is>
      </c>
    </row>
    <row r="744">
      <c r="A744" s="130" t="n">
        <v>45670</v>
      </c>
      <c r="B744" s="131" t="inlineStr">
        <is>
          <t>DEPOSITORY CHARGES DEC24 - 41060499</t>
        </is>
      </c>
      <c r="C744" s="131" t="inlineStr">
        <is>
          <t>000000000000000</t>
        </is>
      </c>
      <c r="D744" s="131" t="n">
        <v>672.6</v>
      </c>
      <c r="E744" s="131" t="n">
        <v>0</v>
      </c>
      <c r="F744" s="131" t="n">
        <v>54632.96</v>
      </c>
      <c r="G744" s="131" t="inlineStr">
        <is>
          <t>Depository Charges</t>
        </is>
      </c>
      <c r="H744" s="131" t="inlineStr">
        <is>
          <t>HDFC 0094</t>
        </is>
      </c>
    </row>
    <row r="745">
      <c r="A745" s="130" t="n">
        <v>45670</v>
      </c>
      <c r="B745" s="131" t="inlineStr">
        <is>
          <t>NET PI TO HSL SEC A/C 523686-00602340029434</t>
        </is>
      </c>
      <c r="C745" s="131" t="inlineStr">
        <is>
          <t>0000000600020713</t>
        </is>
      </c>
      <c r="D745" s="131" t="n">
        <v>1182.84</v>
      </c>
      <c r="E745" s="131" t="n">
        <v>0</v>
      </c>
      <c r="F745" s="131" t="n">
        <v>55305.56</v>
      </c>
      <c r="G745" s="131" t="inlineStr">
        <is>
          <t>HDFC Securities</t>
        </is>
      </c>
      <c r="H745" s="131" t="inlineStr">
        <is>
          <t>HDFC 0094</t>
        </is>
      </c>
    </row>
    <row r="746">
      <c r="A746" s="130" t="n">
        <v>45671</v>
      </c>
      <c r="B746" s="131" t="inlineStr">
        <is>
          <t>NET PI TO HSL SEC A/C 523686-00602340029434</t>
        </is>
      </c>
      <c r="C746" s="131" t="inlineStr">
        <is>
          <t>0000000600553490</t>
        </is>
      </c>
      <c r="D746" s="131" t="n">
        <v>381.83</v>
      </c>
      <c r="E746" s="131" t="n">
        <v>0</v>
      </c>
      <c r="F746" s="131" t="n">
        <v>19288.57</v>
      </c>
      <c r="G746" s="131" t="inlineStr">
        <is>
          <t>HDFC Securities</t>
        </is>
      </c>
      <c r="H746" s="131" t="inlineStr">
        <is>
          <t>HDFC 0094</t>
        </is>
      </c>
    </row>
    <row r="747">
      <c r="A747" s="130" t="n">
        <v>45672</v>
      </c>
      <c r="B747" s="131" t="inlineStr">
        <is>
          <t>NET PI TO HSL SEC A/C 523686-00602340029434</t>
        </is>
      </c>
      <c r="C747" s="131" t="inlineStr">
        <is>
          <t>0000000600977148</t>
        </is>
      </c>
      <c r="D747" s="131" t="n">
        <v>381.83</v>
      </c>
      <c r="E747" s="131" t="n">
        <v>0</v>
      </c>
      <c r="F747" s="131" t="n">
        <v>38618.61</v>
      </c>
      <c r="G747" s="131" t="inlineStr">
        <is>
          <t>HDFC Securities</t>
        </is>
      </c>
      <c r="H747" s="131" t="inlineStr">
        <is>
          <t>HDFC 0094</t>
        </is>
      </c>
    </row>
    <row r="748">
      <c r="A748" s="130" t="n">
        <v>45672</v>
      </c>
      <c r="B748" s="131" t="inlineStr">
        <is>
          <t>FT- 600825987-50200085415108 - HDFC SECURITIES LTD-CLIENT DSCNB A/C -</t>
        </is>
      </c>
      <c r="C748" s="131" t="inlineStr">
        <is>
          <t>0000000912382805</t>
        </is>
      </c>
      <c r="D748" s="131" t="n">
        <v>0</v>
      </c>
      <c r="E748" s="131" t="n">
        <v>24711.87</v>
      </c>
      <c r="F748" s="131" t="n">
        <v>44000.44</v>
      </c>
      <c r="G748" s="131" t="inlineStr">
        <is>
          <t>HDFC Securities</t>
        </is>
      </c>
      <c r="H748" s="131" t="inlineStr">
        <is>
          <t>HDFC 0094</t>
        </is>
      </c>
    </row>
    <row r="749">
      <c r="A749" s="130" t="n">
        <v>45672</v>
      </c>
      <c r="B749" s="131" t="inlineStr">
        <is>
          <t>ACH D- TP ACH INDIANESIGN-1689209396</t>
        </is>
      </c>
      <c r="C749" s="131" t="inlineStr">
        <is>
          <t>0000003459664940</t>
        </is>
      </c>
      <c r="D749" s="131" t="n">
        <v>5000</v>
      </c>
      <c r="E749" s="131" t="n">
        <v>0</v>
      </c>
      <c r="F749" s="131" t="n">
        <v>39000.44</v>
      </c>
      <c r="G749" s="131" t="inlineStr">
        <is>
          <t>SIP</t>
        </is>
      </c>
      <c r="H749" s="131" t="inlineStr">
        <is>
          <t>HDFC 0094</t>
        </is>
      </c>
    </row>
    <row r="750">
      <c r="A750" s="130" t="n">
        <v>45673</v>
      </c>
      <c r="B750" s="131" t="inlineStr">
        <is>
          <t>NET PI TO HSL SEC A/C 523686-00602340029434</t>
        </is>
      </c>
      <c r="C750" s="131" t="inlineStr">
        <is>
          <t>0000000601416546</t>
        </is>
      </c>
      <c r="D750" s="131" t="n">
        <v>390.63</v>
      </c>
      <c r="E750" s="131" t="n">
        <v>0</v>
      </c>
      <c r="F750" s="131" t="n">
        <v>39508.37</v>
      </c>
      <c r="G750" s="131" t="inlineStr">
        <is>
          <t>HDFC Securities</t>
        </is>
      </c>
      <c r="H750" s="131" t="inlineStr">
        <is>
          <t>HDFC 0094</t>
        </is>
      </c>
    </row>
    <row r="751">
      <c r="A751" s="130" t="n">
        <v>45673</v>
      </c>
      <c r="B751" s="131" t="inlineStr">
        <is>
          <t>FT- 601273702-50200085415108 - HDFC SECURITIES LTD-CLIENT DSCNB A/C -</t>
        </is>
      </c>
      <c r="C751" s="131" t="inlineStr">
        <is>
          <t>0000000913436128</t>
        </is>
      </c>
      <c r="D751" s="131" t="n">
        <v>0</v>
      </c>
      <c r="E751" s="131" t="n">
        <v>1280.39</v>
      </c>
      <c r="F751" s="131" t="n">
        <v>39899</v>
      </c>
      <c r="G751" s="131" t="inlineStr">
        <is>
          <t>HDFC Securities</t>
        </is>
      </c>
      <c r="H751" s="131" t="inlineStr">
        <is>
          <t>HDFC 0094</t>
        </is>
      </c>
    </row>
    <row r="752">
      <c r="A752" s="130" t="n">
        <v>45674</v>
      </c>
      <c r="B752" s="131" t="inlineStr">
        <is>
          <t>NET PI TO HSL SEC A/C 523686-00602340029434</t>
        </is>
      </c>
      <c r="C752" s="131" t="inlineStr">
        <is>
          <t>0000000601807532</t>
        </is>
      </c>
      <c r="D752" s="131" t="n">
        <v>391.08</v>
      </c>
      <c r="E752" s="131" t="n">
        <v>0</v>
      </c>
      <c r="F752" s="131" t="n">
        <v>55355.85</v>
      </c>
      <c r="G752" s="131" t="inlineStr">
        <is>
          <t>HDFC Securities</t>
        </is>
      </c>
      <c r="H752" s="131" t="inlineStr">
        <is>
          <t>HDFC 0094</t>
        </is>
      </c>
    </row>
    <row r="753">
      <c r="A753" s="130" t="n">
        <v>45674</v>
      </c>
      <c r="B753" s="131" t="inlineStr">
        <is>
          <t>FT- 601652980-50200085415108 - HDFC SECURITIES LTD-CLIENT DSCNB A/C -</t>
        </is>
      </c>
      <c r="C753" s="131" t="inlineStr">
        <is>
          <t>0000000914519428</t>
        </is>
      </c>
      <c r="D753" s="131" t="n">
        <v>0</v>
      </c>
      <c r="E753" s="131" t="n">
        <v>16238.56</v>
      </c>
      <c r="F753" s="131" t="n">
        <v>55746.93</v>
      </c>
      <c r="G753" s="131" t="inlineStr">
        <is>
          <t>HDFC Securities</t>
        </is>
      </c>
      <c r="H753" s="131" t="inlineStr">
        <is>
          <t>HDFC 0094</t>
        </is>
      </c>
    </row>
    <row r="754">
      <c r="A754" s="130" t="n">
        <v>45677</v>
      </c>
      <c r="B754" s="131" t="inlineStr">
        <is>
          <t>FT- 602049692-50200085415108 - HDFC SECURITIES LTD-CLIENT DSCNB A/C -</t>
        </is>
      </c>
      <c r="C754" s="131" t="inlineStr">
        <is>
          <t>0000000916737444</t>
        </is>
      </c>
      <c r="D754" s="131" t="n">
        <v>0</v>
      </c>
      <c r="E754" s="131" t="n">
        <v>1432.58</v>
      </c>
      <c r="F754" s="131" t="n">
        <v>56788.43</v>
      </c>
      <c r="G754" s="131" t="inlineStr">
        <is>
          <t>HDFC Securities</t>
        </is>
      </c>
      <c r="H754" s="131" t="inlineStr">
        <is>
          <t>HDFC 0094</t>
        </is>
      </c>
    </row>
    <row r="755">
      <c r="A755" s="130" t="n">
        <v>45677</v>
      </c>
      <c r="B755" s="131" t="inlineStr">
        <is>
          <t>NET PI TO HSL SEC A/C 523686-00602340029434</t>
        </is>
      </c>
      <c r="C755" s="131" t="inlineStr">
        <is>
          <t>0000000602224560</t>
        </is>
      </c>
      <c r="D755" s="131" t="n">
        <v>1190.61</v>
      </c>
      <c r="E755" s="131" t="n">
        <v>0</v>
      </c>
      <c r="F755" s="131" t="n">
        <v>55597.82</v>
      </c>
      <c r="G755" s="131" t="inlineStr">
        <is>
          <t>HDFC Securities</t>
        </is>
      </c>
      <c r="H755" s="131" t="inlineStr">
        <is>
          <t>HDFC 0094</t>
        </is>
      </c>
    </row>
    <row r="756">
      <c r="A756" s="130" t="n">
        <v>45678</v>
      </c>
      <c r="B756" s="131" t="inlineStr">
        <is>
          <t>FT- 602479922-50200085415108 - HDFC SECURITIES LTD-CLIENT DSCNB A/C -</t>
        </is>
      </c>
      <c r="C756" s="131" t="inlineStr">
        <is>
          <t>0000000917759889</t>
        </is>
      </c>
      <c r="D756" s="131" t="n">
        <v>0</v>
      </c>
      <c r="E756" s="131" t="n">
        <v>1579.59</v>
      </c>
      <c r="F756" s="131" t="n">
        <v>57177.41</v>
      </c>
      <c r="G756" s="131" t="inlineStr">
        <is>
          <t>HDFC Securities</t>
        </is>
      </c>
      <c r="H756" s="131" t="inlineStr">
        <is>
          <t>HDFC 0094</t>
        </is>
      </c>
    </row>
    <row r="757">
      <c r="A757" s="130" t="n">
        <v>45678</v>
      </c>
      <c r="B757" s="131" t="inlineStr">
        <is>
          <t>NET PI TO HSL SEC A/C 523686-00602340029434</t>
        </is>
      </c>
      <c r="C757" s="131" t="inlineStr">
        <is>
          <t>0000000602604597</t>
        </is>
      </c>
      <c r="D757" s="131" t="n">
        <v>397.38</v>
      </c>
      <c r="E757" s="131" t="n">
        <v>0</v>
      </c>
      <c r="F757" s="131" t="n">
        <v>56780.03</v>
      </c>
      <c r="G757" s="131" t="inlineStr">
        <is>
          <t>HDFC Securities</t>
        </is>
      </c>
      <c r="H757" s="131" t="inlineStr">
        <is>
          <t>HDFC 0094</t>
        </is>
      </c>
    </row>
    <row r="758">
      <c r="A758" s="130" t="n">
        <v>45678</v>
      </c>
      <c r="B758" s="131" t="inlineStr">
        <is>
          <t>NET PI TO HSL SEC A/C 523686-00602340029434</t>
        </is>
      </c>
      <c r="C758" s="131" t="inlineStr">
        <is>
          <t>0000000602791877</t>
        </is>
      </c>
      <c r="D758" s="131" t="n">
        <v>14686.8</v>
      </c>
      <c r="E758" s="131" t="n">
        <v>0</v>
      </c>
      <c r="F758" s="131" t="n">
        <v>42998.44</v>
      </c>
      <c r="G758" s="131" t="inlineStr">
        <is>
          <t>HDFC Securities</t>
        </is>
      </c>
      <c r="H758" s="131" t="inlineStr">
        <is>
          <t>HDFC 0094</t>
        </is>
      </c>
    </row>
    <row r="759">
      <c r="A759" s="130" t="n">
        <v>45678</v>
      </c>
      <c r="B759" s="131" t="inlineStr">
        <is>
          <t>NEFT CR-UTIB0000004-AXIS MUTUAL FUND DIVIDEND A/C-SUNITA GUPTA-UTIBN62025012165110745</t>
        </is>
      </c>
      <c r="C759" s="131" t="inlineStr">
        <is>
          <t>UTIBN62025012165110745</t>
        </is>
      </c>
      <c r="D759" s="131" t="n">
        <v>0</v>
      </c>
      <c r="E759" s="131" t="n">
        <v>905.21</v>
      </c>
      <c r="F759" s="131" t="n">
        <v>57685.24</v>
      </c>
      <c r="G759" s="131" t="inlineStr">
        <is>
          <t>Dividend Income</t>
        </is>
      </c>
      <c r="H759" s="131" t="inlineStr">
        <is>
          <t>HDFC 0094</t>
        </is>
      </c>
    </row>
    <row r="760">
      <c r="A760" s="130" t="n">
        <v>45679</v>
      </c>
      <c r="B760" s="131" t="inlineStr">
        <is>
          <t>NET PI TO HSL SEC A/C 523686-00602340029434</t>
        </is>
      </c>
      <c r="C760" s="131" t="inlineStr">
        <is>
          <t>0000000603227741</t>
        </is>
      </c>
      <c r="D760" s="131" t="n">
        <v>4737.94</v>
      </c>
      <c r="E760" s="131" t="n">
        <v>0</v>
      </c>
      <c r="F760" s="131" t="n">
        <v>37867.79</v>
      </c>
      <c r="G760" s="131" t="inlineStr">
        <is>
          <t>HDFC Securities</t>
        </is>
      </c>
      <c r="H760" s="131" t="inlineStr">
        <is>
          <t>HDFC 0094</t>
        </is>
      </c>
    </row>
    <row r="761">
      <c r="A761" s="130" t="n">
        <v>45679</v>
      </c>
      <c r="B761" s="131" t="inlineStr">
        <is>
          <t>NET PI TO HSL SEC A/C 523686-00602340029434</t>
        </is>
      </c>
      <c r="C761" s="131" t="inlineStr">
        <is>
          <t>0000000603041251</t>
        </is>
      </c>
      <c r="D761" s="131" t="n">
        <v>392.71</v>
      </c>
      <c r="E761" s="131" t="n">
        <v>0</v>
      </c>
      <c r="F761" s="131" t="n">
        <v>42605.73</v>
      </c>
      <c r="G761" s="131" t="inlineStr">
        <is>
          <t>HDFC Securities</t>
        </is>
      </c>
      <c r="H761" s="131" t="inlineStr">
        <is>
          <t>HDFC 0094</t>
        </is>
      </c>
    </row>
    <row r="762">
      <c r="A762" s="130" t="n">
        <v>45680</v>
      </c>
      <c r="B762" s="131" t="inlineStr">
        <is>
          <t>NET PI TO HSL SEC A/C 523686-00602340029434</t>
        </is>
      </c>
      <c r="C762" s="131" t="inlineStr">
        <is>
          <t>0000000603456338</t>
        </is>
      </c>
      <c r="D762" s="131" t="n">
        <v>391.02</v>
      </c>
      <c r="E762" s="131" t="n">
        <v>0</v>
      </c>
      <c r="F762" s="131" t="n">
        <v>37476.77</v>
      </c>
      <c r="G762" s="131" t="inlineStr">
        <is>
          <t>HDFC Securities</t>
        </is>
      </c>
      <c r="H762" s="131" t="inlineStr">
        <is>
          <t>HDFC 0094</t>
        </is>
      </c>
    </row>
    <row r="763">
      <c r="A763" s="130" t="n">
        <v>45681</v>
      </c>
      <c r="B763" s="131" t="inlineStr">
        <is>
          <t>FT- 603769079-50200085415108 - HDFC SECURITIES LTD-CLIENT DSCNB A/C -</t>
        </is>
      </c>
      <c r="C763" s="131" t="inlineStr">
        <is>
          <t>0000000921309434</t>
        </is>
      </c>
      <c r="D763" s="131" t="n">
        <v>0</v>
      </c>
      <c r="E763" s="131" t="n">
        <v>17068.84</v>
      </c>
      <c r="F763" s="131" t="n">
        <v>54545.61</v>
      </c>
      <c r="G763" s="131" t="inlineStr">
        <is>
          <t>HDFC Securities</t>
        </is>
      </c>
      <c r="H763" s="131" t="inlineStr">
        <is>
          <t>HDFC 0094</t>
        </is>
      </c>
    </row>
    <row r="764">
      <c r="A764" s="130" t="n">
        <v>45681</v>
      </c>
      <c r="B764" s="131" t="inlineStr">
        <is>
          <t>NET PI TO HSL SEC A/C 523686-00602340029434</t>
        </is>
      </c>
      <c r="C764" s="131" t="inlineStr">
        <is>
          <t>0000000603897648</t>
        </is>
      </c>
      <c r="D764" s="131" t="n">
        <v>391.02</v>
      </c>
      <c r="E764" s="131" t="n">
        <v>0</v>
      </c>
      <c r="F764" s="131" t="n">
        <v>54154.59</v>
      </c>
      <c r="G764" s="131" t="inlineStr">
        <is>
          <t>HDFC Securities</t>
        </is>
      </c>
      <c r="H764" s="131" t="inlineStr">
        <is>
          <t>HDFC 0094</t>
        </is>
      </c>
    </row>
    <row r="765">
      <c r="A765" s="130" t="n">
        <v>45681</v>
      </c>
      <c r="B765" s="131" t="inlineStr">
        <is>
          <t>UPI-BIDYUT  HALDAR-7014298146@AXL-SBIN0031251-220367711683-LEMON TEA</t>
        </is>
      </c>
      <c r="C765" s="131" t="inlineStr">
        <is>
          <t>0000220367711683</t>
        </is>
      </c>
      <c r="D765" s="131" t="n">
        <v>20000</v>
      </c>
      <c r="E765" s="131" t="n">
        <v>0</v>
      </c>
      <c r="F765" s="131" t="n">
        <v>34154.59</v>
      </c>
      <c r="G765" s="131" t="inlineStr">
        <is>
          <t>Personal</t>
        </is>
      </c>
      <c r="H765" s="131" t="inlineStr">
        <is>
          <t>HDFC 0094</t>
        </is>
      </c>
    </row>
    <row r="766">
      <c r="A766" s="130" t="n">
        <v>45681</v>
      </c>
      <c r="B766" s="131" t="inlineStr">
        <is>
          <t>YHDF2518408318/BILLDKTHECALCUTTAELE</t>
        </is>
      </c>
      <c r="C766" s="131" t="inlineStr">
        <is>
          <t>0000252474286240</t>
        </is>
      </c>
      <c r="D766" s="131" t="n">
        <v>10164</v>
      </c>
      <c r="E766" s="131" t="n">
        <v>0</v>
      </c>
      <c r="F766" s="131" t="n">
        <v>16298.01</v>
      </c>
      <c r="G766" s="131" t="inlineStr">
        <is>
          <t>SIP</t>
        </is>
      </c>
      <c r="H766" s="131" t="inlineStr">
        <is>
          <t>HDFC 0094</t>
        </is>
      </c>
    </row>
    <row r="767">
      <c r="A767" s="130" t="n">
        <v>45681</v>
      </c>
      <c r="B767" s="131" t="inlineStr">
        <is>
          <t>NET PI TO HSL SEC A/C 523686-00602340029434</t>
        </is>
      </c>
      <c r="C767" s="131" t="inlineStr">
        <is>
          <t>0000000604083144</t>
        </is>
      </c>
      <c r="D767" s="131" t="n">
        <v>7692.58</v>
      </c>
      <c r="E767" s="131" t="n">
        <v>0</v>
      </c>
      <c r="F767" s="131" t="n">
        <v>26462.01</v>
      </c>
      <c r="G767" s="131" t="inlineStr">
        <is>
          <t>HDFC Securities</t>
        </is>
      </c>
      <c r="H767" s="131" t="inlineStr">
        <is>
          <t>HDFC 0094</t>
        </is>
      </c>
    </row>
    <row r="768">
      <c r="A768" s="130" t="n">
        <v>45684</v>
      </c>
      <c r="B768" s="131" t="inlineStr">
        <is>
          <t>UPI/P2A/539337800613/MADHURI SEN          /UPI/BANK OF INDIA</t>
        </is>
      </c>
      <c r="C768" s="131" t="inlineStr">
        <is>
          <t>-</t>
        </is>
      </c>
      <c r="D768" s="131" t="n">
        <v>20000</v>
      </c>
      <c r="E768" s="131" t="n">
        <v>0</v>
      </c>
      <c r="F768" s="131" t="n">
        <v>37039.39</v>
      </c>
      <c r="G768" s="131" t="inlineStr">
        <is>
          <t>Personal</t>
        </is>
      </c>
      <c r="H768" s="131" t="inlineStr">
        <is>
          <t>AXIS 7042</t>
        </is>
      </c>
    </row>
    <row r="769">
      <c r="A769" s="130" t="n">
        <v>45684</v>
      </c>
      <c r="B769" s="131" t="inlineStr">
        <is>
          <t>ACH D- TP ACH INDIANESIGN-1692517311</t>
        </is>
      </c>
      <c r="C769" s="131" t="inlineStr">
        <is>
          <t>0000003797480267</t>
        </is>
      </c>
      <c r="D769" s="131" t="n">
        <v>10000</v>
      </c>
      <c r="E769" s="131" t="n">
        <v>0</v>
      </c>
      <c r="F769" s="131" t="n">
        <v>6298.01</v>
      </c>
      <c r="G769" s="131" t="inlineStr">
        <is>
          <t>SIP</t>
        </is>
      </c>
      <c r="H769" s="131" t="inlineStr">
        <is>
          <t>HDFC 0094</t>
        </is>
      </c>
    </row>
    <row r="770">
      <c r="A770" s="130" t="n">
        <v>45684</v>
      </c>
      <c r="B770" s="131" t="inlineStr">
        <is>
          <t>NET PI TO HSL SEC A/C 523686-00602340029434</t>
        </is>
      </c>
      <c r="C770" s="131" t="inlineStr">
        <is>
          <t>0000000604402522</t>
        </is>
      </c>
      <c r="D770" s="131" t="n">
        <v>1183.08</v>
      </c>
      <c r="E770" s="131" t="n">
        <v>0</v>
      </c>
      <c r="F770" s="131" t="n">
        <v>5114.93</v>
      </c>
      <c r="G770" s="131" t="inlineStr">
        <is>
          <t>HDFC Securities</t>
        </is>
      </c>
      <c r="H770" s="131" t="inlineStr">
        <is>
          <t>HDFC 0094</t>
        </is>
      </c>
    </row>
    <row r="771">
      <c r="A771" s="130" t="n">
        <v>45684</v>
      </c>
      <c r="B771" s="131" t="inlineStr">
        <is>
          <t>NET PI TO HSL SEC A/C 523686-00602340029434</t>
        </is>
      </c>
      <c r="C771" s="131" t="inlineStr">
        <is>
          <t>0000000604613595</t>
        </is>
      </c>
      <c r="D771" s="131" t="n">
        <v>5114.93</v>
      </c>
      <c r="E771" s="131" t="n">
        <v>0</v>
      </c>
      <c r="F771" s="131" t="n">
        <v>0</v>
      </c>
      <c r="G771" s="131" t="inlineStr">
        <is>
          <t>HDFC Securities</t>
        </is>
      </c>
      <c r="H771" s="131" t="inlineStr">
        <is>
          <t>HDFC 0094</t>
        </is>
      </c>
    </row>
    <row r="772">
      <c r="A772" s="130" t="n">
        <v>45686</v>
      </c>
      <c r="B772" s="131" t="inlineStr">
        <is>
          <t>NET PI TO HSL SEC A/C 523686-00602340029434</t>
        </is>
      </c>
      <c r="C772" s="131" t="inlineStr">
        <is>
          <t>0000000605469737</t>
        </is>
      </c>
      <c r="D772" s="131" t="n">
        <v>84.56999999999999</v>
      </c>
      <c r="E772" s="131" t="n">
        <v>0</v>
      </c>
      <c r="F772" s="131" t="n">
        <v>0</v>
      </c>
      <c r="G772" s="131" t="inlineStr">
        <is>
          <t>HDFC Securities</t>
        </is>
      </c>
      <c r="H772" s="131" t="inlineStr">
        <is>
          <t>HDFC 0094</t>
        </is>
      </c>
    </row>
    <row r="773">
      <c r="A773" s="130" t="n">
        <v>45686</v>
      </c>
      <c r="B773" s="131" t="inlineStr">
        <is>
          <t>NEFT CR-UTIB0000004-AXIS MUTUAL FUND DIVIDEND A/C-SUNITA GUPTA-UTIBN62025012940337499</t>
        </is>
      </c>
      <c r="C773" s="131" t="inlineStr">
        <is>
          <t>UTIBN62025012940337499</t>
        </is>
      </c>
      <c r="D773" s="131" t="n">
        <v>0</v>
      </c>
      <c r="E773" s="131" t="n">
        <v>84.56999999999999</v>
      </c>
      <c r="F773" s="131" t="n">
        <v>84.56999999999999</v>
      </c>
      <c r="G773" s="131" t="inlineStr">
        <is>
          <t>Dividend Income</t>
        </is>
      </c>
      <c r="H773" s="131" t="inlineStr">
        <is>
          <t>HDFC 0094</t>
        </is>
      </c>
    </row>
    <row r="774">
      <c r="A774" s="130" t="n">
        <v>45687</v>
      </c>
      <c r="B774" s="131" t="inlineStr">
        <is>
          <t>FT- 605558165-50200085415108 - HDFC SECURITIES LTD-CLIENT DSCNB A/C -</t>
        </is>
      </c>
      <c r="C774" s="131" t="inlineStr">
        <is>
          <t>0000000927235357</t>
        </is>
      </c>
      <c r="D774" s="131" t="n">
        <v>0</v>
      </c>
      <c r="E774" s="131" t="n">
        <v>28044.51</v>
      </c>
      <c r="F774" s="131" t="n">
        <v>28044.51</v>
      </c>
      <c r="G774" s="131" t="inlineStr">
        <is>
          <t>HDFC Securities</t>
        </is>
      </c>
      <c r="H774" s="131" t="inlineStr">
        <is>
          <t>HDFC 0094</t>
        </is>
      </c>
    </row>
    <row r="775">
      <c r="A775" s="130" t="n">
        <v>45687</v>
      </c>
      <c r="B775" s="131" t="inlineStr">
        <is>
          <t>UPI-AJAY KUMAR GUPTA-AJAYGUPTANEL@IBL-HDFC0000167-810561957614-PAYMENT FROM PHONE</t>
        </is>
      </c>
      <c r="C775" s="131" t="inlineStr">
        <is>
          <t>0000810561957614</t>
        </is>
      </c>
      <c r="D775" s="131" t="n">
        <v>0</v>
      </c>
      <c r="E775" s="131" t="n">
        <v>20000</v>
      </c>
      <c r="F775" s="131" t="n">
        <v>48044.51</v>
      </c>
      <c r="G775" s="131" t="inlineStr">
        <is>
          <t>Ajay Gupta</t>
        </is>
      </c>
      <c r="H775" s="131" t="inlineStr">
        <is>
          <t>HDFC 0094</t>
        </is>
      </c>
    </row>
    <row r="776">
      <c r="A776" s="130" t="n">
        <v>45687</v>
      </c>
      <c r="B776" s="131" t="inlineStr">
        <is>
          <t>NET PI TO HSL SEC A/C 523686-00602340029434</t>
        </is>
      </c>
      <c r="C776" s="131" t="inlineStr">
        <is>
          <t>0000000605831271</t>
        </is>
      </c>
      <c r="D776" s="131" t="n">
        <v>19819.29</v>
      </c>
      <c r="E776" s="131" t="n">
        <v>0</v>
      </c>
      <c r="F776" s="131" t="n">
        <v>27832.4</v>
      </c>
      <c r="G776" s="131" t="inlineStr">
        <is>
          <t>HDFC Securities</t>
        </is>
      </c>
      <c r="H776" s="131" t="inlineStr">
        <is>
          <t>HDFC 0094</t>
        </is>
      </c>
    </row>
    <row r="777">
      <c r="A777" s="130" t="n">
        <v>45687</v>
      </c>
      <c r="B777" s="131" t="inlineStr">
        <is>
          <t>NEFT CR-SBIN0004266-SBI GENERAL INSURANCE CO LTDSBI GEN-SUNITA GUPTA 0000000002717756-SBINN52025013077176630</t>
        </is>
      </c>
      <c r="C777" s="131" t="inlineStr">
        <is>
          <t>SBINN52025013077176630</t>
        </is>
      </c>
      <c r="D777" s="131" t="n">
        <v>0</v>
      </c>
      <c r="E777" s="131" t="n">
        <v>2738</v>
      </c>
      <c r="F777" s="131" t="n">
        <v>30570.4</v>
      </c>
      <c r="G777" s="131" t="inlineStr">
        <is>
          <t>Sunita Gupta</t>
        </is>
      </c>
      <c r="H777" s="131" t="inlineStr">
        <is>
          <t>HDFC 0094</t>
        </is>
      </c>
    </row>
    <row r="778">
      <c r="A778" s="130" t="n">
        <v>45687</v>
      </c>
      <c r="B778" s="131" t="inlineStr">
        <is>
          <t>NET PI TO HSL SEC A/C 523686-00602340029434</t>
        </is>
      </c>
      <c r="C778" s="131" t="inlineStr">
        <is>
          <t>0000000605902511</t>
        </is>
      </c>
      <c r="D778" s="131" t="n">
        <v>3162.79</v>
      </c>
      <c r="E778" s="131" t="n">
        <v>0</v>
      </c>
      <c r="F778" s="131" t="n">
        <v>27407.61</v>
      </c>
      <c r="G778" s="131" t="inlineStr">
        <is>
          <t>HDFC Securities</t>
        </is>
      </c>
      <c r="H778" s="131" t="inlineStr">
        <is>
          <t>HDFC 0094</t>
        </is>
      </c>
    </row>
    <row r="779">
      <c r="A779" s="130" t="n">
        <v>45687</v>
      </c>
      <c r="B779" s="131" t="inlineStr">
        <is>
          <t>NET PI TO HSL SEC A/C 523686-00602340029434</t>
        </is>
      </c>
      <c r="C779" s="131" t="inlineStr">
        <is>
          <t>0000000605686935</t>
        </is>
      </c>
      <c r="D779" s="131" t="n">
        <v>392.82</v>
      </c>
      <c r="E779" s="131" t="n">
        <v>0</v>
      </c>
      <c r="F779" s="131" t="n">
        <v>47651.69</v>
      </c>
      <c r="G779" s="131" t="inlineStr">
        <is>
          <t>HDFC Securities</t>
        </is>
      </c>
      <c r="H779" s="131" t="inlineStr">
        <is>
          <t>HDFC 0094</t>
        </is>
      </c>
    </row>
    <row r="780">
      <c r="A780" s="130" t="n">
        <v>45688</v>
      </c>
      <c r="B780" s="131" t="inlineStr">
        <is>
          <t>FT- 606018689-50200085415108 - HDFC SECURITIES LTD-CLIENT DSCNB A/C -</t>
        </is>
      </c>
      <c r="C780" s="131" t="inlineStr">
        <is>
          <t>0000000928614873</t>
        </is>
      </c>
      <c r="D780" s="131" t="n">
        <v>0</v>
      </c>
      <c r="E780" s="131" t="n">
        <v>5948.06</v>
      </c>
      <c r="F780" s="131" t="n">
        <v>33355.67</v>
      </c>
      <c r="G780" s="131" t="inlineStr">
        <is>
          <t>HDFC Securities</t>
        </is>
      </c>
      <c r="H780" s="131" t="inlineStr">
        <is>
          <t>HDFC 0094</t>
        </is>
      </c>
    </row>
    <row r="781">
      <c r="A781" s="130" t="n">
        <v>45688</v>
      </c>
      <c r="B781" s="131" t="inlineStr">
        <is>
          <t>NET PI TO HSL SEC A/C 523686-00602340029434</t>
        </is>
      </c>
      <c r="C781" s="131" t="inlineStr">
        <is>
          <t>0000000606129630</t>
        </is>
      </c>
      <c r="D781" s="131" t="n">
        <v>366.51</v>
      </c>
      <c r="E781" s="131" t="n">
        <v>0</v>
      </c>
      <c r="F781" s="131" t="n">
        <v>32989.16</v>
      </c>
      <c r="G781" s="131" t="inlineStr">
        <is>
          <t>HDFC Securities</t>
        </is>
      </c>
      <c r="H781" s="131" t="inlineStr">
        <is>
          <t>HDFC 0094</t>
        </is>
      </c>
    </row>
    <row r="782">
      <c r="A782" s="130" t="n">
        <v>45691</v>
      </c>
      <c r="B782" s="131" t="inlineStr">
        <is>
          <t>NET PI TO HSL SEC A/C 523686-00602340029434</t>
        </is>
      </c>
      <c r="C782" s="131" t="inlineStr">
        <is>
          <t>0000000606971283</t>
        </is>
      </c>
      <c r="D782" s="131" t="n">
        <v>28353.38</v>
      </c>
      <c r="E782" s="131" t="n">
        <v>0</v>
      </c>
      <c r="F782" s="131" t="n">
        <v>42532.85</v>
      </c>
      <c r="G782" s="131" t="inlineStr">
        <is>
          <t>HDFC Securities</t>
        </is>
      </c>
      <c r="H782" s="131" t="inlineStr">
        <is>
          <t>HDFC 0094</t>
        </is>
      </c>
    </row>
    <row r="783">
      <c r="A783" s="130" t="n">
        <v>45691</v>
      </c>
      <c r="B783" s="131" t="inlineStr">
        <is>
          <t>FT- 606603295-50200085415108 - HDFC SECURITIES LTD-CLIENT DSCNB A/C -</t>
        </is>
      </c>
      <c r="C783" s="131" t="inlineStr">
        <is>
          <t>0000000932234453</t>
        </is>
      </c>
      <c r="D783" s="131" t="n">
        <v>0</v>
      </c>
      <c r="E783" s="131" t="n">
        <v>105.23</v>
      </c>
      <c r="F783" s="131" t="n">
        <v>33094.39</v>
      </c>
      <c r="G783" s="131" t="inlineStr">
        <is>
          <t>HDFC Securities</t>
        </is>
      </c>
      <c r="H783" s="131" t="inlineStr">
        <is>
          <t>HDFC 0094</t>
        </is>
      </c>
    </row>
    <row r="784">
      <c r="A784" s="130" t="n">
        <v>45691</v>
      </c>
      <c r="B784" s="131" t="inlineStr">
        <is>
          <t>FT- 606642758-50200085415108 - HDFC SECURITIES LTD-CLIENT DSCNB A/C -</t>
        </is>
      </c>
      <c r="C784" s="131" t="inlineStr">
        <is>
          <t>0000000932209174</t>
        </is>
      </c>
      <c r="D784" s="131" t="n">
        <v>0</v>
      </c>
      <c r="E784" s="131" t="n">
        <v>34295.84</v>
      </c>
      <c r="F784" s="131" t="n">
        <v>67390.23</v>
      </c>
      <c r="G784" s="131" t="inlineStr">
        <is>
          <t>HDFC Securities</t>
        </is>
      </c>
      <c r="H784" s="131" t="inlineStr">
        <is>
          <t>HDFC 0094</t>
        </is>
      </c>
    </row>
    <row r="785">
      <c r="A785" s="130" t="n">
        <v>45691</v>
      </c>
      <c r="B785" s="131" t="inlineStr">
        <is>
          <t>ACH C- TCS3INTSPLDIV030225-789082</t>
        </is>
      </c>
      <c r="C785" s="131" t="inlineStr">
        <is>
          <t>0000003978429499</t>
        </is>
      </c>
      <c r="D785" s="131" t="n">
        <v>0</v>
      </c>
      <c r="E785" s="131" t="n">
        <v>3496</v>
      </c>
      <c r="F785" s="131" t="n">
        <v>70886.23</v>
      </c>
      <c r="G785" s="131" t="inlineStr">
        <is>
          <t>Dividend Income</t>
        </is>
      </c>
      <c r="H785" s="131" t="inlineStr">
        <is>
          <t>HDFC 0094</t>
        </is>
      </c>
    </row>
    <row r="786">
      <c r="A786" s="130" t="n">
        <v>45692</v>
      </c>
      <c r="B786" s="131" t="inlineStr">
        <is>
          <t>NET PI TO HSL SEC A/C 523686-00602340029434</t>
        </is>
      </c>
      <c r="C786" s="131" t="inlineStr">
        <is>
          <t>0000000607401894</t>
        </is>
      </c>
      <c r="D786" s="131" t="n">
        <v>7755.45</v>
      </c>
      <c r="E786" s="131" t="n">
        <v>0</v>
      </c>
      <c r="F786" s="131" t="n">
        <v>80706.49000000001</v>
      </c>
      <c r="G786" s="131" t="inlineStr">
        <is>
          <t>HDFC Securities</t>
        </is>
      </c>
      <c r="H786" s="131" t="inlineStr">
        <is>
          <t>HDFC 0094</t>
        </is>
      </c>
    </row>
    <row r="787">
      <c r="A787" s="130" t="n">
        <v>45692</v>
      </c>
      <c r="B787" s="131" t="inlineStr">
        <is>
          <t>FT- 607119671-50200085415108 - HDFC SECURITIES LTD-CLIENT DSCNB A/C -</t>
        </is>
      </c>
      <c r="C787" s="131" t="inlineStr">
        <is>
          <t>0000000933874366</t>
        </is>
      </c>
      <c r="D787" s="131" t="n">
        <v>0</v>
      </c>
      <c r="E787" s="131" t="n">
        <v>46286.58</v>
      </c>
      <c r="F787" s="131" t="n">
        <v>88819.42999999999</v>
      </c>
      <c r="G787" s="131" t="inlineStr">
        <is>
          <t>HDFC Securities</t>
        </is>
      </c>
      <c r="H787" s="131" t="inlineStr">
        <is>
          <t>HDFC 0094</t>
        </is>
      </c>
    </row>
    <row r="788">
      <c r="A788" s="130" t="n">
        <v>45692</v>
      </c>
      <c r="B788" s="131" t="inlineStr">
        <is>
          <t>NET PI TO HSL SEC A/C 523686-00602340029434</t>
        </is>
      </c>
      <c r="C788" s="131" t="inlineStr">
        <is>
          <t>0000000607235409</t>
        </is>
      </c>
      <c r="D788" s="131" t="n">
        <v>357.49</v>
      </c>
      <c r="E788" s="131" t="n">
        <v>0</v>
      </c>
      <c r="F788" s="131" t="n">
        <v>88461.94</v>
      </c>
      <c r="G788" s="131" t="inlineStr">
        <is>
          <t>HDFC Securities</t>
        </is>
      </c>
      <c r="H788" s="131" t="inlineStr">
        <is>
          <t>HDFC 0094</t>
        </is>
      </c>
    </row>
    <row r="789">
      <c r="A789" s="130" t="n">
        <v>45693</v>
      </c>
      <c r="B789" s="131" t="inlineStr">
        <is>
          <t>NET PI TO HSL SEC A/C 523686-00602340029434</t>
        </is>
      </c>
      <c r="C789" s="131" t="inlineStr">
        <is>
          <t>0000000607815966</t>
        </is>
      </c>
      <c r="D789" s="131" t="n">
        <v>28518.15</v>
      </c>
      <c r="E789" s="131" t="n">
        <v>0</v>
      </c>
      <c r="F789" s="131" t="n">
        <v>61985.35</v>
      </c>
      <c r="G789" s="131" t="inlineStr">
        <is>
          <t>HDFC Securities</t>
        </is>
      </c>
      <c r="H789" s="131" t="inlineStr">
        <is>
          <t>HDFC 0094</t>
        </is>
      </c>
    </row>
    <row r="790">
      <c r="A790" s="130" t="n">
        <v>45693</v>
      </c>
      <c r="B790" s="131" t="inlineStr">
        <is>
          <t>NEFT CR-SBIN0004266-SBI GENERAL INSURANCE CO LTDSBI GEN-SUNITA GUPTA 0000000002717756-SBINN52025020592093945</t>
        </is>
      </c>
      <c r="C790" s="131" t="inlineStr">
        <is>
          <t>SBINN52025020592093945</t>
        </is>
      </c>
      <c r="D790" s="131" t="n">
        <v>0</v>
      </c>
      <c r="E790" s="131" t="n">
        <v>10164</v>
      </c>
      <c r="F790" s="131" t="n">
        <v>90503.5</v>
      </c>
      <c r="G790" s="131" t="inlineStr">
        <is>
          <t>Sunita Gupta</t>
        </is>
      </c>
      <c r="H790" s="131" t="inlineStr">
        <is>
          <t>HDFC 0094</t>
        </is>
      </c>
    </row>
    <row r="791">
      <c r="A791" s="130" t="n">
        <v>45693</v>
      </c>
      <c r="B791" s="131" t="inlineStr">
        <is>
          <t>NET PI TO HSL SEC A/C 523686-00602340029434</t>
        </is>
      </c>
      <c r="C791" s="131" t="inlineStr">
        <is>
          <t>0000000607666478</t>
        </is>
      </c>
      <c r="D791" s="131" t="n">
        <v>366.99</v>
      </c>
      <c r="E791" s="131" t="n">
        <v>0</v>
      </c>
      <c r="F791" s="131" t="n">
        <v>80339.5</v>
      </c>
      <c r="G791" s="131" t="inlineStr">
        <is>
          <t>HDFC Securities</t>
        </is>
      </c>
      <c r="H791" s="131" t="inlineStr">
        <is>
          <t>HDFC 0094</t>
        </is>
      </c>
    </row>
    <row r="792">
      <c r="A792" s="130" t="n">
        <v>45694</v>
      </c>
      <c r="B792" s="131" t="inlineStr">
        <is>
          <t>NET PI TO HSL SEC A/C 523686-00602340029434</t>
        </is>
      </c>
      <c r="C792" s="131" t="inlineStr">
        <is>
          <t>0000000608233949</t>
        </is>
      </c>
      <c r="D792" s="131" t="n">
        <v>3322.57</v>
      </c>
      <c r="E792" s="131" t="n">
        <v>0</v>
      </c>
      <c r="F792" s="131" t="n">
        <v>100654.77</v>
      </c>
      <c r="G792" s="131" t="inlineStr">
        <is>
          <t>HDFC Securities</t>
        </is>
      </c>
      <c r="H792" s="131" t="inlineStr">
        <is>
          <t>HDFC 0094</t>
        </is>
      </c>
    </row>
    <row r="793">
      <c r="A793" s="130" t="n">
        <v>45694</v>
      </c>
      <c r="B793" s="131" t="inlineStr">
        <is>
          <t>FT- 607956203-50200085415108 - HDFC SECURITIES LTD-CLIENT DSCNB A/C -</t>
        </is>
      </c>
      <c r="C793" s="131" t="inlineStr">
        <is>
          <t>0000000937435816</t>
        </is>
      </c>
      <c r="D793" s="131" t="n">
        <v>0</v>
      </c>
      <c r="E793" s="131" t="n">
        <v>42371.2</v>
      </c>
      <c r="F793" s="131" t="n">
        <v>104356.55</v>
      </c>
      <c r="G793" s="131" t="inlineStr">
        <is>
          <t>HDFC Securities</t>
        </is>
      </c>
      <c r="H793" s="131" t="inlineStr">
        <is>
          <t>HDFC 0094</t>
        </is>
      </c>
    </row>
    <row r="794">
      <c r="A794" s="130" t="n">
        <v>45694</v>
      </c>
      <c r="B794" s="131" t="inlineStr">
        <is>
          <t>NET PI TO HSL SEC A/C 523686-00602340029434</t>
        </is>
      </c>
      <c r="C794" s="131" t="inlineStr">
        <is>
          <t>0000000608067800</t>
        </is>
      </c>
      <c r="D794" s="131" t="n">
        <v>379.21</v>
      </c>
      <c r="E794" s="131" t="n">
        <v>0</v>
      </c>
      <c r="F794" s="131" t="n">
        <v>103977.34</v>
      </c>
      <c r="G794" s="131" t="inlineStr">
        <is>
          <t>HDFC Securities</t>
        </is>
      </c>
      <c r="H794" s="131" t="inlineStr">
        <is>
          <t>HDFC 0094</t>
        </is>
      </c>
    </row>
    <row r="795">
      <c r="A795" s="130" t="n">
        <v>45695</v>
      </c>
      <c r="B795" s="131" t="inlineStr">
        <is>
          <t>NET PI TO HSL SEC A/C 523686-00602340029434</t>
        </is>
      </c>
      <c r="C795" s="131" t="inlineStr">
        <is>
          <t>0000000608626433</t>
        </is>
      </c>
      <c r="D795" s="131" t="n">
        <v>33071.58</v>
      </c>
      <c r="E795" s="131" t="n">
        <v>0</v>
      </c>
      <c r="F795" s="131" t="n">
        <v>101425.17</v>
      </c>
      <c r="G795" s="131" t="inlineStr">
        <is>
          <t>HDFC Securities</t>
        </is>
      </c>
      <c r="H795" s="131" t="inlineStr">
        <is>
          <t>HDFC 0094</t>
        </is>
      </c>
    </row>
    <row r="796">
      <c r="A796" s="130" t="n">
        <v>45695</v>
      </c>
      <c r="B796" s="131" t="inlineStr">
        <is>
          <t>NET PI TO HSL SEC A/C 523686-00602340029434</t>
        </is>
      </c>
      <c r="C796" s="131" t="inlineStr">
        <is>
          <t>0000000608473140</t>
        </is>
      </c>
      <c r="D796" s="131" t="n">
        <v>378.02</v>
      </c>
      <c r="E796" s="131" t="n">
        <v>0</v>
      </c>
      <c r="F796" s="131" t="n">
        <v>100276.75</v>
      </c>
      <c r="G796" s="131" t="inlineStr">
        <is>
          <t>HDFC Securities</t>
        </is>
      </c>
      <c r="H796" s="131" t="inlineStr">
        <is>
          <t>HDFC 0094</t>
        </is>
      </c>
    </row>
    <row r="797">
      <c r="A797" s="130" t="n">
        <v>45695</v>
      </c>
      <c r="B797" s="131" t="inlineStr">
        <is>
          <t>NEFT CR-SBIN0004266-SBI GENERAL INSURANCE CO LTDSBI GEN-SUNITA GUPTA 0000000002717756-SBINN52025020795304462</t>
        </is>
      </c>
      <c r="C797" s="131" t="inlineStr">
        <is>
          <t>SBINN52025020795304462</t>
        </is>
      </c>
      <c r="D797" s="131" t="n">
        <v>0</v>
      </c>
      <c r="E797" s="131" t="n">
        <v>34220</v>
      </c>
      <c r="F797" s="131" t="n">
        <v>134496.75</v>
      </c>
      <c r="G797" s="131" t="inlineStr">
        <is>
          <t>Sunita Gupta</t>
        </is>
      </c>
      <c r="H797" s="131" t="inlineStr">
        <is>
          <t>HDFC 0094</t>
        </is>
      </c>
    </row>
    <row r="798">
      <c r="A798" s="130" t="n">
        <v>45698</v>
      </c>
      <c r="B798" s="131" t="inlineStr">
        <is>
          <t>FT- 608796900-50200085415108 - HDFC SECURITIES LTD-CLIENT DSCNB A/C -</t>
        </is>
      </c>
      <c r="C798" s="131" t="inlineStr">
        <is>
          <t>0000000942972147</t>
        </is>
      </c>
      <c r="D798" s="131" t="n">
        <v>0</v>
      </c>
      <c r="E798" s="131" t="n">
        <v>86601.53</v>
      </c>
      <c r="F798" s="131" t="n">
        <v>188026.7</v>
      </c>
      <c r="G798" s="131" t="inlineStr">
        <is>
          <t>HDFC Securities</t>
        </is>
      </c>
      <c r="H798" s="131" t="inlineStr">
        <is>
          <t>HDFC 0094</t>
        </is>
      </c>
    </row>
    <row r="799">
      <c r="A799" s="130" t="n">
        <v>45698</v>
      </c>
      <c r="B799" s="131" t="inlineStr">
        <is>
          <t>NET PI TO HSL SEC A/C 523686-00602340029434</t>
        </is>
      </c>
      <c r="C799" s="131" t="inlineStr">
        <is>
          <t>0000000608981340</t>
        </is>
      </c>
      <c r="D799" s="131" t="n">
        <v>1098.72</v>
      </c>
      <c r="E799" s="131" t="n">
        <v>0</v>
      </c>
      <c r="F799" s="131" t="n">
        <v>186927.98</v>
      </c>
      <c r="G799" s="131" t="inlineStr">
        <is>
          <t>HDFC Securities</t>
        </is>
      </c>
      <c r="H799" s="131" t="inlineStr">
        <is>
          <t>HDFC 0094</t>
        </is>
      </c>
    </row>
    <row r="800">
      <c r="A800" s="130" t="n">
        <v>45698</v>
      </c>
      <c r="B800" s="131" t="inlineStr">
        <is>
          <t>UPI/P2A/540741534158/ASHLESHA RAMDAS  WAGH/UPI/State Bank Of India</t>
        </is>
      </c>
      <c r="C800" s="131" t="inlineStr">
        <is>
          <t>-</t>
        </is>
      </c>
      <c r="D800" s="131" t="n">
        <v>1200</v>
      </c>
      <c r="E800" s="131" t="n">
        <v>0</v>
      </c>
      <c r="F800" s="131" t="n">
        <v>35839.39</v>
      </c>
      <c r="G800" s="131" t="inlineStr">
        <is>
          <t>Personal</t>
        </is>
      </c>
      <c r="H800" s="131" t="inlineStr">
        <is>
          <t>AXIS 7042</t>
        </is>
      </c>
    </row>
    <row r="801">
      <c r="A801" s="130" t="n">
        <v>45699</v>
      </c>
      <c r="B801" s="131" t="inlineStr">
        <is>
          <t>NET PI TO HSL SEC A/C 523686-00602340029434</t>
        </is>
      </c>
      <c r="C801" s="131" t="inlineStr">
        <is>
          <t>0000000609459108</t>
        </is>
      </c>
      <c r="D801" s="131" t="n">
        <v>378.42</v>
      </c>
      <c r="E801" s="131" t="n">
        <v>0</v>
      </c>
      <c r="F801" s="131" t="n">
        <v>153756.41</v>
      </c>
      <c r="G801" s="131" t="inlineStr">
        <is>
          <t>HDFC Securities</t>
        </is>
      </c>
      <c r="H801" s="131" t="inlineStr">
        <is>
          <t>HDFC 0094</t>
        </is>
      </c>
    </row>
    <row r="802">
      <c r="A802" s="130" t="n">
        <v>45699</v>
      </c>
      <c r="B802" s="131" t="inlineStr">
        <is>
          <t>NET PI TO HSL SEC A/C 523686-00602340029434</t>
        </is>
      </c>
      <c r="C802" s="131" t="inlineStr">
        <is>
          <t>0000000609656175</t>
        </is>
      </c>
      <c r="D802" s="131" t="n">
        <v>37144.79</v>
      </c>
      <c r="E802" s="131" t="n">
        <v>0</v>
      </c>
      <c r="F802" s="131" t="n">
        <v>116611.62</v>
      </c>
      <c r="G802" s="131" t="inlineStr">
        <is>
          <t>HDFC Securities</t>
        </is>
      </c>
      <c r="H802" s="131" t="inlineStr">
        <is>
          <t>HDFC 0094</t>
        </is>
      </c>
    </row>
    <row r="803">
      <c r="A803" s="130" t="n">
        <v>45699</v>
      </c>
      <c r="B803" s="131" t="inlineStr">
        <is>
          <t>NET PI TO HSL SEC A/C 523686-00602340029434</t>
        </is>
      </c>
      <c r="C803" s="131" t="inlineStr">
        <is>
          <t>0000000609204108</t>
        </is>
      </c>
      <c r="D803" s="131" t="n">
        <v>32793.15</v>
      </c>
      <c r="E803" s="131" t="n">
        <v>0</v>
      </c>
      <c r="F803" s="131" t="n">
        <v>154134.83</v>
      </c>
      <c r="G803" s="131" t="inlineStr">
        <is>
          <t>HDFC Securities</t>
        </is>
      </c>
      <c r="H803" s="131" t="inlineStr">
        <is>
          <t>HDFC 0094</t>
        </is>
      </c>
    </row>
    <row r="804">
      <c r="A804" s="130" t="n">
        <v>45700</v>
      </c>
      <c r="B804" s="131" t="inlineStr">
        <is>
          <t>NET PI TO HSL SEC A/C 523686-00602340029434</t>
        </is>
      </c>
      <c r="C804" s="131" t="inlineStr">
        <is>
          <t>0000000609912955</t>
        </is>
      </c>
      <c r="D804" s="131" t="n">
        <v>379.99</v>
      </c>
      <c r="E804" s="131" t="n">
        <v>0</v>
      </c>
      <c r="F804" s="131" t="n">
        <v>116231.63</v>
      </c>
      <c r="G804" s="131" t="inlineStr">
        <is>
          <t>HDFC Securities</t>
        </is>
      </c>
      <c r="H804" s="131" t="inlineStr">
        <is>
          <t>HDFC 0094</t>
        </is>
      </c>
    </row>
    <row r="805">
      <c r="A805" s="130" t="n">
        <v>45700</v>
      </c>
      <c r="B805" s="131" t="inlineStr">
        <is>
          <t>NET PI TO HSL SEC A/C 523686-00602340029434</t>
        </is>
      </c>
      <c r="C805" s="131" t="inlineStr">
        <is>
          <t>0000000610090800</t>
        </is>
      </c>
      <c r="D805" s="131" t="n">
        <v>43612.42</v>
      </c>
      <c r="E805" s="131" t="n">
        <v>0</v>
      </c>
      <c r="F805" s="131" t="n">
        <v>72619.21000000001</v>
      </c>
      <c r="G805" s="131" t="inlineStr">
        <is>
          <t>HDFC Securities</t>
        </is>
      </c>
      <c r="H805" s="131" t="inlineStr">
        <is>
          <t>HDFC 0094</t>
        </is>
      </c>
    </row>
    <row r="806">
      <c r="A806" s="130" t="n">
        <v>45701</v>
      </c>
      <c r="B806" s="131" t="inlineStr">
        <is>
          <t>NET PI TO HSL SEC A/C 523686-00602340029434</t>
        </is>
      </c>
      <c r="C806" s="131" t="inlineStr">
        <is>
          <t>0000000610366580</t>
        </is>
      </c>
      <c r="D806" s="131" t="n">
        <v>369.32</v>
      </c>
      <c r="E806" s="131" t="n">
        <v>0</v>
      </c>
      <c r="F806" s="131" t="n">
        <v>72249.89</v>
      </c>
      <c r="G806" s="131" t="inlineStr">
        <is>
          <t>HDFC Securities</t>
        </is>
      </c>
      <c r="H806" s="131" t="inlineStr">
        <is>
          <t>HDFC 0094</t>
        </is>
      </c>
    </row>
    <row r="807">
      <c r="A807" s="130" t="n">
        <v>45701</v>
      </c>
      <c r="B807" s="131" t="inlineStr">
        <is>
          <t>ACH C- COFORGE LTD-95252</t>
        </is>
      </c>
      <c r="C807" s="131" t="inlineStr">
        <is>
          <t>0000004485597556</t>
        </is>
      </c>
      <c r="D807" s="131" t="n">
        <v>0</v>
      </c>
      <c r="E807" s="131" t="n">
        <v>627</v>
      </c>
      <c r="F807" s="131" t="n">
        <v>72876.89</v>
      </c>
      <c r="G807" s="131" t="inlineStr">
        <is>
          <t>Dividend Income</t>
        </is>
      </c>
      <c r="H807" s="131" t="inlineStr">
        <is>
          <t>HDFC 0094</t>
        </is>
      </c>
    </row>
    <row r="808">
      <c r="A808" s="130" t="n">
        <v>45701</v>
      </c>
      <c r="B808" s="131" t="inlineStr">
        <is>
          <t>NET PI TO HSL SEC A/C 523686-00602340029434</t>
        </is>
      </c>
      <c r="C808" s="131" t="inlineStr">
        <is>
          <t>0000000610514625</t>
        </is>
      </c>
      <c r="D808" s="131" t="n">
        <v>3599.59</v>
      </c>
      <c r="E808" s="131" t="n">
        <v>0</v>
      </c>
      <c r="F808" s="131" t="n">
        <v>69277.3</v>
      </c>
      <c r="G808" s="131" t="inlineStr">
        <is>
          <t>HDFC Securities</t>
        </is>
      </c>
      <c r="H808" s="131" t="inlineStr">
        <is>
          <t>HDFC 0094</t>
        </is>
      </c>
    </row>
    <row r="809">
      <c r="A809" s="130" t="n">
        <v>45702</v>
      </c>
      <c r="B809" s="131" t="inlineStr">
        <is>
          <t>UPI/P2A/504523848997/BHARTI RATAN DEVNANI /UPI/UNION BANK OF INDIA</t>
        </is>
      </c>
      <c r="C809" s="131" t="inlineStr">
        <is>
          <t>-</t>
        </is>
      </c>
      <c r="D809" s="131" t="n">
        <v>320</v>
      </c>
      <c r="E809" s="131" t="n">
        <v>0</v>
      </c>
      <c r="F809" s="131" t="n">
        <v>35519.39</v>
      </c>
      <c r="G809" s="131" t="inlineStr">
        <is>
          <t>Personal</t>
        </is>
      </c>
      <c r="H809" s="131" t="inlineStr">
        <is>
          <t>AXIS 7042</t>
        </is>
      </c>
    </row>
    <row r="810">
      <c r="A810" s="130" t="n">
        <v>45702</v>
      </c>
      <c r="B810" s="131" t="inlineStr">
        <is>
          <t>DR LAL PATHLDIV24 2500000000000000008368</t>
        </is>
      </c>
      <c r="C810" s="131" t="inlineStr">
        <is>
          <t>0000250449784923</t>
        </is>
      </c>
      <c r="D810" s="131" t="n">
        <v>0</v>
      </c>
      <c r="E810" s="131" t="n">
        <v>210</v>
      </c>
      <c r="F810" s="131" t="n">
        <v>69487.3</v>
      </c>
      <c r="G810" s="131" t="inlineStr">
        <is>
          <t>Dividend Income</t>
        </is>
      </c>
      <c r="H810" s="131" t="inlineStr">
        <is>
          <t>HDFC 0094</t>
        </is>
      </c>
    </row>
    <row r="811">
      <c r="A811" s="130" t="n">
        <v>45702</v>
      </c>
      <c r="B811" s="131" t="inlineStr">
        <is>
          <t>NET PI TO HSL SEC A/C 523686-00602340029434</t>
        </is>
      </c>
      <c r="C811" s="131" t="inlineStr">
        <is>
          <t>0000000610752888</t>
        </is>
      </c>
      <c r="D811" s="131" t="n">
        <v>402.64</v>
      </c>
      <c r="E811" s="131" t="n">
        <v>0</v>
      </c>
      <c r="F811" s="131" t="n">
        <v>69084.66</v>
      </c>
      <c r="G811" s="131" t="inlineStr">
        <is>
          <t>HDFC Securities</t>
        </is>
      </c>
      <c r="H811" s="131" t="inlineStr">
        <is>
          <t>HDFC 0094</t>
        </is>
      </c>
    </row>
    <row r="812">
      <c r="A812" s="130" t="n">
        <v>45702</v>
      </c>
      <c r="B812" s="131" t="inlineStr">
        <is>
          <t>DEPOSITORY CHARGES JAN25 - 41060499</t>
        </is>
      </c>
      <c r="C812" s="131" t="inlineStr">
        <is>
          <t>000000000000000</t>
        </is>
      </c>
      <c r="D812" s="131" t="n">
        <v>247.8</v>
      </c>
      <c r="E812" s="131" t="n">
        <v>0</v>
      </c>
      <c r="F812" s="131" t="n">
        <v>68836.86</v>
      </c>
      <c r="G812" s="131" t="inlineStr">
        <is>
          <t>Depository Charges</t>
        </is>
      </c>
      <c r="H812" s="131" t="inlineStr">
        <is>
          <t>HDFC 0094</t>
        </is>
      </c>
    </row>
    <row r="813">
      <c r="A813" s="130" t="n">
        <v>45702</v>
      </c>
      <c r="B813" s="131" t="inlineStr">
        <is>
          <t>NET PI TO HSL SEC A/C 523686-00602340029434</t>
        </is>
      </c>
      <c r="C813" s="131" t="inlineStr">
        <is>
          <t>0000000610956478</t>
        </is>
      </c>
      <c r="D813" s="131" t="n">
        <v>21070.58</v>
      </c>
      <c r="E813" s="131" t="n">
        <v>0</v>
      </c>
      <c r="F813" s="131" t="n">
        <v>47766.28</v>
      </c>
      <c r="G813" s="131" t="inlineStr">
        <is>
          <t>HDFC Securities</t>
        </is>
      </c>
      <c r="H813" s="131" t="inlineStr">
        <is>
          <t>HDFC 0094</t>
        </is>
      </c>
    </row>
    <row r="814">
      <c r="A814" s="130" t="n">
        <v>45703</v>
      </c>
      <c r="B814" s="131" t="inlineStr">
        <is>
          <t>NET PI TO HSL SEC A/C 523686-00602340029434</t>
        </is>
      </c>
      <c r="C814" s="131" t="inlineStr">
        <is>
          <t>0000000611016991</t>
        </is>
      </c>
      <c r="D814" s="131" t="n">
        <v>5298.4</v>
      </c>
      <c r="E814" s="131" t="n">
        <v>0</v>
      </c>
      <c r="F814" s="131" t="n">
        <v>42467.88</v>
      </c>
      <c r="G814" s="131" t="inlineStr">
        <is>
          <t>HDFC Securities</t>
        </is>
      </c>
      <c r="H814" s="131" t="inlineStr">
        <is>
          <t>HDFC 0094</t>
        </is>
      </c>
    </row>
    <row r="815">
      <c r="A815" s="130" t="n">
        <v>45705</v>
      </c>
      <c r="B815" s="131" t="inlineStr">
        <is>
          <t>ACH C- SHRIRAM.FINLTD I2DV2-STFIN3004764</t>
        </is>
      </c>
      <c r="C815" s="131" t="inlineStr">
        <is>
          <t>0000004642446420</t>
        </is>
      </c>
      <c r="D815" s="131" t="n">
        <v>0</v>
      </c>
      <c r="E815" s="131" t="n">
        <v>475</v>
      </c>
      <c r="F815" s="131" t="n">
        <v>42896.15</v>
      </c>
      <c r="G815" s="131" t="inlineStr">
        <is>
          <t>Dividend Income</t>
        </is>
      </c>
      <c r="H815" s="131" t="inlineStr">
        <is>
          <t>HDFC 0094</t>
        </is>
      </c>
    </row>
    <row r="816">
      <c r="A816" s="130" t="n">
        <v>45705</v>
      </c>
      <c r="B816" s="131" t="inlineStr">
        <is>
          <t>NET PI TO HSL SEC A/C 523686-00602340029434</t>
        </is>
      </c>
      <c r="C816" s="131" t="inlineStr">
        <is>
          <t>0000000611475267</t>
        </is>
      </c>
      <c r="D816" s="131" t="n">
        <v>17237.03</v>
      </c>
      <c r="E816" s="131" t="n">
        <v>0</v>
      </c>
      <c r="F816" s="131" t="n">
        <v>25659.12</v>
      </c>
      <c r="G816" s="131" t="inlineStr">
        <is>
          <t>HDFC Securities</t>
        </is>
      </c>
      <c r="H816" s="131" t="inlineStr">
        <is>
          <t>HDFC 0094</t>
        </is>
      </c>
    </row>
    <row r="817">
      <c r="A817" s="130" t="n">
        <v>45705</v>
      </c>
      <c r="B817" s="131" t="inlineStr">
        <is>
          <t>NET PI TO HSL SEC A/C 523686-00602340029434</t>
        </is>
      </c>
      <c r="C817" s="131" t="inlineStr">
        <is>
          <t>0000000611267279</t>
        </is>
      </c>
      <c r="D817" s="131" t="n">
        <v>1179.75</v>
      </c>
      <c r="E817" s="131" t="n">
        <v>0</v>
      </c>
      <c r="F817" s="131" t="n">
        <v>42421.15</v>
      </c>
      <c r="G817" s="131" t="inlineStr">
        <is>
          <t>HDFC Securities</t>
        </is>
      </c>
      <c r="H817" s="131" t="inlineStr">
        <is>
          <t>HDFC 0094</t>
        </is>
      </c>
    </row>
    <row r="818">
      <c r="A818" s="130" t="n">
        <v>45705</v>
      </c>
      <c r="B818" s="131" t="inlineStr">
        <is>
          <t>NET PI TO HSL SEC A/C 523686-00602340029434</t>
        </is>
      </c>
      <c r="C818" s="131" t="inlineStr">
        <is>
          <t>0000000611516776</t>
        </is>
      </c>
      <c r="D818" s="131" t="n">
        <v>6502.29</v>
      </c>
      <c r="E818" s="131" t="n">
        <v>0</v>
      </c>
      <c r="F818" s="131" t="n">
        <v>19156.83</v>
      </c>
      <c r="G818" s="131" t="inlineStr">
        <is>
          <t>HDFC Securities</t>
        </is>
      </c>
      <c r="H818" s="131" t="inlineStr">
        <is>
          <t>HDFC 0094</t>
        </is>
      </c>
    </row>
    <row r="819">
      <c r="A819" s="130" t="n">
        <v>45705</v>
      </c>
      <c r="B819" s="131" t="inlineStr">
        <is>
          <t>ACH D- TP ACH INDIANESIGN-1720937443</t>
        </is>
      </c>
      <c r="C819" s="131" t="inlineStr">
        <is>
          <t>0000004616735225</t>
        </is>
      </c>
      <c r="D819" s="131" t="n">
        <v>5000</v>
      </c>
      <c r="E819" s="131" t="n">
        <v>0</v>
      </c>
      <c r="F819" s="131" t="n">
        <v>43600.9</v>
      </c>
      <c r="G819" s="131" t="inlineStr">
        <is>
          <t>SIP</t>
        </is>
      </c>
      <c r="H819" s="131" t="inlineStr">
        <is>
          <t>HDFC 0094</t>
        </is>
      </c>
    </row>
    <row r="820">
      <c r="A820" s="130" t="n">
        <v>45705</v>
      </c>
      <c r="B820" s="131" t="inlineStr">
        <is>
          <t>FT- 611101707-50200085415108 - HDFC SECURITIES LTD-CLIENT DSCNB A/C -</t>
        </is>
      </c>
      <c r="C820" s="131" t="inlineStr">
        <is>
          <t>0000000951903093</t>
        </is>
      </c>
      <c r="D820" s="131" t="n">
        <v>0</v>
      </c>
      <c r="E820" s="131" t="n">
        <v>5298.4</v>
      </c>
      <c r="F820" s="131" t="n">
        <v>48600.9</v>
      </c>
      <c r="G820" s="131" t="inlineStr">
        <is>
          <t>HDFC Securities</t>
        </is>
      </c>
      <c r="H820" s="131" t="inlineStr">
        <is>
          <t>HDFC 0094</t>
        </is>
      </c>
    </row>
    <row r="821">
      <c r="A821" s="130" t="n">
        <v>45705</v>
      </c>
      <c r="B821" s="131" t="inlineStr">
        <is>
          <t>FT- 611101706-50200085415108 - HDFC SECURITIES LTD-CLIENT DSCNB A/C -</t>
        </is>
      </c>
      <c r="C821" s="131" t="inlineStr">
        <is>
          <t>0000000951903089</t>
        </is>
      </c>
      <c r="D821" s="131" t="n">
        <v>0</v>
      </c>
      <c r="E821" s="131" t="n">
        <v>834.62</v>
      </c>
      <c r="F821" s="131" t="n">
        <v>43302.5</v>
      </c>
      <c r="G821" s="131" t="inlineStr">
        <is>
          <t>HDFC Securities</t>
        </is>
      </c>
      <c r="H821" s="131" t="inlineStr">
        <is>
          <t>HDFC 0094</t>
        </is>
      </c>
    </row>
    <row r="822">
      <c r="A822" s="130" t="n">
        <v>45706</v>
      </c>
      <c r="B822" s="131" t="inlineStr">
        <is>
          <t>NET PI TO HSL SEC A/C 523686-00602340029434</t>
        </is>
      </c>
      <c r="C822" s="131" t="inlineStr">
        <is>
          <t>0000000612010020</t>
        </is>
      </c>
      <c r="D822" s="131" t="n">
        <v>32910.82</v>
      </c>
      <c r="E822" s="131" t="n">
        <v>0</v>
      </c>
      <c r="F822" s="131" t="n">
        <v>16595.54</v>
      </c>
      <c r="G822" s="131" t="inlineStr">
        <is>
          <t>HDFC Securities</t>
        </is>
      </c>
      <c r="H822" s="131" t="inlineStr">
        <is>
          <t>HDFC 0094</t>
        </is>
      </c>
    </row>
    <row r="823">
      <c r="A823" s="130" t="n">
        <v>45706</v>
      </c>
      <c r="B823" s="131" t="inlineStr">
        <is>
          <t>FT- 611623287-50200085415108 - HDFC SECURITIES LTD-CLIENT DSCNB A/C -</t>
        </is>
      </c>
      <c r="C823" s="131" t="inlineStr">
        <is>
          <t>0000000953039575</t>
        </is>
      </c>
      <c r="D823" s="131" t="n">
        <v>0</v>
      </c>
      <c r="E823" s="131" t="n">
        <v>40874.93</v>
      </c>
      <c r="F823" s="131" t="n">
        <v>60031.76</v>
      </c>
      <c r="G823" s="131" t="inlineStr">
        <is>
          <t>HDFC Securities</t>
        </is>
      </c>
      <c r="H823" s="131" t="inlineStr">
        <is>
          <t>HDFC 0094</t>
        </is>
      </c>
    </row>
    <row r="824">
      <c r="A824" s="130" t="n">
        <v>45706</v>
      </c>
      <c r="B824" s="131" t="inlineStr">
        <is>
          <t>NET PI TO HSL SEC A/C 523686-00602340029434</t>
        </is>
      </c>
      <c r="C824" s="131" t="inlineStr">
        <is>
          <t>0000000611750471</t>
        </is>
      </c>
      <c r="D824" s="131" t="n">
        <v>386.68</v>
      </c>
      <c r="E824" s="131" t="n">
        <v>0</v>
      </c>
      <c r="F824" s="131" t="n">
        <v>59645.08</v>
      </c>
      <c r="G824" s="131" t="inlineStr">
        <is>
          <t>HDFC Securities</t>
        </is>
      </c>
      <c r="H824" s="131" t="inlineStr">
        <is>
          <t>HDFC 0094</t>
        </is>
      </c>
    </row>
    <row r="825">
      <c r="A825" s="130" t="n">
        <v>45706</v>
      </c>
      <c r="B825" s="131" t="inlineStr">
        <is>
          <t>ACH C- COAL INDIA LTD-1765532</t>
        </is>
      </c>
      <c r="C825" s="131" t="inlineStr">
        <is>
          <t>0000004678552777</t>
        </is>
      </c>
      <c r="D825" s="131" t="n">
        <v>0</v>
      </c>
      <c r="E825" s="131" t="n">
        <v>17</v>
      </c>
      <c r="F825" s="131" t="n">
        <v>59662.08</v>
      </c>
      <c r="G825" s="131" t="inlineStr">
        <is>
          <t>Dividend Income</t>
        </is>
      </c>
      <c r="H825" s="131" t="inlineStr">
        <is>
          <t>HDFC 0094</t>
        </is>
      </c>
    </row>
    <row r="826">
      <c r="A826" s="130" t="n">
        <v>45706</v>
      </c>
      <c r="B826" s="131" t="inlineStr">
        <is>
          <t>ACH C- CAMS 3INTDIV 24 25-179387</t>
        </is>
      </c>
      <c r="C826" s="131" t="inlineStr">
        <is>
          <t>0000004674863456</t>
        </is>
      </c>
      <c r="D826" s="131" t="n">
        <v>0</v>
      </c>
      <c r="E826" s="131" t="n">
        <v>525</v>
      </c>
      <c r="F826" s="131" t="n">
        <v>60187.08</v>
      </c>
      <c r="G826" s="131" t="inlineStr">
        <is>
          <t>Dividend Income</t>
        </is>
      </c>
      <c r="H826" s="131" t="inlineStr">
        <is>
          <t>HDFC 0094</t>
        </is>
      </c>
    </row>
    <row r="827">
      <c r="A827" s="130" t="n">
        <v>45706</v>
      </c>
      <c r="B827" s="131" t="inlineStr">
        <is>
          <t>NET PI TO HSL SEC A/C 523686-00602340029434</t>
        </is>
      </c>
      <c r="C827" s="131" t="inlineStr">
        <is>
          <t>0000000611976420</t>
        </is>
      </c>
      <c r="D827" s="131" t="n">
        <v>10680.72</v>
      </c>
      <c r="E827" s="131" t="n">
        <v>0</v>
      </c>
      <c r="F827" s="131" t="n">
        <v>49506.36</v>
      </c>
      <c r="G827" s="131" t="inlineStr">
        <is>
          <t>HDFC Securities</t>
        </is>
      </c>
      <c r="H827" s="131" t="inlineStr">
        <is>
          <t>HDFC 0094</t>
        </is>
      </c>
    </row>
    <row r="828">
      <c r="A828" s="130" t="n">
        <v>45707</v>
      </c>
      <c r="B828" s="131" t="inlineStr">
        <is>
          <t>NET PI TO HSL SEC A/C 523686-00602340029434</t>
        </is>
      </c>
      <c r="C828" s="131" t="inlineStr">
        <is>
          <t>0000000612307517</t>
        </is>
      </c>
      <c r="D828" s="131" t="n">
        <v>13065.24</v>
      </c>
      <c r="E828" s="131" t="n">
        <v>0</v>
      </c>
      <c r="F828" s="131" t="n">
        <v>3133.28</v>
      </c>
      <c r="G828" s="131" t="inlineStr">
        <is>
          <t>HDFC Securities</t>
        </is>
      </c>
      <c r="H828" s="131" t="inlineStr">
        <is>
          <t>HDFC 0094</t>
        </is>
      </c>
    </row>
    <row r="829">
      <c r="A829" s="130" t="n">
        <v>45707</v>
      </c>
      <c r="B829" s="131" t="inlineStr">
        <is>
          <t>NET PI TO HSL SEC A/C 523686-00602340029434</t>
        </is>
      </c>
      <c r="C829" s="131" t="inlineStr">
        <is>
          <t>0000000612158040</t>
        </is>
      </c>
      <c r="D829" s="131" t="n">
        <v>397.02</v>
      </c>
      <c r="E829" s="131" t="n">
        <v>0</v>
      </c>
      <c r="F829" s="131" t="n">
        <v>16198.52</v>
      </c>
      <c r="G829" s="131" t="inlineStr">
        <is>
          <t>HDFC Securities</t>
        </is>
      </c>
      <c r="H829" s="131" t="inlineStr">
        <is>
          <t>HDFC 0094</t>
        </is>
      </c>
    </row>
    <row r="830">
      <c r="A830" s="130" t="n">
        <v>45708</v>
      </c>
      <c r="B830" s="131" t="inlineStr">
        <is>
          <t>FT- 612389928-50200085415108 - HDFC SECURITIES LTD-CLIENT DSCNB A/C -</t>
        </is>
      </c>
      <c r="C830" s="131" t="inlineStr">
        <is>
          <t>0000000955041078</t>
        </is>
      </c>
      <c r="D830" s="131" t="n">
        <v>0</v>
      </c>
      <c r="E830" s="131" t="n">
        <v>12303.96</v>
      </c>
      <c r="F830" s="131" t="n">
        <v>15437.24</v>
      </c>
      <c r="G830" s="131" t="inlineStr">
        <is>
          <t>HDFC Securities</t>
        </is>
      </c>
      <c r="H830" s="131" t="inlineStr">
        <is>
          <t>HDFC 0094</t>
        </is>
      </c>
    </row>
    <row r="831">
      <c r="A831" s="130" t="n">
        <v>45708</v>
      </c>
      <c r="B831" s="131" t="inlineStr">
        <is>
          <t>ACH C- CONCOR 3RD INT DIV-CN060225004173</t>
        </is>
      </c>
      <c r="C831" s="131" t="inlineStr">
        <is>
          <t>0000004731849470</t>
        </is>
      </c>
      <c r="D831" s="131" t="n">
        <v>0</v>
      </c>
      <c r="E831" s="131" t="n">
        <v>573.75</v>
      </c>
      <c r="F831" s="131" t="n">
        <v>16010.99</v>
      </c>
      <c r="G831" s="131" t="inlineStr">
        <is>
          <t>Dividend Income</t>
        </is>
      </c>
      <c r="H831" s="131" t="inlineStr">
        <is>
          <t>HDFC 0094</t>
        </is>
      </c>
    </row>
    <row r="832">
      <c r="A832" s="130" t="n">
        <v>45708</v>
      </c>
      <c r="B832" s="131" t="inlineStr">
        <is>
          <t>NET PI TO HSL SEC A/C 523686-00602340029434</t>
        </is>
      </c>
      <c r="C832" s="131" t="inlineStr">
        <is>
          <t>0000000612555837</t>
        </is>
      </c>
      <c r="D832" s="131" t="n">
        <v>392.37</v>
      </c>
      <c r="E832" s="131" t="n">
        <v>0</v>
      </c>
      <c r="F832" s="131" t="n">
        <v>15618.62</v>
      </c>
      <c r="G832" s="131" t="inlineStr">
        <is>
          <t>HDFC Securities</t>
        </is>
      </c>
      <c r="H832" s="131" t="inlineStr">
        <is>
          <t>HDFC 0094</t>
        </is>
      </c>
    </row>
    <row r="833">
      <c r="A833" s="130" t="n">
        <v>45708</v>
      </c>
      <c r="B833" s="131" t="inlineStr">
        <is>
          <t>YHDF2532495131/BILLDKTHECALCUTTAELE</t>
        </is>
      </c>
      <c r="C833" s="131" t="inlineStr">
        <is>
          <t>0000255176808718</t>
        </is>
      </c>
      <c r="D833" s="131" t="n">
        <v>7632</v>
      </c>
      <c r="E833" s="131" t="n">
        <v>0</v>
      </c>
      <c r="F833" s="131" t="n">
        <v>7986.62</v>
      </c>
      <c r="G833" s="131" t="inlineStr">
        <is>
          <t>SIP</t>
        </is>
      </c>
      <c r="H833" s="131" t="inlineStr">
        <is>
          <t>HDFC 0094</t>
        </is>
      </c>
    </row>
    <row r="834">
      <c r="A834" s="130" t="n">
        <v>45708</v>
      </c>
      <c r="B834" s="131" t="inlineStr">
        <is>
          <t xml:space="preserve">   BY TRANSFER-INB borrow--</t>
        </is>
      </c>
      <c r="C834" s="131" t="inlineStr">
        <is>
          <t>IID4853269               TRANSFER FROM 32718635441</t>
        </is>
      </c>
      <c r="D834" s="131" t="n">
        <v>0</v>
      </c>
      <c r="E834" s="131" t="n">
        <v>100000</v>
      </c>
      <c r="F834" s="131" t="n">
        <v>122354.7</v>
      </c>
      <c r="G834" s="131" t="inlineStr">
        <is>
          <t>Suspense</t>
        </is>
      </c>
      <c r="H834" s="131" t="inlineStr">
        <is>
          <t>SBI 7685</t>
        </is>
      </c>
    </row>
    <row r="835">
      <c r="A835" s="130" t="n">
        <v>45709</v>
      </c>
      <c r="B835" s="131" t="inlineStr">
        <is>
          <t xml:space="preserve">   TO TRANSFER-INB Security deposit return--</t>
        </is>
      </c>
      <c r="C835" s="131" t="inlineStr">
        <is>
          <t xml:space="preserve">IT00YWYOL0               TRANSFER TO 35730790076  </t>
        </is>
      </c>
      <c r="D835" s="131" t="n">
        <v>100000</v>
      </c>
      <c r="E835" s="131" t="n">
        <v>0</v>
      </c>
      <c r="F835" s="131" t="n">
        <v>22354.7</v>
      </c>
      <c r="G835" s="131" t="inlineStr">
        <is>
          <t>Suspense</t>
        </is>
      </c>
      <c r="H835" s="131" t="inlineStr">
        <is>
          <t>SBI 7685</t>
        </is>
      </c>
    </row>
    <row r="836">
      <c r="A836" s="130" t="n">
        <v>45709</v>
      </c>
      <c r="B836" s="131" t="inlineStr">
        <is>
          <t>FT- 612817930-50200085415108 - HDFC SECURITIES LTD-CLIENT DSCNB A/C -</t>
        </is>
      </c>
      <c r="C836" s="131" t="inlineStr">
        <is>
          <t>0000000956285689</t>
        </is>
      </c>
      <c r="D836" s="131" t="n">
        <v>0</v>
      </c>
      <c r="E836" s="131" t="n">
        <v>14833.79</v>
      </c>
      <c r="F836" s="131" t="n">
        <v>22820.41</v>
      </c>
      <c r="G836" s="131" t="inlineStr">
        <is>
          <t>HDFC Securities</t>
        </is>
      </c>
      <c r="H836" s="131" t="inlineStr">
        <is>
          <t>HDFC 0094</t>
        </is>
      </c>
    </row>
    <row r="837">
      <c r="A837" s="130" t="n">
        <v>45709</v>
      </c>
      <c r="B837" s="131" t="inlineStr">
        <is>
          <t>FT- 612789373-50200085415108 - HDFC SECURITIES LTD-CLIENT DSCNB A/C -</t>
        </is>
      </c>
      <c r="C837" s="131" t="inlineStr">
        <is>
          <t>0000000956277351</t>
        </is>
      </c>
      <c r="D837" s="131" t="n">
        <v>0</v>
      </c>
      <c r="E837" s="131" t="n">
        <v>15852.28</v>
      </c>
      <c r="F837" s="131" t="n">
        <v>38672.69</v>
      </c>
      <c r="G837" s="131" t="inlineStr">
        <is>
          <t>HDFC Securities</t>
        </is>
      </c>
      <c r="H837" s="131" t="inlineStr">
        <is>
          <t>HDFC 0094</t>
        </is>
      </c>
    </row>
    <row r="838">
      <c r="A838" s="130" t="n">
        <v>45709</v>
      </c>
      <c r="B838" s="131" t="inlineStr">
        <is>
          <t>NET PI TO HSL SEC A/C 523686-00602340029434</t>
        </is>
      </c>
      <c r="C838" s="131" t="inlineStr">
        <is>
          <t>0000000612905644</t>
        </is>
      </c>
      <c r="D838" s="131" t="n">
        <v>413.13</v>
      </c>
      <c r="E838" s="131" t="n">
        <v>0</v>
      </c>
      <c r="F838" s="131" t="n">
        <v>38259.56</v>
      </c>
      <c r="G838" s="131" t="inlineStr">
        <is>
          <t>HDFC Securities</t>
        </is>
      </c>
      <c r="H838" s="131" t="inlineStr">
        <is>
          <t>HDFC 0094</t>
        </is>
      </c>
    </row>
    <row r="839">
      <c r="A839" s="130" t="n">
        <v>45709</v>
      </c>
      <c r="B839" s="131" t="inlineStr">
        <is>
          <t>NET PI TO HSL SEC A/C 523686-00602340029434</t>
        </is>
      </c>
      <c r="C839" s="131" t="inlineStr">
        <is>
          <t>0000000613095690</t>
        </is>
      </c>
      <c r="D839" s="131" t="n">
        <v>591.59</v>
      </c>
      <c r="E839" s="131" t="n">
        <v>0</v>
      </c>
      <c r="F839" s="131" t="n">
        <v>37667.97</v>
      </c>
      <c r="G839" s="131" t="inlineStr">
        <is>
          <t>HDFC Securities</t>
        </is>
      </c>
      <c r="H839" s="131" t="inlineStr">
        <is>
          <t>HDFC 0094</t>
        </is>
      </c>
    </row>
    <row r="840">
      <c r="A840" s="130" t="n">
        <v>45709</v>
      </c>
      <c r="B840" s="131" t="inlineStr">
        <is>
          <t>NET PI TO HSL SEC A/C 523686-00602340029434</t>
        </is>
      </c>
      <c r="C840" s="131" t="inlineStr">
        <is>
          <t>0000000613123782</t>
        </is>
      </c>
      <c r="D840" s="131" t="n">
        <v>14592.03</v>
      </c>
      <c r="E840" s="131" t="n">
        <v>0</v>
      </c>
      <c r="F840" s="131" t="n">
        <v>23075.94</v>
      </c>
      <c r="G840" s="131" t="inlineStr">
        <is>
          <t>HDFC Securities</t>
        </is>
      </c>
      <c r="H840" s="131" t="inlineStr">
        <is>
          <t>HDFC 0094</t>
        </is>
      </c>
    </row>
    <row r="841">
      <c r="A841" s="130" t="n">
        <v>45712</v>
      </c>
      <c r="B841" s="131" t="inlineStr">
        <is>
          <t>NET PI TO HSL SEC A/C 523686-00602340029434</t>
        </is>
      </c>
      <c r="C841" s="131" t="inlineStr">
        <is>
          <t>0000000613361543</t>
        </is>
      </c>
      <c r="D841" s="131" t="n">
        <v>1240.11</v>
      </c>
      <c r="E841" s="131" t="n">
        <v>0</v>
      </c>
      <c r="F841" s="131" t="n">
        <v>21835.83</v>
      </c>
      <c r="G841" s="131" t="inlineStr">
        <is>
          <t>HDFC Securities</t>
        </is>
      </c>
      <c r="H841" s="131" t="inlineStr">
        <is>
          <t>HDFC 0094</t>
        </is>
      </c>
    </row>
    <row r="842">
      <c r="A842" s="130" t="n">
        <v>45712</v>
      </c>
      <c r="B842" s="131" t="inlineStr">
        <is>
          <t>ACH C- PI INDUSTRIES LTD-3738446</t>
        </is>
      </c>
      <c r="C842" s="131" t="inlineStr">
        <is>
          <t>0000004935229836</t>
        </is>
      </c>
      <c r="D842" s="131" t="n">
        <v>0</v>
      </c>
      <c r="E842" s="131" t="n">
        <v>144</v>
      </c>
      <c r="F842" s="131" t="n">
        <v>21979.83</v>
      </c>
      <c r="G842" s="131" t="inlineStr">
        <is>
          <t>Dividend Income</t>
        </is>
      </c>
      <c r="H842" s="131" t="inlineStr">
        <is>
          <t>HDFC 0094</t>
        </is>
      </c>
    </row>
    <row r="843">
      <c r="A843" s="130" t="n">
        <v>45712</v>
      </c>
      <c r="B843" s="131" t="inlineStr">
        <is>
          <t>NET PI TO HSL SEC A/C 523686-00602340029434</t>
        </is>
      </c>
      <c r="C843" s="131" t="inlineStr">
        <is>
          <t>0000000613534015</t>
        </is>
      </c>
      <c r="D843" s="131" t="n">
        <v>20231.34</v>
      </c>
      <c r="E843" s="131" t="n">
        <v>0</v>
      </c>
      <c r="F843" s="131" t="n">
        <v>1748.49</v>
      </c>
      <c r="G843" s="131" t="inlineStr">
        <is>
          <t>HDFC Securities</t>
        </is>
      </c>
      <c r="H843" s="131" t="inlineStr">
        <is>
          <t>HDFC 0094</t>
        </is>
      </c>
    </row>
    <row r="844">
      <c r="A844" s="130" t="n">
        <v>45713</v>
      </c>
      <c r="B844" s="131" t="inlineStr">
        <is>
          <t>ACH C- HEROMOTOCORPLTD-00000000000007133</t>
        </is>
      </c>
      <c r="C844" s="131" t="inlineStr">
        <is>
          <t>0000007059427056</t>
        </is>
      </c>
      <c r="D844" s="131" t="n">
        <v>0</v>
      </c>
      <c r="E844" s="131" t="n">
        <v>300</v>
      </c>
      <c r="F844" s="131" t="n">
        <v>1637.13</v>
      </c>
      <c r="G844" s="131" t="inlineStr">
        <is>
          <t>Dividend Income</t>
        </is>
      </c>
      <c r="H844" s="131" t="inlineStr">
        <is>
          <t>HDFC 0094</t>
        </is>
      </c>
    </row>
    <row r="845">
      <c r="A845" s="130" t="n">
        <v>45713</v>
      </c>
      <c r="B845" s="131" t="inlineStr">
        <is>
          <t>NET PI TO HSL SEC A/C 523686-00602340029434</t>
        </is>
      </c>
      <c r="C845" s="131" t="inlineStr">
        <is>
          <t>0000000613787503</t>
        </is>
      </c>
      <c r="D845" s="131" t="n">
        <v>411.36</v>
      </c>
      <c r="E845" s="131" t="n">
        <v>0</v>
      </c>
      <c r="F845" s="131" t="n">
        <v>1337.13</v>
      </c>
      <c r="G845" s="131" t="inlineStr">
        <is>
          <t>HDFC Securities</t>
        </is>
      </c>
      <c r="H845" s="131" t="inlineStr">
        <is>
          <t>HDFC 0094</t>
        </is>
      </c>
    </row>
    <row r="846">
      <c r="A846" s="130" t="n">
        <v>45713</v>
      </c>
      <c r="B846" s="131" t="inlineStr">
        <is>
          <t>ACH D- TP ACH INDIANESIGN-1724388224</t>
        </is>
      </c>
      <c r="C846" s="131" t="inlineStr">
        <is>
          <t>0000004954609668</t>
        </is>
      </c>
      <c r="D846" s="131" t="n">
        <v>0</v>
      </c>
      <c r="E846" s="131" t="n">
        <v>10000</v>
      </c>
      <c r="F846" s="131" t="n">
        <v>1748.49</v>
      </c>
      <c r="G846" s="131" t="inlineStr">
        <is>
          <t>Mutual Funds</t>
        </is>
      </c>
      <c r="H846" s="131" t="inlineStr">
        <is>
          <t>HDFC 0094</t>
        </is>
      </c>
    </row>
    <row r="847">
      <c r="A847" s="130" t="n">
        <v>45713</v>
      </c>
      <c r="B847" s="131" t="inlineStr">
        <is>
          <t>ACH D- TP ACH INDIANESIGN-1724388224</t>
        </is>
      </c>
      <c r="C847" s="131" t="inlineStr">
        <is>
          <t>0000004954609668</t>
        </is>
      </c>
      <c r="D847" s="131" t="n">
        <v>10000</v>
      </c>
      <c r="E847" s="131" t="n">
        <v>0</v>
      </c>
      <c r="F847" s="131" t="n">
        <v>-8251.51</v>
      </c>
      <c r="G847" s="131" t="inlineStr">
        <is>
          <t>SIP</t>
        </is>
      </c>
      <c r="H847" s="131" t="inlineStr">
        <is>
          <t>HDFC 0094</t>
        </is>
      </c>
    </row>
    <row r="848">
      <c r="A848" s="130" t="n">
        <v>45714</v>
      </c>
      <c r="B848" s="131" t="inlineStr">
        <is>
          <t>NET PI TO HSL SEC A/C 523686-00602340029434</t>
        </is>
      </c>
      <c r="C848" s="131" t="inlineStr">
        <is>
          <t>0000000613939750</t>
        </is>
      </c>
      <c r="D848" s="131" t="n">
        <v>1637.13</v>
      </c>
      <c r="E848" s="131" t="n">
        <v>0</v>
      </c>
      <c r="F848" s="131" t="n">
        <v>0</v>
      </c>
      <c r="G848" s="131" t="inlineStr">
        <is>
          <t>HDFC Securities</t>
        </is>
      </c>
      <c r="H848" s="131" t="inlineStr">
        <is>
          <t>HDFC 0094</t>
        </is>
      </c>
    </row>
    <row r="849">
      <c r="A849" s="130" t="n">
        <v>45716</v>
      </c>
      <c r="B849" s="131" t="inlineStr">
        <is>
          <t>FT- 614513900-50200085415108 - HDFC SECURITIES LTD-CLIENT DSCNB A/C -</t>
        </is>
      </c>
      <c r="C849" s="131" t="inlineStr">
        <is>
          <t>0000000963766350</t>
        </is>
      </c>
      <c r="D849" s="131" t="n">
        <v>0</v>
      </c>
      <c r="E849" s="131" t="n">
        <v>5258.39</v>
      </c>
      <c r="F849" s="131" t="n">
        <v>5258.39</v>
      </c>
      <c r="G849" s="131" t="inlineStr">
        <is>
          <t>HDFC Securities</t>
        </is>
      </c>
      <c r="H849" s="131" t="inlineStr">
        <is>
          <t>HDFC 0094</t>
        </is>
      </c>
    </row>
    <row r="850">
      <c r="A850" s="130" t="n">
        <v>45716</v>
      </c>
      <c r="B850" s="131" t="inlineStr">
        <is>
          <t>NET PI TO HSL SEC A/C 523686-00602340029434</t>
        </is>
      </c>
      <c r="C850" s="131" t="inlineStr">
        <is>
          <t>0000000614645050</t>
        </is>
      </c>
      <c r="D850" s="131" t="n">
        <v>411.07</v>
      </c>
      <c r="E850" s="131" t="n">
        <v>0</v>
      </c>
      <c r="F850" s="131" t="n">
        <v>4847.32</v>
      </c>
      <c r="G850" s="131" t="inlineStr">
        <is>
          <t>HDFC Securities</t>
        </is>
      </c>
      <c r="H850" s="131" t="inlineStr">
        <is>
          <t>HDFC 0094</t>
        </is>
      </c>
    </row>
    <row r="851">
      <c r="A851" s="130" t="n">
        <v>45716</v>
      </c>
      <c r="B851" s="131" t="inlineStr">
        <is>
          <t>ACH C- POWER GRID CORPORATI-98355423</t>
        </is>
      </c>
      <c r="C851" s="131" t="inlineStr">
        <is>
          <t>0000005170152520</t>
        </is>
      </c>
      <c r="D851" s="131" t="n">
        <v>0</v>
      </c>
      <c r="E851" s="131" t="n">
        <v>325</v>
      </c>
      <c r="F851" s="131" t="n">
        <v>5172.32</v>
      </c>
      <c r="G851" s="131" t="inlineStr">
        <is>
          <t>Dividend Income</t>
        </is>
      </c>
      <c r="H851" s="131" t="inlineStr">
        <is>
          <t>HDFC 0094</t>
        </is>
      </c>
    </row>
    <row r="852">
      <c r="A852" s="130" t="n">
        <v>45716</v>
      </c>
      <c r="B852" s="131" t="inlineStr">
        <is>
          <t>NEFT CR-SBIN0004266-SBI GENERAL INSURANCE CO LTDSBI GEN-SUNITA GUPTA 0000000002717756-SBINN52025022832582513</t>
        </is>
      </c>
      <c r="C852" s="131" t="inlineStr">
        <is>
          <t>SBINN52025022832582513</t>
        </is>
      </c>
      <c r="D852" s="131" t="n">
        <v>0</v>
      </c>
      <c r="E852" s="131" t="n">
        <v>2738</v>
      </c>
      <c r="F852" s="131" t="n">
        <v>7910.32</v>
      </c>
      <c r="G852" s="131" t="inlineStr">
        <is>
          <t>Sunita Gupta</t>
        </is>
      </c>
      <c r="H852" s="131" t="inlineStr">
        <is>
          <t>HDFC 0094</t>
        </is>
      </c>
    </row>
    <row r="853">
      <c r="A853" s="130" t="n">
        <v>45716</v>
      </c>
      <c r="B853" s="131" t="inlineStr">
        <is>
          <t>NEFT CR-UTIB0000004-AXIS MUTUAL FUND DIVIDEND A/C-SUNITA GUPTA-UTIBN62025022834402533</t>
        </is>
      </c>
      <c r="C853" s="131" t="inlineStr">
        <is>
          <t>UTIBN62025022834402533</t>
        </is>
      </c>
      <c r="D853" s="131" t="n">
        <v>0</v>
      </c>
      <c r="E853" s="131" t="n">
        <v>84.56999999999999</v>
      </c>
      <c r="F853" s="131" t="n">
        <v>7994.89</v>
      </c>
      <c r="G853" s="131" t="inlineStr">
        <is>
          <t>Dividend Income</t>
        </is>
      </c>
      <c r="H853" s="131" t="inlineStr">
        <is>
          <t>HDFC 0094</t>
        </is>
      </c>
    </row>
    <row r="854">
      <c r="A854" s="130" t="n">
        <v>45716</v>
      </c>
      <c r="B854" s="131" t="inlineStr">
        <is>
          <t>NEFT CR-SBIN0004266-SBI GENERAL INSURANCE CO LTDSBI GEN-SUNITA GUPTA 0000000002717756-SBINN52025022834304792</t>
        </is>
      </c>
      <c r="C854" s="131" t="inlineStr">
        <is>
          <t>SBINN52025022834304792</t>
        </is>
      </c>
      <c r="D854" s="131" t="n">
        <v>0</v>
      </c>
      <c r="E854" s="131" t="n">
        <v>7632</v>
      </c>
      <c r="F854" s="131" t="n">
        <v>15626.89</v>
      </c>
      <c r="G854" s="131" t="inlineStr">
        <is>
          <t>Sunita Gupta</t>
        </is>
      </c>
      <c r="H854" s="131" t="inlineStr">
        <is>
          <t>HDFC 0094</t>
        </is>
      </c>
    </row>
    <row r="855">
      <c r="A855" s="130" t="n">
        <v>45717</v>
      </c>
      <c r="B855" s="131" t="inlineStr">
        <is>
          <t>NET PI TO HSL SEC A/C 523686-00602340029434</t>
        </is>
      </c>
      <c r="C855" s="131" t="inlineStr">
        <is>
          <t>0000000614847452</t>
        </is>
      </c>
      <c r="D855" s="131" t="n">
        <v>15626.89</v>
      </c>
      <c r="E855" s="131" t="n">
        <v>0</v>
      </c>
      <c r="F855" s="131" t="n">
        <v>0</v>
      </c>
      <c r="G855" s="131" t="inlineStr">
        <is>
          <t>HDFC Securities</t>
        </is>
      </c>
      <c r="H855" s="131" t="inlineStr">
        <is>
          <t>HDFC 0094</t>
        </is>
      </c>
    </row>
    <row r="856">
      <c r="A856" s="130" t="n">
        <v>45717</v>
      </c>
      <c r="B856" s="131" t="inlineStr">
        <is>
          <t>ACH C- HINDUSTAN AERONAUTIC-5997828</t>
        </is>
      </c>
      <c r="C856" s="131" t="inlineStr">
        <is>
          <t>0000005213615472</t>
        </is>
      </c>
      <c r="D856" s="131" t="n">
        <v>0</v>
      </c>
      <c r="E856" s="131" t="n">
        <v>950</v>
      </c>
      <c r="F856" s="131" t="n">
        <v>950</v>
      </c>
      <c r="G856" s="131" t="inlineStr">
        <is>
          <t>Dividend Income</t>
        </is>
      </c>
      <c r="H856" s="131" t="inlineStr">
        <is>
          <t>HDFC 0094</t>
        </is>
      </c>
    </row>
    <row r="857">
      <c r="A857" s="130" t="n">
        <v>45718</v>
      </c>
      <c r="B857" s="131" t="inlineStr">
        <is>
          <t>01671000085930-TPT-BORROW FROM SUNITA-AJAY KUMAR GUPTA</t>
        </is>
      </c>
      <c r="C857" s="131" t="inlineStr">
        <is>
          <t>0000000494386268</t>
        </is>
      </c>
      <c r="D857" s="131" t="n">
        <v>0</v>
      </c>
      <c r="E857" s="131" t="n">
        <v>25000</v>
      </c>
      <c r="F857" s="131" t="n">
        <v>25950</v>
      </c>
      <c r="G857" s="131" t="inlineStr">
        <is>
          <t>Sunita Gupta</t>
        </is>
      </c>
      <c r="H857" s="131" t="inlineStr">
        <is>
          <t>HDFC 0094</t>
        </is>
      </c>
    </row>
    <row r="858">
      <c r="A858" s="130" t="n">
        <v>45719</v>
      </c>
      <c r="B858" s="131" t="inlineStr">
        <is>
          <t>NET PI TO HSL SEC A/C 523686-00602340029434</t>
        </is>
      </c>
      <c r="C858" s="131" t="inlineStr">
        <is>
          <t>0000000615421442</t>
        </is>
      </c>
      <c r="D858" s="131" t="n">
        <v>6444.18</v>
      </c>
      <c r="E858" s="131" t="n">
        <v>0</v>
      </c>
      <c r="F858" s="131" t="n">
        <v>269.53</v>
      </c>
      <c r="G858" s="131" t="inlineStr">
        <is>
          <t>HDFC Securities</t>
        </is>
      </c>
      <c r="H858" s="131" t="inlineStr">
        <is>
          <t>HDFC 0094</t>
        </is>
      </c>
    </row>
    <row r="859">
      <c r="A859" s="130" t="n">
        <v>45719</v>
      </c>
      <c r="B859" s="131" t="inlineStr">
        <is>
          <t>UPI/P2M/506269427837/Flipkart Payments    /UPI/YES BANK LIMITED YBS</t>
        </is>
      </c>
      <c r="C859" s="131" t="inlineStr">
        <is>
          <t>-</t>
        </is>
      </c>
      <c r="D859" s="131" t="n">
        <v>1258</v>
      </c>
      <c r="E859" s="131" t="n">
        <v>0</v>
      </c>
      <c r="F859" s="131" t="n">
        <v>33906.39</v>
      </c>
      <c r="G859" s="131" t="inlineStr">
        <is>
          <t>Shopping</t>
        </is>
      </c>
      <c r="H859" s="131" t="inlineStr">
        <is>
          <t>AXIS 7042</t>
        </is>
      </c>
    </row>
    <row r="860">
      <c r="A860" s="130" t="n">
        <v>45719</v>
      </c>
      <c r="B860" s="131" t="inlineStr">
        <is>
          <t>UPI/P2A/506209457462/Flipkart /YES BANK /express/</t>
        </is>
      </c>
      <c r="C860" s="131" t="inlineStr">
        <is>
          <t>-</t>
        </is>
      </c>
      <c r="D860" s="131" t="n">
        <v>0</v>
      </c>
      <c r="E860" s="131" t="n">
        <v>965</v>
      </c>
      <c r="F860" s="131" t="n">
        <v>35164.39</v>
      </c>
      <c r="G860" s="131" t="inlineStr">
        <is>
          <t>Shopping</t>
        </is>
      </c>
      <c r="H860" s="131" t="inlineStr">
        <is>
          <t>AXIS 7042</t>
        </is>
      </c>
    </row>
    <row r="861">
      <c r="A861" s="130" t="n">
        <v>45719</v>
      </c>
      <c r="B861" s="131" t="inlineStr">
        <is>
          <t>NET PI TO HSL SEC A/C 523686-00602340029434</t>
        </is>
      </c>
      <c r="C861" s="131" t="inlineStr">
        <is>
          <t>0000000615218345</t>
        </is>
      </c>
      <c r="D861" s="131" t="n">
        <v>1190.49</v>
      </c>
      <c r="E861" s="131" t="n">
        <v>0</v>
      </c>
      <c r="F861" s="131" t="n">
        <v>6713.71</v>
      </c>
      <c r="G861" s="131" t="inlineStr">
        <is>
          <t>HDFC Securities</t>
        </is>
      </c>
      <c r="H861" s="131" t="inlineStr">
        <is>
          <t>HDFC 0094</t>
        </is>
      </c>
    </row>
    <row r="862">
      <c r="A862" s="130" t="n">
        <v>45719</v>
      </c>
      <c r="B862" s="131" t="inlineStr">
        <is>
          <t>UPI/P2A/506209459641/Flipkart /YES BANK /express/</t>
        </is>
      </c>
      <c r="C862" s="131" t="inlineStr">
        <is>
          <t>-</t>
        </is>
      </c>
      <c r="D862" s="131" t="n">
        <v>0</v>
      </c>
      <c r="E862" s="131" t="n">
        <v>305</v>
      </c>
      <c r="F862" s="131" t="n">
        <v>35469.39</v>
      </c>
      <c r="G862" s="131" t="inlineStr">
        <is>
          <t>Shopping</t>
        </is>
      </c>
      <c r="H862" s="131" t="inlineStr">
        <is>
          <t>AXIS 7042</t>
        </is>
      </c>
    </row>
    <row r="863">
      <c r="A863" s="130" t="n">
        <v>45719</v>
      </c>
      <c r="B863" s="131" t="inlineStr">
        <is>
          <t>NET PI TO HSL SEC A/C 523686-00602340029434</t>
        </is>
      </c>
      <c r="C863" s="131" t="inlineStr">
        <is>
          <t>0000000615040666</t>
        </is>
      </c>
      <c r="D863" s="131" t="n">
        <v>18225.8</v>
      </c>
      <c r="E863" s="131" t="n">
        <v>0</v>
      </c>
      <c r="F863" s="131" t="n">
        <v>7724.2</v>
      </c>
      <c r="G863" s="131" t="inlineStr">
        <is>
          <t>HDFC Securities</t>
        </is>
      </c>
      <c r="H863" s="131" t="inlineStr">
        <is>
          <t>HDFC 0094</t>
        </is>
      </c>
    </row>
    <row r="864">
      <c r="A864" s="130" t="n">
        <v>45719</v>
      </c>
      <c r="B864" s="131" t="inlineStr">
        <is>
          <t>UPI/P2M/542879469211/Flipkart Payments    /UPI/YES BANK LIMITED YBS</t>
        </is>
      </c>
      <c r="C864" s="131" t="inlineStr">
        <is>
          <t>-</t>
        </is>
      </c>
      <c r="D864" s="131" t="n">
        <v>1270</v>
      </c>
      <c r="E864" s="131" t="n">
        <v>0</v>
      </c>
      <c r="F864" s="131" t="n">
        <v>34199.39</v>
      </c>
      <c r="G864" s="131" t="inlineStr">
        <is>
          <t>Shopping</t>
        </is>
      </c>
      <c r="H864" s="131" t="inlineStr">
        <is>
          <t>AXIS 7042</t>
        </is>
      </c>
    </row>
    <row r="865">
      <c r="A865" s="130" t="n">
        <v>45719</v>
      </c>
      <c r="B865" s="131" t="inlineStr">
        <is>
          <t>UPI/P2M/542808073747/K V GAYATHRI         /milk/YES BANK LIMITED YBS</t>
        </is>
      </c>
      <c r="C865" s="131" t="inlineStr">
        <is>
          <t>-</t>
        </is>
      </c>
      <c r="D865" s="131" t="n">
        <v>50</v>
      </c>
      <c r="E865" s="131" t="n">
        <v>0</v>
      </c>
      <c r="F865" s="131" t="n">
        <v>35469.39</v>
      </c>
      <c r="G865" s="131" t="inlineStr">
        <is>
          <t>Personal</t>
        </is>
      </c>
      <c r="H865" s="131" t="inlineStr">
        <is>
          <t>AXIS 7042</t>
        </is>
      </c>
    </row>
    <row r="866">
      <c r="A866" s="130" t="n">
        <v>45719</v>
      </c>
      <c r="B866" s="131" t="inlineStr">
        <is>
          <t>CUMMINS IND DIV24 2500000000000000009129</t>
        </is>
      </c>
      <c r="C866" s="131" t="inlineStr">
        <is>
          <t>0000250606578485</t>
        </is>
      </c>
      <c r="D866" s="131" t="n">
        <v>0</v>
      </c>
      <c r="E866" s="131" t="n">
        <v>180</v>
      </c>
      <c r="F866" s="131" t="n">
        <v>7904.2</v>
      </c>
      <c r="G866" s="131" t="inlineStr">
        <is>
          <t>Dividend Income</t>
        </is>
      </c>
      <c r="H866" s="131" t="inlineStr">
        <is>
          <t>HDFC 0094</t>
        </is>
      </c>
    </row>
    <row r="867">
      <c r="A867" s="130" t="n">
        <v>45719</v>
      </c>
      <c r="B867" s="131" t="inlineStr">
        <is>
          <t>UPI/P2M/542807574465/FLIPKART PAYMENTS    /UPIInt/HDFC BANK LTD</t>
        </is>
      </c>
      <c r="C867" s="131" t="inlineStr">
        <is>
          <t>-</t>
        </is>
      </c>
      <c r="D867" s="131" t="n">
        <v>305</v>
      </c>
      <c r="E867" s="131" t="n">
        <v>0</v>
      </c>
      <c r="F867" s="131" t="n">
        <v>35164.39</v>
      </c>
      <c r="G867" s="131" t="inlineStr">
        <is>
          <t>Shopping</t>
        </is>
      </c>
      <c r="H867" s="131" t="inlineStr">
        <is>
          <t>AXIS 7042</t>
        </is>
      </c>
    </row>
    <row r="868">
      <c r="A868" s="130" t="n">
        <v>45720</v>
      </c>
      <c r="B868" s="131" t="inlineStr">
        <is>
          <t>NET PI TO HSL SEC A/C 523686-00602340029434</t>
        </is>
      </c>
      <c r="C868" s="131" t="inlineStr">
        <is>
          <t>0000000615700704</t>
        </is>
      </c>
      <c r="D868" s="131" t="n">
        <v>269.53</v>
      </c>
      <c r="E868" s="131" t="n">
        <v>0</v>
      </c>
      <c r="F868" s="131" t="n">
        <v>0</v>
      </c>
      <c r="G868" s="131" t="inlineStr">
        <is>
          <t>HDFC Securities</t>
        </is>
      </c>
      <c r="H868" s="131" t="inlineStr">
        <is>
          <t>HDFC 0094</t>
        </is>
      </c>
    </row>
    <row r="869">
      <c r="A869" s="130" t="n">
        <v>45721</v>
      </c>
      <c r="B869" s="131" t="inlineStr">
        <is>
          <t>FT- 615954992-50200085415108 - HDFC SECURITIES LTD-CLIENT DSCNB A/C -</t>
        </is>
      </c>
      <c r="C869" s="131" t="inlineStr">
        <is>
          <t>0000000971336845</t>
        </is>
      </c>
      <c r="D869" s="131" t="n">
        <v>0</v>
      </c>
      <c r="E869" s="131" t="n">
        <v>27222.37</v>
      </c>
      <c r="F869" s="131" t="n">
        <v>27222.37</v>
      </c>
      <c r="G869" s="131" t="inlineStr">
        <is>
          <t>HDFC Securities</t>
        </is>
      </c>
      <c r="H869" s="131" t="inlineStr">
        <is>
          <t>HDFC 0094</t>
        </is>
      </c>
    </row>
    <row r="870">
      <c r="A870" s="130" t="n">
        <v>45721</v>
      </c>
      <c r="B870" s="131" t="inlineStr">
        <is>
          <t>NET PI TO HSL SEC A/C 523686-00602340029434</t>
        </is>
      </c>
      <c r="C870" s="131" t="inlineStr">
        <is>
          <t>0000000616094449</t>
        </is>
      </c>
      <c r="D870" s="131" t="n">
        <v>388.08</v>
      </c>
      <c r="E870" s="131" t="n">
        <v>0</v>
      </c>
      <c r="F870" s="131" t="n">
        <v>26834.29</v>
      </c>
      <c r="G870" s="131" t="inlineStr">
        <is>
          <t>HDFC Securities</t>
        </is>
      </c>
      <c r="H870" s="131" t="inlineStr">
        <is>
          <t>HDFC 0094</t>
        </is>
      </c>
    </row>
    <row r="871">
      <c r="A871" s="130" t="n">
        <v>45722</v>
      </c>
      <c r="B871" s="131" t="inlineStr">
        <is>
          <t>FT- 616353489-50200085415108 - HDFC SECURITIES LTD-CLIENT DSCNB A/C -</t>
        </is>
      </c>
      <c r="C871" s="131" t="inlineStr">
        <is>
          <t>0000000973366845</t>
        </is>
      </c>
      <c r="D871" s="131" t="n">
        <v>0</v>
      </c>
      <c r="E871" s="131" t="n">
        <v>30246.56</v>
      </c>
      <c r="F871" s="131" t="n">
        <v>57080.85</v>
      </c>
      <c r="G871" s="131" t="inlineStr">
        <is>
          <t>HDFC Securities</t>
        </is>
      </c>
      <c r="H871" s="131" t="inlineStr">
        <is>
          <t>HDFC 0094</t>
        </is>
      </c>
    </row>
    <row r="872">
      <c r="A872" s="130" t="n">
        <v>45722</v>
      </c>
      <c r="B872" s="131" t="inlineStr">
        <is>
          <t>NET PI TO HSL SEC A/C 523686-00602340029434</t>
        </is>
      </c>
      <c r="C872" s="131" t="inlineStr">
        <is>
          <t>0000000616486079</t>
        </is>
      </c>
      <c r="D872" s="131" t="n">
        <v>367.7</v>
      </c>
      <c r="E872" s="131" t="n">
        <v>0</v>
      </c>
      <c r="F872" s="131" t="n">
        <v>56713.15</v>
      </c>
      <c r="G872" s="131" t="inlineStr">
        <is>
          <t>HDFC Securities</t>
        </is>
      </c>
      <c r="H872" s="131" t="inlineStr">
        <is>
          <t>HDFC 0094</t>
        </is>
      </c>
    </row>
    <row r="873">
      <c r="A873" s="130" t="n">
        <v>45723</v>
      </c>
      <c r="B873" s="131" t="inlineStr">
        <is>
          <t>NET PI TO HSL SEC A/C 523686-00602340029434</t>
        </is>
      </c>
      <c r="C873" s="131" t="inlineStr">
        <is>
          <t>0000000617026809</t>
        </is>
      </c>
      <c r="D873" s="131" t="n">
        <v>25484.58</v>
      </c>
      <c r="E873" s="131" t="n">
        <v>0</v>
      </c>
      <c r="F873" s="131" t="n">
        <v>44984.87</v>
      </c>
      <c r="G873" s="131" t="inlineStr">
        <is>
          <t>HDFC Securities</t>
        </is>
      </c>
      <c r="H873" s="131" t="inlineStr">
        <is>
          <t>HDFC 0094</t>
        </is>
      </c>
    </row>
    <row r="874">
      <c r="A874" s="130" t="n">
        <v>45723</v>
      </c>
      <c r="B874" s="131" t="inlineStr">
        <is>
          <t>NET PI TO HSL SEC A/C 523686-00602340029434</t>
        </is>
      </c>
      <c r="C874" s="131" t="inlineStr">
        <is>
          <t>0000000616872735</t>
        </is>
      </c>
      <c r="D874" s="131" t="n">
        <v>378.47</v>
      </c>
      <c r="E874" s="131" t="n">
        <v>0</v>
      </c>
      <c r="F874" s="131" t="n">
        <v>70469.45</v>
      </c>
      <c r="G874" s="131" t="inlineStr">
        <is>
          <t>HDFC Securities</t>
        </is>
      </c>
      <c r="H874" s="131" t="inlineStr">
        <is>
          <t>HDFC 0094</t>
        </is>
      </c>
    </row>
    <row r="875">
      <c r="A875" s="130" t="n">
        <v>45723</v>
      </c>
      <c r="B875" s="131" t="inlineStr">
        <is>
          <t>FT- 616737413-50200085415108 - HDFC SECURITIES LTD-CLIENT DSCNB A/C -</t>
        </is>
      </c>
      <c r="C875" s="131" t="inlineStr">
        <is>
          <t>0000000975520750</t>
        </is>
      </c>
      <c r="D875" s="131" t="n">
        <v>0</v>
      </c>
      <c r="E875" s="131" t="n">
        <v>14134.77</v>
      </c>
      <c r="F875" s="131" t="n">
        <v>70847.92</v>
      </c>
      <c r="G875" s="131" t="inlineStr">
        <is>
          <t>HDFC Securities</t>
        </is>
      </c>
      <c r="H875" s="131" t="inlineStr">
        <is>
          <t>HDFC 0094</t>
        </is>
      </c>
    </row>
    <row r="876">
      <c r="A876" s="130" t="n">
        <v>45724</v>
      </c>
      <c r="B876" s="131" t="inlineStr">
        <is>
          <t>NEFT CR-SBIN0004266-SBI GENERAL INSURANCE CO LTDSBI GEN-SUNITA GUPTA 0000000002717756-SBINN52025030852329749</t>
        </is>
      </c>
      <c r="C876" s="131" t="inlineStr">
        <is>
          <t>SBINN52025030852329749</t>
        </is>
      </c>
      <c r="D876" s="131" t="n">
        <v>0</v>
      </c>
      <c r="E876" s="131" t="n">
        <v>34220</v>
      </c>
      <c r="F876" s="131" t="n">
        <v>79204.87</v>
      </c>
      <c r="G876" s="131" t="inlineStr">
        <is>
          <t>Sunita Gupta</t>
        </is>
      </c>
      <c r="H876" s="131" t="inlineStr">
        <is>
          <t>HDFC 0094</t>
        </is>
      </c>
    </row>
    <row r="877">
      <c r="A877" s="130" t="n">
        <v>45724</v>
      </c>
      <c r="B877" s="131" t="inlineStr">
        <is>
          <t xml:space="preserve">   BY TRANSFER-INB borrow from Sunita--</t>
        </is>
      </c>
      <c r="C877" s="131" t="inlineStr">
        <is>
          <t>IID5359354               TRANSFER FROM 32718635441</t>
        </is>
      </c>
      <c r="D877" s="131" t="n">
        <v>0</v>
      </c>
      <c r="E877" s="131" t="n">
        <v>32000</v>
      </c>
      <c r="F877" s="131" t="n">
        <v>54354.7</v>
      </c>
      <c r="G877" s="131" t="inlineStr">
        <is>
          <t>Sunita Gupta</t>
        </is>
      </c>
      <c r="H877" s="131" t="inlineStr">
        <is>
          <t>SBI 7685</t>
        </is>
      </c>
    </row>
    <row r="878">
      <c r="A878" s="130" t="n">
        <v>45724</v>
      </c>
      <c r="B878" s="131" t="inlineStr">
        <is>
          <t xml:space="preserve">   TO TRANSFER-INB Pymt twrds scrap material--</t>
        </is>
      </c>
      <c r="C878" s="131" t="inlineStr">
        <is>
          <t xml:space="preserve">IT00ZBZYC9               TRANSFER TO 35730790076  </t>
        </is>
      </c>
      <c r="D878" s="131" t="n">
        <v>43000</v>
      </c>
      <c r="E878" s="131" t="n">
        <v>0</v>
      </c>
      <c r="F878" s="131" t="n">
        <v>11354.7</v>
      </c>
      <c r="G878" s="131" t="inlineStr">
        <is>
          <t>Suspense</t>
        </is>
      </c>
      <c r="H878" s="131" t="inlineStr">
        <is>
          <t>SBI 7685</t>
        </is>
      </c>
    </row>
    <row r="879">
      <c r="A879" s="130" t="n">
        <v>45726</v>
      </c>
      <c r="B879" s="131" t="inlineStr">
        <is>
          <t xml:space="preserve">   TO TRANSFER-INB Rent--</t>
        </is>
      </c>
      <c r="C879" s="131" t="inlineStr">
        <is>
          <t xml:space="preserve">IT00ZCPZM4               TRANSFER TO 35730790076  </t>
        </is>
      </c>
      <c r="D879" s="131" t="n">
        <v>21955</v>
      </c>
      <c r="E879" s="131" t="n">
        <v>0</v>
      </c>
      <c r="F879" s="131" t="n">
        <v>19399.7</v>
      </c>
      <c r="G879" s="131" t="inlineStr">
        <is>
          <t>Rent</t>
        </is>
      </c>
      <c r="H879" s="131" t="inlineStr">
        <is>
          <t>SBI 7685</t>
        </is>
      </c>
    </row>
    <row r="880">
      <c r="A880" s="130" t="n">
        <v>45726</v>
      </c>
      <c r="B880" s="131" t="inlineStr">
        <is>
          <t>UPI/P2A/506968468841/BHARTI RATAN DEVNANI /tiffin/UNION BANK OF INDIA</t>
        </is>
      </c>
      <c r="C880" s="131" t="inlineStr">
        <is>
          <t>-</t>
        </is>
      </c>
      <c r="D880" s="131" t="n">
        <v>960</v>
      </c>
      <c r="E880" s="131" t="n">
        <v>0</v>
      </c>
      <c r="F880" s="131" t="n">
        <v>32946.39</v>
      </c>
      <c r="G880" s="131" t="inlineStr">
        <is>
          <t>Personal</t>
        </is>
      </c>
      <c r="H880" s="131" t="inlineStr">
        <is>
          <t>AXIS 7042</t>
        </is>
      </c>
    </row>
    <row r="881">
      <c r="A881" s="130" t="n">
        <v>45726</v>
      </c>
      <c r="B881" s="131" t="inlineStr">
        <is>
          <t xml:space="preserve">   BY TRANSFER-NEFT*HDFC0000001*HDFCH00113163511*SUNITA GUPTA*BAT--</t>
        </is>
      </c>
      <c r="C881" s="131" t="inlineStr">
        <is>
          <t>TRANSFER FROM 3199970044309</t>
        </is>
      </c>
      <c r="D881" s="131" t="n">
        <v>0</v>
      </c>
      <c r="E881" s="131" t="n">
        <v>30000</v>
      </c>
      <c r="F881" s="131" t="n">
        <v>41354.7</v>
      </c>
      <c r="G881" s="131" t="inlineStr">
        <is>
          <t>Sunita Gupta</t>
        </is>
      </c>
      <c r="H881" s="131" t="inlineStr">
        <is>
          <t>SBI 7685</t>
        </is>
      </c>
    </row>
    <row r="882">
      <c r="A882" s="130" t="n">
        <v>45726</v>
      </c>
      <c r="B882" s="131" t="inlineStr">
        <is>
          <t>NET PI TO HSL SEC A/C 523686-00602340029434</t>
        </is>
      </c>
      <c r="C882" s="131" t="inlineStr">
        <is>
          <t>0000000617604161</t>
        </is>
      </c>
      <c r="D882" s="131" t="n">
        <v>15384.37</v>
      </c>
      <c r="E882" s="131" t="n">
        <v>0</v>
      </c>
      <c r="F882" s="131" t="n">
        <v>32166.21</v>
      </c>
      <c r="G882" s="131" t="inlineStr">
        <is>
          <t>HDFC Securities</t>
        </is>
      </c>
      <c r="H882" s="131" t="inlineStr">
        <is>
          <t>HDFC 0094</t>
        </is>
      </c>
    </row>
    <row r="883">
      <c r="A883" s="130" t="n">
        <v>45726</v>
      </c>
      <c r="B883" s="131" t="inlineStr">
        <is>
          <t>NEFT DR-SBIN0011669-SUNITA GUPTA-NETBANK, MUM-HDFCN52025031010201759-TRFR FR SUNITA HDF</t>
        </is>
      </c>
      <c r="C883" s="131" t="inlineStr">
        <is>
          <t>HDFCN52025031010201759</t>
        </is>
      </c>
      <c r="D883" s="131" t="n">
        <v>30000</v>
      </c>
      <c r="E883" s="131" t="n">
        <v>0</v>
      </c>
      <c r="F883" s="131" t="n">
        <v>47550.58</v>
      </c>
      <c r="G883" s="131" t="inlineStr">
        <is>
          <t>Sunita Gupta</t>
        </is>
      </c>
      <c r="H883" s="131" t="inlineStr">
        <is>
          <t>HDFC 0094</t>
        </is>
      </c>
    </row>
    <row r="884">
      <c r="A884" s="130" t="n">
        <v>45726</v>
      </c>
      <c r="B884" s="131" t="inlineStr">
        <is>
          <t>NET PI TO HSL SEC A/C 523686-00602340029434</t>
        </is>
      </c>
      <c r="C884" s="131" t="inlineStr">
        <is>
          <t>0000000617417013</t>
        </is>
      </c>
      <c r="D884" s="131" t="n">
        <v>1123.29</v>
      </c>
      <c r="E884" s="131" t="n">
        <v>0</v>
      </c>
      <c r="F884" s="131" t="n">
        <v>77550.58</v>
      </c>
      <c r="G884" s="131" t="inlineStr">
        <is>
          <t>HDFC Securities</t>
        </is>
      </c>
      <c r="H884" s="131" t="inlineStr">
        <is>
          <t>HDFC 0094</t>
        </is>
      </c>
    </row>
    <row r="885">
      <c r="A885" s="130" t="n">
        <v>45726</v>
      </c>
      <c r="B885" s="131" t="inlineStr">
        <is>
          <t>.ACH DEBIT RETURN CHARGES 250225 250225-MIR2506812943710</t>
        </is>
      </c>
      <c r="C885" s="131" t="inlineStr">
        <is>
          <t>MIR2506812943710</t>
        </is>
      </c>
      <c r="D885" s="131" t="n">
        <v>531</v>
      </c>
      <c r="E885" s="131" t="n">
        <v>0</v>
      </c>
      <c r="F885" s="131" t="n">
        <v>78673.87</v>
      </c>
      <c r="G885" s="131" t="inlineStr">
        <is>
          <t>Bank Charges</t>
        </is>
      </c>
      <c r="H885" s="131" t="inlineStr">
        <is>
          <t>HDFC 0094</t>
        </is>
      </c>
    </row>
    <row r="886">
      <c r="A886" s="130" t="n">
        <v>45727</v>
      </c>
      <c r="B886" s="131" t="inlineStr">
        <is>
          <t>NET PI TO HSL SEC A/C 523686-00602340029434</t>
        </is>
      </c>
      <c r="C886" s="131" t="inlineStr">
        <is>
          <t>0000000617990197</t>
        </is>
      </c>
      <c r="D886" s="131" t="n">
        <v>12503.5</v>
      </c>
      <c r="E886" s="131" t="n">
        <v>0</v>
      </c>
      <c r="F886" s="131" t="n">
        <v>19293.76</v>
      </c>
      <c r="G886" s="131" t="inlineStr">
        <is>
          <t>HDFC Securities</t>
        </is>
      </c>
      <c r="H886" s="131" t="inlineStr">
        <is>
          <t>HDFC 0094</t>
        </is>
      </c>
    </row>
    <row r="887">
      <c r="A887" s="130" t="n">
        <v>45727</v>
      </c>
      <c r="B887" s="131" t="inlineStr">
        <is>
          <t>NET PI TO HSL SEC A/C 523686-00602340029434</t>
        </is>
      </c>
      <c r="C887" s="131" t="inlineStr">
        <is>
          <t>0000000617842812</t>
        </is>
      </c>
      <c r="D887" s="131" t="n">
        <v>368.95</v>
      </c>
      <c r="E887" s="131" t="n">
        <v>0</v>
      </c>
      <c r="F887" s="131" t="n">
        <v>31797.26</v>
      </c>
      <c r="G887" s="131" t="inlineStr">
        <is>
          <t>HDFC Securities</t>
        </is>
      </c>
      <c r="H887" s="131" t="inlineStr">
        <is>
          <t>HDFC 0094</t>
        </is>
      </c>
    </row>
    <row r="888">
      <c r="A888" s="130" t="n">
        <v>45728</v>
      </c>
      <c r="B888" s="131" t="inlineStr">
        <is>
          <t>NET PI TO HSL SEC A/C 523686-00602340029434</t>
        </is>
      </c>
      <c r="C888" s="131" t="inlineStr">
        <is>
          <t>0000000618374522</t>
        </is>
      </c>
      <c r="D888" s="131" t="n">
        <v>9109.33</v>
      </c>
      <c r="E888" s="131" t="n">
        <v>0</v>
      </c>
      <c r="F888" s="131" t="n">
        <v>9819.93</v>
      </c>
      <c r="G888" s="131" t="inlineStr">
        <is>
          <t>HDFC Securities</t>
        </is>
      </c>
      <c r="H888" s="131" t="inlineStr">
        <is>
          <t>HDFC 0094</t>
        </is>
      </c>
    </row>
    <row r="889">
      <c r="A889" s="130" t="n">
        <v>45728</v>
      </c>
      <c r="B889" s="131" t="inlineStr">
        <is>
          <t>ECS/1009552582/Max Bupa Health Insurance Company</t>
        </is>
      </c>
      <c r="C889" s="131" t="inlineStr">
        <is>
          <t>-</t>
        </is>
      </c>
      <c r="D889" s="131" t="n">
        <v>2499</v>
      </c>
      <c r="E889" s="131" t="n">
        <v>0</v>
      </c>
      <c r="F889" s="131" t="n">
        <v>30447.39</v>
      </c>
      <c r="G889" s="131" t="inlineStr">
        <is>
          <t>Health Insurance</t>
        </is>
      </c>
      <c r="H889" s="131" t="inlineStr">
        <is>
          <t>AXIS 7042</t>
        </is>
      </c>
    </row>
    <row r="890">
      <c r="A890" s="130" t="n">
        <v>45728</v>
      </c>
      <c r="B890" s="131" t="inlineStr">
        <is>
          <t>NET PI TO HSL SEC A/C 523686-00602340029434</t>
        </is>
      </c>
      <c r="C890" s="131" t="inlineStr">
        <is>
          <t>0000000618237527</t>
        </is>
      </c>
      <c r="D890" s="131" t="n">
        <v>364.5</v>
      </c>
      <c r="E890" s="131" t="n">
        <v>0</v>
      </c>
      <c r="F890" s="131" t="n">
        <v>18929.26</v>
      </c>
      <c r="G890" s="131" t="inlineStr">
        <is>
          <t>HDFC Securities</t>
        </is>
      </c>
      <c r="H890" s="131" t="inlineStr">
        <is>
          <t>HDFC 0094</t>
        </is>
      </c>
    </row>
    <row r="891">
      <c r="A891" s="130" t="n">
        <v>45729</v>
      </c>
      <c r="B891" s="131" t="inlineStr">
        <is>
          <t>NET PI TO HSL SEC A/C 523686-00602340029434</t>
        </is>
      </c>
      <c r="C891" s="131" t="inlineStr">
        <is>
          <t>0000000618631035</t>
        </is>
      </c>
      <c r="D891" s="131" t="n">
        <v>361.26</v>
      </c>
      <c r="E891" s="131" t="n">
        <v>0</v>
      </c>
      <c r="F891" s="131" t="n">
        <v>9458.67</v>
      </c>
      <c r="G891" s="131" t="inlineStr">
        <is>
          <t>HDFC Securities</t>
        </is>
      </c>
      <c r="H891" s="131" t="inlineStr">
        <is>
          <t>HDFC 0094</t>
        </is>
      </c>
    </row>
    <row r="892">
      <c r="A892" s="130" t="n">
        <v>45731</v>
      </c>
      <c r="B892" s="131" t="inlineStr">
        <is>
          <t>DEPOSITORY CHARGES FEB25 - 41060499</t>
        </is>
      </c>
      <c r="C892" s="131" t="inlineStr">
        <is>
          <t>000000000000000</t>
        </is>
      </c>
      <c r="D892" s="131" t="n">
        <v>861.4</v>
      </c>
      <c r="E892" s="131" t="n">
        <v>0</v>
      </c>
      <c r="F892" s="131" t="n">
        <v>8597.27</v>
      </c>
      <c r="G892" s="131" t="inlineStr">
        <is>
          <t>Depository Charges</t>
        </is>
      </c>
      <c r="H892" s="131" t="inlineStr">
        <is>
          <t>HDFC 0094</t>
        </is>
      </c>
    </row>
    <row r="893">
      <c r="A893" s="130" t="n">
        <v>45733</v>
      </c>
      <c r="B893" s="131" t="inlineStr">
        <is>
          <t>FT- 618929987-50200085415108 - HDFC SECURITIES LTD-CLIENT DSCNB A/C -</t>
        </is>
      </c>
      <c r="C893" s="131" t="inlineStr">
        <is>
          <t>0000000988622903</t>
        </is>
      </c>
      <c r="D893" s="131" t="n">
        <v>0</v>
      </c>
      <c r="E893" s="131" t="n">
        <v>5950.61</v>
      </c>
      <c r="F893" s="131" t="n">
        <v>14547.88</v>
      </c>
      <c r="G893" s="131" t="inlineStr">
        <is>
          <t>HDFC Securities</t>
        </is>
      </c>
      <c r="H893" s="131" t="inlineStr">
        <is>
          <t>HDFC 0094</t>
        </is>
      </c>
    </row>
    <row r="894">
      <c r="A894" s="130" t="n">
        <v>45733</v>
      </c>
      <c r="B894" s="131" t="inlineStr">
        <is>
          <t>ACH D- TP ACH INDIANESIGN-1752676394</t>
        </is>
      </c>
      <c r="C894" s="131" t="inlineStr">
        <is>
          <t>0000006164673791</t>
        </is>
      </c>
      <c r="D894" s="131" t="n">
        <v>5000</v>
      </c>
      <c r="E894" s="131" t="n">
        <v>0</v>
      </c>
      <c r="F894" s="131" t="n">
        <v>9547.879999999999</v>
      </c>
      <c r="G894" s="131" t="inlineStr">
        <is>
          <t>SIP</t>
        </is>
      </c>
      <c r="H894" s="131" t="inlineStr">
        <is>
          <t>HDFC 0094</t>
        </is>
      </c>
    </row>
    <row r="895">
      <c r="A895" s="130" t="n">
        <v>45733</v>
      </c>
      <c r="B895" s="131" t="inlineStr">
        <is>
          <t>NET PI TO HSL SEC A/C 523686-00602340029434</t>
        </is>
      </c>
      <c r="C895" s="131" t="inlineStr">
        <is>
          <t>0000000619112958</t>
        </is>
      </c>
      <c r="D895" s="131" t="n">
        <v>1445.04</v>
      </c>
      <c r="E895" s="131" t="n">
        <v>0</v>
      </c>
      <c r="F895" s="131" t="n">
        <v>8102.84</v>
      </c>
      <c r="G895" s="131" t="inlineStr">
        <is>
          <t>HDFC Securities</t>
        </is>
      </c>
      <c r="H895" s="131" t="inlineStr">
        <is>
          <t>HDFC 0094</t>
        </is>
      </c>
    </row>
    <row r="896">
      <c r="A896" s="130" t="n">
        <v>45734</v>
      </c>
      <c r="B896" s="131" t="inlineStr">
        <is>
          <t>UPI/P2A/507761157224/MADHU GUPTA          /UPI/ICICI Bank</t>
        </is>
      </c>
      <c r="C896" s="131" t="inlineStr">
        <is>
          <t>-</t>
        </is>
      </c>
      <c r="D896" s="131" t="n">
        <v>1</v>
      </c>
      <c r="E896" s="131" t="n">
        <v>0</v>
      </c>
      <c r="F896" s="131" t="n">
        <v>30446.39</v>
      </c>
      <c r="G896" s="131" t="inlineStr">
        <is>
          <t>Personal</t>
        </is>
      </c>
      <c r="H896" s="131" t="inlineStr">
        <is>
          <t>AXIS 7042</t>
        </is>
      </c>
    </row>
    <row r="897">
      <c r="A897" s="130" t="n">
        <v>45734</v>
      </c>
      <c r="B897" s="131" t="inlineStr">
        <is>
          <t>UPI/P2A/507753564612/MADHU GUPTA          /neckle/ICICI Bank</t>
        </is>
      </c>
      <c r="C897" s="131" t="inlineStr">
        <is>
          <t>-</t>
        </is>
      </c>
      <c r="D897" s="131" t="n">
        <v>17550</v>
      </c>
      <c r="E897" s="131" t="n">
        <v>0</v>
      </c>
      <c r="F897" s="131" t="n">
        <v>12896.39</v>
      </c>
      <c r="G897" s="131" t="inlineStr">
        <is>
          <t>Personal</t>
        </is>
      </c>
      <c r="H897" s="131" t="inlineStr">
        <is>
          <t>AXIS 7042</t>
        </is>
      </c>
    </row>
    <row r="898">
      <c r="A898" s="130" t="n">
        <v>45734</v>
      </c>
      <c r="B898" s="131" t="inlineStr">
        <is>
          <t>FT- 619390903-50200085415108 - HDFC SECURITIES LTD-CLIENT DSCNB A/C -</t>
        </is>
      </c>
      <c r="C898" s="131" t="inlineStr">
        <is>
          <t>0000000989836158</t>
        </is>
      </c>
      <c r="D898" s="131" t="n">
        <v>0</v>
      </c>
      <c r="E898" s="131" t="n">
        <v>1118.28</v>
      </c>
      <c r="F898" s="131" t="n">
        <v>9221.120000000001</v>
      </c>
      <c r="G898" s="131" t="inlineStr">
        <is>
          <t>HDFC Securities</t>
        </is>
      </c>
      <c r="H898" s="131" t="inlineStr">
        <is>
          <t>HDFC 0094</t>
        </is>
      </c>
    </row>
    <row r="899">
      <c r="A899" s="130" t="n">
        <v>45734</v>
      </c>
      <c r="B899" s="131" t="inlineStr">
        <is>
          <t>NET PI TO HSL SEC A/C 523686-00602340029434</t>
        </is>
      </c>
      <c r="C899" s="131" t="inlineStr">
        <is>
          <t>0000000619517620</t>
        </is>
      </c>
      <c r="D899" s="131" t="n">
        <v>351.67</v>
      </c>
      <c r="E899" s="131" t="n">
        <v>0</v>
      </c>
      <c r="F899" s="131" t="n">
        <v>8869.450000000001</v>
      </c>
      <c r="G899" s="131" t="inlineStr">
        <is>
          <t>HDFC Securities</t>
        </is>
      </c>
      <c r="H899" s="131" t="inlineStr">
        <is>
          <t>HDFC 0094</t>
        </is>
      </c>
    </row>
    <row r="900">
      <c r="A900" s="130" t="n">
        <v>45734</v>
      </c>
      <c r="B900" s="131" t="inlineStr">
        <is>
          <t>NET PI TO HSL SEC A/C 523686-00602340029434</t>
        </is>
      </c>
      <c r="C900" s="131" t="inlineStr">
        <is>
          <t>0000000619643845</t>
        </is>
      </c>
      <c r="D900" s="131" t="n">
        <v>7670.71</v>
      </c>
      <c r="E900" s="131" t="n">
        <v>0</v>
      </c>
      <c r="F900" s="131" t="n">
        <v>1198.74</v>
      </c>
      <c r="G900" s="131" t="inlineStr">
        <is>
          <t>HDFC Securities</t>
        </is>
      </c>
      <c r="H900" s="131" t="inlineStr">
        <is>
          <t>HDFC 0094</t>
        </is>
      </c>
    </row>
    <row r="901">
      <c r="A901" s="130" t="n">
        <v>45735</v>
      </c>
      <c r="B901" s="131" t="inlineStr">
        <is>
          <t>NET PI TO HSL SEC A/C 523686-00602340029434</t>
        </is>
      </c>
      <c r="C901" s="131" t="inlineStr">
        <is>
          <t>0000000619891002</t>
        </is>
      </c>
      <c r="D901" s="131" t="n">
        <v>349.34</v>
      </c>
      <c r="E901" s="131" t="n">
        <v>0</v>
      </c>
      <c r="F901" s="131" t="n">
        <v>849.4</v>
      </c>
      <c r="G901" s="131" t="inlineStr">
        <is>
          <t>HDFC Securities</t>
        </is>
      </c>
      <c r="H901" s="131" t="inlineStr">
        <is>
          <t>HDFC 0094</t>
        </is>
      </c>
    </row>
    <row r="902">
      <c r="A902" s="130" t="n">
        <v>45736</v>
      </c>
      <c r="B902" s="131" t="inlineStr">
        <is>
          <t>FT- 620122043-50200085415108 - HDFC SECURITIES LTD-CLIENT DSCNB A/C -</t>
        </is>
      </c>
      <c r="C902" s="131" t="inlineStr">
        <is>
          <t>0000000992611311</t>
        </is>
      </c>
      <c r="D902" s="131" t="n">
        <v>0</v>
      </c>
      <c r="E902" s="131" t="n">
        <v>15924.95</v>
      </c>
      <c r="F902" s="131" t="n">
        <v>16774.35</v>
      </c>
      <c r="G902" s="131" t="inlineStr">
        <is>
          <t>HDFC Securities</t>
        </is>
      </c>
      <c r="H902" s="131" t="inlineStr">
        <is>
          <t>HDFC 0094</t>
        </is>
      </c>
    </row>
    <row r="903">
      <c r="A903" s="130" t="n">
        <v>45736</v>
      </c>
      <c r="B903" s="131" t="inlineStr">
        <is>
          <t>01671000085930-TPT-BORROW FROM SUNITA-AJAY KUMAR GUPTA</t>
        </is>
      </c>
      <c r="C903" s="131" t="inlineStr">
        <is>
          <t>0000000200154523</t>
        </is>
      </c>
      <c r="D903" s="131" t="n">
        <v>0</v>
      </c>
      <c r="E903" s="131" t="n">
        <v>75000</v>
      </c>
      <c r="F903" s="131" t="n">
        <v>91774.35000000001</v>
      </c>
      <c r="G903" s="131" t="inlineStr">
        <is>
          <t>Sunita Gupta</t>
        </is>
      </c>
      <c r="H903" s="131" t="inlineStr">
        <is>
          <t>HDFC 0094</t>
        </is>
      </c>
    </row>
    <row r="904">
      <c r="A904" s="130" t="n">
        <v>45736</v>
      </c>
      <c r="B904" s="131" t="inlineStr">
        <is>
          <t>NET PI TO HSL SEC A/C 523686-00602340029434</t>
        </is>
      </c>
      <c r="C904" s="131" t="inlineStr">
        <is>
          <t>0000000620274462</t>
        </is>
      </c>
      <c r="D904" s="131" t="n">
        <v>377.93</v>
      </c>
      <c r="E904" s="131" t="n">
        <v>0</v>
      </c>
      <c r="F904" s="131" t="n">
        <v>91396.42</v>
      </c>
      <c r="G904" s="131" t="inlineStr">
        <is>
          <t>HDFC Securities</t>
        </is>
      </c>
      <c r="H904" s="131" t="inlineStr">
        <is>
          <t>HDFC 0094</t>
        </is>
      </c>
    </row>
    <row r="905">
      <c r="A905" s="130" t="n">
        <v>45736</v>
      </c>
      <c r="B905" s="131" t="inlineStr">
        <is>
          <t>NET PI TO HSL SEC A/C 523686-00602340029434</t>
        </is>
      </c>
      <c r="C905" s="131" t="inlineStr">
        <is>
          <t>0000000620386355</t>
        </is>
      </c>
      <c r="D905" s="131" t="n">
        <v>16460.12</v>
      </c>
      <c r="E905" s="131" t="n">
        <v>0</v>
      </c>
      <c r="F905" s="131" t="n">
        <v>74936.3</v>
      </c>
      <c r="G905" s="131" t="inlineStr">
        <is>
          <t>HDFC Securities</t>
        </is>
      </c>
      <c r="H905" s="131" t="inlineStr">
        <is>
          <t>HDFC 0094</t>
        </is>
      </c>
    </row>
    <row r="906">
      <c r="A906" s="130" t="n">
        <v>45736</v>
      </c>
      <c r="B906" s="131" t="inlineStr">
        <is>
          <t>IMPS-507918394917-SBI GENERAL INSURANC-IDFB-XXXXXXX8671-IMPSTXN</t>
        </is>
      </c>
      <c r="C906" s="131" t="inlineStr">
        <is>
          <t>0000507918394917</t>
        </is>
      </c>
      <c r="D906" s="131" t="n">
        <v>0</v>
      </c>
      <c r="E906" s="131" t="n">
        <v>1</v>
      </c>
      <c r="F906" s="131" t="n">
        <v>74937.3</v>
      </c>
      <c r="G906" s="131" t="inlineStr">
        <is>
          <t>Misc Income</t>
        </is>
      </c>
      <c r="H906" s="131" t="inlineStr">
        <is>
          <t>HDFC 0094</t>
        </is>
      </c>
    </row>
    <row r="907">
      <c r="A907" s="130" t="n">
        <v>45737</v>
      </c>
      <c r="B907" s="131" t="inlineStr">
        <is>
          <t>NET PO FROM HSL A/C 523686-50200085415108</t>
        </is>
      </c>
      <c r="C907" s="131" t="inlineStr">
        <is>
          <t>0000000620786197</t>
        </is>
      </c>
      <c r="D907" s="131" t="n">
        <v>0</v>
      </c>
      <c r="E907" s="131" t="n">
        <v>18737.64</v>
      </c>
      <c r="F907" s="131" t="n">
        <v>18737.64</v>
      </c>
      <c r="G907" s="131" t="inlineStr">
        <is>
          <t>HDFC Securities</t>
        </is>
      </c>
      <c r="H907" s="131" t="inlineStr">
        <is>
          <t>HDFC 0094</t>
        </is>
      </c>
    </row>
    <row r="908">
      <c r="A908" s="130" t="n">
        <v>45737</v>
      </c>
      <c r="B908" s="131" t="inlineStr">
        <is>
          <t>NET PI TO HSL SEC A/C 523686-00602340029434</t>
        </is>
      </c>
      <c r="C908" s="131" t="inlineStr">
        <is>
          <t>0000000620408632</t>
        </is>
      </c>
      <c r="D908" s="131" t="n">
        <v>54024.08</v>
      </c>
      <c r="E908" s="131" t="n">
        <v>0</v>
      </c>
      <c r="F908" s="131" t="n">
        <v>20913.22</v>
      </c>
      <c r="G908" s="131" t="inlineStr">
        <is>
          <t>HDFC Securities</t>
        </is>
      </c>
      <c r="H908" s="131" t="inlineStr">
        <is>
          <t>HDFC 0094</t>
        </is>
      </c>
    </row>
    <row r="909">
      <c r="A909" s="130" t="n">
        <v>45737</v>
      </c>
      <c r="B909" s="131" t="inlineStr">
        <is>
          <t>NET PI TO HSL SEC A/C 523686-00602340029434</t>
        </is>
      </c>
      <c r="C909" s="131" t="inlineStr">
        <is>
          <t>0000000620679490</t>
        </is>
      </c>
      <c r="D909" s="131" t="n">
        <v>20913.22</v>
      </c>
      <c r="E909" s="131" t="n">
        <v>0</v>
      </c>
      <c r="F909" s="131" t="n">
        <v>0</v>
      </c>
      <c r="G909" s="131" t="inlineStr">
        <is>
          <t>HDFC Securities</t>
        </is>
      </c>
      <c r="H909" s="131" t="inlineStr">
        <is>
          <t>HDFC 0094</t>
        </is>
      </c>
    </row>
    <row r="910">
      <c r="A910" s="130" t="n">
        <v>45738</v>
      </c>
      <c r="B910" s="131" t="inlineStr">
        <is>
          <t>YHDF2547685358/BILLDKTHECALCUTTAELE</t>
        </is>
      </c>
      <c r="C910" s="131" t="inlineStr">
        <is>
          <t>0000258179548489</t>
        </is>
      </c>
      <c r="D910" s="131" t="n">
        <v>2732</v>
      </c>
      <c r="E910" s="131" t="n">
        <v>0</v>
      </c>
      <c r="F910" s="131" t="n">
        <v>16005.64</v>
      </c>
      <c r="G910" s="131" t="inlineStr">
        <is>
          <t>SIP</t>
        </is>
      </c>
      <c r="H910" s="131" t="inlineStr">
        <is>
          <t>HDFC 0094</t>
        </is>
      </c>
    </row>
    <row r="911">
      <c r="A911" s="130" t="n">
        <v>45740</v>
      </c>
      <c r="B911" s="131" t="inlineStr">
        <is>
          <t>NET PI TO HSL SEC A/C 523686-00602340029434</t>
        </is>
      </c>
      <c r="C911" s="131" t="inlineStr">
        <is>
          <t>0000000621091728</t>
        </is>
      </c>
      <c r="D911" s="131" t="n">
        <v>1278.96</v>
      </c>
      <c r="E911" s="131" t="n">
        <v>0</v>
      </c>
      <c r="F911" s="131" t="n">
        <v>14726.68</v>
      </c>
      <c r="G911" s="131" t="inlineStr">
        <is>
          <t>HDFC Securities</t>
        </is>
      </c>
      <c r="H911" s="131" t="inlineStr">
        <is>
          <t>HDFC 0094</t>
        </is>
      </c>
    </row>
    <row r="912">
      <c r="A912" s="130" t="n">
        <v>45741</v>
      </c>
      <c r="B912" s="131" t="inlineStr">
        <is>
          <t xml:space="preserve">   CREDIT INTEREST---</t>
        </is>
      </c>
      <c r="C912" s="131" t="n">
        <v/>
      </c>
      <c r="D912" s="131" t="n">
        <v>0</v>
      </c>
      <c r="E912" s="131" t="n">
        <v>151</v>
      </c>
      <c r="F912" s="131" t="n">
        <v>19550.7</v>
      </c>
      <c r="G912" s="131" t="inlineStr">
        <is>
          <t>Bank Interest</t>
        </is>
      </c>
      <c r="H912" s="131" t="inlineStr">
        <is>
          <t>SBI 7685</t>
        </is>
      </c>
    </row>
    <row r="913">
      <c r="A913" s="130" t="n">
        <v>45741</v>
      </c>
      <c r="B913" s="131" t="inlineStr">
        <is>
          <t>FT- 621348015-50200085415108 - HDFC SECURITIES LTD-CLIENT DSCNB A/C -</t>
        </is>
      </c>
      <c r="C913" s="131" t="inlineStr">
        <is>
          <t>0000000998110131</t>
        </is>
      </c>
      <c r="D913" s="131" t="n">
        <v>0</v>
      </c>
      <c r="E913" s="131" t="n">
        <v>27412.47</v>
      </c>
      <c r="F913" s="131" t="n">
        <v>42139.15</v>
      </c>
      <c r="G913" s="131" t="inlineStr">
        <is>
          <t>HDFC Securities</t>
        </is>
      </c>
      <c r="H913" s="131" t="inlineStr">
        <is>
          <t>HDFC 0094</t>
        </is>
      </c>
    </row>
    <row r="914">
      <c r="A914" s="130" t="n">
        <v>45741</v>
      </c>
      <c r="B914" s="131" t="inlineStr">
        <is>
          <t>ACH D- TP ACH INDIANESIGN-1756309312</t>
        </is>
      </c>
      <c r="C914" s="131" t="inlineStr">
        <is>
          <t>0000006385920508</t>
        </is>
      </c>
      <c r="D914" s="131" t="n">
        <v>10000</v>
      </c>
      <c r="E914" s="131" t="n">
        <v>0</v>
      </c>
      <c r="F914" s="131" t="n">
        <v>32139.15</v>
      </c>
      <c r="G914" s="131" t="inlineStr">
        <is>
          <t>SIP</t>
        </is>
      </c>
      <c r="H914" s="131" t="inlineStr">
        <is>
          <t>HDFC 0094</t>
        </is>
      </c>
    </row>
    <row r="915">
      <c r="A915" s="130" t="n">
        <v>45741</v>
      </c>
      <c r="B915" s="131" t="inlineStr">
        <is>
          <t>NET PI TO HSL SEC A/C 523686-00602340029434</t>
        </is>
      </c>
      <c r="C915" s="131" t="inlineStr">
        <is>
          <t>0000000621519684</t>
        </is>
      </c>
      <c r="D915" s="131" t="n">
        <v>437.86</v>
      </c>
      <c r="E915" s="131" t="n">
        <v>0</v>
      </c>
      <c r="F915" s="131" t="n">
        <v>31701.29</v>
      </c>
      <c r="G915" s="131" t="inlineStr">
        <is>
          <t>HDFC Securities</t>
        </is>
      </c>
      <c r="H915" s="131" t="inlineStr">
        <is>
          <t>HDFC 0094</t>
        </is>
      </c>
    </row>
    <row r="916">
      <c r="A916" s="130" t="n">
        <v>45741</v>
      </c>
      <c r="B916" s="131" t="inlineStr">
        <is>
          <t>NET PI TO HSL SEC A/C 523686-00602340029434</t>
        </is>
      </c>
      <c r="C916" s="131" t="inlineStr">
        <is>
          <t>0000000621689205</t>
        </is>
      </c>
      <c r="D916" s="131" t="n">
        <v>5764.56</v>
      </c>
      <c r="E916" s="131" t="n">
        <v>0</v>
      </c>
      <c r="F916" s="131" t="n">
        <v>25936.73</v>
      </c>
      <c r="G916" s="131" t="inlineStr">
        <is>
          <t>HDFC Securities</t>
        </is>
      </c>
      <c r="H916" s="131" t="inlineStr">
        <is>
          <t>HDFC 0094</t>
        </is>
      </c>
    </row>
    <row r="917">
      <c r="A917" s="130" t="n">
        <v>45742</v>
      </c>
      <c r="B917" s="131" t="inlineStr">
        <is>
          <t>NET PI TO HSL SEC A/C 523686-00602340029434</t>
        </is>
      </c>
      <c r="C917" s="131" t="inlineStr">
        <is>
          <t>0000000621932120</t>
        </is>
      </c>
      <c r="D917" s="131" t="n">
        <v>433.89</v>
      </c>
      <c r="E917" s="131" t="n">
        <v>0</v>
      </c>
      <c r="F917" s="131" t="n">
        <v>43844.34</v>
      </c>
      <c r="G917" s="131" t="inlineStr">
        <is>
          <t>HDFC Securities</t>
        </is>
      </c>
      <c r="H917" s="131" t="inlineStr">
        <is>
          <t>HDFC 0094</t>
        </is>
      </c>
    </row>
    <row r="918">
      <c r="A918" s="130" t="n">
        <v>45742</v>
      </c>
      <c r="B918" s="131" t="inlineStr">
        <is>
          <t>NET PI TO HSL SEC A/C 523686-00602340029434</t>
        </is>
      </c>
      <c r="C918" s="131" t="inlineStr">
        <is>
          <t>0000000622109680</t>
        </is>
      </c>
      <c r="D918" s="131" t="n">
        <v>8577.92</v>
      </c>
      <c r="E918" s="131" t="n">
        <v>0</v>
      </c>
      <c r="F918" s="131" t="n">
        <v>35266.42</v>
      </c>
      <c r="G918" s="131" t="inlineStr">
        <is>
          <t>HDFC Securities</t>
        </is>
      </c>
      <c r="H918" s="131" t="inlineStr">
        <is>
          <t>HDFC 0094</t>
        </is>
      </c>
    </row>
    <row r="919">
      <c r="A919" s="130" t="n">
        <v>45742</v>
      </c>
      <c r="B919" s="131" t="inlineStr">
        <is>
          <t>FT- 621822800-50200085415108 - HDFC SECURITIES LTD-CLIENT DSCNB A/C -</t>
        </is>
      </c>
      <c r="C919" s="131" t="inlineStr">
        <is>
          <t>0000000999473460</t>
        </is>
      </c>
      <c r="D919" s="131" t="n">
        <v>0</v>
      </c>
      <c r="E919" s="131" t="n">
        <v>17430.4</v>
      </c>
      <c r="F919" s="131" t="n">
        <v>44278.23</v>
      </c>
      <c r="G919" s="131" t="inlineStr">
        <is>
          <t>HDFC Securities</t>
        </is>
      </c>
      <c r="H919" s="131" t="inlineStr">
        <is>
          <t>HDFC 0094</t>
        </is>
      </c>
    </row>
    <row r="920">
      <c r="A920" s="130" t="n">
        <v>45742</v>
      </c>
      <c r="B920" s="131" t="inlineStr">
        <is>
          <t>FT- 621799157-50200085415108 - HDFC SECURITIES LTD-CLIENT DSCNB A/C -</t>
        </is>
      </c>
      <c r="C920" s="131" t="inlineStr">
        <is>
          <t>0000000999436007</t>
        </is>
      </c>
      <c r="D920" s="131" t="n">
        <v>0</v>
      </c>
      <c r="E920" s="131" t="n">
        <v>911.1</v>
      </c>
      <c r="F920" s="131" t="n">
        <v>26847.83</v>
      </c>
      <c r="G920" s="131" t="inlineStr">
        <is>
          <t>HDFC Securities</t>
        </is>
      </c>
      <c r="H920" s="131" t="inlineStr">
        <is>
          <t>HDFC 0094</t>
        </is>
      </c>
    </row>
    <row r="921">
      <c r="A921" s="130" t="n">
        <v>45743</v>
      </c>
      <c r="B921" s="131" t="inlineStr">
        <is>
          <t>NET PI TO HSL SEC A/C 523686-00602340029434</t>
        </is>
      </c>
      <c r="C921" s="131" t="inlineStr">
        <is>
          <t>0000000622506110</t>
        </is>
      </c>
      <c r="D921" s="131" t="n">
        <v>1302.61</v>
      </c>
      <c r="E921" s="131" t="n">
        <v>0</v>
      </c>
      <c r="F921" s="131" t="n">
        <v>33777.04</v>
      </c>
      <c r="G921" s="131" t="inlineStr">
        <is>
          <t>HDFC Securities</t>
        </is>
      </c>
      <c r="H921" s="131" t="inlineStr">
        <is>
          <t>HDFC 0094</t>
        </is>
      </c>
    </row>
    <row r="922">
      <c r="A922" s="130" t="n">
        <v>45743</v>
      </c>
      <c r="B922" s="131" t="inlineStr">
        <is>
          <t>ACH C- IRFC LTD-IR2103250146332</t>
        </is>
      </c>
      <c r="C922" s="131" t="inlineStr">
        <is>
          <t>0000006490317246</t>
        </is>
      </c>
      <c r="D922" s="131" t="n">
        <v>0</v>
      </c>
      <c r="E922" s="131" t="n">
        <v>240</v>
      </c>
      <c r="F922" s="131" t="n">
        <v>35079.65</v>
      </c>
      <c r="G922" s="131" t="inlineStr">
        <is>
          <t>Dividend Income</t>
        </is>
      </c>
      <c r="H922" s="131" t="inlineStr">
        <is>
          <t>HDFC 0094</t>
        </is>
      </c>
    </row>
    <row r="923">
      <c r="A923" s="130" t="n">
        <v>45743</v>
      </c>
      <c r="B923" s="131" t="inlineStr">
        <is>
          <t>NET PI TO HSL SEC A/C 523686-00602340029434</t>
        </is>
      </c>
      <c r="C923" s="131" t="inlineStr">
        <is>
          <t>0000000622365500</t>
        </is>
      </c>
      <c r="D923" s="131" t="n">
        <v>426.77</v>
      </c>
      <c r="E923" s="131" t="n">
        <v>0</v>
      </c>
      <c r="F923" s="131" t="n">
        <v>34839.65</v>
      </c>
      <c r="G923" s="131" t="inlineStr">
        <is>
          <t>HDFC Securities</t>
        </is>
      </c>
      <c r="H923" s="131" t="inlineStr">
        <is>
          <t>HDFC 0094</t>
        </is>
      </c>
    </row>
    <row r="924">
      <c r="A924" s="130" t="n">
        <v>45744</v>
      </c>
      <c r="B924" s="131" t="inlineStr">
        <is>
          <t>FT- 622645959-50200085415108 - HDFC SECURITIES LTD-CLIENT DSCNB A/C -</t>
        </is>
      </c>
      <c r="C924" s="131" t="inlineStr">
        <is>
          <t>0000001002983074</t>
        </is>
      </c>
      <c r="D924" s="131" t="n">
        <v>0</v>
      </c>
      <c r="E924" s="131" t="n">
        <v>32508.09</v>
      </c>
      <c r="F924" s="131" t="n">
        <v>66285.13</v>
      </c>
      <c r="G924" s="131" t="inlineStr">
        <is>
          <t>HDFC Securities</t>
        </is>
      </c>
      <c r="H924" s="131" t="inlineStr">
        <is>
          <t>HDFC 0094</t>
        </is>
      </c>
    </row>
    <row r="925">
      <c r="A925" s="130" t="n">
        <v>45744</v>
      </c>
      <c r="B925" s="131" t="inlineStr">
        <is>
          <t>NET PI TO HSL SEC A/C 523686-00602340029434</t>
        </is>
      </c>
      <c r="C925" s="131" t="inlineStr">
        <is>
          <t>0000000622945273</t>
        </is>
      </c>
      <c r="D925" s="131" t="n">
        <v>6570.74</v>
      </c>
      <c r="E925" s="131" t="n">
        <v>0</v>
      </c>
      <c r="F925" s="131" t="n">
        <v>63437.65</v>
      </c>
      <c r="G925" s="131" t="inlineStr">
        <is>
          <t>HDFC Securities</t>
        </is>
      </c>
      <c r="H925" s="131" t="inlineStr">
        <is>
          <t>HDFC 0094</t>
        </is>
      </c>
    </row>
    <row r="926">
      <c r="A926" s="130" t="n">
        <v>45744</v>
      </c>
      <c r="B926" s="131" t="inlineStr">
        <is>
          <t>NEFT CR-UTIB0000004-AXIS MUTUAL FUND DIVIDEND A/C-SUNITA GUPTA-UTIBN62025032810896860</t>
        </is>
      </c>
      <c r="C926" s="131" t="inlineStr">
        <is>
          <t>UTIBN62025032810896860</t>
        </is>
      </c>
      <c r="D926" s="131" t="n">
        <v>0</v>
      </c>
      <c r="E926" s="131" t="n">
        <v>84.56999999999999</v>
      </c>
      <c r="F926" s="131" t="n">
        <v>70008.39</v>
      </c>
      <c r="G926" s="131" t="inlineStr">
        <is>
          <t>Dividend Income</t>
        </is>
      </c>
      <c r="H926" s="131" t="inlineStr">
        <is>
          <t>HDFC 0094</t>
        </is>
      </c>
    </row>
    <row r="927">
      <c r="A927" s="130" t="n">
        <v>45744</v>
      </c>
      <c r="B927" s="131" t="inlineStr">
        <is>
          <t>ACH C- NMDC LTD-0000030388452</t>
        </is>
      </c>
      <c r="C927" s="131" t="inlineStr">
        <is>
          <t>0000006524703984</t>
        </is>
      </c>
      <c r="D927" s="131" t="n">
        <v>0</v>
      </c>
      <c r="E927" s="131" t="n">
        <v>4065</v>
      </c>
      <c r="F927" s="131" t="n">
        <v>70350.13</v>
      </c>
      <c r="G927" s="131" t="inlineStr">
        <is>
          <t>Dividend Income</t>
        </is>
      </c>
      <c r="H927" s="131" t="inlineStr">
        <is>
          <t>HDFC 0094</t>
        </is>
      </c>
    </row>
    <row r="928">
      <c r="A928" s="130" t="n">
        <v>45744</v>
      </c>
      <c r="B928" s="131" t="inlineStr">
        <is>
          <t>NET PI TO HSL SEC A/C 523686-00602340029434</t>
        </is>
      </c>
      <c r="C928" s="131" t="inlineStr">
        <is>
          <t>0000000622783934</t>
        </is>
      </c>
      <c r="D928" s="131" t="n">
        <v>426.31</v>
      </c>
      <c r="E928" s="131" t="n">
        <v>0</v>
      </c>
      <c r="F928" s="131" t="n">
        <v>69923.82000000001</v>
      </c>
      <c r="G928" s="131" t="inlineStr">
        <is>
          <t>HDFC Securities</t>
        </is>
      </c>
      <c r="H928" s="131" t="inlineStr">
        <is>
          <t>HDFC 0094</t>
        </is>
      </c>
    </row>
    <row r="929">
      <c r="A929" s="130" t="n">
        <v>45745</v>
      </c>
      <c r="B929" s="131" t="inlineStr">
        <is>
          <t>ISAQMC-JUL-SEP24-323600 070325-MIR2508872188526</t>
        </is>
      </c>
      <c r="C929" s="131" t="inlineStr">
        <is>
          <t>MIR2508872188526</t>
        </is>
      </c>
      <c r="D929" s="131" t="n">
        <v>295</v>
      </c>
      <c r="E929" s="131" t="n">
        <v>0</v>
      </c>
      <c r="F929" s="131" t="n">
        <v>63142.65</v>
      </c>
      <c r="G929" s="131" t="inlineStr">
        <is>
          <t>Bank Charges</t>
        </is>
      </c>
      <c r="H929" s="131" t="inlineStr">
        <is>
          <t>HDFC 0094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32" t="inlineStr">
        <is>
          <t>All Banks</t>
        </is>
      </c>
    </row>
    <row r="2">
      <c r="A2" s="128" t="inlineStr">
        <is>
          <t>Aayush Gupta Bank Summary</t>
        </is>
      </c>
    </row>
    <row r="3">
      <c r="A3" t="inlineStr">
        <is>
          <t>01-Apr-2024 to 29-Mar-2025</t>
        </is>
      </c>
    </row>
    <row r="4">
      <c r="A4" s="133" t="n"/>
      <c r="B4" s="133" t="n"/>
      <c r="C4" s="133" t="n"/>
      <c r="D4" s="133" t="n"/>
    </row>
    <row r="5">
      <c r="A5" t="inlineStr">
        <is>
          <t>Narration</t>
        </is>
      </c>
      <c r="B5" t="inlineStr">
        <is>
          <t>Total Credit (₹)</t>
        </is>
      </c>
      <c r="C5" t="inlineStr">
        <is>
          <t>Narration</t>
        </is>
      </c>
      <c r="D5" t="inlineStr">
        <is>
          <t>Total Debit (₹)</t>
        </is>
      </c>
    </row>
    <row r="6">
      <c r="A6" s="39" t="inlineStr">
        <is>
          <t>Bank Charges</t>
        </is>
      </c>
      <c r="B6" s="39">
        <f>SUMIFS('For Tally'!D:D, 'For Tally'!F:F, A6)</f>
        <v/>
      </c>
      <c r="C6" s="39" t="inlineStr">
        <is>
          <t>Bank Charges</t>
        </is>
      </c>
      <c r="D6" s="39">
        <f>SUMIFS('For Tally'!C:C, 'For Tally'!F:F, C6)</f>
        <v/>
      </c>
    </row>
    <row r="7">
      <c r="A7" s="41" t="inlineStr">
        <is>
          <t>Bank Interest</t>
        </is>
      </c>
      <c r="B7" s="41">
        <f>SUMIFS('For Tally'!D:D, 'For Tally'!F:F, A7)</f>
        <v/>
      </c>
      <c r="C7" s="41" t="inlineStr">
        <is>
          <t>Bank Interest</t>
        </is>
      </c>
      <c r="D7" s="41">
        <f>SUMIFS('For Tally'!C:C, 'For Tally'!F:F, C7)</f>
        <v/>
      </c>
    </row>
    <row r="8">
      <c r="A8" s="102" t="inlineStr">
        <is>
          <t>Cash Deposit</t>
        </is>
      </c>
      <c r="B8" s="102">
        <f>SUMIFS('For Tally'!D:D, 'For Tally'!F:F, A8)</f>
        <v/>
      </c>
      <c r="C8" s="102" t="inlineStr">
        <is>
          <t>Cash Deposit</t>
        </is>
      </c>
      <c r="D8" s="102">
        <f>SUMIFS('For Tally'!C:C, 'For Tally'!F:F, C8)</f>
        <v/>
      </c>
    </row>
    <row r="9">
      <c r="A9" s="31" t="inlineStr">
        <is>
          <t>Cash Withdrawal</t>
        </is>
      </c>
      <c r="B9" s="31">
        <f>SUMIFS('For Tally'!D:D, 'For Tally'!F:F, A9)</f>
        <v/>
      </c>
      <c r="C9" s="31" t="inlineStr">
        <is>
          <t>Cash Withdrawal</t>
        </is>
      </c>
      <c r="D9" s="31">
        <f>SUMIFS('For Tally'!C:C, 'For Tally'!F:F, C9)</f>
        <v/>
      </c>
    </row>
    <row r="10">
      <c r="A10" s="90" t="inlineStr">
        <is>
          <t>Depository Charges</t>
        </is>
      </c>
      <c r="B10" s="90">
        <f>SUMIFS('For Tally'!D:D, 'For Tally'!F:F, A10)</f>
        <v/>
      </c>
      <c r="C10" s="90" t="inlineStr">
        <is>
          <t>Depository Charges</t>
        </is>
      </c>
      <c r="D10" s="90">
        <f>SUMIFS('For Tally'!C:C, 'For Tally'!F:F, C10)</f>
        <v/>
      </c>
    </row>
    <row r="11">
      <c r="A11" s="43" t="inlineStr">
        <is>
          <t>Dividend Income</t>
        </is>
      </c>
      <c r="B11" s="43">
        <f>SUMIFS('For Tally'!D:D, 'For Tally'!F:F, A11)</f>
        <v/>
      </c>
      <c r="C11" s="43" t="inlineStr">
        <is>
          <t>Dividend Income</t>
        </is>
      </c>
      <c r="D11" s="43">
        <f>SUMIFS('For Tally'!C:C, 'For Tally'!F:F, C11)</f>
        <v/>
      </c>
    </row>
    <row r="12">
      <c r="A12" s="84" t="inlineStr">
        <is>
          <t>HDFC Securities - Buy</t>
        </is>
      </c>
      <c r="B12" s="84">
        <f>SUMIFS('For Tally'!D:D, 'For Tally'!F:F, A12)</f>
        <v/>
      </c>
      <c r="C12" s="84" t="inlineStr">
        <is>
          <t>HDFC Securities - Buy</t>
        </is>
      </c>
      <c r="D12" s="84">
        <f>SUMIFS('For Tally'!C:C, 'For Tally'!F:F, C12)</f>
        <v/>
      </c>
    </row>
    <row r="13">
      <c r="A13" s="86" t="inlineStr">
        <is>
          <t>HDFC Securities - Sell</t>
        </is>
      </c>
      <c r="B13" s="86">
        <f>SUMIFS('For Tally'!D:D, 'For Tally'!F:F, A13)</f>
        <v/>
      </c>
      <c r="C13" s="86" t="inlineStr">
        <is>
          <t>HDFC Securities - Sell</t>
        </is>
      </c>
      <c r="D13" s="86">
        <f>SUMIFS('For Tally'!C:C, 'For Tally'!F:F, C13)</f>
        <v/>
      </c>
    </row>
    <row r="14">
      <c r="A14" s="31" t="inlineStr">
        <is>
          <t>HDFC Securities - Settlement</t>
        </is>
      </c>
      <c r="B14" s="31">
        <f>SUMIFS('For Tally'!D:D, 'For Tally'!F:F, A14)</f>
        <v/>
      </c>
      <c r="C14" s="31" t="inlineStr">
        <is>
          <t>HDFC Securities - Settlement</t>
        </is>
      </c>
      <c r="D14" s="31">
        <f>SUMIFS('For Tally'!C:C, 'For Tally'!F:F, C14)</f>
        <v/>
      </c>
    </row>
    <row r="15">
      <c r="A15" s="113" t="inlineStr">
        <is>
          <t>Health Insurance</t>
        </is>
      </c>
      <c r="B15" s="113">
        <f>SUMIFS('For Tally'!D:D, 'For Tally'!F:F, A15)</f>
        <v/>
      </c>
      <c r="C15" s="113" t="inlineStr">
        <is>
          <t>Health Insurance</t>
        </is>
      </c>
      <c r="D15" s="113">
        <f>SUMIFS('For Tally'!C:C, 'For Tally'!F:F, C15)</f>
        <v/>
      </c>
    </row>
    <row r="16">
      <c r="A16" s="94" t="inlineStr">
        <is>
          <t>Income Tax Refund</t>
        </is>
      </c>
      <c r="B16" s="94">
        <f>SUMIFS('For Tally'!D:D, 'For Tally'!F:F, A16)</f>
        <v/>
      </c>
      <c r="C16" s="94" t="inlineStr">
        <is>
          <t>Income Tax Refund</t>
        </is>
      </c>
      <c r="D16" s="94">
        <f>SUMIFS('For Tally'!C:C, 'For Tally'!F:F, C16)</f>
        <v/>
      </c>
    </row>
    <row r="17">
      <c r="A17" s="115" t="inlineStr">
        <is>
          <t>Internal Transfer</t>
        </is>
      </c>
      <c r="B17" s="115">
        <f>SUMIFS('For Tally'!D:D, 'For Tally'!F:F, A17)</f>
        <v/>
      </c>
      <c r="C17" s="115" t="inlineStr">
        <is>
          <t>Internal Transfer</t>
        </is>
      </c>
      <c r="D17" s="115">
        <f>SUMIFS('For Tally'!C:C, 'For Tally'!F:F, C17)</f>
        <v/>
      </c>
    </row>
    <row r="18">
      <c r="A18" s="65" t="inlineStr">
        <is>
          <t>MF Investment</t>
        </is>
      </c>
      <c r="B18" s="65">
        <f>SUMIFS('For Tally'!D:D, 'For Tally'!F:F, A18)</f>
        <v/>
      </c>
      <c r="C18" s="65" t="inlineStr">
        <is>
          <t>MF Investment</t>
        </is>
      </c>
      <c r="D18" s="65">
        <f>SUMIFS('For Tally'!C:C, 'For Tally'!F:F, C18)</f>
        <v/>
      </c>
    </row>
    <row r="19">
      <c r="A19" s="100" t="inlineStr">
        <is>
          <t>MF Redemption</t>
        </is>
      </c>
      <c r="B19" s="100">
        <f>SUMIFS('For Tally'!D:D, 'For Tally'!F:F, A19)</f>
        <v/>
      </c>
      <c r="C19" s="100" t="inlineStr">
        <is>
          <t>MF Redemption</t>
        </is>
      </c>
      <c r="D19" s="100">
        <f>SUMIFS('For Tally'!C:C, 'For Tally'!F:F, C19)</f>
        <v/>
      </c>
    </row>
    <row r="20">
      <c r="A20" s="108" t="inlineStr">
        <is>
          <t>Misc Income</t>
        </is>
      </c>
      <c r="B20" s="108">
        <f>SUMIFS('For Tally'!D:D, 'For Tally'!F:F, A20)</f>
        <v/>
      </c>
      <c r="C20" s="108" t="inlineStr">
        <is>
          <t>Misc Income</t>
        </is>
      </c>
      <c r="D20" s="108">
        <f>SUMIFS('For Tally'!C:C, 'For Tally'!F:F, C20)</f>
        <v/>
      </c>
    </row>
    <row r="21">
      <c r="A21" s="65" t="inlineStr">
        <is>
          <t>NEFT Transfer</t>
        </is>
      </c>
      <c r="B21" s="65">
        <f>SUMIFS('For Tally'!D:D, 'For Tally'!F:F, A21)</f>
        <v/>
      </c>
      <c r="C21" s="65" t="inlineStr">
        <is>
          <t>NEFT Transfer</t>
        </is>
      </c>
      <c r="D21" s="65">
        <f>SUMIFS('For Tally'!C:C, 'For Tally'!F:F, C21)</f>
        <v/>
      </c>
    </row>
    <row r="22">
      <c r="A22" s="119" t="inlineStr">
        <is>
          <t>Received - Aditya Dh</t>
        </is>
      </c>
      <c r="B22" s="119">
        <f>SUMIFS('For Tally'!D:D, 'For Tally'!F:F, A22)</f>
        <v/>
      </c>
      <c r="C22" s="119" t="inlineStr">
        <is>
          <t>Received - Aditya Dh</t>
        </is>
      </c>
      <c r="D22" s="119">
        <f>SUMIFS('For Tally'!C:C, 'For Tally'!F:F, C22)</f>
        <v/>
      </c>
    </row>
    <row r="23">
      <c r="A23" s="37" t="inlineStr">
        <is>
          <t>Received - Ajay Gupta</t>
        </is>
      </c>
      <c r="B23" s="37">
        <f>SUMIFS('For Tally'!D:D, 'For Tally'!F:F, A23)</f>
        <v/>
      </c>
      <c r="C23" s="37" t="inlineStr">
        <is>
          <t>Received - Ajay Gupta</t>
        </is>
      </c>
      <c r="D23" s="37">
        <f>SUMIFS('For Tally'!C:C, 'For Tally'!F:F, C23)</f>
        <v/>
      </c>
    </row>
    <row r="24">
      <c r="A24" s="67" t="inlineStr">
        <is>
          <t>Received - Archit Gupta</t>
        </is>
      </c>
      <c r="B24" s="67">
        <f>SUMIFS('For Tally'!D:D, 'For Tally'!F:F, A24)</f>
        <v/>
      </c>
      <c r="C24" s="67" t="inlineStr">
        <is>
          <t>Received - Archit Gupta</t>
        </is>
      </c>
      <c r="D24" s="67">
        <f>SUMIFS('For Tally'!C:C, 'For Tally'!F:F, C24)</f>
        <v/>
      </c>
    </row>
    <row r="25">
      <c r="A25" s="119" t="inlineStr">
        <is>
          <t>Received - Bhutada S</t>
        </is>
      </c>
      <c r="B25" s="119">
        <f>SUMIFS('For Tally'!D:D, 'For Tally'!F:F, A25)</f>
        <v/>
      </c>
      <c r="C25" s="119" t="inlineStr">
        <is>
          <t>Received - Bhutada S</t>
        </is>
      </c>
      <c r="D25" s="119">
        <f>SUMIFS('For Tally'!C:C, 'For Tally'!F:F, C25)</f>
        <v/>
      </c>
    </row>
    <row r="26">
      <c r="A26" s="119" t="inlineStr">
        <is>
          <t>Received - Deepali A</t>
        </is>
      </c>
      <c r="B26" s="119">
        <f>SUMIFS('For Tally'!D:D, 'For Tally'!F:F, A26)</f>
        <v/>
      </c>
      <c r="C26" s="119" t="inlineStr">
        <is>
          <t>Received - Deepali A</t>
        </is>
      </c>
      <c r="D26" s="119">
        <f>SUMIFS('For Tally'!C:C, 'For Tally'!F:F, C26)</f>
        <v/>
      </c>
    </row>
    <row r="27">
      <c r="A27" s="119" t="inlineStr">
        <is>
          <t>Received - Deepika U</t>
        </is>
      </c>
      <c r="B27" s="119">
        <f>SUMIFS('For Tally'!D:D, 'For Tally'!F:F, A27)</f>
        <v/>
      </c>
      <c r="C27" s="119" t="inlineStr">
        <is>
          <t>Received - Deepika U</t>
        </is>
      </c>
      <c r="D27" s="119">
        <f>SUMIFS('For Tally'!C:C, 'For Tally'!F:F, C27)</f>
        <v/>
      </c>
    </row>
    <row r="28">
      <c r="A28" s="119" t="inlineStr">
        <is>
          <t>Received - Google In</t>
        </is>
      </c>
      <c r="B28" s="119">
        <f>SUMIFS('For Tally'!D:D, 'For Tally'!F:F, A28)</f>
        <v/>
      </c>
      <c r="C28" s="119" t="inlineStr">
        <is>
          <t>Received - Google In</t>
        </is>
      </c>
      <c r="D28" s="119">
        <f>SUMIFS('For Tally'!C:C, 'For Tally'!F:F, C28)</f>
        <v/>
      </c>
    </row>
    <row r="29">
      <c r="A29" s="119" t="inlineStr">
        <is>
          <t>Received - Manjoosha</t>
        </is>
      </c>
      <c r="B29" s="119">
        <f>SUMIFS('For Tally'!D:D, 'For Tally'!F:F, A29)</f>
        <v/>
      </c>
      <c r="C29" s="119" t="inlineStr">
        <is>
          <t>Received - Manjoosha</t>
        </is>
      </c>
      <c r="D29" s="119">
        <f>SUMIFS('For Tally'!C:C, 'For Tally'!F:F, C29)</f>
        <v/>
      </c>
    </row>
    <row r="30">
      <c r="A30" s="119" t="inlineStr">
        <is>
          <t>Received - Priti Muk</t>
        </is>
      </c>
      <c r="B30" s="119">
        <f>SUMIFS('For Tally'!D:D, 'For Tally'!F:F, A30)</f>
        <v/>
      </c>
      <c r="C30" s="119" t="inlineStr">
        <is>
          <t>Received - Priti Muk</t>
        </is>
      </c>
      <c r="D30" s="119">
        <f>SUMIFS('For Tally'!C:C, 'For Tally'!F:F, C30)</f>
        <v/>
      </c>
    </row>
    <row r="31">
      <c r="A31" s="119" t="inlineStr">
        <is>
          <t>Received - Rakhi Vin</t>
        </is>
      </c>
      <c r="B31" s="119">
        <f>SUMIFS('For Tally'!D:D, 'For Tally'!F:F, A31)</f>
        <v/>
      </c>
      <c r="C31" s="119" t="inlineStr">
        <is>
          <t>Received - Rakhi Vin</t>
        </is>
      </c>
      <c r="D31" s="119">
        <f>SUMIFS('For Tally'!C:C, 'For Tally'!F:F, C31)</f>
        <v/>
      </c>
    </row>
    <row r="32">
      <c r="A32" s="119" t="inlineStr">
        <is>
          <t>Received - Sharda Ar</t>
        </is>
      </c>
      <c r="B32" s="119">
        <f>SUMIFS('For Tally'!D:D, 'For Tally'!F:F, A32)</f>
        <v/>
      </c>
      <c r="C32" s="119" t="inlineStr">
        <is>
          <t>Received - Sharda Ar</t>
        </is>
      </c>
      <c r="D32" s="119">
        <f>SUMIFS('For Tally'!C:C, 'For Tally'!F:F, C32)</f>
        <v/>
      </c>
    </row>
    <row r="33">
      <c r="A33" s="117" t="inlineStr">
        <is>
          <t>Received - Sunita Gupta</t>
        </is>
      </c>
      <c r="B33" s="117">
        <f>SUMIFS('For Tally'!D:D, 'For Tally'!F:F, A33)</f>
        <v/>
      </c>
      <c r="C33" s="117" t="inlineStr">
        <is>
          <t>Received - Sunita Gupta</t>
        </is>
      </c>
      <c r="D33" s="117">
        <f>SUMIFS('For Tally'!C:C, 'For Tally'!F:F, C33)</f>
        <v/>
      </c>
    </row>
    <row r="34">
      <c r="A34" s="113" t="inlineStr">
        <is>
          <t>Rent</t>
        </is>
      </c>
      <c r="B34" s="113">
        <f>SUMIFS('For Tally'!D:D, 'For Tally'!F:F, A34)</f>
        <v/>
      </c>
      <c r="C34" s="113" t="inlineStr">
        <is>
          <t>Rent</t>
        </is>
      </c>
      <c r="D34" s="113">
        <f>SUMIFS('For Tally'!C:C, 'For Tally'!F:F, C34)</f>
        <v/>
      </c>
    </row>
    <row r="35">
      <c r="A35" s="65" t="inlineStr">
        <is>
          <t>SIP</t>
        </is>
      </c>
      <c r="B35" s="65">
        <f>SUMIFS('For Tally'!D:D, 'For Tally'!F:F, A35)</f>
        <v/>
      </c>
      <c r="C35" s="65" t="inlineStr">
        <is>
          <t>SIP</t>
        </is>
      </c>
      <c r="D35" s="65">
        <f>SUMIFS('For Tally'!C:C, 'For Tally'!F:F, C35)</f>
        <v/>
      </c>
    </row>
    <row r="36">
      <c r="A36" s="127" t="inlineStr">
        <is>
          <t>SIP Refund / Reversal</t>
        </is>
      </c>
      <c r="B36" s="127">
        <f>SUMIFS('For Tally'!D:D, 'For Tally'!F:F, A36)</f>
        <v/>
      </c>
      <c r="C36" s="127" t="inlineStr">
        <is>
          <t>SIP Refund / Reversal</t>
        </is>
      </c>
      <c r="D36" s="127">
        <f>SUMIFS('For Tally'!C:C, 'For Tally'!F:F, C36)</f>
        <v/>
      </c>
    </row>
    <row r="37">
      <c r="A37" s="123" t="inlineStr">
        <is>
          <t>Shopping - Jewellery</t>
        </is>
      </c>
      <c r="B37" s="123">
        <f>SUMIFS('For Tally'!D:D, 'For Tally'!F:F, A37)</f>
        <v/>
      </c>
      <c r="C37" s="123" t="inlineStr">
        <is>
          <t>Shopping - Jewellery</t>
        </is>
      </c>
      <c r="D37" s="123">
        <f>SUMIFS('For Tally'!C:C, 'For Tally'!F:F, C37)</f>
        <v/>
      </c>
    </row>
    <row r="38">
      <c r="A38" s="37" t="inlineStr">
        <is>
          <t>Transfer - Ajay Gupta</t>
        </is>
      </c>
      <c r="B38" s="37">
        <f>SUMIFS('For Tally'!D:D, 'For Tally'!F:F, A38)</f>
        <v/>
      </c>
      <c r="C38" s="37" t="inlineStr">
        <is>
          <t>Transfer - Ajay Gupta</t>
        </is>
      </c>
      <c r="D38" s="37">
        <f>SUMIFS('For Tally'!C:C, 'For Tally'!F:F, C38)</f>
        <v/>
      </c>
    </row>
    <row r="39">
      <c r="A39" s="67" t="inlineStr">
        <is>
          <t>Transfer - Archit Gupta</t>
        </is>
      </c>
      <c r="B39" s="67">
        <f>SUMIFS('For Tally'!D:D, 'For Tally'!F:F, A39)</f>
        <v/>
      </c>
      <c r="C39" s="67" t="inlineStr">
        <is>
          <t>Transfer - Archit Gupta</t>
        </is>
      </c>
      <c r="D39" s="67">
        <f>SUMIFS('For Tally'!C:C, 'For Tally'!F:F, C39)</f>
        <v/>
      </c>
    </row>
    <row r="40">
      <c r="A40" s="125" t="inlineStr">
        <is>
          <t>Transfer - Megha Gupta</t>
        </is>
      </c>
      <c r="B40" s="125">
        <f>SUMIFS('For Tally'!D:D, 'For Tally'!F:F, A40)</f>
        <v/>
      </c>
      <c r="C40" s="125" t="inlineStr">
        <is>
          <t>Transfer - Megha Gupta</t>
        </is>
      </c>
      <c r="D40" s="125">
        <f>SUMIFS('For Tally'!C:C, 'For Tally'!F:F, C40)</f>
        <v/>
      </c>
    </row>
    <row r="41">
      <c r="A41" s="117" t="inlineStr">
        <is>
          <t>Transfer - Sunita Gupta</t>
        </is>
      </c>
      <c r="B41" s="117">
        <f>SUMIFS('For Tally'!D:D, 'For Tally'!F:F, A41)</f>
        <v/>
      </c>
      <c r="C41" s="117" t="inlineStr">
        <is>
          <t>Transfer - Sunita Gupta</t>
        </is>
      </c>
      <c r="D41" s="117">
        <f>SUMIFS('For Tally'!C:C, 'For Tally'!F:F, C41)</f>
        <v/>
      </c>
    </row>
    <row r="42">
      <c r="A42" s="57" t="inlineStr">
        <is>
          <t>UPI - Flipkart</t>
        </is>
      </c>
      <c r="B42" s="57">
        <f>SUMIFS('For Tally'!D:D, 'For Tally'!F:F, A42)</f>
        <v/>
      </c>
      <c r="C42" s="57" t="inlineStr">
        <is>
          <t>UPI - Flipkart</t>
        </is>
      </c>
      <c r="D42" s="57">
        <f>SUMIFS('For Tally'!C:C, 'For Tally'!F:F, C42)</f>
        <v/>
      </c>
    </row>
    <row r="43">
      <c r="A43" s="52" t="inlineStr">
        <is>
          <t>UPI - Fresh Produce</t>
        </is>
      </c>
      <c r="B43" s="52">
        <f>SUMIFS('For Tally'!D:D, 'For Tally'!F:F, A43)</f>
        <v/>
      </c>
      <c r="C43" s="52" t="inlineStr">
        <is>
          <t>UPI - Fresh Produce</t>
        </is>
      </c>
      <c r="D43" s="52">
        <f>SUMIFS('For Tally'!C:C, 'For Tally'!F:F, C43)</f>
        <v/>
      </c>
    </row>
    <row r="44">
      <c r="A44" s="55" t="inlineStr">
        <is>
          <t>UPI - IRCTC</t>
        </is>
      </c>
      <c r="B44" s="55">
        <f>SUMIFS('For Tally'!D:D, 'For Tally'!F:F, A44)</f>
        <v/>
      </c>
      <c r="C44" s="55" t="inlineStr">
        <is>
          <t>UPI - IRCTC</t>
        </is>
      </c>
      <c r="D44" s="55">
        <f>SUMIFS('For Tally'!C:C, 'For Tally'!F:F, C44)</f>
        <v/>
      </c>
    </row>
    <row r="45">
      <c r="A45" s="61" t="inlineStr">
        <is>
          <t>UPI - Meesho</t>
        </is>
      </c>
      <c r="B45" s="61">
        <f>SUMIFS('For Tally'!D:D, 'For Tally'!F:F, A45)</f>
        <v/>
      </c>
      <c r="C45" s="61" t="inlineStr">
        <is>
          <t>UPI - Meesho</t>
        </is>
      </c>
      <c r="D45" s="61">
        <f>SUMIFS('For Tally'!C:C, 'For Tally'!F:F, C45)</f>
        <v/>
      </c>
    </row>
    <row r="46">
      <c r="A46" s="96" t="inlineStr">
        <is>
          <t>UPI - Paytm</t>
        </is>
      </c>
      <c r="B46" s="96">
        <f>SUMIFS('For Tally'!D:D, 'For Tally'!F:F, A46)</f>
        <v/>
      </c>
      <c r="C46" s="96" t="inlineStr">
        <is>
          <t>UPI - Paytm</t>
        </is>
      </c>
      <c r="D46" s="96">
        <f>SUMIFS('For Tally'!C:C, 'For Tally'!F:F, C46)</f>
        <v/>
      </c>
    </row>
    <row r="47">
      <c r="A47" s="45" t="inlineStr">
        <is>
          <t>UPI - Pharmacy</t>
        </is>
      </c>
      <c r="B47" s="45">
        <f>SUMIFS('For Tally'!D:D, 'For Tally'!F:F, A47)</f>
        <v/>
      </c>
      <c r="C47" s="45" t="inlineStr">
        <is>
          <t>UPI - Pharmacy</t>
        </is>
      </c>
      <c r="D47" s="45">
        <f>SUMIFS('For Tally'!C:C, 'For Tally'!F:F, C47)</f>
        <v/>
      </c>
    </row>
    <row r="48">
      <c r="A48" s="49" t="inlineStr">
        <is>
          <t>UPI Payment</t>
        </is>
      </c>
      <c r="B48" s="49">
        <f>SUMIFS('For Tally'!D:D, 'For Tally'!F:F, A48)</f>
        <v/>
      </c>
      <c r="C48" s="49" t="inlineStr">
        <is>
          <t>UPI Payment</t>
        </is>
      </c>
      <c r="D48" s="49">
        <f>SUMIFS('For Tally'!C:C, 'For Tally'!F:F, C48)</f>
        <v/>
      </c>
    </row>
    <row r="49">
      <c r="A49" s="121" t="inlineStr">
        <is>
          <t>What is this?</t>
        </is>
      </c>
      <c r="B49" s="121">
        <f>SUMIFS('For Tally'!D:D, 'For Tally'!F:F, A49)</f>
        <v/>
      </c>
      <c r="C49" s="121" t="inlineStr">
        <is>
          <t>What is this?</t>
        </is>
      </c>
      <c r="D49" s="121">
        <f>SUMIFS('For Tally'!C:C, 'For Tally'!F:F, C49)</f>
        <v/>
      </c>
    </row>
    <row r="50">
      <c r="A50" s="65" t="inlineStr">
        <is>
          <t>Zerodha Broking</t>
        </is>
      </c>
      <c r="B50" s="65">
        <f>SUMIFS('For Tally'!D:D, 'For Tally'!F:F, A50)</f>
        <v/>
      </c>
      <c r="C50" s="65" t="inlineStr">
        <is>
          <t>Zerodha Broking</t>
        </is>
      </c>
      <c r="D50" s="65">
        <f>SUMIFS('For Tally'!C:C, 'For Tally'!F:F, C50)</f>
        <v/>
      </c>
    </row>
    <row r="51">
      <c r="A51" s="134" t="inlineStr">
        <is>
          <t>TOTAL</t>
        </is>
      </c>
      <c r="B51" s="134">
        <f>SUM(B5:B50)</f>
        <v/>
      </c>
      <c r="C51" s="134" t="inlineStr">
        <is>
          <t>TOTAL</t>
        </is>
      </c>
      <c r="D51" s="134">
        <f>SUM(D5:D50)</f>
        <v/>
      </c>
      <c r="E51" s="134" t="inlineStr">
        <is>
          <t>Net</t>
        </is>
      </c>
      <c r="F51" s="134">
        <f>B51-D51</f>
        <v/>
      </c>
    </row>
    <row r="53">
      <c r="A53" s="135" t="inlineStr">
        <is>
          <t>Opening &amp; Closing Balances</t>
        </is>
      </c>
    </row>
    <row r="54">
      <c r="A54" s="136" t="inlineStr">
        <is>
          <t>Account</t>
        </is>
      </c>
      <c r="B54" s="136" t="inlineStr">
        <is>
          <t>Opening Balance (₹)</t>
        </is>
      </c>
      <c r="C54" s="136" t="inlineStr">
        <is>
          <t>Closing Balance (₹)</t>
        </is>
      </c>
      <c r="D54" s="136" t="n"/>
      <c r="E54" s="136" t="n"/>
      <c r="F54" s="136" t="n"/>
    </row>
    <row r="55">
      <c r="A55" s="131" t="inlineStr">
        <is>
          <t>AXIS 7042</t>
        </is>
      </c>
      <c r="B55" s="131" t="n">
        <v>9474.620000000001</v>
      </c>
      <c r="C55" s="131">
        <f>B55 + SUMIFS('For Tally'!D:D, 'For Tally'!I:I, A55) - SUMIFS('For Tally'!C:C, 'For Tally'!I:I, A55)</f>
        <v/>
      </c>
    </row>
    <row r="56">
      <c r="A56" s="131" t="inlineStr">
        <is>
          <t>HDFC 0094</t>
        </is>
      </c>
      <c r="B56" s="131" t="n">
        <v>33236</v>
      </c>
      <c r="C56" s="131">
        <f>B56 + SUMIFS('For Tally'!D:D, 'For Tally'!I:I, A56) - SUMIFS('For Tally'!C:C, 'For Tally'!I:I, A56)</f>
        <v/>
      </c>
    </row>
    <row r="57">
      <c r="A57" s="131" t="inlineStr">
        <is>
          <t>SBI 7685</t>
        </is>
      </c>
      <c r="B57" s="131" t="n">
        <v>26120.7</v>
      </c>
      <c r="C57" s="131">
        <f>B57 + SUMIFS('For Tally'!D:D, 'For Tally'!I:I, A57) - SUMIFS('For Tally'!C:C, 'For Tally'!I:I, A57)</f>
        <v/>
      </c>
    </row>
    <row r="59">
      <c r="A59" s="135" t="inlineStr">
        <is>
          <t>Confidence Distribution</t>
        </is>
      </c>
    </row>
    <row r="60">
      <c r="A60" s="137" t="inlineStr">
        <is>
          <t>Band</t>
        </is>
      </c>
      <c r="B60" s="137" t="inlineStr">
        <is>
          <t>Count</t>
        </is>
      </c>
      <c r="C60" s="137" t="inlineStr">
        <is>
          <t>% of Total</t>
        </is>
      </c>
      <c r="D60" s="137" t="n"/>
      <c r="E60" s="137" t="n"/>
      <c r="F60" s="137" t="n"/>
    </row>
    <row r="61">
      <c r="A61" s="102" t="inlineStr">
        <is>
          <t>High (≥ 0.85) — Confident</t>
        </is>
      </c>
      <c r="B61" s="102">
        <f>COUNTIF('For Tally'!G:G, "&gt;=0.85")</f>
        <v/>
      </c>
      <c r="C61" s="138">
        <f>B61/SUM(B61:B63)</f>
        <v/>
      </c>
    </row>
    <row r="62">
      <c r="A62" s="139" t="inlineStr">
        <is>
          <t>Medium (0.60–0.84) — Review</t>
        </is>
      </c>
      <c r="B62" s="139">
        <f>COUNTIFS('For Tally'!G:G, "&gt;=0.60", 'For Tally'!G:G, "&lt;0.85")</f>
        <v/>
      </c>
      <c r="C62" s="140">
        <f>B62/SUM(B61:B63)</f>
        <v/>
      </c>
    </row>
    <row r="63">
      <c r="A63" s="39" t="inlineStr">
        <is>
          <t>Low (&lt; 0.60) — Needs attention</t>
        </is>
      </c>
      <c r="B63" s="39">
        <f>COUNTIF('For Tally'!G:G, "&lt;0.60")</f>
        <v/>
      </c>
      <c r="C63" s="141">
        <f>B63/SUM(B61:B63)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32" t="inlineStr">
        <is>
          <t>Monthly Spend &amp; Income Pivot</t>
        </is>
      </c>
    </row>
    <row r="3">
      <c r="A3" s="142" t="inlineStr">
        <is>
          <t>Bank Filter Toggles:</t>
        </is>
      </c>
      <c r="B3" s="143" t="inlineStr">
        <is>
          <t>Axis Bank</t>
        </is>
      </c>
      <c r="C3" s="143" t="inlineStr">
        <is>
          <t>HDFC Bank</t>
        </is>
      </c>
      <c r="D3" s="143" t="inlineStr">
        <is>
          <t>State Bank of India</t>
        </is>
      </c>
    </row>
    <row r="4">
      <c r="B4" s="144" t="b">
        <v>1</v>
      </c>
      <c r="C4" s="144" t="b">
        <v>1</v>
      </c>
      <c r="D4" s="144" t="b">
        <v>1</v>
      </c>
    </row>
    <row r="5" hidden="1">
      <c r="B5">
        <f>IF(B4, B3, "")</f>
        <v/>
      </c>
      <c r="C5">
        <f>IF(C4, C3, "")</f>
        <v/>
      </c>
      <c r="D5">
        <f>IF(D4, D3, "")</f>
        <v/>
      </c>
    </row>
    <row r="7">
      <c r="A7" s="145" t="inlineStr">
        <is>
          <t>PAYMENTS / DEBITS (Bank)</t>
        </is>
      </c>
      <c r="B7" s="145" t="inlineStr">
        <is>
          <t>Apr-2024</t>
        </is>
      </c>
      <c r="C7" s="145" t="inlineStr">
        <is>
          <t>May-2024</t>
        </is>
      </c>
      <c r="D7" s="145" t="inlineStr">
        <is>
          <t>Jun-2024</t>
        </is>
      </c>
      <c r="E7" s="145" t="inlineStr">
        <is>
          <t>Jul-2024</t>
        </is>
      </c>
      <c r="F7" s="145" t="inlineStr">
        <is>
          <t>Aug-2024</t>
        </is>
      </c>
      <c r="G7" s="145" t="inlineStr">
        <is>
          <t>Sep-2024</t>
        </is>
      </c>
      <c r="H7" s="145" t="inlineStr">
        <is>
          <t>Oct-2024</t>
        </is>
      </c>
      <c r="I7" s="145" t="inlineStr">
        <is>
          <t>Nov-2024</t>
        </is>
      </c>
      <c r="J7" s="145" t="inlineStr">
        <is>
          <t>Dec-2024</t>
        </is>
      </c>
      <c r="K7" s="145" t="inlineStr">
        <is>
          <t>Jan-2025</t>
        </is>
      </c>
      <c r="L7" s="145" t="inlineStr">
        <is>
          <t>Feb-2025</t>
        </is>
      </c>
      <c r="M7" s="145" t="inlineStr">
        <is>
          <t>Mar-2025</t>
        </is>
      </c>
      <c r="N7" s="145" t="inlineStr">
        <is>
          <t>TOTAL</t>
        </is>
      </c>
    </row>
    <row r="8">
      <c r="A8" s="127" t="inlineStr">
        <is>
          <t>Ajay Gupta</t>
        </is>
      </c>
      <c r="B8" s="127">
        <f>SUMPRODUCT(SUMIFS('For Tally'!C:C, 'For Tally'!H:H, $A8, 'For Tally'!A:A, "&gt;=2024-04-01", 'For Tally'!A:A, "&lt;=2024-04-30", 'For Tally'!L:L, $B$5:$D$5))</f>
        <v/>
      </c>
      <c r="C8" s="127">
        <f>SUMPRODUCT(SUMIFS('For Tally'!C:C, 'For Tally'!H:H, $A8, 'For Tally'!A:A, "&gt;=2024-05-01", 'For Tally'!A:A, "&lt;=2024-05-31", 'For Tally'!L:L, $B$5:$D$5))</f>
        <v/>
      </c>
      <c r="D8" s="127">
        <f>SUMPRODUCT(SUMIFS('For Tally'!C:C, 'For Tally'!H:H, $A8, 'For Tally'!A:A, "&gt;=2024-06-01", 'For Tally'!A:A, "&lt;=2024-06-30", 'For Tally'!L:L, $B$5:$D$5))</f>
        <v/>
      </c>
      <c r="E8" s="127">
        <f>SUMPRODUCT(SUMIFS('For Tally'!C:C, 'For Tally'!H:H, $A8, 'For Tally'!A:A, "&gt;=2024-07-01", 'For Tally'!A:A, "&lt;=2024-07-31", 'For Tally'!L:L, $B$5:$D$5))</f>
        <v/>
      </c>
      <c r="F8" s="127">
        <f>SUMPRODUCT(SUMIFS('For Tally'!C:C, 'For Tally'!H:H, $A8, 'For Tally'!A:A, "&gt;=2024-08-01", 'For Tally'!A:A, "&lt;=2024-08-31", 'For Tally'!L:L, $B$5:$D$5))</f>
        <v/>
      </c>
      <c r="G8" s="127">
        <f>SUMPRODUCT(SUMIFS('For Tally'!C:C, 'For Tally'!H:H, $A8, 'For Tally'!A:A, "&gt;=2024-09-01", 'For Tally'!A:A, "&lt;=2024-09-30", 'For Tally'!L:L, $B$5:$D$5))</f>
        <v/>
      </c>
      <c r="H8" s="127">
        <f>SUMPRODUCT(SUMIFS('For Tally'!C:C, 'For Tally'!H:H, $A8, 'For Tally'!A:A, "&gt;=2024-10-01", 'For Tally'!A:A, "&lt;=2024-10-31", 'For Tally'!L:L, $B$5:$D$5))</f>
        <v/>
      </c>
      <c r="I8" s="127">
        <f>SUMPRODUCT(SUMIFS('For Tally'!C:C, 'For Tally'!H:H, $A8, 'For Tally'!A:A, "&gt;=2024-11-01", 'For Tally'!A:A, "&lt;=2024-11-30", 'For Tally'!L:L, $B$5:$D$5))</f>
        <v/>
      </c>
      <c r="J8" s="127">
        <f>SUMPRODUCT(SUMIFS('For Tally'!C:C, 'For Tally'!H:H, $A8, 'For Tally'!A:A, "&gt;=2024-12-01", 'For Tally'!A:A, "&lt;=2024-12-31", 'For Tally'!L:L, $B$5:$D$5))</f>
        <v/>
      </c>
      <c r="K8" s="127">
        <f>SUMPRODUCT(SUMIFS('For Tally'!C:C, 'For Tally'!H:H, $A8, 'For Tally'!A:A, "&gt;=2025-01-01", 'For Tally'!A:A, "&lt;=2025-01-31", 'For Tally'!L:L, $B$5:$D$5))</f>
        <v/>
      </c>
      <c r="L8" s="127">
        <f>SUMPRODUCT(SUMIFS('For Tally'!C:C, 'For Tally'!H:H, $A8, 'For Tally'!A:A, "&gt;=2025-02-01", 'For Tally'!A:A, "&lt;=2025-02-28", 'For Tally'!L:L, $B$5:$D$5))</f>
        <v/>
      </c>
      <c r="M8" s="127">
        <f>SUMPRODUCT(SUMIFS('For Tally'!C:C, 'For Tally'!H:H, $A8, 'For Tally'!A:A, "&gt;=2025-03-01", 'For Tally'!A:A, "&lt;=2025-03-31", 'For Tally'!L:L, $B$5:$D$5))</f>
        <v/>
      </c>
      <c r="N8" s="127">
        <f>SUM(B8:M8)</f>
        <v/>
      </c>
    </row>
    <row r="9">
      <c r="A9" s="127" t="inlineStr">
        <is>
          <t>Archit Gupta</t>
        </is>
      </c>
      <c r="B9" s="127">
        <f>SUMPRODUCT(SUMIFS('For Tally'!C:C, 'For Tally'!H:H, $A9, 'For Tally'!A:A, "&gt;=2024-04-01", 'For Tally'!A:A, "&lt;=2024-04-30", 'For Tally'!L:L, $B$5:$D$5))</f>
        <v/>
      </c>
      <c r="C9" s="127">
        <f>SUMPRODUCT(SUMIFS('For Tally'!C:C, 'For Tally'!H:H, $A9, 'For Tally'!A:A, "&gt;=2024-05-01", 'For Tally'!A:A, "&lt;=2024-05-31", 'For Tally'!L:L, $B$5:$D$5))</f>
        <v/>
      </c>
      <c r="D9" s="127">
        <f>SUMPRODUCT(SUMIFS('For Tally'!C:C, 'For Tally'!H:H, $A9, 'For Tally'!A:A, "&gt;=2024-06-01", 'For Tally'!A:A, "&lt;=2024-06-30", 'For Tally'!L:L, $B$5:$D$5))</f>
        <v/>
      </c>
      <c r="E9" s="127">
        <f>SUMPRODUCT(SUMIFS('For Tally'!C:C, 'For Tally'!H:H, $A9, 'For Tally'!A:A, "&gt;=2024-07-01", 'For Tally'!A:A, "&lt;=2024-07-31", 'For Tally'!L:L, $B$5:$D$5))</f>
        <v/>
      </c>
      <c r="F9" s="127">
        <f>SUMPRODUCT(SUMIFS('For Tally'!C:C, 'For Tally'!H:H, $A9, 'For Tally'!A:A, "&gt;=2024-08-01", 'For Tally'!A:A, "&lt;=2024-08-31", 'For Tally'!L:L, $B$5:$D$5))</f>
        <v/>
      </c>
      <c r="G9" s="127">
        <f>SUMPRODUCT(SUMIFS('For Tally'!C:C, 'For Tally'!H:H, $A9, 'For Tally'!A:A, "&gt;=2024-09-01", 'For Tally'!A:A, "&lt;=2024-09-30", 'For Tally'!L:L, $B$5:$D$5))</f>
        <v/>
      </c>
      <c r="H9" s="127">
        <f>SUMPRODUCT(SUMIFS('For Tally'!C:C, 'For Tally'!H:H, $A9, 'For Tally'!A:A, "&gt;=2024-10-01", 'For Tally'!A:A, "&lt;=2024-10-31", 'For Tally'!L:L, $B$5:$D$5))</f>
        <v/>
      </c>
      <c r="I9" s="127">
        <f>SUMPRODUCT(SUMIFS('For Tally'!C:C, 'For Tally'!H:H, $A9, 'For Tally'!A:A, "&gt;=2024-11-01", 'For Tally'!A:A, "&lt;=2024-11-30", 'For Tally'!L:L, $B$5:$D$5))</f>
        <v/>
      </c>
      <c r="J9" s="127">
        <f>SUMPRODUCT(SUMIFS('For Tally'!C:C, 'For Tally'!H:H, $A9, 'For Tally'!A:A, "&gt;=2024-12-01", 'For Tally'!A:A, "&lt;=2024-12-31", 'For Tally'!L:L, $B$5:$D$5))</f>
        <v/>
      </c>
      <c r="K9" s="127">
        <f>SUMPRODUCT(SUMIFS('For Tally'!C:C, 'For Tally'!H:H, $A9, 'For Tally'!A:A, "&gt;=2025-01-01", 'For Tally'!A:A, "&lt;=2025-01-31", 'For Tally'!L:L, $B$5:$D$5))</f>
        <v/>
      </c>
      <c r="L9" s="127">
        <f>SUMPRODUCT(SUMIFS('For Tally'!C:C, 'For Tally'!H:H, $A9, 'For Tally'!A:A, "&gt;=2025-02-01", 'For Tally'!A:A, "&lt;=2025-02-28", 'For Tally'!L:L, $B$5:$D$5))</f>
        <v/>
      </c>
      <c r="M9" s="127">
        <f>SUMPRODUCT(SUMIFS('For Tally'!C:C, 'For Tally'!H:H, $A9, 'For Tally'!A:A, "&gt;=2025-03-01", 'For Tally'!A:A, "&lt;=2025-03-31", 'For Tally'!L:L, $B$5:$D$5))</f>
        <v/>
      </c>
      <c r="N9" s="127">
        <f>SUM(B9:M9)</f>
        <v/>
      </c>
    </row>
    <row r="10">
      <c r="A10" s="39" t="inlineStr">
        <is>
          <t>Bank Charges</t>
        </is>
      </c>
      <c r="B10" s="39">
        <f>SUMPRODUCT(SUMIFS('For Tally'!C:C, 'For Tally'!H:H, $A10, 'For Tally'!A:A, "&gt;=2024-04-01", 'For Tally'!A:A, "&lt;=2024-04-30", 'For Tally'!L:L, $B$5:$D$5))</f>
        <v/>
      </c>
      <c r="C10" s="39">
        <f>SUMPRODUCT(SUMIFS('For Tally'!C:C, 'For Tally'!H:H, $A10, 'For Tally'!A:A, "&gt;=2024-05-01", 'For Tally'!A:A, "&lt;=2024-05-31", 'For Tally'!L:L, $B$5:$D$5))</f>
        <v/>
      </c>
      <c r="D10" s="39">
        <f>SUMPRODUCT(SUMIFS('For Tally'!C:C, 'For Tally'!H:H, $A10, 'For Tally'!A:A, "&gt;=2024-06-01", 'For Tally'!A:A, "&lt;=2024-06-30", 'For Tally'!L:L, $B$5:$D$5))</f>
        <v/>
      </c>
      <c r="E10" s="39">
        <f>SUMPRODUCT(SUMIFS('For Tally'!C:C, 'For Tally'!H:H, $A10, 'For Tally'!A:A, "&gt;=2024-07-01", 'For Tally'!A:A, "&lt;=2024-07-31", 'For Tally'!L:L, $B$5:$D$5))</f>
        <v/>
      </c>
      <c r="F10" s="39">
        <f>SUMPRODUCT(SUMIFS('For Tally'!C:C, 'For Tally'!H:H, $A10, 'For Tally'!A:A, "&gt;=2024-08-01", 'For Tally'!A:A, "&lt;=2024-08-31", 'For Tally'!L:L, $B$5:$D$5))</f>
        <v/>
      </c>
      <c r="G10" s="39">
        <f>SUMPRODUCT(SUMIFS('For Tally'!C:C, 'For Tally'!H:H, $A10, 'For Tally'!A:A, "&gt;=2024-09-01", 'For Tally'!A:A, "&lt;=2024-09-30", 'For Tally'!L:L, $B$5:$D$5))</f>
        <v/>
      </c>
      <c r="H10" s="39">
        <f>SUMPRODUCT(SUMIFS('For Tally'!C:C, 'For Tally'!H:H, $A10, 'For Tally'!A:A, "&gt;=2024-10-01", 'For Tally'!A:A, "&lt;=2024-10-31", 'For Tally'!L:L, $B$5:$D$5))</f>
        <v/>
      </c>
      <c r="I10" s="39">
        <f>SUMPRODUCT(SUMIFS('For Tally'!C:C, 'For Tally'!H:H, $A10, 'For Tally'!A:A, "&gt;=2024-11-01", 'For Tally'!A:A, "&lt;=2024-11-30", 'For Tally'!L:L, $B$5:$D$5))</f>
        <v/>
      </c>
      <c r="J10" s="39">
        <f>SUMPRODUCT(SUMIFS('For Tally'!C:C, 'For Tally'!H:H, $A10, 'For Tally'!A:A, "&gt;=2024-12-01", 'For Tally'!A:A, "&lt;=2024-12-31", 'For Tally'!L:L, $B$5:$D$5))</f>
        <v/>
      </c>
      <c r="K10" s="39">
        <f>SUMPRODUCT(SUMIFS('For Tally'!C:C, 'For Tally'!H:H, $A10, 'For Tally'!A:A, "&gt;=2025-01-01", 'For Tally'!A:A, "&lt;=2025-01-31", 'For Tally'!L:L, $B$5:$D$5))</f>
        <v/>
      </c>
      <c r="L10" s="39">
        <f>SUMPRODUCT(SUMIFS('For Tally'!C:C, 'For Tally'!H:H, $A10, 'For Tally'!A:A, "&gt;=2025-02-01", 'For Tally'!A:A, "&lt;=2025-02-28", 'For Tally'!L:L, $B$5:$D$5))</f>
        <v/>
      </c>
      <c r="M10" s="39">
        <f>SUMPRODUCT(SUMIFS('For Tally'!C:C, 'For Tally'!H:H, $A10, 'For Tally'!A:A, "&gt;=2025-03-01", 'For Tally'!A:A, "&lt;=2025-03-31", 'For Tally'!L:L, $B$5:$D$5))</f>
        <v/>
      </c>
      <c r="N10" s="39">
        <f>SUM(B10:M10)</f>
        <v/>
      </c>
    </row>
    <row r="11">
      <c r="A11" s="127" t="inlineStr">
        <is>
          <t>Cash</t>
        </is>
      </c>
      <c r="B11" s="127">
        <f>SUMPRODUCT(SUMIFS('For Tally'!C:C, 'For Tally'!H:H, $A11, 'For Tally'!A:A, "&gt;=2024-04-01", 'For Tally'!A:A, "&lt;=2024-04-30", 'For Tally'!L:L, $B$5:$D$5))</f>
        <v/>
      </c>
      <c r="C11" s="127">
        <f>SUMPRODUCT(SUMIFS('For Tally'!C:C, 'For Tally'!H:H, $A11, 'For Tally'!A:A, "&gt;=2024-05-01", 'For Tally'!A:A, "&lt;=2024-05-31", 'For Tally'!L:L, $B$5:$D$5))</f>
        <v/>
      </c>
      <c r="D11" s="127">
        <f>SUMPRODUCT(SUMIFS('For Tally'!C:C, 'For Tally'!H:H, $A11, 'For Tally'!A:A, "&gt;=2024-06-01", 'For Tally'!A:A, "&lt;=2024-06-30", 'For Tally'!L:L, $B$5:$D$5))</f>
        <v/>
      </c>
      <c r="E11" s="127">
        <f>SUMPRODUCT(SUMIFS('For Tally'!C:C, 'For Tally'!H:H, $A11, 'For Tally'!A:A, "&gt;=2024-07-01", 'For Tally'!A:A, "&lt;=2024-07-31", 'For Tally'!L:L, $B$5:$D$5))</f>
        <v/>
      </c>
      <c r="F11" s="127">
        <f>SUMPRODUCT(SUMIFS('For Tally'!C:C, 'For Tally'!H:H, $A11, 'For Tally'!A:A, "&gt;=2024-08-01", 'For Tally'!A:A, "&lt;=2024-08-31", 'For Tally'!L:L, $B$5:$D$5))</f>
        <v/>
      </c>
      <c r="G11" s="127">
        <f>SUMPRODUCT(SUMIFS('For Tally'!C:C, 'For Tally'!H:H, $A11, 'For Tally'!A:A, "&gt;=2024-09-01", 'For Tally'!A:A, "&lt;=2024-09-30", 'For Tally'!L:L, $B$5:$D$5))</f>
        <v/>
      </c>
      <c r="H11" s="127">
        <f>SUMPRODUCT(SUMIFS('For Tally'!C:C, 'For Tally'!H:H, $A11, 'For Tally'!A:A, "&gt;=2024-10-01", 'For Tally'!A:A, "&lt;=2024-10-31", 'For Tally'!L:L, $B$5:$D$5))</f>
        <v/>
      </c>
      <c r="I11" s="127">
        <f>SUMPRODUCT(SUMIFS('For Tally'!C:C, 'For Tally'!H:H, $A11, 'For Tally'!A:A, "&gt;=2024-11-01", 'For Tally'!A:A, "&lt;=2024-11-30", 'For Tally'!L:L, $B$5:$D$5))</f>
        <v/>
      </c>
      <c r="J11" s="127">
        <f>SUMPRODUCT(SUMIFS('For Tally'!C:C, 'For Tally'!H:H, $A11, 'For Tally'!A:A, "&gt;=2024-12-01", 'For Tally'!A:A, "&lt;=2024-12-31", 'For Tally'!L:L, $B$5:$D$5))</f>
        <v/>
      </c>
      <c r="K11" s="127">
        <f>SUMPRODUCT(SUMIFS('For Tally'!C:C, 'For Tally'!H:H, $A11, 'For Tally'!A:A, "&gt;=2025-01-01", 'For Tally'!A:A, "&lt;=2025-01-31", 'For Tally'!L:L, $B$5:$D$5))</f>
        <v/>
      </c>
      <c r="L11" s="127">
        <f>SUMPRODUCT(SUMIFS('For Tally'!C:C, 'For Tally'!H:H, $A11, 'For Tally'!A:A, "&gt;=2025-02-01", 'For Tally'!A:A, "&lt;=2025-02-28", 'For Tally'!L:L, $B$5:$D$5))</f>
        <v/>
      </c>
      <c r="M11" s="127">
        <f>SUMPRODUCT(SUMIFS('For Tally'!C:C, 'For Tally'!H:H, $A11, 'For Tally'!A:A, "&gt;=2025-03-01", 'For Tally'!A:A, "&lt;=2025-03-31", 'For Tally'!L:L, $B$5:$D$5))</f>
        <v/>
      </c>
      <c r="N11" s="127">
        <f>SUM(B11:M11)</f>
        <v/>
      </c>
    </row>
    <row r="12">
      <c r="A12" s="90" t="inlineStr">
        <is>
          <t>Depository Charges</t>
        </is>
      </c>
      <c r="B12" s="90">
        <f>SUMPRODUCT(SUMIFS('For Tally'!C:C, 'For Tally'!H:H, $A12, 'For Tally'!A:A, "&gt;=2024-04-01", 'For Tally'!A:A, "&lt;=2024-04-30", 'For Tally'!L:L, $B$5:$D$5))</f>
        <v/>
      </c>
      <c r="C12" s="90">
        <f>SUMPRODUCT(SUMIFS('For Tally'!C:C, 'For Tally'!H:H, $A12, 'For Tally'!A:A, "&gt;=2024-05-01", 'For Tally'!A:A, "&lt;=2024-05-31", 'For Tally'!L:L, $B$5:$D$5))</f>
        <v/>
      </c>
      <c r="D12" s="90">
        <f>SUMPRODUCT(SUMIFS('For Tally'!C:C, 'For Tally'!H:H, $A12, 'For Tally'!A:A, "&gt;=2024-06-01", 'For Tally'!A:A, "&lt;=2024-06-30", 'For Tally'!L:L, $B$5:$D$5))</f>
        <v/>
      </c>
      <c r="E12" s="90">
        <f>SUMPRODUCT(SUMIFS('For Tally'!C:C, 'For Tally'!H:H, $A12, 'For Tally'!A:A, "&gt;=2024-07-01", 'For Tally'!A:A, "&lt;=2024-07-31", 'For Tally'!L:L, $B$5:$D$5))</f>
        <v/>
      </c>
      <c r="F12" s="90">
        <f>SUMPRODUCT(SUMIFS('For Tally'!C:C, 'For Tally'!H:H, $A12, 'For Tally'!A:A, "&gt;=2024-08-01", 'For Tally'!A:A, "&lt;=2024-08-31", 'For Tally'!L:L, $B$5:$D$5))</f>
        <v/>
      </c>
      <c r="G12" s="90">
        <f>SUMPRODUCT(SUMIFS('For Tally'!C:C, 'For Tally'!H:H, $A12, 'For Tally'!A:A, "&gt;=2024-09-01", 'For Tally'!A:A, "&lt;=2024-09-30", 'For Tally'!L:L, $B$5:$D$5))</f>
        <v/>
      </c>
      <c r="H12" s="90">
        <f>SUMPRODUCT(SUMIFS('For Tally'!C:C, 'For Tally'!H:H, $A12, 'For Tally'!A:A, "&gt;=2024-10-01", 'For Tally'!A:A, "&lt;=2024-10-31", 'For Tally'!L:L, $B$5:$D$5))</f>
        <v/>
      </c>
      <c r="I12" s="90">
        <f>SUMPRODUCT(SUMIFS('For Tally'!C:C, 'For Tally'!H:H, $A12, 'For Tally'!A:A, "&gt;=2024-11-01", 'For Tally'!A:A, "&lt;=2024-11-30", 'For Tally'!L:L, $B$5:$D$5))</f>
        <v/>
      </c>
      <c r="J12" s="90">
        <f>SUMPRODUCT(SUMIFS('For Tally'!C:C, 'For Tally'!H:H, $A12, 'For Tally'!A:A, "&gt;=2024-12-01", 'For Tally'!A:A, "&lt;=2024-12-31", 'For Tally'!L:L, $B$5:$D$5))</f>
        <v/>
      </c>
      <c r="K12" s="90">
        <f>SUMPRODUCT(SUMIFS('For Tally'!C:C, 'For Tally'!H:H, $A12, 'For Tally'!A:A, "&gt;=2025-01-01", 'For Tally'!A:A, "&lt;=2025-01-31", 'For Tally'!L:L, $B$5:$D$5))</f>
        <v/>
      </c>
      <c r="L12" s="90">
        <f>SUMPRODUCT(SUMIFS('For Tally'!C:C, 'For Tally'!H:H, $A12, 'For Tally'!A:A, "&gt;=2025-02-01", 'For Tally'!A:A, "&lt;=2025-02-28", 'For Tally'!L:L, $B$5:$D$5))</f>
        <v/>
      </c>
      <c r="M12" s="90">
        <f>SUMPRODUCT(SUMIFS('For Tally'!C:C, 'For Tally'!H:H, $A12, 'For Tally'!A:A, "&gt;=2025-03-01", 'For Tally'!A:A, "&lt;=2025-03-31", 'For Tally'!L:L, $B$5:$D$5))</f>
        <v/>
      </c>
      <c r="N12" s="90">
        <f>SUM(B12:M12)</f>
        <v/>
      </c>
    </row>
    <row r="13">
      <c r="A13" s="127" t="inlineStr">
        <is>
          <t>Groceries</t>
        </is>
      </c>
      <c r="B13" s="127">
        <f>SUMPRODUCT(SUMIFS('For Tally'!C:C, 'For Tally'!H:H, $A13, 'For Tally'!A:A, "&gt;=2024-04-01", 'For Tally'!A:A, "&lt;=2024-04-30", 'For Tally'!L:L, $B$5:$D$5))</f>
        <v/>
      </c>
      <c r="C13" s="127">
        <f>SUMPRODUCT(SUMIFS('For Tally'!C:C, 'For Tally'!H:H, $A13, 'For Tally'!A:A, "&gt;=2024-05-01", 'For Tally'!A:A, "&lt;=2024-05-31", 'For Tally'!L:L, $B$5:$D$5))</f>
        <v/>
      </c>
      <c r="D13" s="127">
        <f>SUMPRODUCT(SUMIFS('For Tally'!C:C, 'For Tally'!H:H, $A13, 'For Tally'!A:A, "&gt;=2024-06-01", 'For Tally'!A:A, "&lt;=2024-06-30", 'For Tally'!L:L, $B$5:$D$5))</f>
        <v/>
      </c>
      <c r="E13" s="127">
        <f>SUMPRODUCT(SUMIFS('For Tally'!C:C, 'For Tally'!H:H, $A13, 'For Tally'!A:A, "&gt;=2024-07-01", 'For Tally'!A:A, "&lt;=2024-07-31", 'For Tally'!L:L, $B$5:$D$5))</f>
        <v/>
      </c>
      <c r="F13" s="127">
        <f>SUMPRODUCT(SUMIFS('For Tally'!C:C, 'For Tally'!H:H, $A13, 'For Tally'!A:A, "&gt;=2024-08-01", 'For Tally'!A:A, "&lt;=2024-08-31", 'For Tally'!L:L, $B$5:$D$5))</f>
        <v/>
      </c>
      <c r="G13" s="127">
        <f>SUMPRODUCT(SUMIFS('For Tally'!C:C, 'For Tally'!H:H, $A13, 'For Tally'!A:A, "&gt;=2024-09-01", 'For Tally'!A:A, "&lt;=2024-09-30", 'For Tally'!L:L, $B$5:$D$5))</f>
        <v/>
      </c>
      <c r="H13" s="127">
        <f>SUMPRODUCT(SUMIFS('For Tally'!C:C, 'For Tally'!H:H, $A13, 'For Tally'!A:A, "&gt;=2024-10-01", 'For Tally'!A:A, "&lt;=2024-10-31", 'For Tally'!L:L, $B$5:$D$5))</f>
        <v/>
      </c>
      <c r="I13" s="127">
        <f>SUMPRODUCT(SUMIFS('For Tally'!C:C, 'For Tally'!H:H, $A13, 'For Tally'!A:A, "&gt;=2024-11-01", 'For Tally'!A:A, "&lt;=2024-11-30", 'For Tally'!L:L, $B$5:$D$5))</f>
        <v/>
      </c>
      <c r="J13" s="127">
        <f>SUMPRODUCT(SUMIFS('For Tally'!C:C, 'For Tally'!H:H, $A13, 'For Tally'!A:A, "&gt;=2024-12-01", 'For Tally'!A:A, "&lt;=2024-12-31", 'For Tally'!L:L, $B$5:$D$5))</f>
        <v/>
      </c>
      <c r="K13" s="127">
        <f>SUMPRODUCT(SUMIFS('For Tally'!C:C, 'For Tally'!H:H, $A13, 'For Tally'!A:A, "&gt;=2025-01-01", 'For Tally'!A:A, "&lt;=2025-01-31", 'For Tally'!L:L, $B$5:$D$5))</f>
        <v/>
      </c>
      <c r="L13" s="127">
        <f>SUMPRODUCT(SUMIFS('For Tally'!C:C, 'For Tally'!H:H, $A13, 'For Tally'!A:A, "&gt;=2025-02-01", 'For Tally'!A:A, "&lt;=2025-02-28", 'For Tally'!L:L, $B$5:$D$5))</f>
        <v/>
      </c>
      <c r="M13" s="127">
        <f>SUMPRODUCT(SUMIFS('For Tally'!C:C, 'For Tally'!H:H, $A13, 'For Tally'!A:A, "&gt;=2025-03-01", 'For Tally'!A:A, "&lt;=2025-03-31", 'For Tally'!L:L, $B$5:$D$5))</f>
        <v/>
      </c>
      <c r="N13" s="127">
        <f>SUM(B13:M13)</f>
        <v/>
      </c>
    </row>
    <row r="14">
      <c r="A14" s="127" t="inlineStr">
        <is>
          <t>HDFC Securities</t>
        </is>
      </c>
      <c r="B14" s="127">
        <f>SUMPRODUCT(SUMIFS('For Tally'!C:C, 'For Tally'!H:H, $A14, 'For Tally'!A:A, "&gt;=2024-04-01", 'For Tally'!A:A, "&lt;=2024-04-30", 'For Tally'!L:L, $B$5:$D$5))</f>
        <v/>
      </c>
      <c r="C14" s="127">
        <f>SUMPRODUCT(SUMIFS('For Tally'!C:C, 'For Tally'!H:H, $A14, 'For Tally'!A:A, "&gt;=2024-05-01", 'For Tally'!A:A, "&lt;=2024-05-31", 'For Tally'!L:L, $B$5:$D$5))</f>
        <v/>
      </c>
      <c r="D14" s="127">
        <f>SUMPRODUCT(SUMIFS('For Tally'!C:C, 'For Tally'!H:H, $A14, 'For Tally'!A:A, "&gt;=2024-06-01", 'For Tally'!A:A, "&lt;=2024-06-30", 'For Tally'!L:L, $B$5:$D$5))</f>
        <v/>
      </c>
      <c r="E14" s="127">
        <f>SUMPRODUCT(SUMIFS('For Tally'!C:C, 'For Tally'!H:H, $A14, 'For Tally'!A:A, "&gt;=2024-07-01", 'For Tally'!A:A, "&lt;=2024-07-31", 'For Tally'!L:L, $B$5:$D$5))</f>
        <v/>
      </c>
      <c r="F14" s="127">
        <f>SUMPRODUCT(SUMIFS('For Tally'!C:C, 'For Tally'!H:H, $A14, 'For Tally'!A:A, "&gt;=2024-08-01", 'For Tally'!A:A, "&lt;=2024-08-31", 'For Tally'!L:L, $B$5:$D$5))</f>
        <v/>
      </c>
      <c r="G14" s="127">
        <f>SUMPRODUCT(SUMIFS('For Tally'!C:C, 'For Tally'!H:H, $A14, 'For Tally'!A:A, "&gt;=2024-09-01", 'For Tally'!A:A, "&lt;=2024-09-30", 'For Tally'!L:L, $B$5:$D$5))</f>
        <v/>
      </c>
      <c r="H14" s="127">
        <f>SUMPRODUCT(SUMIFS('For Tally'!C:C, 'For Tally'!H:H, $A14, 'For Tally'!A:A, "&gt;=2024-10-01", 'For Tally'!A:A, "&lt;=2024-10-31", 'For Tally'!L:L, $B$5:$D$5))</f>
        <v/>
      </c>
      <c r="I14" s="127">
        <f>SUMPRODUCT(SUMIFS('For Tally'!C:C, 'For Tally'!H:H, $A14, 'For Tally'!A:A, "&gt;=2024-11-01", 'For Tally'!A:A, "&lt;=2024-11-30", 'For Tally'!L:L, $B$5:$D$5))</f>
        <v/>
      </c>
      <c r="J14" s="127">
        <f>SUMPRODUCT(SUMIFS('For Tally'!C:C, 'For Tally'!H:H, $A14, 'For Tally'!A:A, "&gt;=2024-12-01", 'For Tally'!A:A, "&lt;=2024-12-31", 'For Tally'!L:L, $B$5:$D$5))</f>
        <v/>
      </c>
      <c r="K14" s="127">
        <f>SUMPRODUCT(SUMIFS('For Tally'!C:C, 'For Tally'!H:H, $A14, 'For Tally'!A:A, "&gt;=2025-01-01", 'For Tally'!A:A, "&lt;=2025-01-31", 'For Tally'!L:L, $B$5:$D$5))</f>
        <v/>
      </c>
      <c r="L14" s="127">
        <f>SUMPRODUCT(SUMIFS('For Tally'!C:C, 'For Tally'!H:H, $A14, 'For Tally'!A:A, "&gt;=2025-02-01", 'For Tally'!A:A, "&lt;=2025-02-28", 'For Tally'!L:L, $B$5:$D$5))</f>
        <v/>
      </c>
      <c r="M14" s="127">
        <f>SUMPRODUCT(SUMIFS('For Tally'!C:C, 'For Tally'!H:H, $A14, 'For Tally'!A:A, "&gt;=2025-03-01", 'For Tally'!A:A, "&lt;=2025-03-31", 'For Tally'!L:L, $B$5:$D$5))</f>
        <v/>
      </c>
      <c r="N14" s="127">
        <f>SUM(B14:M14)</f>
        <v/>
      </c>
    </row>
    <row r="15">
      <c r="A15" s="113" t="inlineStr">
        <is>
          <t>Health Insurance</t>
        </is>
      </c>
      <c r="B15" s="113">
        <f>SUMPRODUCT(SUMIFS('For Tally'!C:C, 'For Tally'!H:H, $A15, 'For Tally'!A:A, "&gt;=2024-04-01", 'For Tally'!A:A, "&lt;=2024-04-30", 'For Tally'!L:L, $B$5:$D$5))</f>
        <v/>
      </c>
      <c r="C15" s="113">
        <f>SUMPRODUCT(SUMIFS('For Tally'!C:C, 'For Tally'!H:H, $A15, 'For Tally'!A:A, "&gt;=2024-05-01", 'For Tally'!A:A, "&lt;=2024-05-31", 'For Tally'!L:L, $B$5:$D$5))</f>
        <v/>
      </c>
      <c r="D15" s="113">
        <f>SUMPRODUCT(SUMIFS('For Tally'!C:C, 'For Tally'!H:H, $A15, 'For Tally'!A:A, "&gt;=2024-06-01", 'For Tally'!A:A, "&lt;=2024-06-30", 'For Tally'!L:L, $B$5:$D$5))</f>
        <v/>
      </c>
      <c r="E15" s="113">
        <f>SUMPRODUCT(SUMIFS('For Tally'!C:C, 'For Tally'!H:H, $A15, 'For Tally'!A:A, "&gt;=2024-07-01", 'For Tally'!A:A, "&lt;=2024-07-31", 'For Tally'!L:L, $B$5:$D$5))</f>
        <v/>
      </c>
      <c r="F15" s="113">
        <f>SUMPRODUCT(SUMIFS('For Tally'!C:C, 'For Tally'!H:H, $A15, 'For Tally'!A:A, "&gt;=2024-08-01", 'For Tally'!A:A, "&lt;=2024-08-31", 'For Tally'!L:L, $B$5:$D$5))</f>
        <v/>
      </c>
      <c r="G15" s="113">
        <f>SUMPRODUCT(SUMIFS('For Tally'!C:C, 'For Tally'!H:H, $A15, 'For Tally'!A:A, "&gt;=2024-09-01", 'For Tally'!A:A, "&lt;=2024-09-30", 'For Tally'!L:L, $B$5:$D$5))</f>
        <v/>
      </c>
      <c r="H15" s="113">
        <f>SUMPRODUCT(SUMIFS('For Tally'!C:C, 'For Tally'!H:H, $A15, 'For Tally'!A:A, "&gt;=2024-10-01", 'For Tally'!A:A, "&lt;=2024-10-31", 'For Tally'!L:L, $B$5:$D$5))</f>
        <v/>
      </c>
      <c r="I15" s="113">
        <f>SUMPRODUCT(SUMIFS('For Tally'!C:C, 'For Tally'!H:H, $A15, 'For Tally'!A:A, "&gt;=2024-11-01", 'For Tally'!A:A, "&lt;=2024-11-30", 'For Tally'!L:L, $B$5:$D$5))</f>
        <v/>
      </c>
      <c r="J15" s="113">
        <f>SUMPRODUCT(SUMIFS('For Tally'!C:C, 'For Tally'!H:H, $A15, 'For Tally'!A:A, "&gt;=2024-12-01", 'For Tally'!A:A, "&lt;=2024-12-31", 'For Tally'!L:L, $B$5:$D$5))</f>
        <v/>
      </c>
      <c r="K15" s="113">
        <f>SUMPRODUCT(SUMIFS('For Tally'!C:C, 'For Tally'!H:H, $A15, 'For Tally'!A:A, "&gt;=2025-01-01", 'For Tally'!A:A, "&lt;=2025-01-31", 'For Tally'!L:L, $B$5:$D$5))</f>
        <v/>
      </c>
      <c r="L15" s="113">
        <f>SUMPRODUCT(SUMIFS('For Tally'!C:C, 'For Tally'!H:H, $A15, 'For Tally'!A:A, "&gt;=2025-02-01", 'For Tally'!A:A, "&lt;=2025-02-28", 'For Tally'!L:L, $B$5:$D$5))</f>
        <v/>
      </c>
      <c r="M15" s="113">
        <f>SUMPRODUCT(SUMIFS('For Tally'!C:C, 'For Tally'!H:H, $A15, 'For Tally'!A:A, "&gt;=2025-03-01", 'For Tally'!A:A, "&lt;=2025-03-31", 'For Tally'!L:L, $B$5:$D$5))</f>
        <v/>
      </c>
      <c r="N15" s="113">
        <f>SUM(B15:M15)</f>
        <v/>
      </c>
    </row>
    <row r="16">
      <c r="A16" s="127" t="inlineStr">
        <is>
          <t>Healthcare</t>
        </is>
      </c>
      <c r="B16" s="127">
        <f>SUMPRODUCT(SUMIFS('For Tally'!C:C, 'For Tally'!H:H, $A16, 'For Tally'!A:A, "&gt;=2024-04-01", 'For Tally'!A:A, "&lt;=2024-04-30", 'For Tally'!L:L, $B$5:$D$5))</f>
        <v/>
      </c>
      <c r="C16" s="127">
        <f>SUMPRODUCT(SUMIFS('For Tally'!C:C, 'For Tally'!H:H, $A16, 'For Tally'!A:A, "&gt;=2024-05-01", 'For Tally'!A:A, "&lt;=2024-05-31", 'For Tally'!L:L, $B$5:$D$5))</f>
        <v/>
      </c>
      <c r="D16" s="127">
        <f>SUMPRODUCT(SUMIFS('For Tally'!C:C, 'For Tally'!H:H, $A16, 'For Tally'!A:A, "&gt;=2024-06-01", 'For Tally'!A:A, "&lt;=2024-06-30", 'For Tally'!L:L, $B$5:$D$5))</f>
        <v/>
      </c>
      <c r="E16" s="127">
        <f>SUMPRODUCT(SUMIFS('For Tally'!C:C, 'For Tally'!H:H, $A16, 'For Tally'!A:A, "&gt;=2024-07-01", 'For Tally'!A:A, "&lt;=2024-07-31", 'For Tally'!L:L, $B$5:$D$5))</f>
        <v/>
      </c>
      <c r="F16" s="127">
        <f>SUMPRODUCT(SUMIFS('For Tally'!C:C, 'For Tally'!H:H, $A16, 'For Tally'!A:A, "&gt;=2024-08-01", 'For Tally'!A:A, "&lt;=2024-08-31", 'For Tally'!L:L, $B$5:$D$5))</f>
        <v/>
      </c>
      <c r="G16" s="127">
        <f>SUMPRODUCT(SUMIFS('For Tally'!C:C, 'For Tally'!H:H, $A16, 'For Tally'!A:A, "&gt;=2024-09-01", 'For Tally'!A:A, "&lt;=2024-09-30", 'For Tally'!L:L, $B$5:$D$5))</f>
        <v/>
      </c>
      <c r="H16" s="127">
        <f>SUMPRODUCT(SUMIFS('For Tally'!C:C, 'For Tally'!H:H, $A16, 'For Tally'!A:A, "&gt;=2024-10-01", 'For Tally'!A:A, "&lt;=2024-10-31", 'For Tally'!L:L, $B$5:$D$5))</f>
        <v/>
      </c>
      <c r="I16" s="127">
        <f>SUMPRODUCT(SUMIFS('For Tally'!C:C, 'For Tally'!H:H, $A16, 'For Tally'!A:A, "&gt;=2024-11-01", 'For Tally'!A:A, "&lt;=2024-11-30", 'For Tally'!L:L, $B$5:$D$5))</f>
        <v/>
      </c>
      <c r="J16" s="127">
        <f>SUMPRODUCT(SUMIFS('For Tally'!C:C, 'For Tally'!H:H, $A16, 'For Tally'!A:A, "&gt;=2024-12-01", 'For Tally'!A:A, "&lt;=2024-12-31", 'For Tally'!L:L, $B$5:$D$5))</f>
        <v/>
      </c>
      <c r="K16" s="127">
        <f>SUMPRODUCT(SUMIFS('For Tally'!C:C, 'For Tally'!H:H, $A16, 'For Tally'!A:A, "&gt;=2025-01-01", 'For Tally'!A:A, "&lt;=2025-01-31", 'For Tally'!L:L, $B$5:$D$5))</f>
        <v/>
      </c>
      <c r="L16" s="127">
        <f>SUMPRODUCT(SUMIFS('For Tally'!C:C, 'For Tally'!H:H, $A16, 'For Tally'!A:A, "&gt;=2025-02-01", 'For Tally'!A:A, "&lt;=2025-02-28", 'For Tally'!L:L, $B$5:$D$5))</f>
        <v/>
      </c>
      <c r="M16" s="127">
        <f>SUMPRODUCT(SUMIFS('For Tally'!C:C, 'For Tally'!H:H, $A16, 'For Tally'!A:A, "&gt;=2025-03-01", 'For Tally'!A:A, "&lt;=2025-03-31", 'For Tally'!L:L, $B$5:$D$5))</f>
        <v/>
      </c>
      <c r="N16" s="127">
        <f>SUM(B16:M16)</f>
        <v/>
      </c>
    </row>
    <row r="17">
      <c r="A17" s="127" t="inlineStr">
        <is>
          <t>Megha Gupta</t>
        </is>
      </c>
      <c r="B17" s="127">
        <f>SUMPRODUCT(SUMIFS('For Tally'!C:C, 'For Tally'!H:H, $A17, 'For Tally'!A:A, "&gt;=2024-04-01", 'For Tally'!A:A, "&lt;=2024-04-30", 'For Tally'!L:L, $B$5:$D$5))</f>
        <v/>
      </c>
      <c r="C17" s="127">
        <f>SUMPRODUCT(SUMIFS('For Tally'!C:C, 'For Tally'!H:H, $A17, 'For Tally'!A:A, "&gt;=2024-05-01", 'For Tally'!A:A, "&lt;=2024-05-31", 'For Tally'!L:L, $B$5:$D$5))</f>
        <v/>
      </c>
      <c r="D17" s="127">
        <f>SUMPRODUCT(SUMIFS('For Tally'!C:C, 'For Tally'!H:H, $A17, 'For Tally'!A:A, "&gt;=2024-06-01", 'For Tally'!A:A, "&lt;=2024-06-30", 'For Tally'!L:L, $B$5:$D$5))</f>
        <v/>
      </c>
      <c r="E17" s="127">
        <f>SUMPRODUCT(SUMIFS('For Tally'!C:C, 'For Tally'!H:H, $A17, 'For Tally'!A:A, "&gt;=2024-07-01", 'For Tally'!A:A, "&lt;=2024-07-31", 'For Tally'!L:L, $B$5:$D$5))</f>
        <v/>
      </c>
      <c r="F17" s="127">
        <f>SUMPRODUCT(SUMIFS('For Tally'!C:C, 'For Tally'!H:H, $A17, 'For Tally'!A:A, "&gt;=2024-08-01", 'For Tally'!A:A, "&lt;=2024-08-31", 'For Tally'!L:L, $B$5:$D$5))</f>
        <v/>
      </c>
      <c r="G17" s="127">
        <f>SUMPRODUCT(SUMIFS('For Tally'!C:C, 'For Tally'!H:H, $A17, 'For Tally'!A:A, "&gt;=2024-09-01", 'For Tally'!A:A, "&lt;=2024-09-30", 'For Tally'!L:L, $B$5:$D$5))</f>
        <v/>
      </c>
      <c r="H17" s="127">
        <f>SUMPRODUCT(SUMIFS('For Tally'!C:C, 'For Tally'!H:H, $A17, 'For Tally'!A:A, "&gt;=2024-10-01", 'For Tally'!A:A, "&lt;=2024-10-31", 'For Tally'!L:L, $B$5:$D$5))</f>
        <v/>
      </c>
      <c r="I17" s="127">
        <f>SUMPRODUCT(SUMIFS('For Tally'!C:C, 'For Tally'!H:H, $A17, 'For Tally'!A:A, "&gt;=2024-11-01", 'For Tally'!A:A, "&lt;=2024-11-30", 'For Tally'!L:L, $B$5:$D$5))</f>
        <v/>
      </c>
      <c r="J17" s="127">
        <f>SUMPRODUCT(SUMIFS('For Tally'!C:C, 'For Tally'!H:H, $A17, 'For Tally'!A:A, "&gt;=2024-12-01", 'For Tally'!A:A, "&lt;=2024-12-31", 'For Tally'!L:L, $B$5:$D$5))</f>
        <v/>
      </c>
      <c r="K17" s="127">
        <f>SUMPRODUCT(SUMIFS('For Tally'!C:C, 'For Tally'!H:H, $A17, 'For Tally'!A:A, "&gt;=2025-01-01", 'For Tally'!A:A, "&lt;=2025-01-31", 'For Tally'!L:L, $B$5:$D$5))</f>
        <v/>
      </c>
      <c r="L17" s="127">
        <f>SUMPRODUCT(SUMIFS('For Tally'!C:C, 'For Tally'!H:H, $A17, 'For Tally'!A:A, "&gt;=2025-02-01", 'For Tally'!A:A, "&lt;=2025-02-28", 'For Tally'!L:L, $B$5:$D$5))</f>
        <v/>
      </c>
      <c r="M17" s="127">
        <f>SUMPRODUCT(SUMIFS('For Tally'!C:C, 'For Tally'!H:H, $A17, 'For Tally'!A:A, "&gt;=2025-03-01", 'For Tally'!A:A, "&lt;=2025-03-31", 'For Tally'!L:L, $B$5:$D$5))</f>
        <v/>
      </c>
      <c r="N17" s="127">
        <f>SUM(B17:M17)</f>
        <v/>
      </c>
    </row>
    <row r="18">
      <c r="A18" s="127" t="inlineStr">
        <is>
          <t>Mutual_Fund_Investments</t>
        </is>
      </c>
      <c r="B18" s="127">
        <f>SUMPRODUCT(SUMIFS('For Tally'!C:C, 'For Tally'!H:H, $A18, 'For Tally'!A:A, "&gt;=2024-04-01", 'For Tally'!A:A, "&lt;=2024-04-30", 'For Tally'!L:L, $B$5:$D$5))</f>
        <v/>
      </c>
      <c r="C18" s="127">
        <f>SUMPRODUCT(SUMIFS('For Tally'!C:C, 'For Tally'!H:H, $A18, 'For Tally'!A:A, "&gt;=2024-05-01", 'For Tally'!A:A, "&lt;=2024-05-31", 'For Tally'!L:L, $B$5:$D$5))</f>
        <v/>
      </c>
      <c r="D18" s="127">
        <f>SUMPRODUCT(SUMIFS('For Tally'!C:C, 'For Tally'!H:H, $A18, 'For Tally'!A:A, "&gt;=2024-06-01", 'For Tally'!A:A, "&lt;=2024-06-30", 'For Tally'!L:L, $B$5:$D$5))</f>
        <v/>
      </c>
      <c r="E18" s="127">
        <f>SUMPRODUCT(SUMIFS('For Tally'!C:C, 'For Tally'!H:H, $A18, 'For Tally'!A:A, "&gt;=2024-07-01", 'For Tally'!A:A, "&lt;=2024-07-31", 'For Tally'!L:L, $B$5:$D$5))</f>
        <v/>
      </c>
      <c r="F18" s="127">
        <f>SUMPRODUCT(SUMIFS('For Tally'!C:C, 'For Tally'!H:H, $A18, 'For Tally'!A:A, "&gt;=2024-08-01", 'For Tally'!A:A, "&lt;=2024-08-31", 'For Tally'!L:L, $B$5:$D$5))</f>
        <v/>
      </c>
      <c r="G18" s="127">
        <f>SUMPRODUCT(SUMIFS('For Tally'!C:C, 'For Tally'!H:H, $A18, 'For Tally'!A:A, "&gt;=2024-09-01", 'For Tally'!A:A, "&lt;=2024-09-30", 'For Tally'!L:L, $B$5:$D$5))</f>
        <v/>
      </c>
      <c r="H18" s="127">
        <f>SUMPRODUCT(SUMIFS('For Tally'!C:C, 'For Tally'!H:H, $A18, 'For Tally'!A:A, "&gt;=2024-10-01", 'For Tally'!A:A, "&lt;=2024-10-31", 'For Tally'!L:L, $B$5:$D$5))</f>
        <v/>
      </c>
      <c r="I18" s="127">
        <f>SUMPRODUCT(SUMIFS('For Tally'!C:C, 'For Tally'!H:H, $A18, 'For Tally'!A:A, "&gt;=2024-11-01", 'For Tally'!A:A, "&lt;=2024-11-30", 'For Tally'!L:L, $B$5:$D$5))</f>
        <v/>
      </c>
      <c r="J18" s="127">
        <f>SUMPRODUCT(SUMIFS('For Tally'!C:C, 'For Tally'!H:H, $A18, 'For Tally'!A:A, "&gt;=2024-12-01", 'For Tally'!A:A, "&lt;=2024-12-31", 'For Tally'!L:L, $B$5:$D$5))</f>
        <v/>
      </c>
      <c r="K18" s="127">
        <f>SUMPRODUCT(SUMIFS('For Tally'!C:C, 'For Tally'!H:H, $A18, 'For Tally'!A:A, "&gt;=2025-01-01", 'For Tally'!A:A, "&lt;=2025-01-31", 'For Tally'!L:L, $B$5:$D$5))</f>
        <v/>
      </c>
      <c r="L18" s="127">
        <f>SUMPRODUCT(SUMIFS('For Tally'!C:C, 'For Tally'!H:H, $A18, 'For Tally'!A:A, "&gt;=2025-02-01", 'For Tally'!A:A, "&lt;=2025-02-28", 'For Tally'!L:L, $B$5:$D$5))</f>
        <v/>
      </c>
      <c r="M18" s="127">
        <f>SUMPRODUCT(SUMIFS('For Tally'!C:C, 'For Tally'!H:H, $A18, 'For Tally'!A:A, "&gt;=2025-03-01", 'For Tally'!A:A, "&lt;=2025-03-31", 'For Tally'!L:L, $B$5:$D$5))</f>
        <v/>
      </c>
      <c r="N18" s="127">
        <f>SUM(B18:M18)</f>
        <v/>
      </c>
    </row>
    <row r="19">
      <c r="A19" s="127" t="inlineStr">
        <is>
          <t>Personal</t>
        </is>
      </c>
      <c r="B19" s="127">
        <f>SUMPRODUCT(SUMIFS('For Tally'!C:C, 'For Tally'!H:H, $A19, 'For Tally'!A:A, "&gt;=2024-04-01", 'For Tally'!A:A, "&lt;=2024-04-30", 'For Tally'!L:L, $B$5:$D$5))</f>
        <v/>
      </c>
      <c r="C19" s="127">
        <f>SUMPRODUCT(SUMIFS('For Tally'!C:C, 'For Tally'!H:H, $A19, 'For Tally'!A:A, "&gt;=2024-05-01", 'For Tally'!A:A, "&lt;=2024-05-31", 'For Tally'!L:L, $B$5:$D$5))</f>
        <v/>
      </c>
      <c r="D19" s="127">
        <f>SUMPRODUCT(SUMIFS('For Tally'!C:C, 'For Tally'!H:H, $A19, 'For Tally'!A:A, "&gt;=2024-06-01", 'For Tally'!A:A, "&lt;=2024-06-30", 'For Tally'!L:L, $B$5:$D$5))</f>
        <v/>
      </c>
      <c r="E19" s="127">
        <f>SUMPRODUCT(SUMIFS('For Tally'!C:C, 'For Tally'!H:H, $A19, 'For Tally'!A:A, "&gt;=2024-07-01", 'For Tally'!A:A, "&lt;=2024-07-31", 'For Tally'!L:L, $B$5:$D$5))</f>
        <v/>
      </c>
      <c r="F19" s="127">
        <f>SUMPRODUCT(SUMIFS('For Tally'!C:C, 'For Tally'!H:H, $A19, 'For Tally'!A:A, "&gt;=2024-08-01", 'For Tally'!A:A, "&lt;=2024-08-31", 'For Tally'!L:L, $B$5:$D$5))</f>
        <v/>
      </c>
      <c r="G19" s="127">
        <f>SUMPRODUCT(SUMIFS('For Tally'!C:C, 'For Tally'!H:H, $A19, 'For Tally'!A:A, "&gt;=2024-09-01", 'For Tally'!A:A, "&lt;=2024-09-30", 'For Tally'!L:L, $B$5:$D$5))</f>
        <v/>
      </c>
      <c r="H19" s="127">
        <f>SUMPRODUCT(SUMIFS('For Tally'!C:C, 'For Tally'!H:H, $A19, 'For Tally'!A:A, "&gt;=2024-10-01", 'For Tally'!A:A, "&lt;=2024-10-31", 'For Tally'!L:L, $B$5:$D$5))</f>
        <v/>
      </c>
      <c r="I19" s="127">
        <f>SUMPRODUCT(SUMIFS('For Tally'!C:C, 'For Tally'!H:H, $A19, 'For Tally'!A:A, "&gt;=2024-11-01", 'For Tally'!A:A, "&lt;=2024-11-30", 'For Tally'!L:L, $B$5:$D$5))</f>
        <v/>
      </c>
      <c r="J19" s="127">
        <f>SUMPRODUCT(SUMIFS('For Tally'!C:C, 'For Tally'!H:H, $A19, 'For Tally'!A:A, "&gt;=2024-12-01", 'For Tally'!A:A, "&lt;=2024-12-31", 'For Tally'!L:L, $B$5:$D$5))</f>
        <v/>
      </c>
      <c r="K19" s="127">
        <f>SUMPRODUCT(SUMIFS('For Tally'!C:C, 'For Tally'!H:H, $A19, 'For Tally'!A:A, "&gt;=2025-01-01", 'For Tally'!A:A, "&lt;=2025-01-31", 'For Tally'!L:L, $B$5:$D$5))</f>
        <v/>
      </c>
      <c r="L19" s="127">
        <f>SUMPRODUCT(SUMIFS('For Tally'!C:C, 'For Tally'!H:H, $A19, 'For Tally'!A:A, "&gt;=2025-02-01", 'For Tally'!A:A, "&lt;=2025-02-28", 'For Tally'!L:L, $B$5:$D$5))</f>
        <v/>
      </c>
      <c r="M19" s="127">
        <f>SUMPRODUCT(SUMIFS('For Tally'!C:C, 'For Tally'!H:H, $A19, 'For Tally'!A:A, "&gt;=2025-03-01", 'For Tally'!A:A, "&lt;=2025-03-31", 'For Tally'!L:L, $B$5:$D$5))</f>
        <v/>
      </c>
      <c r="N19" s="127">
        <f>SUM(B19:M19)</f>
        <v/>
      </c>
    </row>
    <row r="20">
      <c r="A20" s="113" t="inlineStr">
        <is>
          <t>Rent</t>
        </is>
      </c>
      <c r="B20" s="113">
        <f>SUMPRODUCT(SUMIFS('For Tally'!C:C, 'For Tally'!H:H, $A20, 'For Tally'!A:A, "&gt;=2024-04-01", 'For Tally'!A:A, "&lt;=2024-04-30", 'For Tally'!L:L, $B$5:$D$5))</f>
        <v/>
      </c>
      <c r="C20" s="113">
        <f>SUMPRODUCT(SUMIFS('For Tally'!C:C, 'For Tally'!H:H, $A20, 'For Tally'!A:A, "&gt;=2024-05-01", 'For Tally'!A:A, "&lt;=2024-05-31", 'For Tally'!L:L, $B$5:$D$5))</f>
        <v/>
      </c>
      <c r="D20" s="113">
        <f>SUMPRODUCT(SUMIFS('For Tally'!C:C, 'For Tally'!H:H, $A20, 'For Tally'!A:A, "&gt;=2024-06-01", 'For Tally'!A:A, "&lt;=2024-06-30", 'For Tally'!L:L, $B$5:$D$5))</f>
        <v/>
      </c>
      <c r="E20" s="113">
        <f>SUMPRODUCT(SUMIFS('For Tally'!C:C, 'For Tally'!H:H, $A20, 'For Tally'!A:A, "&gt;=2024-07-01", 'For Tally'!A:A, "&lt;=2024-07-31", 'For Tally'!L:L, $B$5:$D$5))</f>
        <v/>
      </c>
      <c r="F20" s="113">
        <f>SUMPRODUCT(SUMIFS('For Tally'!C:C, 'For Tally'!H:H, $A20, 'For Tally'!A:A, "&gt;=2024-08-01", 'For Tally'!A:A, "&lt;=2024-08-31", 'For Tally'!L:L, $B$5:$D$5))</f>
        <v/>
      </c>
      <c r="G20" s="113">
        <f>SUMPRODUCT(SUMIFS('For Tally'!C:C, 'For Tally'!H:H, $A20, 'For Tally'!A:A, "&gt;=2024-09-01", 'For Tally'!A:A, "&lt;=2024-09-30", 'For Tally'!L:L, $B$5:$D$5))</f>
        <v/>
      </c>
      <c r="H20" s="113">
        <f>SUMPRODUCT(SUMIFS('For Tally'!C:C, 'For Tally'!H:H, $A20, 'For Tally'!A:A, "&gt;=2024-10-01", 'For Tally'!A:A, "&lt;=2024-10-31", 'For Tally'!L:L, $B$5:$D$5))</f>
        <v/>
      </c>
      <c r="I20" s="113">
        <f>SUMPRODUCT(SUMIFS('For Tally'!C:C, 'For Tally'!H:H, $A20, 'For Tally'!A:A, "&gt;=2024-11-01", 'For Tally'!A:A, "&lt;=2024-11-30", 'For Tally'!L:L, $B$5:$D$5))</f>
        <v/>
      </c>
      <c r="J20" s="113">
        <f>SUMPRODUCT(SUMIFS('For Tally'!C:C, 'For Tally'!H:H, $A20, 'For Tally'!A:A, "&gt;=2024-12-01", 'For Tally'!A:A, "&lt;=2024-12-31", 'For Tally'!L:L, $B$5:$D$5))</f>
        <v/>
      </c>
      <c r="K20" s="113">
        <f>SUMPRODUCT(SUMIFS('For Tally'!C:C, 'For Tally'!H:H, $A20, 'For Tally'!A:A, "&gt;=2025-01-01", 'For Tally'!A:A, "&lt;=2025-01-31", 'For Tally'!L:L, $B$5:$D$5))</f>
        <v/>
      </c>
      <c r="L20" s="113">
        <f>SUMPRODUCT(SUMIFS('For Tally'!C:C, 'For Tally'!H:H, $A20, 'For Tally'!A:A, "&gt;=2025-02-01", 'For Tally'!A:A, "&lt;=2025-02-28", 'For Tally'!L:L, $B$5:$D$5))</f>
        <v/>
      </c>
      <c r="M20" s="113">
        <f>SUMPRODUCT(SUMIFS('For Tally'!C:C, 'For Tally'!H:H, $A20, 'For Tally'!A:A, "&gt;=2025-03-01", 'For Tally'!A:A, "&lt;=2025-03-31", 'For Tally'!L:L, $B$5:$D$5))</f>
        <v/>
      </c>
      <c r="N20" s="113">
        <f>SUM(B20:M20)</f>
        <v/>
      </c>
    </row>
    <row r="21">
      <c r="A21" s="65" t="inlineStr">
        <is>
          <t>SIP</t>
        </is>
      </c>
      <c r="B21" s="65">
        <f>SUMPRODUCT(SUMIFS('For Tally'!C:C, 'For Tally'!H:H, $A21, 'For Tally'!A:A, "&gt;=2024-04-01", 'For Tally'!A:A, "&lt;=2024-04-30", 'For Tally'!L:L, $B$5:$D$5))</f>
        <v/>
      </c>
      <c r="C21" s="65">
        <f>SUMPRODUCT(SUMIFS('For Tally'!C:C, 'For Tally'!H:H, $A21, 'For Tally'!A:A, "&gt;=2024-05-01", 'For Tally'!A:A, "&lt;=2024-05-31", 'For Tally'!L:L, $B$5:$D$5))</f>
        <v/>
      </c>
      <c r="D21" s="65">
        <f>SUMPRODUCT(SUMIFS('For Tally'!C:C, 'For Tally'!H:H, $A21, 'For Tally'!A:A, "&gt;=2024-06-01", 'For Tally'!A:A, "&lt;=2024-06-30", 'For Tally'!L:L, $B$5:$D$5))</f>
        <v/>
      </c>
      <c r="E21" s="65">
        <f>SUMPRODUCT(SUMIFS('For Tally'!C:C, 'For Tally'!H:H, $A21, 'For Tally'!A:A, "&gt;=2024-07-01", 'For Tally'!A:A, "&lt;=2024-07-31", 'For Tally'!L:L, $B$5:$D$5))</f>
        <v/>
      </c>
      <c r="F21" s="65">
        <f>SUMPRODUCT(SUMIFS('For Tally'!C:C, 'For Tally'!H:H, $A21, 'For Tally'!A:A, "&gt;=2024-08-01", 'For Tally'!A:A, "&lt;=2024-08-31", 'For Tally'!L:L, $B$5:$D$5))</f>
        <v/>
      </c>
      <c r="G21" s="65">
        <f>SUMPRODUCT(SUMIFS('For Tally'!C:C, 'For Tally'!H:H, $A21, 'For Tally'!A:A, "&gt;=2024-09-01", 'For Tally'!A:A, "&lt;=2024-09-30", 'For Tally'!L:L, $B$5:$D$5))</f>
        <v/>
      </c>
      <c r="H21" s="65">
        <f>SUMPRODUCT(SUMIFS('For Tally'!C:C, 'For Tally'!H:H, $A21, 'For Tally'!A:A, "&gt;=2024-10-01", 'For Tally'!A:A, "&lt;=2024-10-31", 'For Tally'!L:L, $B$5:$D$5))</f>
        <v/>
      </c>
      <c r="I21" s="65">
        <f>SUMPRODUCT(SUMIFS('For Tally'!C:C, 'For Tally'!H:H, $A21, 'For Tally'!A:A, "&gt;=2024-11-01", 'For Tally'!A:A, "&lt;=2024-11-30", 'For Tally'!L:L, $B$5:$D$5))</f>
        <v/>
      </c>
      <c r="J21" s="65">
        <f>SUMPRODUCT(SUMIFS('For Tally'!C:C, 'For Tally'!H:H, $A21, 'For Tally'!A:A, "&gt;=2024-12-01", 'For Tally'!A:A, "&lt;=2024-12-31", 'For Tally'!L:L, $B$5:$D$5))</f>
        <v/>
      </c>
      <c r="K21" s="65">
        <f>SUMPRODUCT(SUMIFS('For Tally'!C:C, 'For Tally'!H:H, $A21, 'For Tally'!A:A, "&gt;=2025-01-01", 'For Tally'!A:A, "&lt;=2025-01-31", 'For Tally'!L:L, $B$5:$D$5))</f>
        <v/>
      </c>
      <c r="L21" s="65">
        <f>SUMPRODUCT(SUMIFS('For Tally'!C:C, 'For Tally'!H:H, $A21, 'For Tally'!A:A, "&gt;=2025-02-01", 'For Tally'!A:A, "&lt;=2025-02-28", 'For Tally'!L:L, $B$5:$D$5))</f>
        <v/>
      </c>
      <c r="M21" s="65">
        <f>SUMPRODUCT(SUMIFS('For Tally'!C:C, 'For Tally'!H:H, $A21, 'For Tally'!A:A, "&gt;=2025-03-01", 'For Tally'!A:A, "&lt;=2025-03-31", 'For Tally'!L:L, $B$5:$D$5))</f>
        <v/>
      </c>
      <c r="N21" s="65">
        <f>SUM(B21:M21)</f>
        <v/>
      </c>
    </row>
    <row r="22">
      <c r="A22" s="127" t="inlineStr">
        <is>
          <t>Shopping</t>
        </is>
      </c>
      <c r="B22" s="127">
        <f>SUMPRODUCT(SUMIFS('For Tally'!C:C, 'For Tally'!H:H, $A22, 'For Tally'!A:A, "&gt;=2024-04-01", 'For Tally'!A:A, "&lt;=2024-04-30", 'For Tally'!L:L, $B$5:$D$5))</f>
        <v/>
      </c>
      <c r="C22" s="127">
        <f>SUMPRODUCT(SUMIFS('For Tally'!C:C, 'For Tally'!H:H, $A22, 'For Tally'!A:A, "&gt;=2024-05-01", 'For Tally'!A:A, "&lt;=2024-05-31", 'For Tally'!L:L, $B$5:$D$5))</f>
        <v/>
      </c>
      <c r="D22" s="127">
        <f>SUMPRODUCT(SUMIFS('For Tally'!C:C, 'For Tally'!H:H, $A22, 'For Tally'!A:A, "&gt;=2024-06-01", 'For Tally'!A:A, "&lt;=2024-06-30", 'For Tally'!L:L, $B$5:$D$5))</f>
        <v/>
      </c>
      <c r="E22" s="127">
        <f>SUMPRODUCT(SUMIFS('For Tally'!C:C, 'For Tally'!H:H, $A22, 'For Tally'!A:A, "&gt;=2024-07-01", 'For Tally'!A:A, "&lt;=2024-07-31", 'For Tally'!L:L, $B$5:$D$5))</f>
        <v/>
      </c>
      <c r="F22" s="127">
        <f>SUMPRODUCT(SUMIFS('For Tally'!C:C, 'For Tally'!H:H, $A22, 'For Tally'!A:A, "&gt;=2024-08-01", 'For Tally'!A:A, "&lt;=2024-08-31", 'For Tally'!L:L, $B$5:$D$5))</f>
        <v/>
      </c>
      <c r="G22" s="127">
        <f>SUMPRODUCT(SUMIFS('For Tally'!C:C, 'For Tally'!H:H, $A22, 'For Tally'!A:A, "&gt;=2024-09-01", 'For Tally'!A:A, "&lt;=2024-09-30", 'For Tally'!L:L, $B$5:$D$5))</f>
        <v/>
      </c>
      <c r="H22" s="127">
        <f>SUMPRODUCT(SUMIFS('For Tally'!C:C, 'For Tally'!H:H, $A22, 'For Tally'!A:A, "&gt;=2024-10-01", 'For Tally'!A:A, "&lt;=2024-10-31", 'For Tally'!L:L, $B$5:$D$5))</f>
        <v/>
      </c>
      <c r="I22" s="127">
        <f>SUMPRODUCT(SUMIFS('For Tally'!C:C, 'For Tally'!H:H, $A22, 'For Tally'!A:A, "&gt;=2024-11-01", 'For Tally'!A:A, "&lt;=2024-11-30", 'For Tally'!L:L, $B$5:$D$5))</f>
        <v/>
      </c>
      <c r="J22" s="127">
        <f>SUMPRODUCT(SUMIFS('For Tally'!C:C, 'For Tally'!H:H, $A22, 'For Tally'!A:A, "&gt;=2024-12-01", 'For Tally'!A:A, "&lt;=2024-12-31", 'For Tally'!L:L, $B$5:$D$5))</f>
        <v/>
      </c>
      <c r="K22" s="127">
        <f>SUMPRODUCT(SUMIFS('For Tally'!C:C, 'For Tally'!H:H, $A22, 'For Tally'!A:A, "&gt;=2025-01-01", 'For Tally'!A:A, "&lt;=2025-01-31", 'For Tally'!L:L, $B$5:$D$5))</f>
        <v/>
      </c>
      <c r="L22" s="127">
        <f>SUMPRODUCT(SUMIFS('For Tally'!C:C, 'For Tally'!H:H, $A22, 'For Tally'!A:A, "&gt;=2025-02-01", 'For Tally'!A:A, "&lt;=2025-02-28", 'For Tally'!L:L, $B$5:$D$5))</f>
        <v/>
      </c>
      <c r="M22" s="127">
        <f>SUMPRODUCT(SUMIFS('For Tally'!C:C, 'For Tally'!H:H, $A22, 'For Tally'!A:A, "&gt;=2025-03-01", 'For Tally'!A:A, "&lt;=2025-03-31", 'For Tally'!L:L, $B$5:$D$5))</f>
        <v/>
      </c>
      <c r="N22" s="127">
        <f>SUM(B22:M22)</f>
        <v/>
      </c>
    </row>
    <row r="23">
      <c r="A23" s="127" t="inlineStr">
        <is>
          <t>Sunita Gupta</t>
        </is>
      </c>
      <c r="B23" s="127">
        <f>SUMPRODUCT(SUMIFS('For Tally'!C:C, 'For Tally'!H:H, $A23, 'For Tally'!A:A, "&gt;=2024-04-01", 'For Tally'!A:A, "&lt;=2024-04-30", 'For Tally'!L:L, $B$5:$D$5))</f>
        <v/>
      </c>
      <c r="C23" s="127">
        <f>SUMPRODUCT(SUMIFS('For Tally'!C:C, 'For Tally'!H:H, $A23, 'For Tally'!A:A, "&gt;=2024-05-01", 'For Tally'!A:A, "&lt;=2024-05-31", 'For Tally'!L:L, $B$5:$D$5))</f>
        <v/>
      </c>
      <c r="D23" s="127">
        <f>SUMPRODUCT(SUMIFS('For Tally'!C:C, 'For Tally'!H:H, $A23, 'For Tally'!A:A, "&gt;=2024-06-01", 'For Tally'!A:A, "&lt;=2024-06-30", 'For Tally'!L:L, $B$5:$D$5))</f>
        <v/>
      </c>
      <c r="E23" s="127">
        <f>SUMPRODUCT(SUMIFS('For Tally'!C:C, 'For Tally'!H:H, $A23, 'For Tally'!A:A, "&gt;=2024-07-01", 'For Tally'!A:A, "&lt;=2024-07-31", 'For Tally'!L:L, $B$5:$D$5))</f>
        <v/>
      </c>
      <c r="F23" s="127">
        <f>SUMPRODUCT(SUMIFS('For Tally'!C:C, 'For Tally'!H:H, $A23, 'For Tally'!A:A, "&gt;=2024-08-01", 'For Tally'!A:A, "&lt;=2024-08-31", 'For Tally'!L:L, $B$5:$D$5))</f>
        <v/>
      </c>
      <c r="G23" s="127">
        <f>SUMPRODUCT(SUMIFS('For Tally'!C:C, 'For Tally'!H:H, $A23, 'For Tally'!A:A, "&gt;=2024-09-01", 'For Tally'!A:A, "&lt;=2024-09-30", 'For Tally'!L:L, $B$5:$D$5))</f>
        <v/>
      </c>
      <c r="H23" s="127">
        <f>SUMPRODUCT(SUMIFS('For Tally'!C:C, 'For Tally'!H:H, $A23, 'For Tally'!A:A, "&gt;=2024-10-01", 'For Tally'!A:A, "&lt;=2024-10-31", 'For Tally'!L:L, $B$5:$D$5))</f>
        <v/>
      </c>
      <c r="I23" s="127">
        <f>SUMPRODUCT(SUMIFS('For Tally'!C:C, 'For Tally'!H:H, $A23, 'For Tally'!A:A, "&gt;=2024-11-01", 'For Tally'!A:A, "&lt;=2024-11-30", 'For Tally'!L:L, $B$5:$D$5))</f>
        <v/>
      </c>
      <c r="J23" s="127">
        <f>SUMPRODUCT(SUMIFS('For Tally'!C:C, 'For Tally'!H:H, $A23, 'For Tally'!A:A, "&gt;=2024-12-01", 'For Tally'!A:A, "&lt;=2024-12-31", 'For Tally'!L:L, $B$5:$D$5))</f>
        <v/>
      </c>
      <c r="K23" s="127">
        <f>SUMPRODUCT(SUMIFS('For Tally'!C:C, 'For Tally'!H:H, $A23, 'For Tally'!A:A, "&gt;=2025-01-01", 'For Tally'!A:A, "&lt;=2025-01-31", 'For Tally'!L:L, $B$5:$D$5))</f>
        <v/>
      </c>
      <c r="L23" s="127">
        <f>SUMPRODUCT(SUMIFS('For Tally'!C:C, 'For Tally'!H:H, $A23, 'For Tally'!A:A, "&gt;=2025-02-01", 'For Tally'!A:A, "&lt;=2025-02-28", 'For Tally'!L:L, $B$5:$D$5))</f>
        <v/>
      </c>
      <c r="M23" s="127">
        <f>SUMPRODUCT(SUMIFS('For Tally'!C:C, 'For Tally'!H:H, $A23, 'For Tally'!A:A, "&gt;=2025-03-01", 'For Tally'!A:A, "&lt;=2025-03-31", 'For Tally'!L:L, $B$5:$D$5))</f>
        <v/>
      </c>
      <c r="N23" s="127">
        <f>SUM(B23:M23)</f>
        <v/>
      </c>
    </row>
    <row r="24">
      <c r="A24" s="127" t="inlineStr">
        <is>
          <t>Suspense</t>
        </is>
      </c>
      <c r="B24" s="127">
        <f>SUMPRODUCT(SUMIFS('For Tally'!C:C, 'For Tally'!H:H, $A24, 'For Tally'!A:A, "&gt;=2024-04-01", 'For Tally'!A:A, "&lt;=2024-04-30", 'For Tally'!L:L, $B$5:$D$5))</f>
        <v/>
      </c>
      <c r="C24" s="127">
        <f>SUMPRODUCT(SUMIFS('For Tally'!C:C, 'For Tally'!H:H, $A24, 'For Tally'!A:A, "&gt;=2024-05-01", 'For Tally'!A:A, "&lt;=2024-05-31", 'For Tally'!L:L, $B$5:$D$5))</f>
        <v/>
      </c>
      <c r="D24" s="127">
        <f>SUMPRODUCT(SUMIFS('For Tally'!C:C, 'For Tally'!H:H, $A24, 'For Tally'!A:A, "&gt;=2024-06-01", 'For Tally'!A:A, "&lt;=2024-06-30", 'For Tally'!L:L, $B$5:$D$5))</f>
        <v/>
      </c>
      <c r="E24" s="127">
        <f>SUMPRODUCT(SUMIFS('For Tally'!C:C, 'For Tally'!H:H, $A24, 'For Tally'!A:A, "&gt;=2024-07-01", 'For Tally'!A:A, "&lt;=2024-07-31", 'For Tally'!L:L, $B$5:$D$5))</f>
        <v/>
      </c>
      <c r="F24" s="127">
        <f>SUMPRODUCT(SUMIFS('For Tally'!C:C, 'For Tally'!H:H, $A24, 'For Tally'!A:A, "&gt;=2024-08-01", 'For Tally'!A:A, "&lt;=2024-08-31", 'For Tally'!L:L, $B$5:$D$5))</f>
        <v/>
      </c>
      <c r="G24" s="127">
        <f>SUMPRODUCT(SUMIFS('For Tally'!C:C, 'For Tally'!H:H, $A24, 'For Tally'!A:A, "&gt;=2024-09-01", 'For Tally'!A:A, "&lt;=2024-09-30", 'For Tally'!L:L, $B$5:$D$5))</f>
        <v/>
      </c>
      <c r="H24" s="127">
        <f>SUMPRODUCT(SUMIFS('For Tally'!C:C, 'For Tally'!H:H, $A24, 'For Tally'!A:A, "&gt;=2024-10-01", 'For Tally'!A:A, "&lt;=2024-10-31", 'For Tally'!L:L, $B$5:$D$5))</f>
        <v/>
      </c>
      <c r="I24" s="127">
        <f>SUMPRODUCT(SUMIFS('For Tally'!C:C, 'For Tally'!H:H, $A24, 'For Tally'!A:A, "&gt;=2024-11-01", 'For Tally'!A:A, "&lt;=2024-11-30", 'For Tally'!L:L, $B$5:$D$5))</f>
        <v/>
      </c>
      <c r="J24" s="127">
        <f>SUMPRODUCT(SUMIFS('For Tally'!C:C, 'For Tally'!H:H, $A24, 'For Tally'!A:A, "&gt;=2024-12-01", 'For Tally'!A:A, "&lt;=2024-12-31", 'For Tally'!L:L, $B$5:$D$5))</f>
        <v/>
      </c>
      <c r="K24" s="127">
        <f>SUMPRODUCT(SUMIFS('For Tally'!C:C, 'For Tally'!H:H, $A24, 'For Tally'!A:A, "&gt;=2025-01-01", 'For Tally'!A:A, "&lt;=2025-01-31", 'For Tally'!L:L, $B$5:$D$5))</f>
        <v/>
      </c>
      <c r="L24" s="127">
        <f>SUMPRODUCT(SUMIFS('For Tally'!C:C, 'For Tally'!H:H, $A24, 'For Tally'!A:A, "&gt;=2025-02-01", 'For Tally'!A:A, "&lt;=2025-02-28", 'For Tally'!L:L, $B$5:$D$5))</f>
        <v/>
      </c>
      <c r="M24" s="127">
        <f>SUMPRODUCT(SUMIFS('For Tally'!C:C, 'For Tally'!H:H, $A24, 'For Tally'!A:A, "&gt;=2025-03-01", 'For Tally'!A:A, "&lt;=2025-03-31", 'For Tally'!L:L, $B$5:$D$5))</f>
        <v/>
      </c>
      <c r="N24" s="127">
        <f>SUM(B24:M24)</f>
        <v/>
      </c>
    </row>
    <row r="25">
      <c r="A25" s="127" t="inlineStr">
        <is>
          <t>Transfer</t>
        </is>
      </c>
      <c r="B25" s="127">
        <f>SUMPRODUCT(SUMIFS('For Tally'!C:C, 'For Tally'!H:H, $A25, 'For Tally'!A:A, "&gt;=2024-04-01", 'For Tally'!A:A, "&lt;=2024-04-30", 'For Tally'!L:L, $B$5:$D$5))</f>
        <v/>
      </c>
      <c r="C25" s="127">
        <f>SUMPRODUCT(SUMIFS('For Tally'!C:C, 'For Tally'!H:H, $A25, 'For Tally'!A:A, "&gt;=2024-05-01", 'For Tally'!A:A, "&lt;=2024-05-31", 'For Tally'!L:L, $B$5:$D$5))</f>
        <v/>
      </c>
      <c r="D25" s="127">
        <f>SUMPRODUCT(SUMIFS('For Tally'!C:C, 'For Tally'!H:H, $A25, 'For Tally'!A:A, "&gt;=2024-06-01", 'For Tally'!A:A, "&lt;=2024-06-30", 'For Tally'!L:L, $B$5:$D$5))</f>
        <v/>
      </c>
      <c r="E25" s="127">
        <f>SUMPRODUCT(SUMIFS('For Tally'!C:C, 'For Tally'!H:H, $A25, 'For Tally'!A:A, "&gt;=2024-07-01", 'For Tally'!A:A, "&lt;=2024-07-31", 'For Tally'!L:L, $B$5:$D$5))</f>
        <v/>
      </c>
      <c r="F25" s="127">
        <f>SUMPRODUCT(SUMIFS('For Tally'!C:C, 'For Tally'!H:H, $A25, 'For Tally'!A:A, "&gt;=2024-08-01", 'For Tally'!A:A, "&lt;=2024-08-31", 'For Tally'!L:L, $B$5:$D$5))</f>
        <v/>
      </c>
      <c r="G25" s="127">
        <f>SUMPRODUCT(SUMIFS('For Tally'!C:C, 'For Tally'!H:H, $A25, 'For Tally'!A:A, "&gt;=2024-09-01", 'For Tally'!A:A, "&lt;=2024-09-30", 'For Tally'!L:L, $B$5:$D$5))</f>
        <v/>
      </c>
      <c r="H25" s="127">
        <f>SUMPRODUCT(SUMIFS('For Tally'!C:C, 'For Tally'!H:H, $A25, 'For Tally'!A:A, "&gt;=2024-10-01", 'For Tally'!A:A, "&lt;=2024-10-31", 'For Tally'!L:L, $B$5:$D$5))</f>
        <v/>
      </c>
      <c r="I25" s="127">
        <f>SUMPRODUCT(SUMIFS('For Tally'!C:C, 'For Tally'!H:H, $A25, 'For Tally'!A:A, "&gt;=2024-11-01", 'For Tally'!A:A, "&lt;=2024-11-30", 'For Tally'!L:L, $B$5:$D$5))</f>
        <v/>
      </c>
      <c r="J25" s="127">
        <f>SUMPRODUCT(SUMIFS('For Tally'!C:C, 'For Tally'!H:H, $A25, 'For Tally'!A:A, "&gt;=2024-12-01", 'For Tally'!A:A, "&lt;=2024-12-31", 'For Tally'!L:L, $B$5:$D$5))</f>
        <v/>
      </c>
      <c r="K25" s="127">
        <f>SUMPRODUCT(SUMIFS('For Tally'!C:C, 'For Tally'!H:H, $A25, 'For Tally'!A:A, "&gt;=2025-01-01", 'For Tally'!A:A, "&lt;=2025-01-31", 'For Tally'!L:L, $B$5:$D$5))</f>
        <v/>
      </c>
      <c r="L25" s="127">
        <f>SUMPRODUCT(SUMIFS('For Tally'!C:C, 'For Tally'!H:H, $A25, 'For Tally'!A:A, "&gt;=2025-02-01", 'For Tally'!A:A, "&lt;=2025-02-28", 'For Tally'!L:L, $B$5:$D$5))</f>
        <v/>
      </c>
      <c r="M25" s="127">
        <f>SUMPRODUCT(SUMIFS('For Tally'!C:C, 'For Tally'!H:H, $A25, 'For Tally'!A:A, "&gt;=2025-03-01", 'For Tally'!A:A, "&lt;=2025-03-31", 'For Tally'!L:L, $B$5:$D$5))</f>
        <v/>
      </c>
      <c r="N25" s="127">
        <f>SUM(B25:M25)</f>
        <v/>
      </c>
    </row>
    <row r="26">
      <c r="A26" s="127" t="inlineStr">
        <is>
          <t>Travel</t>
        </is>
      </c>
      <c r="B26" s="127">
        <f>SUMPRODUCT(SUMIFS('For Tally'!C:C, 'For Tally'!H:H, $A26, 'For Tally'!A:A, "&gt;=2024-04-01", 'For Tally'!A:A, "&lt;=2024-04-30", 'For Tally'!L:L, $B$5:$D$5))</f>
        <v/>
      </c>
      <c r="C26" s="127">
        <f>SUMPRODUCT(SUMIFS('For Tally'!C:C, 'For Tally'!H:H, $A26, 'For Tally'!A:A, "&gt;=2024-05-01", 'For Tally'!A:A, "&lt;=2024-05-31", 'For Tally'!L:L, $B$5:$D$5))</f>
        <v/>
      </c>
      <c r="D26" s="127">
        <f>SUMPRODUCT(SUMIFS('For Tally'!C:C, 'For Tally'!H:H, $A26, 'For Tally'!A:A, "&gt;=2024-06-01", 'For Tally'!A:A, "&lt;=2024-06-30", 'For Tally'!L:L, $B$5:$D$5))</f>
        <v/>
      </c>
      <c r="E26" s="127">
        <f>SUMPRODUCT(SUMIFS('For Tally'!C:C, 'For Tally'!H:H, $A26, 'For Tally'!A:A, "&gt;=2024-07-01", 'For Tally'!A:A, "&lt;=2024-07-31", 'For Tally'!L:L, $B$5:$D$5))</f>
        <v/>
      </c>
      <c r="F26" s="127">
        <f>SUMPRODUCT(SUMIFS('For Tally'!C:C, 'For Tally'!H:H, $A26, 'For Tally'!A:A, "&gt;=2024-08-01", 'For Tally'!A:A, "&lt;=2024-08-31", 'For Tally'!L:L, $B$5:$D$5))</f>
        <v/>
      </c>
      <c r="G26" s="127">
        <f>SUMPRODUCT(SUMIFS('For Tally'!C:C, 'For Tally'!H:H, $A26, 'For Tally'!A:A, "&gt;=2024-09-01", 'For Tally'!A:A, "&lt;=2024-09-30", 'For Tally'!L:L, $B$5:$D$5))</f>
        <v/>
      </c>
      <c r="H26" s="127">
        <f>SUMPRODUCT(SUMIFS('For Tally'!C:C, 'For Tally'!H:H, $A26, 'For Tally'!A:A, "&gt;=2024-10-01", 'For Tally'!A:A, "&lt;=2024-10-31", 'For Tally'!L:L, $B$5:$D$5))</f>
        <v/>
      </c>
      <c r="I26" s="127">
        <f>SUMPRODUCT(SUMIFS('For Tally'!C:C, 'For Tally'!H:H, $A26, 'For Tally'!A:A, "&gt;=2024-11-01", 'For Tally'!A:A, "&lt;=2024-11-30", 'For Tally'!L:L, $B$5:$D$5))</f>
        <v/>
      </c>
      <c r="J26" s="127">
        <f>SUMPRODUCT(SUMIFS('For Tally'!C:C, 'For Tally'!H:H, $A26, 'For Tally'!A:A, "&gt;=2024-12-01", 'For Tally'!A:A, "&lt;=2024-12-31", 'For Tally'!L:L, $B$5:$D$5))</f>
        <v/>
      </c>
      <c r="K26" s="127">
        <f>SUMPRODUCT(SUMIFS('For Tally'!C:C, 'For Tally'!H:H, $A26, 'For Tally'!A:A, "&gt;=2025-01-01", 'For Tally'!A:A, "&lt;=2025-01-31", 'For Tally'!L:L, $B$5:$D$5))</f>
        <v/>
      </c>
      <c r="L26" s="127">
        <f>SUMPRODUCT(SUMIFS('For Tally'!C:C, 'For Tally'!H:H, $A26, 'For Tally'!A:A, "&gt;=2025-02-01", 'For Tally'!A:A, "&lt;=2025-02-28", 'For Tally'!L:L, $B$5:$D$5))</f>
        <v/>
      </c>
      <c r="M26" s="127">
        <f>SUMPRODUCT(SUMIFS('For Tally'!C:C, 'For Tally'!H:H, $A26, 'For Tally'!A:A, "&gt;=2025-03-01", 'For Tally'!A:A, "&lt;=2025-03-31", 'For Tally'!L:L, $B$5:$D$5))</f>
        <v/>
      </c>
      <c r="N26" s="127">
        <f>SUM(B26:M26)</f>
        <v/>
      </c>
    </row>
    <row r="27">
      <c r="A27" s="127" t="inlineStr">
        <is>
          <t>Zerodha Broking Limited</t>
        </is>
      </c>
      <c r="B27" s="127">
        <f>SUMPRODUCT(SUMIFS('For Tally'!C:C, 'For Tally'!H:H, $A27, 'For Tally'!A:A, "&gt;=2024-04-01", 'For Tally'!A:A, "&lt;=2024-04-30", 'For Tally'!L:L, $B$5:$D$5))</f>
        <v/>
      </c>
      <c r="C27" s="127">
        <f>SUMPRODUCT(SUMIFS('For Tally'!C:C, 'For Tally'!H:H, $A27, 'For Tally'!A:A, "&gt;=2024-05-01", 'For Tally'!A:A, "&lt;=2024-05-31", 'For Tally'!L:L, $B$5:$D$5))</f>
        <v/>
      </c>
      <c r="D27" s="127">
        <f>SUMPRODUCT(SUMIFS('For Tally'!C:C, 'For Tally'!H:H, $A27, 'For Tally'!A:A, "&gt;=2024-06-01", 'For Tally'!A:A, "&lt;=2024-06-30", 'For Tally'!L:L, $B$5:$D$5))</f>
        <v/>
      </c>
      <c r="E27" s="127">
        <f>SUMPRODUCT(SUMIFS('For Tally'!C:C, 'For Tally'!H:H, $A27, 'For Tally'!A:A, "&gt;=2024-07-01", 'For Tally'!A:A, "&lt;=2024-07-31", 'For Tally'!L:L, $B$5:$D$5))</f>
        <v/>
      </c>
      <c r="F27" s="127">
        <f>SUMPRODUCT(SUMIFS('For Tally'!C:C, 'For Tally'!H:H, $A27, 'For Tally'!A:A, "&gt;=2024-08-01", 'For Tally'!A:A, "&lt;=2024-08-31", 'For Tally'!L:L, $B$5:$D$5))</f>
        <v/>
      </c>
      <c r="G27" s="127">
        <f>SUMPRODUCT(SUMIFS('For Tally'!C:C, 'For Tally'!H:H, $A27, 'For Tally'!A:A, "&gt;=2024-09-01", 'For Tally'!A:A, "&lt;=2024-09-30", 'For Tally'!L:L, $B$5:$D$5))</f>
        <v/>
      </c>
      <c r="H27" s="127">
        <f>SUMPRODUCT(SUMIFS('For Tally'!C:C, 'For Tally'!H:H, $A27, 'For Tally'!A:A, "&gt;=2024-10-01", 'For Tally'!A:A, "&lt;=2024-10-31", 'For Tally'!L:L, $B$5:$D$5))</f>
        <v/>
      </c>
      <c r="I27" s="127">
        <f>SUMPRODUCT(SUMIFS('For Tally'!C:C, 'For Tally'!H:H, $A27, 'For Tally'!A:A, "&gt;=2024-11-01", 'For Tally'!A:A, "&lt;=2024-11-30", 'For Tally'!L:L, $B$5:$D$5))</f>
        <v/>
      </c>
      <c r="J27" s="127">
        <f>SUMPRODUCT(SUMIFS('For Tally'!C:C, 'For Tally'!H:H, $A27, 'For Tally'!A:A, "&gt;=2024-12-01", 'For Tally'!A:A, "&lt;=2024-12-31", 'For Tally'!L:L, $B$5:$D$5))</f>
        <v/>
      </c>
      <c r="K27" s="127">
        <f>SUMPRODUCT(SUMIFS('For Tally'!C:C, 'For Tally'!H:H, $A27, 'For Tally'!A:A, "&gt;=2025-01-01", 'For Tally'!A:A, "&lt;=2025-01-31", 'For Tally'!L:L, $B$5:$D$5))</f>
        <v/>
      </c>
      <c r="L27" s="127">
        <f>SUMPRODUCT(SUMIFS('For Tally'!C:C, 'For Tally'!H:H, $A27, 'For Tally'!A:A, "&gt;=2025-02-01", 'For Tally'!A:A, "&lt;=2025-02-28", 'For Tally'!L:L, $B$5:$D$5))</f>
        <v/>
      </c>
      <c r="M27" s="127">
        <f>SUMPRODUCT(SUMIFS('For Tally'!C:C, 'For Tally'!H:H, $A27, 'For Tally'!A:A, "&gt;=2025-03-01", 'For Tally'!A:A, "&lt;=2025-03-31", 'For Tally'!L:L, $B$5:$D$5))</f>
        <v/>
      </c>
      <c r="N27" s="127">
        <f>SUM(B27:M27)</f>
        <v/>
      </c>
    </row>
    <row r="28">
      <c r="A28" s="146" t="inlineStr">
        <is>
          <t>MONTHLY TOTAL</t>
        </is>
      </c>
      <c r="B28" s="146">
        <f>SUM(B8:B27)</f>
        <v/>
      </c>
      <c r="C28" s="146">
        <f>SUM(C8:C27)</f>
        <v/>
      </c>
      <c r="D28" s="146">
        <f>SUM(D8:D27)</f>
        <v/>
      </c>
      <c r="E28" s="146">
        <f>SUM(E8:E27)</f>
        <v/>
      </c>
      <c r="F28" s="146">
        <f>SUM(F8:F27)</f>
        <v/>
      </c>
      <c r="G28" s="146">
        <f>SUM(G8:G27)</f>
        <v/>
      </c>
      <c r="H28" s="146">
        <f>SUM(H8:H27)</f>
        <v/>
      </c>
      <c r="I28" s="146">
        <f>SUM(I8:I27)</f>
        <v/>
      </c>
      <c r="J28" s="146">
        <f>SUM(J8:J27)</f>
        <v/>
      </c>
      <c r="K28" s="146">
        <f>SUM(K8:K27)</f>
        <v/>
      </c>
      <c r="L28" s="146">
        <f>SUM(L8:L27)</f>
        <v/>
      </c>
      <c r="M28" s="146">
        <f>SUM(M8:M27)</f>
        <v/>
      </c>
      <c r="N28" s="146">
        <f>SUM(N8:N27)</f>
        <v/>
      </c>
    </row>
    <row r="30">
      <c r="A30" s="147" t="inlineStr">
        <is>
          <t>RECEIPTS / CREDITS</t>
        </is>
      </c>
      <c r="B30" s="147" t="inlineStr">
        <is>
          <t>Apr-2024</t>
        </is>
      </c>
      <c r="C30" s="147" t="inlineStr">
        <is>
          <t>May-2024</t>
        </is>
      </c>
      <c r="D30" s="147" t="inlineStr">
        <is>
          <t>Jun-2024</t>
        </is>
      </c>
      <c r="E30" s="147" t="inlineStr">
        <is>
          <t>Jul-2024</t>
        </is>
      </c>
      <c r="F30" s="147" t="inlineStr">
        <is>
          <t>Aug-2024</t>
        </is>
      </c>
      <c r="G30" s="147" t="inlineStr">
        <is>
          <t>Sep-2024</t>
        </is>
      </c>
      <c r="H30" s="147" t="inlineStr">
        <is>
          <t>Oct-2024</t>
        </is>
      </c>
      <c r="I30" s="147" t="inlineStr">
        <is>
          <t>Nov-2024</t>
        </is>
      </c>
      <c r="J30" s="147" t="inlineStr">
        <is>
          <t>Dec-2024</t>
        </is>
      </c>
      <c r="K30" s="147" t="inlineStr">
        <is>
          <t>Jan-2025</t>
        </is>
      </c>
      <c r="L30" s="147" t="inlineStr">
        <is>
          <t>Feb-2025</t>
        </is>
      </c>
      <c r="M30" s="147" t="inlineStr">
        <is>
          <t>Mar-2025</t>
        </is>
      </c>
      <c r="N30" s="147" t="inlineStr">
        <is>
          <t>TOTAL</t>
        </is>
      </c>
    </row>
    <row r="31">
      <c r="A31" s="127" t="inlineStr">
        <is>
          <t>Ajay Gupta</t>
        </is>
      </c>
      <c r="B31" s="127">
        <f>SUMPRODUCT(SUMIFS('For Tally'!D:D, 'For Tally'!H:H, $A31, 'For Tally'!A:A, "&gt;=2024-04-01", 'For Tally'!A:A, "&lt;=2024-04-30", 'For Tally'!L:L, $B$5:$D$5))</f>
        <v/>
      </c>
      <c r="C31" s="127">
        <f>SUMPRODUCT(SUMIFS('For Tally'!D:D, 'For Tally'!H:H, $A31, 'For Tally'!A:A, "&gt;=2024-05-01", 'For Tally'!A:A, "&lt;=2024-05-31", 'For Tally'!L:L, $B$5:$D$5))</f>
        <v/>
      </c>
      <c r="D31" s="127">
        <f>SUMPRODUCT(SUMIFS('For Tally'!D:D, 'For Tally'!H:H, $A31, 'For Tally'!A:A, "&gt;=2024-06-01", 'For Tally'!A:A, "&lt;=2024-06-30", 'For Tally'!L:L, $B$5:$D$5))</f>
        <v/>
      </c>
      <c r="E31" s="127">
        <f>SUMPRODUCT(SUMIFS('For Tally'!D:D, 'For Tally'!H:H, $A31, 'For Tally'!A:A, "&gt;=2024-07-01", 'For Tally'!A:A, "&lt;=2024-07-31", 'For Tally'!L:L, $B$5:$D$5))</f>
        <v/>
      </c>
      <c r="F31" s="127">
        <f>SUMPRODUCT(SUMIFS('For Tally'!D:D, 'For Tally'!H:H, $A31, 'For Tally'!A:A, "&gt;=2024-08-01", 'For Tally'!A:A, "&lt;=2024-08-31", 'For Tally'!L:L, $B$5:$D$5))</f>
        <v/>
      </c>
      <c r="G31" s="127">
        <f>SUMPRODUCT(SUMIFS('For Tally'!D:D, 'For Tally'!H:H, $A31, 'For Tally'!A:A, "&gt;=2024-09-01", 'For Tally'!A:A, "&lt;=2024-09-30", 'For Tally'!L:L, $B$5:$D$5))</f>
        <v/>
      </c>
      <c r="H31" s="127">
        <f>SUMPRODUCT(SUMIFS('For Tally'!D:D, 'For Tally'!H:H, $A31, 'For Tally'!A:A, "&gt;=2024-10-01", 'For Tally'!A:A, "&lt;=2024-10-31", 'For Tally'!L:L, $B$5:$D$5))</f>
        <v/>
      </c>
      <c r="I31" s="127">
        <f>SUMPRODUCT(SUMIFS('For Tally'!D:D, 'For Tally'!H:H, $A31, 'For Tally'!A:A, "&gt;=2024-11-01", 'For Tally'!A:A, "&lt;=2024-11-30", 'For Tally'!L:L, $B$5:$D$5))</f>
        <v/>
      </c>
      <c r="J31" s="127">
        <f>SUMPRODUCT(SUMIFS('For Tally'!D:D, 'For Tally'!H:H, $A31, 'For Tally'!A:A, "&gt;=2024-12-01", 'For Tally'!A:A, "&lt;=2024-12-31", 'For Tally'!L:L, $B$5:$D$5))</f>
        <v/>
      </c>
      <c r="K31" s="127">
        <f>SUMPRODUCT(SUMIFS('For Tally'!D:D, 'For Tally'!H:H, $A31, 'For Tally'!A:A, "&gt;=2025-01-01", 'For Tally'!A:A, "&lt;=2025-01-31", 'For Tally'!L:L, $B$5:$D$5))</f>
        <v/>
      </c>
      <c r="L31" s="127">
        <f>SUMPRODUCT(SUMIFS('For Tally'!D:D, 'For Tally'!H:H, $A31, 'For Tally'!A:A, "&gt;=2025-02-01", 'For Tally'!A:A, "&lt;=2025-02-28", 'For Tally'!L:L, $B$5:$D$5))</f>
        <v/>
      </c>
      <c r="M31" s="127">
        <f>SUMPRODUCT(SUMIFS('For Tally'!D:D, 'For Tally'!H:H, $A31, 'For Tally'!A:A, "&gt;=2025-03-01", 'For Tally'!A:A, "&lt;=2025-03-31", 'For Tally'!L:L, $B$5:$D$5))</f>
        <v/>
      </c>
      <c r="N31" s="127">
        <f>SUM(B31:M31)</f>
        <v/>
      </c>
    </row>
    <row r="32">
      <c r="A32" s="127" t="inlineStr">
        <is>
          <t>Archit Gupta</t>
        </is>
      </c>
      <c r="B32" s="127">
        <f>SUMPRODUCT(SUMIFS('For Tally'!D:D, 'For Tally'!H:H, $A32, 'For Tally'!A:A, "&gt;=2024-04-01", 'For Tally'!A:A, "&lt;=2024-04-30", 'For Tally'!L:L, $B$5:$D$5))</f>
        <v/>
      </c>
      <c r="C32" s="127">
        <f>SUMPRODUCT(SUMIFS('For Tally'!D:D, 'For Tally'!H:H, $A32, 'For Tally'!A:A, "&gt;=2024-05-01", 'For Tally'!A:A, "&lt;=2024-05-31", 'For Tally'!L:L, $B$5:$D$5))</f>
        <v/>
      </c>
      <c r="D32" s="127">
        <f>SUMPRODUCT(SUMIFS('For Tally'!D:D, 'For Tally'!H:H, $A32, 'For Tally'!A:A, "&gt;=2024-06-01", 'For Tally'!A:A, "&lt;=2024-06-30", 'For Tally'!L:L, $B$5:$D$5))</f>
        <v/>
      </c>
      <c r="E32" s="127">
        <f>SUMPRODUCT(SUMIFS('For Tally'!D:D, 'For Tally'!H:H, $A32, 'For Tally'!A:A, "&gt;=2024-07-01", 'For Tally'!A:A, "&lt;=2024-07-31", 'For Tally'!L:L, $B$5:$D$5))</f>
        <v/>
      </c>
      <c r="F32" s="127">
        <f>SUMPRODUCT(SUMIFS('For Tally'!D:D, 'For Tally'!H:H, $A32, 'For Tally'!A:A, "&gt;=2024-08-01", 'For Tally'!A:A, "&lt;=2024-08-31", 'For Tally'!L:L, $B$5:$D$5))</f>
        <v/>
      </c>
      <c r="G32" s="127">
        <f>SUMPRODUCT(SUMIFS('For Tally'!D:D, 'For Tally'!H:H, $A32, 'For Tally'!A:A, "&gt;=2024-09-01", 'For Tally'!A:A, "&lt;=2024-09-30", 'For Tally'!L:L, $B$5:$D$5))</f>
        <v/>
      </c>
      <c r="H32" s="127">
        <f>SUMPRODUCT(SUMIFS('For Tally'!D:D, 'For Tally'!H:H, $A32, 'For Tally'!A:A, "&gt;=2024-10-01", 'For Tally'!A:A, "&lt;=2024-10-31", 'For Tally'!L:L, $B$5:$D$5))</f>
        <v/>
      </c>
      <c r="I32" s="127">
        <f>SUMPRODUCT(SUMIFS('For Tally'!D:D, 'For Tally'!H:H, $A32, 'For Tally'!A:A, "&gt;=2024-11-01", 'For Tally'!A:A, "&lt;=2024-11-30", 'For Tally'!L:L, $B$5:$D$5))</f>
        <v/>
      </c>
      <c r="J32" s="127">
        <f>SUMPRODUCT(SUMIFS('For Tally'!D:D, 'For Tally'!H:H, $A32, 'For Tally'!A:A, "&gt;=2024-12-01", 'For Tally'!A:A, "&lt;=2024-12-31", 'For Tally'!L:L, $B$5:$D$5))</f>
        <v/>
      </c>
      <c r="K32" s="127">
        <f>SUMPRODUCT(SUMIFS('For Tally'!D:D, 'For Tally'!H:H, $A32, 'For Tally'!A:A, "&gt;=2025-01-01", 'For Tally'!A:A, "&lt;=2025-01-31", 'For Tally'!L:L, $B$5:$D$5))</f>
        <v/>
      </c>
      <c r="L32" s="127">
        <f>SUMPRODUCT(SUMIFS('For Tally'!D:D, 'For Tally'!H:H, $A32, 'For Tally'!A:A, "&gt;=2025-02-01", 'For Tally'!A:A, "&lt;=2025-02-28", 'For Tally'!L:L, $B$5:$D$5))</f>
        <v/>
      </c>
      <c r="M32" s="127">
        <f>SUMPRODUCT(SUMIFS('For Tally'!D:D, 'For Tally'!H:H, $A32, 'For Tally'!A:A, "&gt;=2025-03-01", 'For Tally'!A:A, "&lt;=2025-03-31", 'For Tally'!L:L, $B$5:$D$5))</f>
        <v/>
      </c>
      <c r="N32" s="127">
        <f>SUM(B32:M32)</f>
        <v/>
      </c>
    </row>
    <row r="33">
      <c r="A33" s="41" t="inlineStr">
        <is>
          <t>Bank Interest</t>
        </is>
      </c>
      <c r="B33" s="41">
        <f>SUMPRODUCT(SUMIFS('For Tally'!D:D, 'For Tally'!H:H, $A33, 'For Tally'!A:A, "&gt;=2024-04-01", 'For Tally'!A:A, "&lt;=2024-04-30", 'For Tally'!L:L, $B$5:$D$5))</f>
        <v/>
      </c>
      <c r="C33" s="41">
        <f>SUMPRODUCT(SUMIFS('For Tally'!D:D, 'For Tally'!H:H, $A33, 'For Tally'!A:A, "&gt;=2024-05-01", 'For Tally'!A:A, "&lt;=2024-05-31", 'For Tally'!L:L, $B$5:$D$5))</f>
        <v/>
      </c>
      <c r="D33" s="41">
        <f>SUMPRODUCT(SUMIFS('For Tally'!D:D, 'For Tally'!H:H, $A33, 'For Tally'!A:A, "&gt;=2024-06-01", 'For Tally'!A:A, "&lt;=2024-06-30", 'For Tally'!L:L, $B$5:$D$5))</f>
        <v/>
      </c>
      <c r="E33" s="41">
        <f>SUMPRODUCT(SUMIFS('For Tally'!D:D, 'For Tally'!H:H, $A33, 'For Tally'!A:A, "&gt;=2024-07-01", 'For Tally'!A:A, "&lt;=2024-07-31", 'For Tally'!L:L, $B$5:$D$5))</f>
        <v/>
      </c>
      <c r="F33" s="41">
        <f>SUMPRODUCT(SUMIFS('For Tally'!D:D, 'For Tally'!H:H, $A33, 'For Tally'!A:A, "&gt;=2024-08-01", 'For Tally'!A:A, "&lt;=2024-08-31", 'For Tally'!L:L, $B$5:$D$5))</f>
        <v/>
      </c>
      <c r="G33" s="41">
        <f>SUMPRODUCT(SUMIFS('For Tally'!D:D, 'For Tally'!H:H, $A33, 'For Tally'!A:A, "&gt;=2024-09-01", 'For Tally'!A:A, "&lt;=2024-09-30", 'For Tally'!L:L, $B$5:$D$5))</f>
        <v/>
      </c>
      <c r="H33" s="41">
        <f>SUMPRODUCT(SUMIFS('For Tally'!D:D, 'For Tally'!H:H, $A33, 'For Tally'!A:A, "&gt;=2024-10-01", 'For Tally'!A:A, "&lt;=2024-10-31", 'For Tally'!L:L, $B$5:$D$5))</f>
        <v/>
      </c>
      <c r="I33" s="41">
        <f>SUMPRODUCT(SUMIFS('For Tally'!D:D, 'For Tally'!H:H, $A33, 'For Tally'!A:A, "&gt;=2024-11-01", 'For Tally'!A:A, "&lt;=2024-11-30", 'For Tally'!L:L, $B$5:$D$5))</f>
        <v/>
      </c>
      <c r="J33" s="41">
        <f>SUMPRODUCT(SUMIFS('For Tally'!D:D, 'For Tally'!H:H, $A33, 'For Tally'!A:A, "&gt;=2024-12-01", 'For Tally'!A:A, "&lt;=2024-12-31", 'For Tally'!L:L, $B$5:$D$5))</f>
        <v/>
      </c>
      <c r="K33" s="41">
        <f>SUMPRODUCT(SUMIFS('For Tally'!D:D, 'For Tally'!H:H, $A33, 'For Tally'!A:A, "&gt;=2025-01-01", 'For Tally'!A:A, "&lt;=2025-01-31", 'For Tally'!L:L, $B$5:$D$5))</f>
        <v/>
      </c>
      <c r="L33" s="41">
        <f>SUMPRODUCT(SUMIFS('For Tally'!D:D, 'For Tally'!H:H, $A33, 'For Tally'!A:A, "&gt;=2025-02-01", 'For Tally'!A:A, "&lt;=2025-02-28", 'For Tally'!L:L, $B$5:$D$5))</f>
        <v/>
      </c>
      <c r="M33" s="41">
        <f>SUMPRODUCT(SUMIFS('For Tally'!D:D, 'For Tally'!H:H, $A33, 'For Tally'!A:A, "&gt;=2025-03-01", 'For Tally'!A:A, "&lt;=2025-03-31", 'For Tally'!L:L, $B$5:$D$5))</f>
        <v/>
      </c>
      <c r="N33" s="41">
        <f>SUM(B33:M33)</f>
        <v/>
      </c>
    </row>
    <row r="34">
      <c r="A34" s="127" t="inlineStr">
        <is>
          <t>Cash</t>
        </is>
      </c>
      <c r="B34" s="127">
        <f>SUMPRODUCT(SUMIFS('For Tally'!D:D, 'For Tally'!H:H, $A34, 'For Tally'!A:A, "&gt;=2024-04-01", 'For Tally'!A:A, "&lt;=2024-04-30", 'For Tally'!L:L, $B$5:$D$5))</f>
        <v/>
      </c>
      <c r="C34" s="127">
        <f>SUMPRODUCT(SUMIFS('For Tally'!D:D, 'For Tally'!H:H, $A34, 'For Tally'!A:A, "&gt;=2024-05-01", 'For Tally'!A:A, "&lt;=2024-05-31", 'For Tally'!L:L, $B$5:$D$5))</f>
        <v/>
      </c>
      <c r="D34" s="127">
        <f>SUMPRODUCT(SUMIFS('For Tally'!D:D, 'For Tally'!H:H, $A34, 'For Tally'!A:A, "&gt;=2024-06-01", 'For Tally'!A:A, "&lt;=2024-06-30", 'For Tally'!L:L, $B$5:$D$5))</f>
        <v/>
      </c>
      <c r="E34" s="127">
        <f>SUMPRODUCT(SUMIFS('For Tally'!D:D, 'For Tally'!H:H, $A34, 'For Tally'!A:A, "&gt;=2024-07-01", 'For Tally'!A:A, "&lt;=2024-07-31", 'For Tally'!L:L, $B$5:$D$5))</f>
        <v/>
      </c>
      <c r="F34" s="127">
        <f>SUMPRODUCT(SUMIFS('For Tally'!D:D, 'For Tally'!H:H, $A34, 'For Tally'!A:A, "&gt;=2024-08-01", 'For Tally'!A:A, "&lt;=2024-08-31", 'For Tally'!L:L, $B$5:$D$5))</f>
        <v/>
      </c>
      <c r="G34" s="127">
        <f>SUMPRODUCT(SUMIFS('For Tally'!D:D, 'For Tally'!H:H, $A34, 'For Tally'!A:A, "&gt;=2024-09-01", 'For Tally'!A:A, "&lt;=2024-09-30", 'For Tally'!L:L, $B$5:$D$5))</f>
        <v/>
      </c>
      <c r="H34" s="127">
        <f>SUMPRODUCT(SUMIFS('For Tally'!D:D, 'For Tally'!H:H, $A34, 'For Tally'!A:A, "&gt;=2024-10-01", 'For Tally'!A:A, "&lt;=2024-10-31", 'For Tally'!L:L, $B$5:$D$5))</f>
        <v/>
      </c>
      <c r="I34" s="127">
        <f>SUMPRODUCT(SUMIFS('For Tally'!D:D, 'For Tally'!H:H, $A34, 'For Tally'!A:A, "&gt;=2024-11-01", 'For Tally'!A:A, "&lt;=2024-11-30", 'For Tally'!L:L, $B$5:$D$5))</f>
        <v/>
      </c>
      <c r="J34" s="127">
        <f>SUMPRODUCT(SUMIFS('For Tally'!D:D, 'For Tally'!H:H, $A34, 'For Tally'!A:A, "&gt;=2024-12-01", 'For Tally'!A:A, "&lt;=2024-12-31", 'For Tally'!L:L, $B$5:$D$5))</f>
        <v/>
      </c>
      <c r="K34" s="127">
        <f>SUMPRODUCT(SUMIFS('For Tally'!D:D, 'For Tally'!H:H, $A34, 'For Tally'!A:A, "&gt;=2025-01-01", 'For Tally'!A:A, "&lt;=2025-01-31", 'For Tally'!L:L, $B$5:$D$5))</f>
        <v/>
      </c>
      <c r="L34" s="127">
        <f>SUMPRODUCT(SUMIFS('For Tally'!D:D, 'For Tally'!H:H, $A34, 'For Tally'!A:A, "&gt;=2025-02-01", 'For Tally'!A:A, "&lt;=2025-02-28", 'For Tally'!L:L, $B$5:$D$5))</f>
        <v/>
      </c>
      <c r="M34" s="127">
        <f>SUMPRODUCT(SUMIFS('For Tally'!D:D, 'For Tally'!H:H, $A34, 'For Tally'!A:A, "&gt;=2025-03-01", 'For Tally'!A:A, "&lt;=2025-03-31", 'For Tally'!L:L, $B$5:$D$5))</f>
        <v/>
      </c>
      <c r="N34" s="127">
        <f>SUM(B34:M34)</f>
        <v/>
      </c>
    </row>
    <row r="35">
      <c r="A35" s="43" t="inlineStr">
        <is>
          <t>Dividend Income</t>
        </is>
      </c>
      <c r="B35" s="43">
        <f>SUMPRODUCT(SUMIFS('For Tally'!D:D, 'For Tally'!H:H, $A35, 'For Tally'!A:A, "&gt;=2024-04-01", 'For Tally'!A:A, "&lt;=2024-04-30", 'For Tally'!L:L, $B$5:$D$5))</f>
        <v/>
      </c>
      <c r="C35" s="43">
        <f>SUMPRODUCT(SUMIFS('For Tally'!D:D, 'For Tally'!H:H, $A35, 'For Tally'!A:A, "&gt;=2024-05-01", 'For Tally'!A:A, "&lt;=2024-05-31", 'For Tally'!L:L, $B$5:$D$5))</f>
        <v/>
      </c>
      <c r="D35" s="43">
        <f>SUMPRODUCT(SUMIFS('For Tally'!D:D, 'For Tally'!H:H, $A35, 'For Tally'!A:A, "&gt;=2024-06-01", 'For Tally'!A:A, "&lt;=2024-06-30", 'For Tally'!L:L, $B$5:$D$5))</f>
        <v/>
      </c>
      <c r="E35" s="43">
        <f>SUMPRODUCT(SUMIFS('For Tally'!D:D, 'For Tally'!H:H, $A35, 'For Tally'!A:A, "&gt;=2024-07-01", 'For Tally'!A:A, "&lt;=2024-07-31", 'For Tally'!L:L, $B$5:$D$5))</f>
        <v/>
      </c>
      <c r="F35" s="43">
        <f>SUMPRODUCT(SUMIFS('For Tally'!D:D, 'For Tally'!H:H, $A35, 'For Tally'!A:A, "&gt;=2024-08-01", 'For Tally'!A:A, "&lt;=2024-08-31", 'For Tally'!L:L, $B$5:$D$5))</f>
        <v/>
      </c>
      <c r="G35" s="43">
        <f>SUMPRODUCT(SUMIFS('For Tally'!D:D, 'For Tally'!H:H, $A35, 'For Tally'!A:A, "&gt;=2024-09-01", 'For Tally'!A:A, "&lt;=2024-09-30", 'For Tally'!L:L, $B$5:$D$5))</f>
        <v/>
      </c>
      <c r="H35" s="43">
        <f>SUMPRODUCT(SUMIFS('For Tally'!D:D, 'For Tally'!H:H, $A35, 'For Tally'!A:A, "&gt;=2024-10-01", 'For Tally'!A:A, "&lt;=2024-10-31", 'For Tally'!L:L, $B$5:$D$5))</f>
        <v/>
      </c>
      <c r="I35" s="43">
        <f>SUMPRODUCT(SUMIFS('For Tally'!D:D, 'For Tally'!H:H, $A35, 'For Tally'!A:A, "&gt;=2024-11-01", 'For Tally'!A:A, "&lt;=2024-11-30", 'For Tally'!L:L, $B$5:$D$5))</f>
        <v/>
      </c>
      <c r="J35" s="43">
        <f>SUMPRODUCT(SUMIFS('For Tally'!D:D, 'For Tally'!H:H, $A35, 'For Tally'!A:A, "&gt;=2024-12-01", 'For Tally'!A:A, "&lt;=2024-12-31", 'For Tally'!L:L, $B$5:$D$5))</f>
        <v/>
      </c>
      <c r="K35" s="43">
        <f>SUMPRODUCT(SUMIFS('For Tally'!D:D, 'For Tally'!H:H, $A35, 'For Tally'!A:A, "&gt;=2025-01-01", 'For Tally'!A:A, "&lt;=2025-01-31", 'For Tally'!L:L, $B$5:$D$5))</f>
        <v/>
      </c>
      <c r="L35" s="43">
        <f>SUMPRODUCT(SUMIFS('For Tally'!D:D, 'For Tally'!H:H, $A35, 'For Tally'!A:A, "&gt;=2025-02-01", 'For Tally'!A:A, "&lt;=2025-02-28", 'For Tally'!L:L, $B$5:$D$5))</f>
        <v/>
      </c>
      <c r="M35" s="43">
        <f>SUMPRODUCT(SUMIFS('For Tally'!D:D, 'For Tally'!H:H, $A35, 'For Tally'!A:A, "&gt;=2025-03-01", 'For Tally'!A:A, "&lt;=2025-03-31", 'For Tally'!L:L, $B$5:$D$5))</f>
        <v/>
      </c>
      <c r="N35" s="43">
        <f>SUM(B35:M35)</f>
        <v/>
      </c>
    </row>
    <row r="36">
      <c r="A36" s="127" t="inlineStr">
        <is>
          <t>HDFC Securities</t>
        </is>
      </c>
      <c r="B36" s="127">
        <f>SUMPRODUCT(SUMIFS('For Tally'!D:D, 'For Tally'!H:H, $A36, 'For Tally'!A:A, "&gt;=2024-04-01", 'For Tally'!A:A, "&lt;=2024-04-30", 'For Tally'!L:L, $B$5:$D$5))</f>
        <v/>
      </c>
      <c r="C36" s="127">
        <f>SUMPRODUCT(SUMIFS('For Tally'!D:D, 'For Tally'!H:H, $A36, 'For Tally'!A:A, "&gt;=2024-05-01", 'For Tally'!A:A, "&lt;=2024-05-31", 'For Tally'!L:L, $B$5:$D$5))</f>
        <v/>
      </c>
      <c r="D36" s="127">
        <f>SUMPRODUCT(SUMIFS('For Tally'!D:D, 'For Tally'!H:H, $A36, 'For Tally'!A:A, "&gt;=2024-06-01", 'For Tally'!A:A, "&lt;=2024-06-30", 'For Tally'!L:L, $B$5:$D$5))</f>
        <v/>
      </c>
      <c r="E36" s="127">
        <f>SUMPRODUCT(SUMIFS('For Tally'!D:D, 'For Tally'!H:H, $A36, 'For Tally'!A:A, "&gt;=2024-07-01", 'For Tally'!A:A, "&lt;=2024-07-31", 'For Tally'!L:L, $B$5:$D$5))</f>
        <v/>
      </c>
      <c r="F36" s="127">
        <f>SUMPRODUCT(SUMIFS('For Tally'!D:D, 'For Tally'!H:H, $A36, 'For Tally'!A:A, "&gt;=2024-08-01", 'For Tally'!A:A, "&lt;=2024-08-31", 'For Tally'!L:L, $B$5:$D$5))</f>
        <v/>
      </c>
      <c r="G36" s="127">
        <f>SUMPRODUCT(SUMIFS('For Tally'!D:D, 'For Tally'!H:H, $A36, 'For Tally'!A:A, "&gt;=2024-09-01", 'For Tally'!A:A, "&lt;=2024-09-30", 'For Tally'!L:L, $B$5:$D$5))</f>
        <v/>
      </c>
      <c r="H36" s="127">
        <f>SUMPRODUCT(SUMIFS('For Tally'!D:D, 'For Tally'!H:H, $A36, 'For Tally'!A:A, "&gt;=2024-10-01", 'For Tally'!A:A, "&lt;=2024-10-31", 'For Tally'!L:L, $B$5:$D$5))</f>
        <v/>
      </c>
      <c r="I36" s="127">
        <f>SUMPRODUCT(SUMIFS('For Tally'!D:D, 'For Tally'!H:H, $A36, 'For Tally'!A:A, "&gt;=2024-11-01", 'For Tally'!A:A, "&lt;=2024-11-30", 'For Tally'!L:L, $B$5:$D$5))</f>
        <v/>
      </c>
      <c r="J36" s="127">
        <f>SUMPRODUCT(SUMIFS('For Tally'!D:D, 'For Tally'!H:H, $A36, 'For Tally'!A:A, "&gt;=2024-12-01", 'For Tally'!A:A, "&lt;=2024-12-31", 'For Tally'!L:L, $B$5:$D$5))</f>
        <v/>
      </c>
      <c r="K36" s="127">
        <f>SUMPRODUCT(SUMIFS('For Tally'!D:D, 'For Tally'!H:H, $A36, 'For Tally'!A:A, "&gt;=2025-01-01", 'For Tally'!A:A, "&lt;=2025-01-31", 'For Tally'!L:L, $B$5:$D$5))</f>
        <v/>
      </c>
      <c r="L36" s="127">
        <f>SUMPRODUCT(SUMIFS('For Tally'!D:D, 'For Tally'!H:H, $A36, 'For Tally'!A:A, "&gt;=2025-02-01", 'For Tally'!A:A, "&lt;=2025-02-28", 'For Tally'!L:L, $B$5:$D$5))</f>
        <v/>
      </c>
      <c r="M36" s="127">
        <f>SUMPRODUCT(SUMIFS('For Tally'!D:D, 'For Tally'!H:H, $A36, 'For Tally'!A:A, "&gt;=2025-03-01", 'For Tally'!A:A, "&lt;=2025-03-31", 'For Tally'!L:L, $B$5:$D$5))</f>
        <v/>
      </c>
      <c r="N36" s="127">
        <f>SUM(B36:M36)</f>
        <v/>
      </c>
    </row>
    <row r="37">
      <c r="A37" s="127" t="inlineStr">
        <is>
          <t>Income Tax</t>
        </is>
      </c>
      <c r="B37" s="127">
        <f>SUMPRODUCT(SUMIFS('For Tally'!D:D, 'For Tally'!H:H, $A37, 'For Tally'!A:A, "&gt;=2024-04-01", 'For Tally'!A:A, "&lt;=2024-04-30", 'For Tally'!L:L, $B$5:$D$5))</f>
        <v/>
      </c>
      <c r="C37" s="127">
        <f>SUMPRODUCT(SUMIFS('For Tally'!D:D, 'For Tally'!H:H, $A37, 'For Tally'!A:A, "&gt;=2024-05-01", 'For Tally'!A:A, "&lt;=2024-05-31", 'For Tally'!L:L, $B$5:$D$5))</f>
        <v/>
      </c>
      <c r="D37" s="127">
        <f>SUMPRODUCT(SUMIFS('For Tally'!D:D, 'For Tally'!H:H, $A37, 'For Tally'!A:A, "&gt;=2024-06-01", 'For Tally'!A:A, "&lt;=2024-06-30", 'For Tally'!L:L, $B$5:$D$5))</f>
        <v/>
      </c>
      <c r="E37" s="127">
        <f>SUMPRODUCT(SUMIFS('For Tally'!D:D, 'For Tally'!H:H, $A37, 'For Tally'!A:A, "&gt;=2024-07-01", 'For Tally'!A:A, "&lt;=2024-07-31", 'For Tally'!L:L, $B$5:$D$5))</f>
        <v/>
      </c>
      <c r="F37" s="127">
        <f>SUMPRODUCT(SUMIFS('For Tally'!D:D, 'For Tally'!H:H, $A37, 'For Tally'!A:A, "&gt;=2024-08-01", 'For Tally'!A:A, "&lt;=2024-08-31", 'For Tally'!L:L, $B$5:$D$5))</f>
        <v/>
      </c>
      <c r="G37" s="127">
        <f>SUMPRODUCT(SUMIFS('For Tally'!D:D, 'For Tally'!H:H, $A37, 'For Tally'!A:A, "&gt;=2024-09-01", 'For Tally'!A:A, "&lt;=2024-09-30", 'For Tally'!L:L, $B$5:$D$5))</f>
        <v/>
      </c>
      <c r="H37" s="127">
        <f>SUMPRODUCT(SUMIFS('For Tally'!D:D, 'For Tally'!H:H, $A37, 'For Tally'!A:A, "&gt;=2024-10-01", 'For Tally'!A:A, "&lt;=2024-10-31", 'For Tally'!L:L, $B$5:$D$5))</f>
        <v/>
      </c>
      <c r="I37" s="127">
        <f>SUMPRODUCT(SUMIFS('For Tally'!D:D, 'For Tally'!H:H, $A37, 'For Tally'!A:A, "&gt;=2024-11-01", 'For Tally'!A:A, "&lt;=2024-11-30", 'For Tally'!L:L, $B$5:$D$5))</f>
        <v/>
      </c>
      <c r="J37" s="127">
        <f>SUMPRODUCT(SUMIFS('For Tally'!D:D, 'For Tally'!H:H, $A37, 'For Tally'!A:A, "&gt;=2024-12-01", 'For Tally'!A:A, "&lt;=2024-12-31", 'For Tally'!L:L, $B$5:$D$5))</f>
        <v/>
      </c>
      <c r="K37" s="127">
        <f>SUMPRODUCT(SUMIFS('For Tally'!D:D, 'For Tally'!H:H, $A37, 'For Tally'!A:A, "&gt;=2025-01-01", 'For Tally'!A:A, "&lt;=2025-01-31", 'For Tally'!L:L, $B$5:$D$5))</f>
        <v/>
      </c>
      <c r="L37" s="127">
        <f>SUMPRODUCT(SUMIFS('For Tally'!D:D, 'For Tally'!H:H, $A37, 'For Tally'!A:A, "&gt;=2025-02-01", 'For Tally'!A:A, "&lt;=2025-02-28", 'For Tally'!L:L, $B$5:$D$5))</f>
        <v/>
      </c>
      <c r="M37" s="127">
        <f>SUMPRODUCT(SUMIFS('For Tally'!D:D, 'For Tally'!H:H, $A37, 'For Tally'!A:A, "&gt;=2025-03-01", 'For Tally'!A:A, "&lt;=2025-03-31", 'For Tally'!L:L, $B$5:$D$5))</f>
        <v/>
      </c>
      <c r="N37" s="127">
        <f>SUM(B37:M37)</f>
        <v/>
      </c>
    </row>
    <row r="38">
      <c r="A38" s="108" t="inlineStr">
        <is>
          <t>Misc Income</t>
        </is>
      </c>
      <c r="B38" s="108">
        <f>SUMPRODUCT(SUMIFS('For Tally'!D:D, 'For Tally'!H:H, $A38, 'For Tally'!A:A, "&gt;=2024-04-01", 'For Tally'!A:A, "&lt;=2024-04-30", 'For Tally'!L:L, $B$5:$D$5))</f>
        <v/>
      </c>
      <c r="C38" s="108">
        <f>SUMPRODUCT(SUMIFS('For Tally'!D:D, 'For Tally'!H:H, $A38, 'For Tally'!A:A, "&gt;=2024-05-01", 'For Tally'!A:A, "&lt;=2024-05-31", 'For Tally'!L:L, $B$5:$D$5))</f>
        <v/>
      </c>
      <c r="D38" s="108">
        <f>SUMPRODUCT(SUMIFS('For Tally'!D:D, 'For Tally'!H:H, $A38, 'For Tally'!A:A, "&gt;=2024-06-01", 'For Tally'!A:A, "&lt;=2024-06-30", 'For Tally'!L:L, $B$5:$D$5))</f>
        <v/>
      </c>
      <c r="E38" s="108">
        <f>SUMPRODUCT(SUMIFS('For Tally'!D:D, 'For Tally'!H:H, $A38, 'For Tally'!A:A, "&gt;=2024-07-01", 'For Tally'!A:A, "&lt;=2024-07-31", 'For Tally'!L:L, $B$5:$D$5))</f>
        <v/>
      </c>
      <c r="F38" s="108">
        <f>SUMPRODUCT(SUMIFS('For Tally'!D:D, 'For Tally'!H:H, $A38, 'For Tally'!A:A, "&gt;=2024-08-01", 'For Tally'!A:A, "&lt;=2024-08-31", 'For Tally'!L:L, $B$5:$D$5))</f>
        <v/>
      </c>
      <c r="G38" s="108">
        <f>SUMPRODUCT(SUMIFS('For Tally'!D:D, 'For Tally'!H:H, $A38, 'For Tally'!A:A, "&gt;=2024-09-01", 'For Tally'!A:A, "&lt;=2024-09-30", 'For Tally'!L:L, $B$5:$D$5))</f>
        <v/>
      </c>
      <c r="H38" s="108">
        <f>SUMPRODUCT(SUMIFS('For Tally'!D:D, 'For Tally'!H:H, $A38, 'For Tally'!A:A, "&gt;=2024-10-01", 'For Tally'!A:A, "&lt;=2024-10-31", 'For Tally'!L:L, $B$5:$D$5))</f>
        <v/>
      </c>
      <c r="I38" s="108">
        <f>SUMPRODUCT(SUMIFS('For Tally'!D:D, 'For Tally'!H:H, $A38, 'For Tally'!A:A, "&gt;=2024-11-01", 'For Tally'!A:A, "&lt;=2024-11-30", 'For Tally'!L:L, $B$5:$D$5))</f>
        <v/>
      </c>
      <c r="J38" s="108">
        <f>SUMPRODUCT(SUMIFS('For Tally'!D:D, 'For Tally'!H:H, $A38, 'For Tally'!A:A, "&gt;=2024-12-01", 'For Tally'!A:A, "&lt;=2024-12-31", 'For Tally'!L:L, $B$5:$D$5))</f>
        <v/>
      </c>
      <c r="K38" s="108">
        <f>SUMPRODUCT(SUMIFS('For Tally'!D:D, 'For Tally'!H:H, $A38, 'For Tally'!A:A, "&gt;=2025-01-01", 'For Tally'!A:A, "&lt;=2025-01-31", 'For Tally'!L:L, $B$5:$D$5))</f>
        <v/>
      </c>
      <c r="L38" s="108">
        <f>SUMPRODUCT(SUMIFS('For Tally'!D:D, 'For Tally'!H:H, $A38, 'For Tally'!A:A, "&gt;=2025-02-01", 'For Tally'!A:A, "&lt;=2025-02-28", 'For Tally'!L:L, $B$5:$D$5))</f>
        <v/>
      </c>
      <c r="M38" s="108">
        <f>SUMPRODUCT(SUMIFS('For Tally'!D:D, 'For Tally'!H:H, $A38, 'For Tally'!A:A, "&gt;=2025-03-01", 'For Tally'!A:A, "&lt;=2025-03-31", 'For Tally'!L:L, $B$5:$D$5))</f>
        <v/>
      </c>
      <c r="N38" s="108">
        <f>SUM(B38:M38)</f>
        <v/>
      </c>
    </row>
    <row r="39">
      <c r="A39" s="127" t="inlineStr">
        <is>
          <t>Mutual Funds</t>
        </is>
      </c>
      <c r="B39" s="127">
        <f>SUMPRODUCT(SUMIFS('For Tally'!D:D, 'For Tally'!H:H, $A39, 'For Tally'!A:A, "&gt;=2024-04-01", 'For Tally'!A:A, "&lt;=2024-04-30", 'For Tally'!L:L, $B$5:$D$5))</f>
        <v/>
      </c>
      <c r="C39" s="127">
        <f>SUMPRODUCT(SUMIFS('For Tally'!D:D, 'For Tally'!H:H, $A39, 'For Tally'!A:A, "&gt;=2024-05-01", 'For Tally'!A:A, "&lt;=2024-05-31", 'For Tally'!L:L, $B$5:$D$5))</f>
        <v/>
      </c>
      <c r="D39" s="127">
        <f>SUMPRODUCT(SUMIFS('For Tally'!D:D, 'For Tally'!H:H, $A39, 'For Tally'!A:A, "&gt;=2024-06-01", 'For Tally'!A:A, "&lt;=2024-06-30", 'For Tally'!L:L, $B$5:$D$5))</f>
        <v/>
      </c>
      <c r="E39" s="127">
        <f>SUMPRODUCT(SUMIFS('For Tally'!D:D, 'For Tally'!H:H, $A39, 'For Tally'!A:A, "&gt;=2024-07-01", 'For Tally'!A:A, "&lt;=2024-07-31", 'For Tally'!L:L, $B$5:$D$5))</f>
        <v/>
      </c>
      <c r="F39" s="127">
        <f>SUMPRODUCT(SUMIFS('For Tally'!D:D, 'For Tally'!H:H, $A39, 'For Tally'!A:A, "&gt;=2024-08-01", 'For Tally'!A:A, "&lt;=2024-08-31", 'For Tally'!L:L, $B$5:$D$5))</f>
        <v/>
      </c>
      <c r="G39" s="127">
        <f>SUMPRODUCT(SUMIFS('For Tally'!D:D, 'For Tally'!H:H, $A39, 'For Tally'!A:A, "&gt;=2024-09-01", 'For Tally'!A:A, "&lt;=2024-09-30", 'For Tally'!L:L, $B$5:$D$5))</f>
        <v/>
      </c>
      <c r="H39" s="127">
        <f>SUMPRODUCT(SUMIFS('For Tally'!D:D, 'For Tally'!H:H, $A39, 'For Tally'!A:A, "&gt;=2024-10-01", 'For Tally'!A:A, "&lt;=2024-10-31", 'For Tally'!L:L, $B$5:$D$5))</f>
        <v/>
      </c>
      <c r="I39" s="127">
        <f>SUMPRODUCT(SUMIFS('For Tally'!D:D, 'For Tally'!H:H, $A39, 'For Tally'!A:A, "&gt;=2024-11-01", 'For Tally'!A:A, "&lt;=2024-11-30", 'For Tally'!L:L, $B$5:$D$5))</f>
        <v/>
      </c>
      <c r="J39" s="127">
        <f>SUMPRODUCT(SUMIFS('For Tally'!D:D, 'For Tally'!H:H, $A39, 'For Tally'!A:A, "&gt;=2024-12-01", 'For Tally'!A:A, "&lt;=2024-12-31", 'For Tally'!L:L, $B$5:$D$5))</f>
        <v/>
      </c>
      <c r="K39" s="127">
        <f>SUMPRODUCT(SUMIFS('For Tally'!D:D, 'For Tally'!H:H, $A39, 'For Tally'!A:A, "&gt;=2025-01-01", 'For Tally'!A:A, "&lt;=2025-01-31", 'For Tally'!L:L, $B$5:$D$5))</f>
        <v/>
      </c>
      <c r="L39" s="127">
        <f>SUMPRODUCT(SUMIFS('For Tally'!D:D, 'For Tally'!H:H, $A39, 'For Tally'!A:A, "&gt;=2025-02-01", 'For Tally'!A:A, "&lt;=2025-02-28", 'For Tally'!L:L, $B$5:$D$5))</f>
        <v/>
      </c>
      <c r="M39" s="127">
        <f>SUMPRODUCT(SUMIFS('For Tally'!D:D, 'For Tally'!H:H, $A39, 'For Tally'!A:A, "&gt;=2025-03-01", 'For Tally'!A:A, "&lt;=2025-03-31", 'For Tally'!L:L, $B$5:$D$5))</f>
        <v/>
      </c>
      <c r="N39" s="127">
        <f>SUM(B39:M39)</f>
        <v/>
      </c>
    </row>
    <row r="40">
      <c r="A40" s="127" t="inlineStr">
        <is>
          <t>Personal</t>
        </is>
      </c>
      <c r="B40" s="127">
        <f>SUMPRODUCT(SUMIFS('For Tally'!D:D, 'For Tally'!H:H, $A40, 'For Tally'!A:A, "&gt;=2024-04-01", 'For Tally'!A:A, "&lt;=2024-04-30", 'For Tally'!L:L, $B$5:$D$5))</f>
        <v/>
      </c>
      <c r="C40" s="127">
        <f>SUMPRODUCT(SUMIFS('For Tally'!D:D, 'For Tally'!H:H, $A40, 'For Tally'!A:A, "&gt;=2024-05-01", 'For Tally'!A:A, "&lt;=2024-05-31", 'For Tally'!L:L, $B$5:$D$5))</f>
        <v/>
      </c>
      <c r="D40" s="127">
        <f>SUMPRODUCT(SUMIFS('For Tally'!D:D, 'For Tally'!H:H, $A40, 'For Tally'!A:A, "&gt;=2024-06-01", 'For Tally'!A:A, "&lt;=2024-06-30", 'For Tally'!L:L, $B$5:$D$5))</f>
        <v/>
      </c>
      <c r="E40" s="127">
        <f>SUMPRODUCT(SUMIFS('For Tally'!D:D, 'For Tally'!H:H, $A40, 'For Tally'!A:A, "&gt;=2024-07-01", 'For Tally'!A:A, "&lt;=2024-07-31", 'For Tally'!L:L, $B$5:$D$5))</f>
        <v/>
      </c>
      <c r="F40" s="127">
        <f>SUMPRODUCT(SUMIFS('For Tally'!D:D, 'For Tally'!H:H, $A40, 'For Tally'!A:A, "&gt;=2024-08-01", 'For Tally'!A:A, "&lt;=2024-08-31", 'For Tally'!L:L, $B$5:$D$5))</f>
        <v/>
      </c>
      <c r="G40" s="127">
        <f>SUMPRODUCT(SUMIFS('For Tally'!D:D, 'For Tally'!H:H, $A40, 'For Tally'!A:A, "&gt;=2024-09-01", 'For Tally'!A:A, "&lt;=2024-09-30", 'For Tally'!L:L, $B$5:$D$5))</f>
        <v/>
      </c>
      <c r="H40" s="127">
        <f>SUMPRODUCT(SUMIFS('For Tally'!D:D, 'For Tally'!H:H, $A40, 'For Tally'!A:A, "&gt;=2024-10-01", 'For Tally'!A:A, "&lt;=2024-10-31", 'For Tally'!L:L, $B$5:$D$5))</f>
        <v/>
      </c>
      <c r="I40" s="127">
        <f>SUMPRODUCT(SUMIFS('For Tally'!D:D, 'For Tally'!H:H, $A40, 'For Tally'!A:A, "&gt;=2024-11-01", 'For Tally'!A:A, "&lt;=2024-11-30", 'For Tally'!L:L, $B$5:$D$5))</f>
        <v/>
      </c>
      <c r="J40" s="127">
        <f>SUMPRODUCT(SUMIFS('For Tally'!D:D, 'For Tally'!H:H, $A40, 'For Tally'!A:A, "&gt;=2024-12-01", 'For Tally'!A:A, "&lt;=2024-12-31", 'For Tally'!L:L, $B$5:$D$5))</f>
        <v/>
      </c>
      <c r="K40" s="127">
        <f>SUMPRODUCT(SUMIFS('For Tally'!D:D, 'For Tally'!H:H, $A40, 'For Tally'!A:A, "&gt;=2025-01-01", 'For Tally'!A:A, "&lt;=2025-01-31", 'For Tally'!L:L, $B$5:$D$5))</f>
        <v/>
      </c>
      <c r="L40" s="127">
        <f>SUMPRODUCT(SUMIFS('For Tally'!D:D, 'For Tally'!H:H, $A40, 'For Tally'!A:A, "&gt;=2025-02-01", 'For Tally'!A:A, "&lt;=2025-02-28", 'For Tally'!L:L, $B$5:$D$5))</f>
        <v/>
      </c>
      <c r="M40" s="127">
        <f>SUMPRODUCT(SUMIFS('For Tally'!D:D, 'For Tally'!H:H, $A40, 'For Tally'!A:A, "&gt;=2025-03-01", 'For Tally'!A:A, "&lt;=2025-03-31", 'For Tally'!L:L, $B$5:$D$5))</f>
        <v/>
      </c>
      <c r="N40" s="127">
        <f>SUM(B40:M40)</f>
        <v/>
      </c>
    </row>
    <row r="41">
      <c r="A41" s="127" t="inlineStr">
        <is>
          <t>Shopping</t>
        </is>
      </c>
      <c r="B41" s="127">
        <f>SUMPRODUCT(SUMIFS('For Tally'!D:D, 'For Tally'!H:H, $A41, 'For Tally'!A:A, "&gt;=2024-04-01", 'For Tally'!A:A, "&lt;=2024-04-30", 'For Tally'!L:L, $B$5:$D$5))</f>
        <v/>
      </c>
      <c r="C41" s="127">
        <f>SUMPRODUCT(SUMIFS('For Tally'!D:D, 'For Tally'!H:H, $A41, 'For Tally'!A:A, "&gt;=2024-05-01", 'For Tally'!A:A, "&lt;=2024-05-31", 'For Tally'!L:L, $B$5:$D$5))</f>
        <v/>
      </c>
      <c r="D41" s="127">
        <f>SUMPRODUCT(SUMIFS('For Tally'!D:D, 'For Tally'!H:H, $A41, 'For Tally'!A:A, "&gt;=2024-06-01", 'For Tally'!A:A, "&lt;=2024-06-30", 'For Tally'!L:L, $B$5:$D$5))</f>
        <v/>
      </c>
      <c r="E41" s="127">
        <f>SUMPRODUCT(SUMIFS('For Tally'!D:D, 'For Tally'!H:H, $A41, 'For Tally'!A:A, "&gt;=2024-07-01", 'For Tally'!A:A, "&lt;=2024-07-31", 'For Tally'!L:L, $B$5:$D$5))</f>
        <v/>
      </c>
      <c r="F41" s="127">
        <f>SUMPRODUCT(SUMIFS('For Tally'!D:D, 'For Tally'!H:H, $A41, 'For Tally'!A:A, "&gt;=2024-08-01", 'For Tally'!A:A, "&lt;=2024-08-31", 'For Tally'!L:L, $B$5:$D$5))</f>
        <v/>
      </c>
      <c r="G41" s="127">
        <f>SUMPRODUCT(SUMIFS('For Tally'!D:D, 'For Tally'!H:H, $A41, 'For Tally'!A:A, "&gt;=2024-09-01", 'For Tally'!A:A, "&lt;=2024-09-30", 'For Tally'!L:L, $B$5:$D$5))</f>
        <v/>
      </c>
      <c r="H41" s="127">
        <f>SUMPRODUCT(SUMIFS('For Tally'!D:D, 'For Tally'!H:H, $A41, 'For Tally'!A:A, "&gt;=2024-10-01", 'For Tally'!A:A, "&lt;=2024-10-31", 'For Tally'!L:L, $B$5:$D$5))</f>
        <v/>
      </c>
      <c r="I41" s="127">
        <f>SUMPRODUCT(SUMIFS('For Tally'!D:D, 'For Tally'!H:H, $A41, 'For Tally'!A:A, "&gt;=2024-11-01", 'For Tally'!A:A, "&lt;=2024-11-30", 'For Tally'!L:L, $B$5:$D$5))</f>
        <v/>
      </c>
      <c r="J41" s="127">
        <f>SUMPRODUCT(SUMIFS('For Tally'!D:D, 'For Tally'!H:H, $A41, 'For Tally'!A:A, "&gt;=2024-12-01", 'For Tally'!A:A, "&lt;=2024-12-31", 'For Tally'!L:L, $B$5:$D$5))</f>
        <v/>
      </c>
      <c r="K41" s="127">
        <f>SUMPRODUCT(SUMIFS('For Tally'!D:D, 'For Tally'!H:H, $A41, 'For Tally'!A:A, "&gt;=2025-01-01", 'For Tally'!A:A, "&lt;=2025-01-31", 'For Tally'!L:L, $B$5:$D$5))</f>
        <v/>
      </c>
      <c r="L41" s="127">
        <f>SUMPRODUCT(SUMIFS('For Tally'!D:D, 'For Tally'!H:H, $A41, 'For Tally'!A:A, "&gt;=2025-02-01", 'For Tally'!A:A, "&lt;=2025-02-28", 'For Tally'!L:L, $B$5:$D$5))</f>
        <v/>
      </c>
      <c r="M41" s="127">
        <f>SUMPRODUCT(SUMIFS('For Tally'!D:D, 'For Tally'!H:H, $A41, 'For Tally'!A:A, "&gt;=2025-03-01", 'For Tally'!A:A, "&lt;=2025-03-31", 'For Tally'!L:L, $B$5:$D$5))</f>
        <v/>
      </c>
      <c r="N41" s="127">
        <f>SUM(B41:M41)</f>
        <v/>
      </c>
    </row>
    <row r="42">
      <c r="A42" s="127" t="inlineStr">
        <is>
          <t>Sunita Gupta</t>
        </is>
      </c>
      <c r="B42" s="127">
        <f>SUMPRODUCT(SUMIFS('For Tally'!D:D, 'For Tally'!H:H, $A42, 'For Tally'!A:A, "&gt;=2024-04-01", 'For Tally'!A:A, "&lt;=2024-04-30", 'For Tally'!L:L, $B$5:$D$5))</f>
        <v/>
      </c>
      <c r="C42" s="127">
        <f>SUMPRODUCT(SUMIFS('For Tally'!D:D, 'For Tally'!H:H, $A42, 'For Tally'!A:A, "&gt;=2024-05-01", 'For Tally'!A:A, "&lt;=2024-05-31", 'For Tally'!L:L, $B$5:$D$5))</f>
        <v/>
      </c>
      <c r="D42" s="127">
        <f>SUMPRODUCT(SUMIFS('For Tally'!D:D, 'For Tally'!H:H, $A42, 'For Tally'!A:A, "&gt;=2024-06-01", 'For Tally'!A:A, "&lt;=2024-06-30", 'For Tally'!L:L, $B$5:$D$5))</f>
        <v/>
      </c>
      <c r="E42" s="127">
        <f>SUMPRODUCT(SUMIFS('For Tally'!D:D, 'For Tally'!H:H, $A42, 'For Tally'!A:A, "&gt;=2024-07-01", 'For Tally'!A:A, "&lt;=2024-07-31", 'For Tally'!L:L, $B$5:$D$5))</f>
        <v/>
      </c>
      <c r="F42" s="127">
        <f>SUMPRODUCT(SUMIFS('For Tally'!D:D, 'For Tally'!H:H, $A42, 'For Tally'!A:A, "&gt;=2024-08-01", 'For Tally'!A:A, "&lt;=2024-08-31", 'For Tally'!L:L, $B$5:$D$5))</f>
        <v/>
      </c>
      <c r="G42" s="127">
        <f>SUMPRODUCT(SUMIFS('For Tally'!D:D, 'For Tally'!H:H, $A42, 'For Tally'!A:A, "&gt;=2024-09-01", 'For Tally'!A:A, "&lt;=2024-09-30", 'For Tally'!L:L, $B$5:$D$5))</f>
        <v/>
      </c>
      <c r="H42" s="127">
        <f>SUMPRODUCT(SUMIFS('For Tally'!D:D, 'For Tally'!H:H, $A42, 'For Tally'!A:A, "&gt;=2024-10-01", 'For Tally'!A:A, "&lt;=2024-10-31", 'For Tally'!L:L, $B$5:$D$5))</f>
        <v/>
      </c>
      <c r="I42" s="127">
        <f>SUMPRODUCT(SUMIFS('For Tally'!D:D, 'For Tally'!H:H, $A42, 'For Tally'!A:A, "&gt;=2024-11-01", 'For Tally'!A:A, "&lt;=2024-11-30", 'For Tally'!L:L, $B$5:$D$5))</f>
        <v/>
      </c>
      <c r="J42" s="127">
        <f>SUMPRODUCT(SUMIFS('For Tally'!D:D, 'For Tally'!H:H, $A42, 'For Tally'!A:A, "&gt;=2024-12-01", 'For Tally'!A:A, "&lt;=2024-12-31", 'For Tally'!L:L, $B$5:$D$5))</f>
        <v/>
      </c>
      <c r="K42" s="127">
        <f>SUMPRODUCT(SUMIFS('For Tally'!D:D, 'For Tally'!H:H, $A42, 'For Tally'!A:A, "&gt;=2025-01-01", 'For Tally'!A:A, "&lt;=2025-01-31", 'For Tally'!L:L, $B$5:$D$5))</f>
        <v/>
      </c>
      <c r="L42" s="127">
        <f>SUMPRODUCT(SUMIFS('For Tally'!D:D, 'For Tally'!H:H, $A42, 'For Tally'!A:A, "&gt;=2025-02-01", 'For Tally'!A:A, "&lt;=2025-02-28", 'For Tally'!L:L, $B$5:$D$5))</f>
        <v/>
      </c>
      <c r="M42" s="127">
        <f>SUMPRODUCT(SUMIFS('For Tally'!D:D, 'For Tally'!H:H, $A42, 'For Tally'!A:A, "&gt;=2025-03-01", 'For Tally'!A:A, "&lt;=2025-03-31", 'For Tally'!L:L, $B$5:$D$5))</f>
        <v/>
      </c>
      <c r="N42" s="127">
        <f>SUM(B42:M42)</f>
        <v/>
      </c>
    </row>
    <row r="43">
      <c r="A43" s="127" t="inlineStr">
        <is>
          <t>Suspense</t>
        </is>
      </c>
      <c r="B43" s="127">
        <f>SUMPRODUCT(SUMIFS('For Tally'!D:D, 'For Tally'!H:H, $A43, 'For Tally'!A:A, "&gt;=2024-04-01", 'For Tally'!A:A, "&lt;=2024-04-30", 'For Tally'!L:L, $B$5:$D$5))</f>
        <v/>
      </c>
      <c r="C43" s="127">
        <f>SUMPRODUCT(SUMIFS('For Tally'!D:D, 'For Tally'!H:H, $A43, 'For Tally'!A:A, "&gt;=2024-05-01", 'For Tally'!A:A, "&lt;=2024-05-31", 'For Tally'!L:L, $B$5:$D$5))</f>
        <v/>
      </c>
      <c r="D43" s="127">
        <f>SUMPRODUCT(SUMIFS('For Tally'!D:D, 'For Tally'!H:H, $A43, 'For Tally'!A:A, "&gt;=2024-06-01", 'For Tally'!A:A, "&lt;=2024-06-30", 'For Tally'!L:L, $B$5:$D$5))</f>
        <v/>
      </c>
      <c r="E43" s="127">
        <f>SUMPRODUCT(SUMIFS('For Tally'!D:D, 'For Tally'!H:H, $A43, 'For Tally'!A:A, "&gt;=2024-07-01", 'For Tally'!A:A, "&lt;=2024-07-31", 'For Tally'!L:L, $B$5:$D$5))</f>
        <v/>
      </c>
      <c r="F43" s="127">
        <f>SUMPRODUCT(SUMIFS('For Tally'!D:D, 'For Tally'!H:H, $A43, 'For Tally'!A:A, "&gt;=2024-08-01", 'For Tally'!A:A, "&lt;=2024-08-31", 'For Tally'!L:L, $B$5:$D$5))</f>
        <v/>
      </c>
      <c r="G43" s="127">
        <f>SUMPRODUCT(SUMIFS('For Tally'!D:D, 'For Tally'!H:H, $A43, 'For Tally'!A:A, "&gt;=2024-09-01", 'For Tally'!A:A, "&lt;=2024-09-30", 'For Tally'!L:L, $B$5:$D$5))</f>
        <v/>
      </c>
      <c r="H43" s="127">
        <f>SUMPRODUCT(SUMIFS('For Tally'!D:D, 'For Tally'!H:H, $A43, 'For Tally'!A:A, "&gt;=2024-10-01", 'For Tally'!A:A, "&lt;=2024-10-31", 'For Tally'!L:L, $B$5:$D$5))</f>
        <v/>
      </c>
      <c r="I43" s="127">
        <f>SUMPRODUCT(SUMIFS('For Tally'!D:D, 'For Tally'!H:H, $A43, 'For Tally'!A:A, "&gt;=2024-11-01", 'For Tally'!A:A, "&lt;=2024-11-30", 'For Tally'!L:L, $B$5:$D$5))</f>
        <v/>
      </c>
      <c r="J43" s="127">
        <f>SUMPRODUCT(SUMIFS('For Tally'!D:D, 'For Tally'!H:H, $A43, 'For Tally'!A:A, "&gt;=2024-12-01", 'For Tally'!A:A, "&lt;=2024-12-31", 'For Tally'!L:L, $B$5:$D$5))</f>
        <v/>
      </c>
      <c r="K43" s="127">
        <f>SUMPRODUCT(SUMIFS('For Tally'!D:D, 'For Tally'!H:H, $A43, 'For Tally'!A:A, "&gt;=2025-01-01", 'For Tally'!A:A, "&lt;=2025-01-31", 'For Tally'!L:L, $B$5:$D$5))</f>
        <v/>
      </c>
      <c r="L43" s="127">
        <f>SUMPRODUCT(SUMIFS('For Tally'!D:D, 'For Tally'!H:H, $A43, 'For Tally'!A:A, "&gt;=2025-02-01", 'For Tally'!A:A, "&lt;=2025-02-28", 'For Tally'!L:L, $B$5:$D$5))</f>
        <v/>
      </c>
      <c r="M43" s="127">
        <f>SUMPRODUCT(SUMIFS('For Tally'!D:D, 'For Tally'!H:H, $A43, 'For Tally'!A:A, "&gt;=2025-03-01", 'For Tally'!A:A, "&lt;=2025-03-31", 'For Tally'!L:L, $B$5:$D$5))</f>
        <v/>
      </c>
      <c r="N43" s="127">
        <f>SUM(B43:M43)</f>
        <v/>
      </c>
    </row>
    <row r="44">
      <c r="A44" s="127" t="inlineStr">
        <is>
          <t>Transfer</t>
        </is>
      </c>
      <c r="B44" s="127">
        <f>SUMPRODUCT(SUMIFS('For Tally'!D:D, 'For Tally'!H:H, $A44, 'For Tally'!A:A, "&gt;=2024-04-01", 'For Tally'!A:A, "&lt;=2024-04-30", 'For Tally'!L:L, $B$5:$D$5))</f>
        <v/>
      </c>
      <c r="C44" s="127">
        <f>SUMPRODUCT(SUMIFS('For Tally'!D:D, 'For Tally'!H:H, $A44, 'For Tally'!A:A, "&gt;=2024-05-01", 'For Tally'!A:A, "&lt;=2024-05-31", 'For Tally'!L:L, $B$5:$D$5))</f>
        <v/>
      </c>
      <c r="D44" s="127">
        <f>SUMPRODUCT(SUMIFS('For Tally'!D:D, 'For Tally'!H:H, $A44, 'For Tally'!A:A, "&gt;=2024-06-01", 'For Tally'!A:A, "&lt;=2024-06-30", 'For Tally'!L:L, $B$5:$D$5))</f>
        <v/>
      </c>
      <c r="E44" s="127">
        <f>SUMPRODUCT(SUMIFS('For Tally'!D:D, 'For Tally'!H:H, $A44, 'For Tally'!A:A, "&gt;=2024-07-01", 'For Tally'!A:A, "&lt;=2024-07-31", 'For Tally'!L:L, $B$5:$D$5))</f>
        <v/>
      </c>
      <c r="F44" s="127">
        <f>SUMPRODUCT(SUMIFS('For Tally'!D:D, 'For Tally'!H:H, $A44, 'For Tally'!A:A, "&gt;=2024-08-01", 'For Tally'!A:A, "&lt;=2024-08-31", 'For Tally'!L:L, $B$5:$D$5))</f>
        <v/>
      </c>
      <c r="G44" s="127">
        <f>SUMPRODUCT(SUMIFS('For Tally'!D:D, 'For Tally'!H:H, $A44, 'For Tally'!A:A, "&gt;=2024-09-01", 'For Tally'!A:A, "&lt;=2024-09-30", 'For Tally'!L:L, $B$5:$D$5))</f>
        <v/>
      </c>
      <c r="H44" s="127">
        <f>SUMPRODUCT(SUMIFS('For Tally'!D:D, 'For Tally'!H:H, $A44, 'For Tally'!A:A, "&gt;=2024-10-01", 'For Tally'!A:A, "&lt;=2024-10-31", 'For Tally'!L:L, $B$5:$D$5))</f>
        <v/>
      </c>
      <c r="I44" s="127">
        <f>SUMPRODUCT(SUMIFS('For Tally'!D:D, 'For Tally'!H:H, $A44, 'For Tally'!A:A, "&gt;=2024-11-01", 'For Tally'!A:A, "&lt;=2024-11-30", 'For Tally'!L:L, $B$5:$D$5))</f>
        <v/>
      </c>
      <c r="J44" s="127">
        <f>SUMPRODUCT(SUMIFS('For Tally'!D:D, 'For Tally'!H:H, $A44, 'For Tally'!A:A, "&gt;=2024-12-01", 'For Tally'!A:A, "&lt;=2024-12-31", 'For Tally'!L:L, $B$5:$D$5))</f>
        <v/>
      </c>
      <c r="K44" s="127">
        <f>SUMPRODUCT(SUMIFS('For Tally'!D:D, 'For Tally'!H:H, $A44, 'For Tally'!A:A, "&gt;=2025-01-01", 'For Tally'!A:A, "&lt;=2025-01-31", 'For Tally'!L:L, $B$5:$D$5))</f>
        <v/>
      </c>
      <c r="L44" s="127">
        <f>SUMPRODUCT(SUMIFS('For Tally'!D:D, 'For Tally'!H:H, $A44, 'For Tally'!A:A, "&gt;=2025-02-01", 'For Tally'!A:A, "&lt;=2025-02-28", 'For Tally'!L:L, $B$5:$D$5))</f>
        <v/>
      </c>
      <c r="M44" s="127">
        <f>SUMPRODUCT(SUMIFS('For Tally'!D:D, 'For Tally'!H:H, $A44, 'For Tally'!A:A, "&gt;=2025-03-01", 'For Tally'!A:A, "&lt;=2025-03-31", 'For Tally'!L:L, $B$5:$D$5))</f>
        <v/>
      </c>
      <c r="N44" s="127">
        <f>SUM(B44:M44)</f>
        <v/>
      </c>
    </row>
    <row r="45">
      <c r="A45" s="148" t="inlineStr">
        <is>
          <t>MONTHLY TOTAL</t>
        </is>
      </c>
      <c r="B45" s="148">
        <f>SUM(B31:B44)</f>
        <v/>
      </c>
      <c r="C45" s="148">
        <f>SUM(C31:C44)</f>
        <v/>
      </c>
      <c r="D45" s="148">
        <f>SUM(D31:D44)</f>
        <v/>
      </c>
      <c r="E45" s="148">
        <f>SUM(E31:E44)</f>
        <v/>
      </c>
      <c r="F45" s="148">
        <f>SUM(F31:F44)</f>
        <v/>
      </c>
      <c r="G45" s="148">
        <f>SUM(G31:G44)</f>
        <v/>
      </c>
      <c r="H45" s="148">
        <f>SUM(H31:H44)</f>
        <v/>
      </c>
      <c r="I45" s="148">
        <f>SUM(I31:I44)</f>
        <v/>
      </c>
      <c r="J45" s="148">
        <f>SUM(J31:J44)</f>
        <v/>
      </c>
      <c r="K45" s="148">
        <f>SUM(K31:K44)</f>
        <v/>
      </c>
      <c r="L45" s="148">
        <f>SUM(L31:L44)</f>
        <v/>
      </c>
      <c r="M45" s="148">
        <f>SUM(M31:M44)</f>
        <v/>
      </c>
      <c r="N45" s="148">
        <f>SUM(N31:N44)</f>
        <v/>
      </c>
    </row>
  </sheetData>
  <dataValidations count="1">
    <dataValidation sqref="B4 C4 D4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D6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50" customWidth="1" min="4" max="4"/>
  </cols>
  <sheetData>
    <row r="2">
      <c r="B2" s="149" t="inlineStr">
        <is>
          <t>Workbook Colour Legend</t>
        </is>
      </c>
    </row>
    <row r="5">
      <c r="B5" s="150" t="inlineStr">
        <is>
          <t>INCOME &amp; INFLOWS</t>
        </is>
      </c>
      <c r="C5" s="151" t="inlineStr">
        <is>
          <t>Colour Code</t>
        </is>
      </c>
      <c r="D5" s="152" t="inlineStr">
        <is>
          <t>Description</t>
        </is>
      </c>
    </row>
    <row r="7">
      <c r="B7" s="153" t="inlineStr">
        <is>
          <t>Salary</t>
        </is>
      </c>
      <c r="C7" s="154" t="inlineStr">
        <is>
          <t>Sample Fill</t>
        </is>
      </c>
      <c r="D7" s="155" t="inlineStr">
        <is>
          <t>Salary Credit (Mphasis)</t>
        </is>
      </c>
    </row>
    <row r="8">
      <c r="B8" s="153" t="inlineStr">
        <is>
          <t>Bank Interest</t>
        </is>
      </c>
      <c r="C8" s="156" t="inlineStr">
        <is>
          <t>Sample Fill</t>
        </is>
      </c>
      <c r="D8" s="155" t="inlineStr">
        <is>
          <t>Interest earned on Savings accounts</t>
        </is>
      </c>
    </row>
    <row r="9">
      <c r="B9" s="153" t="inlineStr">
        <is>
          <t>Dividend Income</t>
        </is>
      </c>
      <c r="C9" s="157" t="inlineStr">
        <is>
          <t>Sample Fill</t>
        </is>
      </c>
      <c r="D9" s="155" t="inlineStr">
        <is>
          <t>Dividend payout from shares</t>
        </is>
      </c>
    </row>
    <row r="10">
      <c r="B10" s="153" t="inlineStr">
        <is>
          <t>Annuity Income</t>
        </is>
      </c>
      <c r="C10" s="158" t="inlineStr">
        <is>
          <t>Sample Fill</t>
        </is>
      </c>
      <c r="D10" s="155" t="inlineStr">
        <is>
          <t>Annuity credits (HDFC Life)</t>
        </is>
      </c>
    </row>
    <row r="11">
      <c r="B11" s="153" t="inlineStr">
        <is>
          <t>Income Tax Refund</t>
        </is>
      </c>
      <c r="C11" s="159" t="inlineStr">
        <is>
          <t>Sample Fill</t>
        </is>
      </c>
      <c r="D11" s="155" t="inlineStr">
        <is>
          <t>Income Tax Refund from Department</t>
        </is>
      </c>
    </row>
    <row r="12">
      <c r="B12" s="153" t="inlineStr">
        <is>
          <t>MF Redemption</t>
        </is>
      </c>
      <c r="C12" s="160" t="inlineStr">
        <is>
          <t>Sample Fill</t>
        </is>
      </c>
      <c r="D12" s="155" t="inlineStr">
        <is>
          <t>Inflows from selling Mutual Funds</t>
        </is>
      </c>
    </row>
    <row r="13">
      <c r="B13" s="153" t="inlineStr">
        <is>
          <t>Upwork Income</t>
        </is>
      </c>
      <c r="C13" s="161" t="inlineStr">
        <is>
          <t>Sample Fill</t>
        </is>
      </c>
      <c r="D13" s="155" t="inlineStr">
        <is>
          <t>Inward remittances from Upwork freelancing</t>
        </is>
      </c>
    </row>
    <row r="14">
      <c r="B14" s="153" t="inlineStr">
        <is>
          <t>Cash Deposit</t>
        </is>
      </c>
      <c r="C14" s="154" t="inlineStr">
        <is>
          <t>Sample Fill</t>
        </is>
      </c>
      <c r="D14" s="155" t="inlineStr">
        <is>
          <t>Cash deposits made at CDM / Branch</t>
        </is>
      </c>
    </row>
    <row r="15">
      <c r="B15" s="153" t="inlineStr">
        <is>
          <t>Freelance Income</t>
        </is>
      </c>
      <c r="C15" s="161" t="inlineStr">
        <is>
          <t>Sample Fill</t>
        </is>
      </c>
      <c r="D15" s="155" t="inlineStr">
        <is>
          <t>Freelance work escrow payouts</t>
        </is>
      </c>
    </row>
    <row r="16">
      <c r="B16" s="153" t="inlineStr">
        <is>
          <t>Cashback - BHIM</t>
        </is>
      </c>
      <c r="C16" s="162" t="inlineStr">
        <is>
          <t>Sample Fill</t>
        </is>
      </c>
      <c r="D16" s="155" t="inlineStr">
        <is>
          <t>Cashback rewards earned on BHIM app</t>
        </is>
      </c>
    </row>
    <row r="17">
      <c r="B17" s="153" t="inlineStr">
        <is>
          <t>Cashback - Kiwi</t>
        </is>
      </c>
      <c r="C17" s="162" t="inlineStr">
        <is>
          <t>Sample Fill</t>
        </is>
      </c>
      <c r="D17" s="155" t="inlineStr">
        <is>
          <t>Cashback rewards earned on Kiwi app</t>
        </is>
      </c>
    </row>
    <row r="18">
      <c r="B18" s="163" t="inlineStr">
        <is>
          <t>INVESTMENTS</t>
        </is>
      </c>
      <c r="C18" s="164" t="inlineStr">
        <is>
          <t>Sample Fill</t>
        </is>
      </c>
      <c r="D18" s="155" t="inlineStr">
        <is>
          <t>Refund from Wakefit for online shopping</t>
        </is>
      </c>
    </row>
    <row r="20">
      <c r="B20" s="153" t="inlineStr">
        <is>
          <t>SIP</t>
        </is>
      </c>
      <c r="C20" s="165" t="inlineStr">
        <is>
          <t>Sample Fill</t>
        </is>
      </c>
      <c r="D20" s="155" t="inlineStr">
        <is>
          <t>Monthly Mutual Fund SIP payments</t>
        </is>
      </c>
    </row>
    <row r="21">
      <c r="B21" s="153" t="inlineStr">
        <is>
          <t>MF Investment</t>
        </is>
      </c>
      <c r="C21" s="165" t="inlineStr">
        <is>
          <t>Sample Fill</t>
        </is>
      </c>
      <c r="D21" s="155" t="inlineStr">
        <is>
          <t>Lumpsum Mutual Fund investments</t>
        </is>
      </c>
    </row>
    <row r="22">
      <c r="B22" s="153" t="inlineStr">
        <is>
          <t>Auto Sweep FD</t>
        </is>
      </c>
      <c r="C22" s="166" t="inlineStr">
        <is>
          <t>Sample Fill</t>
        </is>
      </c>
      <c r="D22" s="155" t="inlineStr">
        <is>
          <t>Sweep in/out between Savings and FD</t>
        </is>
      </c>
    </row>
    <row r="23">
      <c r="B23" s="153" t="inlineStr">
        <is>
          <t>Depository Credit</t>
        </is>
      </c>
      <c r="C23" s="158" t="inlineStr">
        <is>
          <t>Sample Fill</t>
        </is>
      </c>
      <c r="D23" s="155" t="inlineStr">
        <is>
          <t>CDSL credits / payouts</t>
        </is>
      </c>
    </row>
    <row r="24">
      <c r="B24" s="153" t="inlineStr">
        <is>
          <t>Zerodha Broking</t>
        </is>
      </c>
      <c r="C24" s="165" t="inlineStr">
        <is>
          <t>Sample Fill</t>
        </is>
      </c>
      <c r="D24" s="155" t="inlineStr">
        <is>
          <t>Payments/payouts associated with Zerodha</t>
        </is>
      </c>
    </row>
    <row r="25">
      <c r="B25" s="163" t="inlineStr">
        <is>
          <t>REGULAR OUTFLOWS &amp; INSURANCE</t>
        </is>
      </c>
      <c r="C25" s="167" t="inlineStr">
        <is>
          <t>Sample Fill</t>
        </is>
      </c>
      <c r="D25" s="155" t="inlineStr">
        <is>
          <t>Settlement transfers to HDFC Securities</t>
        </is>
      </c>
    </row>
    <row r="27">
      <c r="B27" s="153" t="inlineStr">
        <is>
          <t>Rent</t>
        </is>
      </c>
      <c r="C27" s="168" t="inlineStr">
        <is>
          <t>Sample Fill</t>
        </is>
      </c>
      <c r="D27" s="155" t="inlineStr">
        <is>
          <t>Rent payments to landlord</t>
        </is>
      </c>
    </row>
    <row r="28">
      <c r="B28" s="153" t="inlineStr">
        <is>
          <t>Insurance Premium</t>
        </is>
      </c>
      <c r="C28" s="169" t="inlineStr">
        <is>
          <t>Sample Fill</t>
        </is>
      </c>
      <c r="D28" s="155" t="inlineStr">
        <is>
          <t>Life / general insurance premium payments</t>
        </is>
      </c>
    </row>
    <row r="29">
      <c r="B29" s="153" t="inlineStr">
        <is>
          <t>Health Insurance</t>
        </is>
      </c>
      <c r="C29" s="168" t="inlineStr">
        <is>
          <t>Sample Fill</t>
        </is>
      </c>
      <c r="D29" s="155" t="inlineStr">
        <is>
          <t>Health insurance premium payments</t>
        </is>
      </c>
    </row>
    <row r="30">
      <c r="B30" s="153" t="inlineStr">
        <is>
          <t>Security Deposit</t>
        </is>
      </c>
      <c r="C30" s="170" t="inlineStr">
        <is>
          <t>Sample Fill</t>
        </is>
      </c>
      <c r="D30" s="155" t="inlineStr">
        <is>
          <t>Security deposit paid for rental home</t>
        </is>
      </c>
    </row>
    <row r="31">
      <c r="B31" s="163" t="inlineStr">
        <is>
          <t>TAXES &amp; BANK CHARGES</t>
        </is>
      </c>
      <c r="C31" s="171" t="inlineStr">
        <is>
          <t>Sample Fill</t>
        </is>
      </c>
      <c r="D31" s="155" t="inlineStr">
        <is>
          <t>Refund/return of security deposit</t>
        </is>
      </c>
    </row>
    <row r="33">
      <c r="B33" s="153" t="inlineStr">
        <is>
          <t>Advance Tax</t>
        </is>
      </c>
      <c r="C33" s="172" t="inlineStr">
        <is>
          <t>Sample Fill</t>
        </is>
      </c>
      <c r="D33" s="155" t="inlineStr">
        <is>
          <t>Advance tax payments</t>
        </is>
      </c>
    </row>
    <row r="34">
      <c r="B34" s="153" t="inlineStr">
        <is>
          <t>Income Tax Payment</t>
        </is>
      </c>
      <c r="C34" s="169" t="inlineStr">
        <is>
          <t>Sample Fill</t>
        </is>
      </c>
      <c r="D34" s="155" t="inlineStr">
        <is>
          <t>Income tax payments to CBDT</t>
        </is>
      </c>
    </row>
    <row r="35">
      <c r="B35" s="153" t="inlineStr">
        <is>
          <t>Bank Charges</t>
        </is>
      </c>
      <c r="C35" s="173" t="inlineStr">
        <is>
          <t>Sample Fill</t>
        </is>
      </c>
      <c r="D35" s="155" t="inlineStr">
        <is>
          <t>SMS charges, minimum balance fees, alert fees</t>
        </is>
      </c>
    </row>
    <row r="36">
      <c r="B36" s="163" t="inlineStr">
        <is>
          <t>FAMILY TRANSFERS</t>
        </is>
      </c>
      <c r="C36" s="174" t="inlineStr">
        <is>
          <t>Sample Fill</t>
        </is>
      </c>
      <c r="D36" s="155" t="inlineStr">
        <is>
          <t>CDSL / DP charges</t>
        </is>
      </c>
    </row>
    <row r="38">
      <c r="B38" s="153" t="inlineStr">
        <is>
          <t>Transfer - Sunita Gupta</t>
        </is>
      </c>
      <c r="C38" s="175" t="inlineStr">
        <is>
          <t>Sample Fill</t>
        </is>
      </c>
      <c r="D38" s="155" t="inlineStr">
        <is>
          <t>Transfers to/from Sunita Gupta</t>
        </is>
      </c>
    </row>
    <row r="39">
      <c r="B39" s="153" t="inlineStr">
        <is>
          <t>Transfer - Ajay Gupta</t>
        </is>
      </c>
      <c r="C39" s="176" t="inlineStr">
        <is>
          <t>Sample Fill</t>
        </is>
      </c>
      <c r="D39" s="155" t="inlineStr">
        <is>
          <t>Transfers to/from Ajay Gupta</t>
        </is>
      </c>
    </row>
    <row r="40">
      <c r="B40" s="153" t="inlineStr">
        <is>
          <t>Transfer - Archit Gupta</t>
        </is>
      </c>
      <c r="C40" s="177" t="inlineStr">
        <is>
          <t>Sample Fill</t>
        </is>
      </c>
      <c r="D40" s="155" t="inlineStr">
        <is>
          <t>Transfers to/from Archit Gupta</t>
        </is>
      </c>
    </row>
    <row r="41">
      <c r="B41" s="163" t="inlineStr">
        <is>
          <t>SELF TRANSFERS (CONTRA)</t>
        </is>
      </c>
      <c r="C41" s="178" t="inlineStr">
        <is>
          <t>Sample Fill</t>
        </is>
      </c>
      <c r="D41" s="155" t="inlineStr">
        <is>
          <t>Transfers to/from Megha Gupta</t>
        </is>
      </c>
    </row>
    <row r="43">
      <c r="B43" s="153" t="inlineStr">
        <is>
          <t>Contra - SBI</t>
        </is>
      </c>
      <c r="C43" s="179" t="inlineStr">
        <is>
          <t>Sample Fill</t>
        </is>
      </c>
      <c r="D43" s="155" t="inlineStr">
        <is>
          <t>Self-transfer to/from State Bank of India</t>
        </is>
      </c>
    </row>
    <row r="44">
      <c r="B44" s="153" t="inlineStr">
        <is>
          <t>Contra - Kotak</t>
        </is>
      </c>
      <c r="C44" s="180" t="inlineStr">
        <is>
          <t>Sample Fill</t>
        </is>
      </c>
      <c r="D44" s="155" t="inlineStr">
        <is>
          <t>Self-transfer to/from Kotak Mahindra Bank</t>
        </is>
      </c>
    </row>
    <row r="45">
      <c r="B45" s="153" t="inlineStr">
        <is>
          <t>Contra - Jupiter</t>
        </is>
      </c>
      <c r="C45" s="180" t="inlineStr">
        <is>
          <t>Sample Fill</t>
        </is>
      </c>
      <c r="D45" s="155" t="inlineStr">
        <is>
          <t>Self-transfer to/from Jupiter account</t>
        </is>
      </c>
    </row>
    <row r="46">
      <c r="B46" s="153" t="inlineStr">
        <is>
          <t>Contra - HDFC</t>
        </is>
      </c>
      <c r="C46" s="181" t="inlineStr">
        <is>
          <t>Sample Fill</t>
        </is>
      </c>
      <c r="D46" s="155" t="inlineStr">
        <is>
          <t>Self-transfer to/from HDFC Bank</t>
        </is>
      </c>
    </row>
    <row r="47">
      <c r="B47" s="153" t="inlineStr">
        <is>
          <t>Contra - Axis</t>
        </is>
      </c>
      <c r="C47" s="179" t="inlineStr">
        <is>
          <t>Sample Fill</t>
        </is>
      </c>
      <c r="D47" s="155" t="inlineStr">
        <is>
          <t>Self-transfer to/from Axis Bank</t>
        </is>
      </c>
    </row>
    <row r="48">
      <c r="B48" s="153" t="inlineStr">
        <is>
          <t>Contra - SBM</t>
        </is>
      </c>
      <c r="C48" s="180" t="inlineStr">
        <is>
          <t>Sample Fill</t>
        </is>
      </c>
      <c r="D48" s="155" t="inlineStr">
        <is>
          <t>Self-transfer to/from SBM Bank</t>
        </is>
      </c>
    </row>
    <row r="49">
      <c r="B49" s="153" t="inlineStr">
        <is>
          <t>Contra - Self</t>
        </is>
      </c>
      <c r="C49" s="179" t="inlineStr">
        <is>
          <t>Sample Fill</t>
        </is>
      </c>
      <c r="D49" s="155" t="inlineStr">
        <is>
          <t>Self-transfer between own accounts</t>
        </is>
      </c>
    </row>
    <row r="50">
      <c r="B50" s="163" t="inlineStr">
        <is>
          <t>UPI SPEND CATEGORIES</t>
        </is>
      </c>
      <c r="C50" s="179" t="inlineStr">
        <is>
          <t>Sample Fill</t>
        </is>
      </c>
      <c r="D50" s="155" t="inlineStr">
        <is>
          <t>Self-transfer via SuperMoney VPA</t>
        </is>
      </c>
    </row>
    <row r="52">
      <c r="B52" s="153" t="inlineStr">
        <is>
          <t>UPI - Zomato</t>
        </is>
      </c>
      <c r="C52" s="182" t="inlineStr">
        <is>
          <t>Sample Fill</t>
        </is>
      </c>
      <c r="D52" s="155" t="inlineStr">
        <is>
          <t>Food ordering via Zomato</t>
        </is>
      </c>
    </row>
    <row r="53">
      <c r="B53" s="153" t="inlineStr">
        <is>
          <t>UPI - Swiggy</t>
        </is>
      </c>
      <c r="C53" s="183" t="inlineStr">
        <is>
          <t>Sample Fill</t>
        </is>
      </c>
      <c r="D53" s="155" t="inlineStr">
        <is>
          <t>Food / Instamart ordering via Swiggy</t>
        </is>
      </c>
    </row>
    <row r="54">
      <c r="B54" s="153" t="inlineStr">
        <is>
          <t>UPI - BigBasket</t>
        </is>
      </c>
      <c r="C54" s="184" t="inlineStr">
        <is>
          <t>Sample Fill</t>
        </is>
      </c>
      <c r="D54" s="155" t="inlineStr">
        <is>
          <t>Grocery shopping via BigBasket / Zepto / Blinkit</t>
        </is>
      </c>
    </row>
    <row r="55">
      <c r="B55" s="153" t="inlineStr">
        <is>
          <t>UPI - Amazon</t>
        </is>
      </c>
      <c r="C55" s="179" t="inlineStr">
        <is>
          <t>Sample Fill</t>
        </is>
      </c>
      <c r="D55" s="155" t="inlineStr">
        <is>
          <t>Online shopping via Amazon / Flipkart / Ajio</t>
        </is>
      </c>
    </row>
    <row r="56">
      <c r="B56" s="153" t="inlineStr">
        <is>
          <t>UPI - Ola</t>
        </is>
      </c>
      <c r="C56" s="185" t="inlineStr">
        <is>
          <t>Sample Fill</t>
        </is>
      </c>
      <c r="D56" s="155" t="inlineStr">
        <is>
          <t>Cab / auto booking via Ola / Uber / BluSmart</t>
        </is>
      </c>
    </row>
    <row r="57">
      <c r="B57" s="153" t="inlineStr">
        <is>
          <t>UPI - Netflix</t>
        </is>
      </c>
      <c r="C57" s="186" t="inlineStr">
        <is>
          <t>Sample Fill</t>
        </is>
      </c>
      <c r="D57" s="155" t="inlineStr">
        <is>
          <t>Subscriptions like Netflix, Spotify, Prime Video</t>
        </is>
      </c>
    </row>
    <row r="58">
      <c r="B58" s="153" t="inlineStr">
        <is>
          <t>UPI - CRED</t>
        </is>
      </c>
      <c r="C58" s="187" t="inlineStr">
        <is>
          <t>Sample Fill</t>
        </is>
      </c>
      <c r="D58" s="155" t="inlineStr">
        <is>
          <t>Payments made through CRED, PhonePe, Paytm</t>
        </is>
      </c>
    </row>
    <row r="59">
      <c r="B59" s="153" t="inlineStr">
        <is>
          <t>UPI - Apollo</t>
        </is>
      </c>
      <c r="C59" s="188" t="inlineStr">
        <is>
          <t>Sample Fill</t>
        </is>
      </c>
      <c r="D59" s="155" t="inlineStr">
        <is>
          <t>Medical expenses via Apollo / MedPlus / Wellness</t>
        </is>
      </c>
    </row>
    <row r="60">
      <c r="B60" s="153" t="inlineStr">
        <is>
          <t>UPI - IRCTC</t>
        </is>
      </c>
      <c r="C60" s="189" t="inlineStr">
        <is>
          <t>Sample Fill</t>
        </is>
      </c>
      <c r="D60" s="155" t="inlineStr">
        <is>
          <t>Train / flight bookings via IRCTC or IndiGo</t>
        </is>
      </c>
    </row>
    <row r="61">
      <c r="B61" s="163" t="inlineStr">
        <is>
          <t>GENERIC FALLBACKS &amp; SUSPENSE</t>
        </is>
      </c>
      <c r="C61" s="190" t="inlineStr">
        <is>
          <t>Sample Fill</t>
        </is>
      </c>
      <c r="D61" s="155" t="inlineStr">
        <is>
          <t>Fuel purchases at HPCL / BPCL / IOCL pumps</t>
        </is>
      </c>
    </row>
    <row r="63">
      <c r="B63" s="153" t="inlineStr">
        <is>
          <t>UPI Payment</t>
        </is>
      </c>
      <c r="C63" s="191" t="inlineStr">
        <is>
          <t>Sample Fill</t>
        </is>
      </c>
      <c r="D63" s="155" t="inlineStr">
        <is>
          <t>Generic outbound UPI transfers to individuals</t>
        </is>
      </c>
    </row>
    <row r="64">
      <c r="B64" s="153" t="inlineStr">
        <is>
          <t>UPI Receipt</t>
        </is>
      </c>
      <c r="C64" s="192" t="inlineStr">
        <is>
          <t>Sample Fill</t>
        </is>
      </c>
      <c r="D64" s="155" t="inlineStr">
        <is>
          <t>Generic inbound UPI transfers from individuals</t>
        </is>
      </c>
    </row>
    <row r="65">
      <c r="B65" s="153" t="inlineStr">
        <is>
          <t>What is this?</t>
        </is>
      </c>
      <c r="C65" s="193" t="inlineStr">
        <is>
          <t>Sample Fill</t>
        </is>
      </c>
      <c r="D65" s="155" t="inlineStr">
        <is>
          <t>Suspense items requiring review (Suspense)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2026-06-14T18:23:29Z</dcterms:created>
  <dcterms:modified xsi:type="dcterms:W3CDTF">2026-06-14T18:23:32Z</dcterms:modified>
</cp:coreProperties>
</file>