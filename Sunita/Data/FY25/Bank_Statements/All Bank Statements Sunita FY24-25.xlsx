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t\Returns\Sunita Gupta\31.03.2025\Bank Statements\"/>
    </mc:Choice>
  </mc:AlternateContent>
  <xr:revisionPtr revIDLastSave="0" documentId="13_ncr:1_{CF5664FD-2FFE-48EC-A993-0A42AF6C8349}" xr6:coauthVersionLast="47" xr6:coauthVersionMax="47" xr10:uidLastSave="{00000000-0000-0000-0000-000000000000}"/>
  <bookViews>
    <workbookView xWindow="-108" yWindow="-108" windowWidth="23256" windowHeight="13896" activeTab="2" xr2:uid="{A06BBDFE-866F-4005-87B6-E2DC4A5E9842}"/>
  </bookViews>
  <sheets>
    <sheet name="AXIS" sheetId="1" r:id="rId1"/>
    <sheet name="HDFC" sheetId="2" r:id="rId2"/>
    <sheet name="Conso" sheetId="4" r:id="rId3"/>
    <sheet name="SBI" sheetId="3" r:id="rId4"/>
  </sheets>
  <definedNames>
    <definedName name="_xlnm._FilterDatabase" localSheetId="0" hidden="1">AXIS!$A$17:$H$114</definedName>
    <definedName name="_xlnm._FilterDatabase" localSheetId="2" hidden="1">Conso!$A$4:$K$931</definedName>
    <definedName name="_xlnm._FilterDatabase" localSheetId="1" hidden="1">HDFC!$A$20:$H$835</definedName>
    <definedName name="_xlnm._FilterDatabase" localSheetId="3" hidden="1">SBI!$A$21:$H$34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1" i="4" s="1"/>
  <c r="G19" i="2" l="1"/>
  <c r="G16" i="1"/>
  <c r="G5" i="4" l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L25" i="4" l="1"/>
  <c r="M25" i="4" s="1"/>
  <c r="Q878" i="4" l="1"/>
  <c r="P878" i="4"/>
  <c r="M500" i="4"/>
  <c r="M407" i="4"/>
  <c r="M312" i="4"/>
  <c r="M196" i="4"/>
  <c r="M123" i="4"/>
  <c r="L878" i="4"/>
  <c r="M878" i="4" s="1"/>
  <c r="L852" i="4"/>
  <c r="M852" i="4" s="1"/>
  <c r="L796" i="4"/>
  <c r="M796" i="4" s="1"/>
  <c r="L778" i="4"/>
  <c r="M778" i="4" s="1"/>
  <c r="L734" i="4"/>
  <c r="M734" i="4" s="1"/>
  <c r="L701" i="4"/>
  <c r="M701" i="4" s="1"/>
  <c r="L673" i="4"/>
  <c r="M673" i="4" s="1"/>
  <c r="L607" i="4"/>
  <c r="M607" i="4" s="1"/>
  <c r="L557" i="4"/>
  <c r="M557" i="4" s="1"/>
  <c r="L538" i="4"/>
  <c r="M538" i="4" s="1"/>
  <c r="L451" i="4"/>
  <c r="M451" i="4" s="1"/>
  <c r="L360" i="4"/>
  <c r="M360" i="4" s="1"/>
  <c r="L264" i="4"/>
  <c r="M264" i="4" s="1"/>
  <c r="L185" i="4"/>
  <c r="M185" i="4" s="1"/>
  <c r="L97" i="4"/>
  <c r="E3" i="4"/>
  <c r="E1" i="4" s="1"/>
  <c r="R878" i="4" l="1"/>
  <c r="S878" i="4" s="1"/>
  <c r="M97" i="4"/>
  <c r="M4" i="4" s="1"/>
  <c r="L4" i="4"/>
  <c r="F3" i="4"/>
</calcChain>
</file>

<file path=xl/sharedStrings.xml><?xml version="1.0" encoding="utf-8"?>
<sst xmlns="http://schemas.openxmlformats.org/spreadsheetml/2006/main" count="7523" uniqueCount="1341">
  <si>
    <t>Name :- SUNITA GUPTA</t>
  </si>
  <si>
    <t>Joint Holder :- -</t>
  </si>
  <si>
    <t>D 7 ISHWAR PARADISE ASHOKA MARG B/H FAME</t>
  </si>
  <si>
    <t>THEATER NASHIK NASHIK</t>
  </si>
  <si>
    <t>NASHIK-422011</t>
  </si>
  <si>
    <t>MAHARASHTRA-INDIA</t>
  </si>
  <si>
    <t>Customer ID :- 894036458</t>
  </si>
  <si>
    <t>IFSC Code :- UTIB0002656</t>
  </si>
  <si>
    <t>MICR Code :- 422211010</t>
  </si>
  <si>
    <t xml:space="preserve">Nominee Registered :- Y                                                                                                   </t>
  </si>
  <si>
    <t>Registered Mobile No :- XXXXXX1709</t>
  </si>
  <si>
    <t xml:space="preserve">Registered Email ID :- </t>
  </si>
  <si>
    <t>PAN :- AKDPG7463Q</t>
  </si>
  <si>
    <t>CKYC NUMBER :- XXXXXXXXXX3846</t>
  </si>
  <si>
    <t>Statement of Account No - 919010088767042 for the period (From : 01-04-2024 To : 30-06-2024)</t>
  </si>
  <si>
    <t xml:space="preserve">	</t>
  </si>
  <si>
    <t>SRL NO</t>
  </si>
  <si>
    <t>Tran Date</t>
  </si>
  <si>
    <t>CHQNO</t>
  </si>
  <si>
    <t>PARTICULARS</t>
  </si>
  <si>
    <t>DR</t>
  </si>
  <si>
    <t>CR</t>
  </si>
  <si>
    <t>BAL</t>
  </si>
  <si>
    <t>-</t>
  </si>
  <si>
    <t>UPI/P2M/409717050341/SHIVBHOLA VEGETABLE E/veg/Yes Bank Ltd</t>
  </si>
  <si>
    <t>UPI/P2A/447025620282/DEEPIKA UMESH MUNDADA/kitty/State Bank Of India</t>
  </si>
  <si>
    <t>UPI/P2A/448073432191/BHARTI RATAN DEVNANI /tiffin/Union Bank of India</t>
  </si>
  <si>
    <t>UPI/P2M/448166340115/KUNAL EAKNATH MAKUNE /milk/Yes Bank Ltd</t>
  </si>
  <si>
    <t>NEFT/YESB41177892573/ZERODHA BROKING LTD-DSCNB A//YES BANK/YESB0000001</t>
  </si>
  <si>
    <t>ATM-CASH-AXIS/BPRH265601/1296/030524/NASHIK</t>
  </si>
  <si>
    <t>NEFT/N129243028299413/SUNITA GUPTA/HDFC BANK/Transfer from HDFC</t>
  </si>
  <si>
    <t>UPI/P2M/412955259759/Zerodha Broking Ltd  /001847/HDFC BANK LTD</t>
  </si>
  <si>
    <t>UPI/P2M/413124576623/PREMJI TRADERS       /UPI/Yes Bank Ltd</t>
  </si>
  <si>
    <t>NEFT/N136243040620640/SUNITA GUPTA/HDFC BANK/frm HDFC to Axis</t>
  </si>
  <si>
    <t>INB/IFT/Ajay Kumar Gupta/TPARTY TRANSFER</t>
  </si>
  <si>
    <t>NEFT/YESEB41601792243/ZERODHA BROKING LTD- FOR ZER/YES BANK/12067726cc9f47dca08914 Zerodh</t>
  </si>
  <si>
    <t>GST @18% on MAB Charge</t>
  </si>
  <si>
    <t>Non-Maint Avg bal chgs Apr2024</t>
  </si>
  <si>
    <t>UPI/P2M/417362340012/ZERODHA BROKING LIMIT/244473/ICICI Bank</t>
  </si>
  <si>
    <t>UPI/P2A/454025238186/PRERANA MANOJ CHANDAK/kitty/Axis Bank Ltd.</t>
  </si>
  <si>
    <t>NEFT/N176243108305610/SUNITA GUPTA/HDFC BANK/Trf frm Sunita HDF</t>
  </si>
  <si>
    <t>UPI/P2M/417673461227/ZERODHA BROKING LIMIT/922743/ICICI Bank</t>
  </si>
  <si>
    <t>UPI/P2M/417673480863/ZERODHA BROKING LIMIT/102002/ICICI Bank</t>
  </si>
  <si>
    <t>NEFT/N176243109164220/SUNITA GUPTA/HDFC BANK/tfr frm Axis 2 hfc</t>
  </si>
  <si>
    <t>UPI/P2A/418192452596/BHARTI RATAN DEVNANI /tiffin/Union Bank of India</t>
  </si>
  <si>
    <t>Narration</t>
  </si>
  <si>
    <t>Zerodha</t>
  </si>
  <si>
    <t>Bank Charges</t>
  </si>
  <si>
    <t>Household Expenses</t>
  </si>
  <si>
    <t>Kitty</t>
  </si>
  <si>
    <t>ATM Withdrawal</t>
  </si>
  <si>
    <t>Contra</t>
  </si>
  <si>
    <t>Transfer from Ajay</t>
  </si>
  <si>
    <t>HDFC BANK Ltd.                                      Page No .:   1                                          Statement of accounts</t>
  </si>
  <si>
    <t>Account Branch :KOTA - RAJASTHAN</t>
  </si>
  <si>
    <t>MS.     SUNITA GUPTA</t>
  </si>
  <si>
    <t>Address :SHOWROOM NO. 13-14</t>
  </si>
  <si>
    <t>11 NEW MARKET</t>
  </si>
  <si>
    <t>MAIN JHALAWAR ROAD</t>
  </si>
  <si>
    <t>ABHINANDAN CLOTH MERCHANT</t>
  </si>
  <si>
    <t>.</t>
  </si>
  <si>
    <t>NEW MARKET</t>
  </si>
  <si>
    <t>City :KOTA</t>
  </si>
  <si>
    <t>RAWATBHATA 323305</t>
  </si>
  <si>
    <t>State :RAJASTHAN</t>
  </si>
  <si>
    <t>Phone no. :18002026161</t>
  </si>
  <si>
    <t>Email :</t>
  </si>
  <si>
    <t>JOINT HOLDERS :</t>
  </si>
  <si>
    <t>OD Limit :0   Currency :INR</t>
  </si>
  <si>
    <t>Cust ID :4826857</t>
  </si>
  <si>
    <t>Nomination  :  Registered</t>
  </si>
  <si>
    <t>Account No :01671000060094   VIRTUAL PREFERRED</t>
  </si>
  <si>
    <t>Statement From  :  01/04/2024         To  :  30/06/2024</t>
  </si>
  <si>
    <t>A/C Open Date :02/04/2004</t>
  </si>
  <si>
    <t>Account Status :Regular</t>
  </si>
  <si>
    <t>RTGS/NEFT IFSC :HDFC0000167   MICR :324240002</t>
  </si>
  <si>
    <t>Date</t>
  </si>
  <si>
    <t>Chq./Ref.No.</t>
  </si>
  <si>
    <t>Value Dt</t>
  </si>
  <si>
    <t>Withdrawal Amt.</t>
  </si>
  <si>
    <t>Deposit Amt.</t>
  </si>
  <si>
    <t>Closing Balance</t>
  </si>
  <si>
    <t>NET PI TO HSL SEC A/C 523686-00602340029434</t>
  </si>
  <si>
    <t>0000000508932363</t>
  </si>
  <si>
    <t>NET PO FROM HSL A/C 523686-50200085415108</t>
  </si>
  <si>
    <t>0000000509188445</t>
  </si>
  <si>
    <t>0000000509246217</t>
  </si>
  <si>
    <t>0000000509399140</t>
  </si>
  <si>
    <t>0000000509532005</t>
  </si>
  <si>
    <t>0000000509650601</t>
  </si>
  <si>
    <t>0000000509793906</t>
  </si>
  <si>
    <t>0000000510056916</t>
  </si>
  <si>
    <t>50100128155413-TPT-TO MUMMY-AAYUSH KUMAR GUPTA</t>
  </si>
  <si>
    <t>0000000526007002</t>
  </si>
  <si>
    <t>0000000510198174</t>
  </si>
  <si>
    <t>0000000510339907</t>
  </si>
  <si>
    <t>0000000510610766</t>
  </si>
  <si>
    <t>DEPOSITORY CHARGES MAR24 - 41060499</t>
  </si>
  <si>
    <t>000000000000000</t>
  </si>
  <si>
    <t>0000000510792018</t>
  </si>
  <si>
    <t>0000000510966332</t>
  </si>
  <si>
    <t>0000000510997687</t>
  </si>
  <si>
    <t>0000000511154309</t>
  </si>
  <si>
    <t>0000000511326571</t>
  </si>
  <si>
    <t>NEFT CR-SBIN0004266-SBI GENERAL INSURANCE CO LTDSBI GEN-SUNITA GUPTA 0000000002717756-SBIN424099209370</t>
  </si>
  <si>
    <t>SBIN424099209370</t>
  </si>
  <si>
    <t>0000000511647838</t>
  </si>
  <si>
    <t>0000000511759101</t>
  </si>
  <si>
    <t>0000000511949020</t>
  </si>
  <si>
    <t>0000000512088171</t>
  </si>
  <si>
    <t>0000000512213650</t>
  </si>
  <si>
    <t>0000000512250338</t>
  </si>
  <si>
    <t>0000000512379724</t>
  </si>
  <si>
    <t>0000000512752725</t>
  </si>
  <si>
    <t>ACH D- INDIAN CLEARING CORP-P25847643X05</t>
  </si>
  <si>
    <t>0000002864355161</t>
  </si>
  <si>
    <t>0000000512947666</t>
  </si>
  <si>
    <t>0000000513278964</t>
  </si>
  <si>
    <t>0000000513409641</t>
  </si>
  <si>
    <t>YHDF2301816719/BILLDKINDIANCLEARING</t>
  </si>
  <si>
    <t>0002410748129324</t>
  </si>
  <si>
    <t>0000000513559992</t>
  </si>
  <si>
    <t>0000000513691594</t>
  </si>
  <si>
    <t>0000000513838583</t>
  </si>
  <si>
    <t>0000000514014293</t>
  </si>
  <si>
    <t>0000000514269808</t>
  </si>
  <si>
    <t>0000000514434864</t>
  </si>
  <si>
    <t>0000000514738398</t>
  </si>
  <si>
    <t>0000000515001917</t>
  </si>
  <si>
    <t>0000000515037945</t>
  </si>
  <si>
    <t>0000000515126606</t>
  </si>
  <si>
    <t>01671000085930-TPT-MONEY RETURNED FROM SUNITA TO AKG-AJAY KUMAR GUPTA</t>
  </si>
  <si>
    <t>0000000111887665</t>
  </si>
  <si>
    <t>0000000515408008</t>
  </si>
  <si>
    <t>0000000515525128</t>
  </si>
  <si>
    <t>YHDF2309213912/BILLDKTHECALCUTTAELE</t>
  </si>
  <si>
    <t>0002411548840638</t>
  </si>
  <si>
    <t>0000000515808361</t>
  </si>
  <si>
    <t>0000000515845203</t>
  </si>
  <si>
    <t>0000003252051331</t>
  </si>
  <si>
    <t>0000000515969120</t>
  </si>
  <si>
    <t>NEFT CR-UTIB0000004-AXIS MUTUAL FUND DIVIDEND A/C-SUNITA GUPTA-AXISCN0597839178</t>
  </si>
  <si>
    <t>AXISCN0597839178</t>
  </si>
  <si>
    <t>0000000516120398</t>
  </si>
  <si>
    <t>0000000516245224</t>
  </si>
  <si>
    <t>0000000516290816</t>
  </si>
  <si>
    <t>0000000516392080</t>
  </si>
  <si>
    <t>0000000516549844</t>
  </si>
  <si>
    <t>0000000516676963</t>
  </si>
  <si>
    <t>0000000516841538</t>
  </si>
  <si>
    <t>0000000517008870</t>
  </si>
  <si>
    <t>0000000517147587</t>
  </si>
  <si>
    <t>0000000517185580</t>
  </si>
  <si>
    <t>0000000517266464</t>
  </si>
  <si>
    <t>0000000517428550</t>
  </si>
  <si>
    <t>0000000517570138</t>
  </si>
  <si>
    <t>0000000517608294</t>
  </si>
  <si>
    <t>0000000517782659</t>
  </si>
  <si>
    <t>0000000518083972</t>
  </si>
  <si>
    <t>0000000518121945</t>
  </si>
  <si>
    <t>ISAQMC-JAN-MAR24-323600 260424-MIR2512490180092</t>
  </si>
  <si>
    <t>MIR2512490180092</t>
  </si>
  <si>
    <t>0000000518215448</t>
  </si>
  <si>
    <t>0000000518339597</t>
  </si>
  <si>
    <t>0000000518405610</t>
  </si>
  <si>
    <t>0000000518591456</t>
  </si>
  <si>
    <t>0000000518796402</t>
  </si>
  <si>
    <t>0000000519124423</t>
  </si>
  <si>
    <t>0000000519276521</t>
  </si>
  <si>
    <t>0000000519455052</t>
  </si>
  <si>
    <t>0000000519502107</t>
  </si>
  <si>
    <t>0000000519626421</t>
  </si>
  <si>
    <t>0000000519739579</t>
  </si>
  <si>
    <t>NEFT DR-UTIB0002656-SUNITA GUPTA-NETBANK, MUM-N129243028299413-TRANSFER FROM HDFC</t>
  </si>
  <si>
    <t>N129243028299413</t>
  </si>
  <si>
    <t>0000000520006217</t>
  </si>
  <si>
    <t>NEFT CR-SBIN0004266-SBI GENERAL INSURANCE CO LTDSBI GEN-SUNITA GUPTA 0000000002717756-SBIN224130649205</t>
  </si>
  <si>
    <t>SBIN224130649205</t>
  </si>
  <si>
    <t>0000000520117947</t>
  </si>
  <si>
    <t>DEPOSITORY CHARGES APR24 - 41060499</t>
  </si>
  <si>
    <t>50100542230922-TPT-TRANSFER FROM MUMMY TO ARCHIT-ARCHIT GUPTA</t>
  </si>
  <si>
    <t>0000000689763431</t>
  </si>
  <si>
    <t>01671000085930-TPT-MNY RETURNED FROM SUNITA TO AKG-AJAY KUMAR GUPTA</t>
  </si>
  <si>
    <t>0000000689770386</t>
  </si>
  <si>
    <t>0000000520331058</t>
  </si>
  <si>
    <t>0000000520471064</t>
  </si>
  <si>
    <t>0000000520494995</t>
  </si>
  <si>
    <t>NEFT CR-SBIN0004266-SBI GENERAL INSURANCE CO LTDSBI GEN-SUNITA GUPTA 0000000002717756-SBIN324131864994</t>
  </si>
  <si>
    <t>SBIN324131864994</t>
  </si>
  <si>
    <t>0000000520627824</t>
  </si>
  <si>
    <t>0000000520771593</t>
  </si>
  <si>
    <t>0000000520802448</t>
  </si>
  <si>
    <t>0000000521112188</t>
  </si>
  <si>
    <t>0000000521274083</t>
  </si>
  <si>
    <t>0000000521414256</t>
  </si>
  <si>
    <t>0000000521528316</t>
  </si>
  <si>
    <t>0000000521789762</t>
  </si>
  <si>
    <t>0000000521824571</t>
  </si>
  <si>
    <t>0000004003933231</t>
  </si>
  <si>
    <t>0000000521944984</t>
  </si>
  <si>
    <t>NEFT DR-UTIB0002656-SUNITA GUPTA-NETBANK, MUM-N136243040620640-FRM HDFC TO AXIS</t>
  </si>
  <si>
    <t>N136243040620640</t>
  </si>
  <si>
    <t>0000000522220199</t>
  </si>
  <si>
    <t>0000000522341497</t>
  </si>
  <si>
    <t>NEFT CR-SBIN0004266-SBI GENERAL INSURANCE CO LTDSBI GEN-SUNITA GUPTA 0000000002717756-SBIN324137943121</t>
  </si>
  <si>
    <t>SBIN324137943121</t>
  </si>
  <si>
    <t>ACH C- ORACLEFINANCIALSER-00000000000000</t>
  </si>
  <si>
    <t>0000007006414137</t>
  </si>
  <si>
    <t>0000000522487945</t>
  </si>
  <si>
    <t>0000000522614579</t>
  </si>
  <si>
    <t>0000000522652858</t>
  </si>
  <si>
    <t>0000000522743631</t>
  </si>
  <si>
    <t>0000000522882579</t>
  </si>
  <si>
    <t>0000000523022192</t>
  </si>
  <si>
    <t>0000000523120915</t>
  </si>
  <si>
    <t>0000000523167863</t>
  </si>
  <si>
    <t>0000000523323447</t>
  </si>
  <si>
    <t>0000000523570247</t>
  </si>
  <si>
    <t>0000000523706893</t>
  </si>
  <si>
    <t>0000000523858342</t>
  </si>
  <si>
    <t>0000000524017631</t>
  </si>
  <si>
    <t>JANMAR24 INSTAALERTCHG 75 SMS 140524-MIR2514339549285</t>
  </si>
  <si>
    <t>MIR2514339549285</t>
  </si>
  <si>
    <t>0000000524193414</t>
  </si>
  <si>
    <t>0000000524476779</t>
  </si>
  <si>
    <t>0000000524552546</t>
  </si>
  <si>
    <t>0000000524649759</t>
  </si>
  <si>
    <t>ACH C- SANOFI INDIA DIV PMT-71PR24051801</t>
  </si>
  <si>
    <t>0000004251939972</t>
  </si>
  <si>
    <t>ACH C- COFORGE LTD-129002</t>
  </si>
  <si>
    <t>0000004253630046</t>
  </si>
  <si>
    <t>NEFT CR-UTIB0000004-AXIS MUTUAL FUND DIVIDEND A/C-SUNITA GUPTA-AXISCN0629722256</t>
  </si>
  <si>
    <t>AXISCN0629722256</t>
  </si>
  <si>
    <t>0000000524831359</t>
  </si>
  <si>
    <t>YHDF2336954200/BILLDKTHECALCUTTAELE</t>
  </si>
  <si>
    <t>0002414651382613</t>
  </si>
  <si>
    <t>0000004254561080</t>
  </si>
  <si>
    <t>0000000525156118</t>
  </si>
  <si>
    <t>0000000525464159</t>
  </si>
  <si>
    <t>0000000525502499</t>
  </si>
  <si>
    <t>0000000525600727</t>
  </si>
  <si>
    <t>0000000525776615</t>
  </si>
  <si>
    <t>0000000525933763</t>
  </si>
  <si>
    <t>0000000526004852</t>
  </si>
  <si>
    <t>50100542230922-TPT-BORROW BY ARCHIT-ARCHIT GUPTA</t>
  </si>
  <si>
    <t>0000000571547709</t>
  </si>
  <si>
    <t>0000000526310465</t>
  </si>
  <si>
    <t>0000000526416129</t>
  </si>
  <si>
    <t>0000000526613788</t>
  </si>
  <si>
    <t>0000000526847575</t>
  </si>
  <si>
    <t>0000000526983253</t>
  </si>
  <si>
    <t>0000000527168583</t>
  </si>
  <si>
    <t>0000000527397481</t>
  </si>
  <si>
    <t>0000000527738985</t>
  </si>
  <si>
    <t>0000000527925710</t>
  </si>
  <si>
    <t>ACH C- TCSFINDIV040624-885329</t>
  </si>
  <si>
    <t>0000004459428482</t>
  </si>
  <si>
    <t>0000000528299131</t>
  </si>
  <si>
    <t>UPI-AJAY KUMAR GUPTA-AJAYGUPTANEL@YBL-HDFC0000167-415752435538-PAYMENT FROM PHONE</t>
  </si>
  <si>
    <t>0000415752435538</t>
  </si>
  <si>
    <t>0000000528695538</t>
  </si>
  <si>
    <t>ACH C- STATE BANK OF INDIA-2175022</t>
  </si>
  <si>
    <t>0000004594955132</t>
  </si>
  <si>
    <t>NEFT CR-SBIN0004266-SBI GENERAL INSURANCE CO LTDSBI GEN-SUNITA GUPTA 0000000002717756-SBIN224157215153</t>
  </si>
  <si>
    <t>SBIN224157215153</t>
  </si>
  <si>
    <t>0000000528864148</t>
  </si>
  <si>
    <t>0000000529124080</t>
  </si>
  <si>
    <t>0000000529230416</t>
  </si>
  <si>
    <t>0000000529523525</t>
  </si>
  <si>
    <t>0000000529676795</t>
  </si>
  <si>
    <t>0000000529837791</t>
  </si>
  <si>
    <t>01671000085930-TPT-MNY RTRN FROM SUNITA TO AKG-AJAY KUMAR GUPTA</t>
  </si>
  <si>
    <t>0000000335441226</t>
  </si>
  <si>
    <t>0000000530072397</t>
  </si>
  <si>
    <t>0000000530268700</t>
  </si>
  <si>
    <t>NEFT CR-SBIN0004266-SBI GENERAL INSURANCE CO LTDSBI GEN-SUNITA GUPTA 0000000002717756-SBIN124162902146</t>
  </si>
  <si>
    <t>SBIN124162902146</t>
  </si>
  <si>
    <t>0000000530427142</t>
  </si>
  <si>
    <t>0000000530605418</t>
  </si>
  <si>
    <t>0000000530703842</t>
  </si>
  <si>
    <t>0000000530863788</t>
  </si>
  <si>
    <t>0000000531134095</t>
  </si>
  <si>
    <t>0000000531422119</t>
  </si>
  <si>
    <t>0000000531468067</t>
  </si>
  <si>
    <t>50100542230922-TPT-TRANS FROM SUNITA TO ARCHIT-ARCHIT GUPTA</t>
  </si>
  <si>
    <t>0000000455194334</t>
  </si>
  <si>
    <t>YHDF2352323582/BILLDKINDIANCLEARING</t>
  </si>
  <si>
    <t>0002416553264785</t>
  </si>
  <si>
    <t>0000000531577061</t>
  </si>
  <si>
    <t>NEFT CR-SBIN0004266-SBI GENERAL INSURANCE CO LTDSBI GEN-SUNITA GUPTA 0000000002717756-SBIN524165752954</t>
  </si>
  <si>
    <t>SBIN524165752954</t>
  </si>
  <si>
    <t>0000000531717456</t>
  </si>
  <si>
    <t>0000000531975641</t>
  </si>
  <si>
    <t>0000000532270364</t>
  </si>
  <si>
    <t>0000004979980100</t>
  </si>
  <si>
    <t>DEPOSITORY CHARGES MAY24 - 41060499</t>
  </si>
  <si>
    <t>0000000532530653</t>
  </si>
  <si>
    <t>0000000532819754</t>
  </si>
  <si>
    <t>0000000532867643</t>
  </si>
  <si>
    <t>0000000532975708</t>
  </si>
  <si>
    <t>0000000533156380</t>
  </si>
  <si>
    <t>0000000533449055</t>
  </si>
  <si>
    <t>0000000533801563</t>
  </si>
  <si>
    <t>0000000533845880</t>
  </si>
  <si>
    <t>0000000533934791</t>
  </si>
  <si>
    <t>YHDF2359276422/BILLDKTHECALCUTTAELE</t>
  </si>
  <si>
    <t>0002417353944157</t>
  </si>
  <si>
    <t>0000000534259814</t>
  </si>
  <si>
    <t>0000000534298324</t>
  </si>
  <si>
    <t>NEFT DR-UTIB0002656-SUNITA GUPTA-NETBANK, MUM-N176243108305610-TRF FRM SUNITA HDF</t>
  </si>
  <si>
    <t>N176243108305610</t>
  </si>
  <si>
    <t>0000000534434746</t>
  </si>
  <si>
    <t>NEFT DR-UTIB0002656-SUNITA GUPTA-NETBANK, MUM-N176243109164220-TFR FRM AXIS 2 HFC</t>
  </si>
  <si>
    <t>N176243109164220</t>
  </si>
  <si>
    <t>0000000534739382</t>
  </si>
  <si>
    <t>0000000534775946</t>
  </si>
  <si>
    <t>0000005424732775</t>
  </si>
  <si>
    <t>01671000085930-TPT-MARRIAGE EXPENSES FROM SUNITA-AJAY KUMAR GUPTA</t>
  </si>
  <si>
    <t>0000000507065624</t>
  </si>
  <si>
    <t>0000000534876361</t>
  </si>
  <si>
    <t>ACH C- HINDUSTANUNILEVERL-00000000000030</t>
  </si>
  <si>
    <t>0000007063605177</t>
  </si>
  <si>
    <t>ACH C- HIMADRI SPECIALITY C-NIN300476410</t>
  </si>
  <si>
    <t>0000005465884743</t>
  </si>
  <si>
    <t>0000000535062991</t>
  </si>
  <si>
    <t>0000000535184207</t>
  </si>
  <si>
    <t>0000000535222691</t>
  </si>
  <si>
    <t>0000000535337288</t>
  </si>
  <si>
    <t>0000000535488603</t>
  </si>
  <si>
    <t>0000000535761235</t>
  </si>
  <si>
    <t>NEFT CR-UTIB0000004-AXIS MUTUAL FUND DIVIDEND A/C-SUNITA GUPTA-AXISCN0662480411</t>
  </si>
  <si>
    <t>AXISCN0662480411</t>
  </si>
  <si>
    <t>0000000535933355</t>
  </si>
  <si>
    <t>ACH C- LTIMIN FINAL 2023 24-213986</t>
  </si>
  <si>
    <t>0000005527258486</t>
  </si>
  <si>
    <t>0000000536193081</t>
  </si>
  <si>
    <t>INTEREST PAID TILL 30-JUN-2024</t>
  </si>
  <si>
    <t>HSL</t>
  </si>
  <si>
    <t>Transfer from Aayush</t>
  </si>
  <si>
    <t>Transfer from Archit</t>
  </si>
  <si>
    <t>Dividend Income</t>
  </si>
  <si>
    <t>SIP  - 5000</t>
  </si>
  <si>
    <t>SIP  - 10000</t>
  </si>
  <si>
    <t>Depository Charges</t>
  </si>
  <si>
    <t>Bank Interest</t>
  </si>
  <si>
    <t>Rental Income</t>
  </si>
  <si>
    <t>MF - Dividend</t>
  </si>
  <si>
    <t>Electricity Bill</t>
  </si>
  <si>
    <t>SB:919010088767042:Int.Pd:01-04-2024 to 30-06-2024</t>
  </si>
  <si>
    <t>ACH-CR-CANBANK DIV 2023-24-NACH-6544153-6544153</t>
  </si>
  <si>
    <t>ATM-CASH-AXIS/BPRH265601/1591/010724/NASHIK</t>
  </si>
  <si>
    <t>NEFT/YESEB41852036982/ZERODHA BROKING LTD- FOR ZER/YES BANK/4565c0180515af30213b5d Zerodh</t>
  </si>
  <si>
    <t>UPI/P2M/455345663321/JEET PHARMACY AND MIN/medici/Axis Bank Ltd.</t>
  </si>
  <si>
    <t>UPI/P2A/455392699359/RAKHI VIN/ICICI Ban/UPI/</t>
  </si>
  <si>
    <t>UPI/P2A/418872101808/DEEPIKA U/State Ban/UPI/</t>
  </si>
  <si>
    <t>UPI/P2A/419032821898/KAMINI  MIHANI  95279/cream/State Bank Of India</t>
  </si>
  <si>
    <t>UPI/P2A/419395681329/BHUTADA S/Bank of B/Payment/</t>
  </si>
  <si>
    <t>UPI/P2M/419362096628/SHIVBHOLA VEGETABLE E/vegeta/Yes Bank Ltd</t>
  </si>
  <si>
    <t>UPI/P2A/419342818267/ADITYA DH/Axis Bank/Payment/</t>
  </si>
  <si>
    <t>UPI/P2A/419895360581/BHARTI RATAN DEVNANI /UPI/Union Bank of India</t>
  </si>
  <si>
    <t>Non-Maint Avg bal chgs May2024</t>
  </si>
  <si>
    <t>ACH-CR-HDFC LIFE INSURANCE-NACH-00000000000005531</t>
  </si>
  <si>
    <t>UPI/P2M/420154995267/MADHURI SEN          /parlou/Axis Bank Ltd.</t>
  </si>
  <si>
    <t>UPI/P2A/420322676433/PRITI MUK/HDFC BANK/Payment/</t>
  </si>
  <si>
    <t>UPI/P2A/420369431939/KAMINI  MIHANI  95279/parlou/State Bank Of India</t>
  </si>
  <si>
    <t>UPI/P2A/456924153221/ADITI  GUPTA         /rumal/State Bank Of India</t>
  </si>
  <si>
    <t>UPI/P2A/420791199151/DEEPALI A/HDFC BANK/Payment/</t>
  </si>
  <si>
    <t>UPI/P2M/420734844951/IRCTC CF             /IRCTC/HDFC BANK LTD</t>
  </si>
  <si>
    <t>ACH-CR-SHRDCCLFnl202324-NACH-00000000000000067267</t>
  </si>
  <si>
    <t>NEFT/YESF342160112723/ZERODHA BROKING LTD-DSCNB A//YES BANK/ae4b1fbf69 Zerodha payout</t>
  </si>
  <si>
    <t>UPI/P2M/458538155643/Flipkart Payments    /UPI/Yes Bank Ltd</t>
  </si>
  <si>
    <t>UPI/P2A/422527945475/BHARTI RATAN DEVNANI /tiffin/Union Bank of India</t>
  </si>
  <si>
    <t>Non-Maint Avg bal chgs Jun2024</t>
  </si>
  <si>
    <t>UPI/P2A/459516048244/Kriti  Gupta         /rakhi/State Bank Of India</t>
  </si>
  <si>
    <t>Charge Refund: MABPR</t>
  </si>
  <si>
    <t>UPI/P2M/423838369708/Meesho               /UPI In/Yes Bank Ltd</t>
  </si>
  <si>
    <t>NEFT/N238243225110515/SUNITA GUPTA/HDFC BANK/Trf frm HDFC Sunit</t>
  </si>
  <si>
    <t>NEFT/YESF342390240804/ZERODHA BROKING LTD-DSCNB A//YES BANK/f940673c85 Zerodha payout</t>
  </si>
  <si>
    <t>UPI/P2M/424703060377/064101250/Kotak Mah/CHANNEL/TEZ</t>
  </si>
  <si>
    <t>UPI/P2A/424719830314/SHARDA AR/Federal B/UPI/</t>
  </si>
  <si>
    <t>UPI/P2A/424911534092/MANJOOSHA/HDFC BANK/UPI/</t>
  </si>
  <si>
    <t>NEFT/YESF342500035924/ZERODHA BROKING LTD-DSCNB A//YES BANK/845c06dd7a Zerodha payout</t>
  </si>
  <si>
    <t>MIL DIVIDEND AC/</t>
  </si>
  <si>
    <t>UPI/P2A/463116904245/BHARTI RATAN DEVNANI /tiffin/Union Bank of India</t>
  </si>
  <si>
    <t>UPI/P2M/463260761650/SHAS                 /Paymen/Yes Bank Ltd</t>
  </si>
  <si>
    <t>UPI/P2M/463437357157/SANGITA RAJENDRA MUTH/dentis/Yes Bank Ltd</t>
  </si>
  <si>
    <t>ACH-CR-USL FIN DIV 23 24-NACH-23827-23827</t>
  </si>
  <si>
    <t>UPI/P2M/463877794818/SANGITA RAJENDRA MUTH/dentis/Yes Bank Ltd</t>
  </si>
  <si>
    <t>ATM-CASH/SBI SHIVAJI NAGAR/NASHIK/280924</t>
  </si>
  <si>
    <t>NEFT/IR/AXOIR27490761713/Sunita Gupta/HDFC BANK/Transfer from Sunita Axis Ban</t>
  </si>
  <si>
    <t>SB:919010088767042:Int.Pd:01-07-2024 to 30-09-2024</t>
  </si>
  <si>
    <t>NEFT/YESF342771615268/ZERODHA BROKING LTD-DSCNB A//YES BANK/9e2d83f3e8 Zerodha payout</t>
  </si>
  <si>
    <t>UPI/P2A/465679437892/ASHWINI HEMANT PATIL /kitty/State Bank Of India</t>
  </si>
  <si>
    <t>UPI/P2A/429536466098/BHAGAWATI PRASAD MAND/UPI/ICICI Bank</t>
  </si>
  <si>
    <t>UPI/P2M/466409647719/REET FASHION         /UPI/Yes Bank Ltd</t>
  </si>
  <si>
    <t>UPI/P2M/430390809811/Zerodha Broking Ltd  /505142/HDFC BANK LTD</t>
  </si>
  <si>
    <t>Dr Card Charges GST ANNUAL 4153XXXXXXXX5568</t>
  </si>
  <si>
    <t>NEFT/YESF343062522862/ZERODHA BROKING LTD-DSCNB A//YES BANK/ad64ca2b52d2cc19a41251 Zerodh</t>
  </si>
  <si>
    <t>UPI/P2A/431766739628/BHARTI RATAN DEVNANI /UPI/Union Bank of India</t>
  </si>
  <si>
    <t>UPI/P2A/431861950461/ARCHIT GUPTA         /UPI/AXIS BANK</t>
  </si>
  <si>
    <t>UPI/P2A/975907133184/GOOGLE IN/AXIS BANK/Rewarded/</t>
  </si>
  <si>
    <t>UPI/P2A/431836159142/ARCHIT GU/Axis Bank/UPI/</t>
  </si>
  <si>
    <t>UPI/P2M/469858954034/Shiv Shakti Saundarya/jewell/Yes Bank Ltd</t>
  </si>
  <si>
    <t>UPI/P2M/471025503720/GHANSHYAM ABHUSHAN BH/jewell/Yes Bank Ltd</t>
  </si>
  <si>
    <t>UPI/P2M/435186763971/SHIVANJALI           /UPI/Yes Bank Ltd</t>
  </si>
  <si>
    <t>SB:919010088767042:Int.Pd:01-10-2024 to 31-12-2024</t>
  </si>
  <si>
    <t>NEFT/YESF350044351321/ZERODHA BROKING LTD-DSCNB A//YES BANK/5c107df8698e45fda08666:Zerodh</t>
  </si>
  <si>
    <t>UPI/P2A/539337800613/MADHURI SEN          /UPI/BANK OF INDIA</t>
  </si>
  <si>
    <t>UPI/P2A/540741534158/ASHLESHA RAMDAS  WAGH/UPI/State Bank Of India</t>
  </si>
  <si>
    <t>UPI/P2A/504523848997/BHARTI RATAN DEVNANI /UPI/UNION BANK OF INDIA</t>
  </si>
  <si>
    <t>UPI/P2M/542808073747/K V GAYATHRI         /milk/YES BANK LIMITED YBS</t>
  </si>
  <si>
    <t>UPI/P2M/542879469211/Flipkart Payments    /UPI/YES BANK LIMITED YBS</t>
  </si>
  <si>
    <t>UPI/P2A/506209457462/Flipkart /YES BANK /express/</t>
  </si>
  <si>
    <t>UPI/P2A/506209459641/Flipkart /YES BANK /express/</t>
  </si>
  <si>
    <t>UPI/P2M/542807574465/FLIPKART PAYMENTS    /UPIInt/HDFC BANK LTD</t>
  </si>
  <si>
    <t>UPI/P2M/506269427837/Flipkart Payments    /UPI/YES BANK LIMITED YBS</t>
  </si>
  <si>
    <t>UPI/P2A/506968468841/BHARTI RATAN DEVNANI /tiffin/UNION BANK OF INDIA</t>
  </si>
  <si>
    <t>ECS/1009552582/Max Bupa Health Insurance Company</t>
  </si>
  <si>
    <t>UPI/P2A/507761157224/MADHU GUPTA          /UPI/ICICI Bank</t>
  </si>
  <si>
    <t>UPI/P2A/507753564612/MADHU GUPTA          /neckle/ICICI Bank</t>
  </si>
  <si>
    <t>0000000536483454</t>
  </si>
  <si>
    <t>0000000536692596</t>
  </si>
  <si>
    <t>ACH C- CANBANK DIV 2023-24-6273195</t>
  </si>
  <si>
    <t>0000005519468069</t>
  </si>
  <si>
    <t>ACH C- INFOSYS LIMITED-40612091</t>
  </si>
  <si>
    <t>0000005607467118</t>
  </si>
  <si>
    <t>ATW-498792XXXXXX0500-CHBDL001-NASHIK</t>
  </si>
  <si>
    <t>0000000000007690</t>
  </si>
  <si>
    <t>0000000537004329</t>
  </si>
  <si>
    <t>0000000537161174</t>
  </si>
  <si>
    <t>0000000537348821</t>
  </si>
  <si>
    <t>0000000537624361</t>
  </si>
  <si>
    <t>0000000537925180</t>
  </si>
  <si>
    <t>DR LAL PATH DIV23 2400000000000000009172</t>
  </si>
  <si>
    <t>0000241853654755</t>
  </si>
  <si>
    <t>0000000538072401</t>
  </si>
  <si>
    <t>0000000538242270</t>
  </si>
  <si>
    <t>0000000538557605</t>
  </si>
  <si>
    <t>NEFT CR-SBIN0004266-SBI GENERAL INSURANCE CO LTDSBI GEN-SUNITA GUPTA 0000000002717756-SBIN224187615721</t>
  </si>
  <si>
    <t>SBIN224187615721</t>
  </si>
  <si>
    <t>NEFT CR-SBIN0004266-SBI GENERAL INSURANCE CO LTDSBI GEN-SUNITA GUPTA 0000000002717756-SBIN224187636782</t>
  </si>
  <si>
    <t>SBIN224187636782</t>
  </si>
  <si>
    <t>0000000538741295</t>
  </si>
  <si>
    <t>0000000539198016</t>
  </si>
  <si>
    <t>0000000539617105</t>
  </si>
  <si>
    <t>0000000539759941</t>
  </si>
  <si>
    <t>0000000539948191</t>
  </si>
  <si>
    <t>0000000540276944</t>
  </si>
  <si>
    <t>NEFT DR-CBIN0281016-THE ORIENTAL INSURANACE COMPANY LTD-NETBANK, MUM-N192243146013226-BLD SUNITA INSURAN</t>
  </si>
  <si>
    <t>N192243146013226</t>
  </si>
  <si>
    <t>0000000540627159</t>
  </si>
  <si>
    <t>0000000540665713</t>
  </si>
  <si>
    <t>0000000540765306</t>
  </si>
  <si>
    <t>0000000540942700</t>
  </si>
  <si>
    <t>0000000541225758</t>
  </si>
  <si>
    <t>0000000541552533</t>
  </si>
  <si>
    <t>0000006191549497</t>
  </si>
  <si>
    <t>0000000541746211</t>
  </si>
  <si>
    <t>0000000541939860</t>
  </si>
  <si>
    <t>0000000542122503</t>
  </si>
  <si>
    <t>0000000542209757</t>
  </si>
  <si>
    <t>DEPOSITORY CHARGES JUN24 - 41060499</t>
  </si>
  <si>
    <t>0000000542412119</t>
  </si>
  <si>
    <t>0000000542541158</t>
  </si>
  <si>
    <t>0000000542578947</t>
  </si>
  <si>
    <t>0000000542689847</t>
  </si>
  <si>
    <t>0000000542895537</t>
  </si>
  <si>
    <t>0000000543201870</t>
  </si>
  <si>
    <t>ACH C- CAMSL FINALDIV23 24-148614</t>
  </si>
  <si>
    <t>0000006386328282</t>
  </si>
  <si>
    <t>0000000543429104</t>
  </si>
  <si>
    <t>YHDF2391587417/BILLDKINDIANCLEARING</t>
  </si>
  <si>
    <t>0002420456722849</t>
  </si>
  <si>
    <t>0000000543767902</t>
  </si>
  <si>
    <t>0000000544112396</t>
  </si>
  <si>
    <t>0000000544256386</t>
  </si>
  <si>
    <t>0000000544462183</t>
  </si>
  <si>
    <t>0000000544754071</t>
  </si>
  <si>
    <t>NEFT CR-SBIN0004266-SBI GENERAL INSURANCE CO LTDSBI GEN-SUNITA GUPTA 0000000002717756-SBIN224206827961</t>
  </si>
  <si>
    <t>SBIN224206827961</t>
  </si>
  <si>
    <t>ACH C- BAJAJ FINANCE LIMITE-5697403</t>
  </si>
  <si>
    <t>0000006533137200</t>
  </si>
  <si>
    <t>0000000545097815</t>
  </si>
  <si>
    <t>0000006531099812</t>
  </si>
  <si>
    <t>0000000545240088</t>
  </si>
  <si>
    <t>ALEMBIC PHAR DIV232400000000000000006995</t>
  </si>
  <si>
    <t>0000242061374335</t>
  </si>
  <si>
    <t>ACH C- BAJAJ FINSERV LIMITE-5166374</t>
  </si>
  <si>
    <t>0000006541185854</t>
  </si>
  <si>
    <t>YHDF2395191501/BILLDKTHECALCUTTAELE</t>
  </si>
  <si>
    <t>0002420757134422</t>
  </si>
  <si>
    <t>0000000545686491</t>
  </si>
  <si>
    <t>0000000545980754</t>
  </si>
  <si>
    <t>0000000546268978</t>
  </si>
  <si>
    <t>0000000546470683</t>
  </si>
  <si>
    <t>ACH C- MPH FIN DIV 2023-24-0000IN3004764</t>
  </si>
  <si>
    <t>0000007064385211</t>
  </si>
  <si>
    <t>NEFT CR-UTIB0000004-AXIS MUTUAL FUND DIVIDEND A/C-SUNITA GUPTA-AXISCN0694049003</t>
  </si>
  <si>
    <t>AXISCN0694049003</t>
  </si>
  <si>
    <t>0000000546568869</t>
  </si>
  <si>
    <t>0000000546619066</t>
  </si>
  <si>
    <t>0000000546755724</t>
  </si>
  <si>
    <t>0000000546903673</t>
  </si>
  <si>
    <t>ACH C- JSW STEEL LIMITED-21931557</t>
  </si>
  <si>
    <t>0000006680260603</t>
  </si>
  <si>
    <t>0000000547180920</t>
  </si>
  <si>
    <t>0000000547292420</t>
  </si>
  <si>
    <t>ACH C- ATUL LTDFNLDIV 23 24-19440</t>
  </si>
  <si>
    <t>0000006685376965</t>
  </si>
  <si>
    <t>0000000547471222</t>
  </si>
  <si>
    <t>0000000547639950</t>
  </si>
  <si>
    <t>0000000547786653</t>
  </si>
  <si>
    <t>0000000547981336</t>
  </si>
  <si>
    <t>0000000548272032</t>
  </si>
  <si>
    <t>0000000548458629</t>
  </si>
  <si>
    <t>0000000548874168</t>
  </si>
  <si>
    <t>ACH C- TCS1STINTDIV050824-803726</t>
  </si>
  <si>
    <t>0000006929039098</t>
  </si>
  <si>
    <t>0000000549172769</t>
  </si>
  <si>
    <t>0000000549373953</t>
  </si>
  <si>
    <t>0000000549494763</t>
  </si>
  <si>
    <t>NEFT CR-SBIN0000TBU-ITDTAX REFUND 2024-25 AKDPG7463Q-SUNITA GUPTA-SBIN524219475023</t>
  </si>
  <si>
    <t>SBIN524219475023</t>
  </si>
  <si>
    <t>0000000549700186</t>
  </si>
  <si>
    <t>ACH C- NFIL-00000000000003531754</t>
  </si>
  <si>
    <t>0000007006432220</t>
  </si>
  <si>
    <t>0000000550072784</t>
  </si>
  <si>
    <t>0000000550208798</t>
  </si>
  <si>
    <t>0000000550340675</t>
  </si>
  <si>
    <t>0000000550475159</t>
  </si>
  <si>
    <t>0000000550705331</t>
  </si>
  <si>
    <t>NEFT CR-SBIN0004266-SBI GENERAL INSURANCE CO LTDSBI GEN-SUNITA GUPTA 0000000002717756-SBIN524222218819</t>
  </si>
  <si>
    <t>SBIN524222218819</t>
  </si>
  <si>
    <t>0000000550930582</t>
  </si>
  <si>
    <t>NEFT CR-SBIN0004266-SBI GENERAL INSURANCE CO LTDSBI GEN-SUNITA GUPTA 0000000002717756-SBIN124222221223</t>
  </si>
  <si>
    <t>SBIN124222221223</t>
  </si>
  <si>
    <t>0000000551230058</t>
  </si>
  <si>
    <t>DEPOSITORY CHARGES JUL24 - 41060499</t>
  </si>
  <si>
    <t>0000000551461856</t>
  </si>
  <si>
    <t>ACH C- DABUR INDIA LIMITED-8600449</t>
  </si>
  <si>
    <t>0000007325386692</t>
  </si>
  <si>
    <t>0000000551587104</t>
  </si>
  <si>
    <t>0000000551658198</t>
  </si>
  <si>
    <t>0000000551931267</t>
  </si>
  <si>
    <t>0000000552157806</t>
  </si>
  <si>
    <t>0000000552435534</t>
  </si>
  <si>
    <t>0000000552527534</t>
  </si>
  <si>
    <t>0000000552608973</t>
  </si>
  <si>
    <t>0000000552747093</t>
  </si>
  <si>
    <t>0000007436414035</t>
  </si>
  <si>
    <t>0000000552934696</t>
  </si>
  <si>
    <t>ACH C- COFORGE LTD-100452</t>
  </si>
  <si>
    <t>0000007481452514</t>
  </si>
  <si>
    <t>ACH C- ULTRATECHCEMENTLTD-00000000000004</t>
  </si>
  <si>
    <t>0000007046732229</t>
  </si>
  <si>
    <t>ACH C- DIVISLABORATORIES-000000000000033</t>
  </si>
  <si>
    <t>0000007121401229</t>
  </si>
  <si>
    <t>ISAQMC-APR-JUN24-323600 230724-MIR2522961261616</t>
  </si>
  <si>
    <t>MIR2522961261616</t>
  </si>
  <si>
    <t>0000000553203102</t>
  </si>
  <si>
    <t>0000000553401436</t>
  </si>
  <si>
    <t>UPI-BHARAT SHIVAJI SALVE-Q693795930@YBL-YESB0YBLUPI-459804001805-VEGITABLE</t>
  </si>
  <si>
    <t>0000459804001805</t>
  </si>
  <si>
    <t>YHDF2417946248/BILLDKTHECALCUTTAELE</t>
  </si>
  <si>
    <t>0002423259470626</t>
  </si>
  <si>
    <t>0000000553549010</t>
  </si>
  <si>
    <t>0000000553719337</t>
  </si>
  <si>
    <t>UPI-OM SUPAR SHOPI-PAYTMQR1BM2V0ZITY@PAYTM-YESB0PTMUPI-423376646504-CHACH</t>
  </si>
  <si>
    <t>0000423376646504</t>
  </si>
  <si>
    <t>UPI-BHARAT SHIVAJI SALVE-Q275219389@YBL-YESB0YBLUPI-459917741143-FRUIT</t>
  </si>
  <si>
    <t>0000459917741143</t>
  </si>
  <si>
    <t>0000000553854506</t>
  </si>
  <si>
    <t>UPI-KUNAL RAMESH JADHAV-Q579080630@YBL-YESB0YBLUPI-459947687018-BUKE</t>
  </si>
  <si>
    <t>0000459947687018</t>
  </si>
  <si>
    <t>0000000554118937</t>
  </si>
  <si>
    <t>UPI-KRUSHNASAGAR MITHAI-PAYTMQR596DKQ@PAYTM-YESB0PTMUPI-423452847251-NAMKIN</t>
  </si>
  <si>
    <t>0000423452847251</t>
  </si>
  <si>
    <t>01671000085930-TPT-BORROW FROM SUNITA-AJAY KUMAR GUPTA</t>
  </si>
  <si>
    <t>0000000311404451</t>
  </si>
  <si>
    <t>ACH C- CDSL FNLDIV 2023 24-345199</t>
  </si>
  <si>
    <t>0000007667792344</t>
  </si>
  <si>
    <t>0000000554261223</t>
  </si>
  <si>
    <t>0000000554540381</t>
  </si>
  <si>
    <t>0000000554671236</t>
  </si>
  <si>
    <t>01671000085930-TPT-MONEY RETURNED-AJAY KUMAR GUPTA</t>
  </si>
  <si>
    <t>0000000317317050</t>
  </si>
  <si>
    <t>0000000554967819</t>
  </si>
  <si>
    <t>0000000555007760</t>
  </si>
  <si>
    <t>0000000555104327</t>
  </si>
  <si>
    <t>ACH C- CAMS INT DIV 2024 25-154890</t>
  </si>
  <si>
    <t>0000007750640328</t>
  </si>
  <si>
    <t>NEFT CR-SBIN0004266-SBI GENERAL INSURANCE CO LTDSBI GEN-SUNITA GUPTA 0000000002717756-SBIN424236896638</t>
  </si>
  <si>
    <t>SBIN424236896638</t>
  </si>
  <si>
    <t>NEFT CR-SBIN0004266-SBI GENERAL INSURANCE CO LTDSBI GEN-SUNITA GUPTA 0000000002717756-SBIN524236319092</t>
  </si>
  <si>
    <t>SBIN524236319092</t>
  </si>
  <si>
    <t>0000000555287184</t>
  </si>
  <si>
    <t>NEFT DR-UTIB0002656-SUNITA GUPTA-NETBANK, MUM-N238243225110515-TRF FRM HDFC SUNIT</t>
  </si>
  <si>
    <t>N238243225110515</t>
  </si>
  <si>
    <t>0000000555444510</t>
  </si>
  <si>
    <t>0000007757624564</t>
  </si>
  <si>
    <t>0000000555626883</t>
  </si>
  <si>
    <t>0000000555785329</t>
  </si>
  <si>
    <t>0000000555916940</t>
  </si>
  <si>
    <t>0000000555961838</t>
  </si>
  <si>
    <t>0000000556075417</t>
  </si>
  <si>
    <t>ACH C- HINDALCO FIN DIV 24-288092</t>
  </si>
  <si>
    <t>0000007820818140</t>
  </si>
  <si>
    <t>0000000556362276</t>
  </si>
  <si>
    <t>0000000556500377</t>
  </si>
  <si>
    <t>ACH C- IBL FINL DIV 2023 24-114432</t>
  </si>
  <si>
    <t>0000007842158630</t>
  </si>
  <si>
    <t>NEFT CR-UTIB0000004-AXIS MUTUAL FUND DIVIDEND A/C-SUNITA GUPTA-AXISCN0725504131</t>
  </si>
  <si>
    <t>AXISCN0725504131</t>
  </si>
  <si>
    <t>0000000556685633</t>
  </si>
  <si>
    <t>ACH C- PI INDUSTRIES LTD-3534031</t>
  </si>
  <si>
    <t>0000007860709428</t>
  </si>
  <si>
    <t>0000000556932429</t>
  </si>
  <si>
    <t>DR LAL PATH DIV24 2500000000000000008450</t>
  </si>
  <si>
    <t>0000242423755028</t>
  </si>
  <si>
    <t>ACH C- RELIANCE INDUSTRIES-241361424</t>
  </si>
  <si>
    <t>0000007891654103</t>
  </si>
  <si>
    <t>0000000557122919</t>
  </si>
  <si>
    <t>0000000557390234</t>
  </si>
  <si>
    <t>0000000557551340</t>
  </si>
  <si>
    <t>ACH C- CONCOR INTDIV 202425-CN1708240048</t>
  </si>
  <si>
    <t>0000007928699717</t>
  </si>
  <si>
    <t>ACH C- ICICI BANK LTD.-7312296</t>
  </si>
  <si>
    <t>0000007945707652</t>
  </si>
  <si>
    <t>0000000558033088</t>
  </si>
  <si>
    <t>50100128155413-TPT-FROM AAYUSH-AAYUSH KUMAR GUPTA</t>
  </si>
  <si>
    <t>0000000378890154</t>
  </si>
  <si>
    <t>0000000558286697</t>
  </si>
  <si>
    <t>0000000559134042</t>
  </si>
  <si>
    <t>UPI-AJAY KUMAR GUPTA-AJAYGUPTANEL@YBL-HDFC0000167-424930662852-PAYMENT FROM PHONE</t>
  </si>
  <si>
    <t>0000424930662852</t>
  </si>
  <si>
    <t>0000000559314702</t>
  </si>
  <si>
    <t>0000000559615455</t>
  </si>
  <si>
    <t>0000000559653055</t>
  </si>
  <si>
    <t>0000000559779445</t>
  </si>
  <si>
    <t>0000000560008519</t>
  </si>
  <si>
    <t>UPI-AJAY KUMAR GUPTA-AJAYGUPTANEL@AXL-HDFC0000167-074263747998-MONEY RETURNED FRO</t>
  </si>
  <si>
    <t>0000074263747998</t>
  </si>
  <si>
    <t>0000000560353533</t>
  </si>
  <si>
    <t>NEFT CR-SBIN0004266-SBI GENERAL INSURANCE CO LTDSBI GEN-SUNITA GUPTA 0000000002717756-SBIN424253641625</t>
  </si>
  <si>
    <t>SBIN424253641625</t>
  </si>
  <si>
    <t>0000000560713658</t>
  </si>
  <si>
    <t>0000000560939308</t>
  </si>
  <si>
    <t>ACH C- HINDUSTANAERONAUTICS-4568724</t>
  </si>
  <si>
    <t>0000008454736091</t>
  </si>
  <si>
    <t>ACH C- COAL INDIA LTD-1337214</t>
  </si>
  <si>
    <t>0000008479011377</t>
  </si>
  <si>
    <t>FT- 561193411-50200085415108 - HDFC SECURITIES LTD-CLIENT DSCNB A/C -</t>
  </si>
  <si>
    <t>0000000769397677</t>
  </si>
  <si>
    <t>ACH C- NTPC- FINAL DIV 23-2-NT0708240357</t>
  </si>
  <si>
    <t>0000008487135873</t>
  </si>
  <si>
    <t>0000000561335070</t>
  </si>
  <si>
    <t>ACH C- POWER GRID CORPORATI-94348114</t>
  </si>
  <si>
    <t>0000008523476941</t>
  </si>
  <si>
    <t>ACH C- MANORAMA FNLDIV2324-4219</t>
  </si>
  <si>
    <t>0000008545572486</t>
  </si>
  <si>
    <t>0000000561534916</t>
  </si>
  <si>
    <t>0000000561688429</t>
  </si>
  <si>
    <t>0000000561796409</t>
  </si>
  <si>
    <t>0000000562112468</t>
  </si>
  <si>
    <t>FT- 562070321-50200085415108 - HDFC SECURITIES LTD-CLIENT DSCNB A/C -</t>
  </si>
  <si>
    <t>0000000771669728</t>
  </si>
  <si>
    <t>0000000562227997</t>
  </si>
  <si>
    <t>0000000562366504</t>
  </si>
  <si>
    <t>50100128155413-TPT-MNY RETRN FRM SUNITA TO AAYUSH-AAYUSH KUMAR GUPTA</t>
  </si>
  <si>
    <t>0000000447885753</t>
  </si>
  <si>
    <t>0000008615800050</t>
  </si>
  <si>
    <t>0000000562604240</t>
  </si>
  <si>
    <t>FT- 562928476-50200085415108 - HDFC SECURITIES LTD-CLIENT DSCNB A/C -</t>
  </si>
  <si>
    <t>0000000774494820</t>
  </si>
  <si>
    <t>0000000563098219</t>
  </si>
  <si>
    <t>DEPOSITORY CHARGES AUG24 - 41060499</t>
  </si>
  <si>
    <t>FT- ICICI PRUDENTIAL DIVIDEND DC A/C - ICICI_PRU_MF_DIVIDEND_  2759P_ 27883351</t>
  </si>
  <si>
    <t>0000001774979815</t>
  </si>
  <si>
    <t>0000000563300428</t>
  </si>
  <si>
    <t>0000000563531699</t>
  </si>
  <si>
    <t>0000000563713390</t>
  </si>
  <si>
    <t>0000000563894192</t>
  </si>
  <si>
    <t>0000000564000369</t>
  </si>
  <si>
    <t>0000000564228802</t>
  </si>
  <si>
    <t>0000000564557579</t>
  </si>
  <si>
    <t>FT- 564856018-50200085415108 - HDFC SECURITIES LTD-CLIENT DSCNB A/C -</t>
  </si>
  <si>
    <t>0000000779555955</t>
  </si>
  <si>
    <t>0000000565055253</t>
  </si>
  <si>
    <t>YHDF2442937528/BILLDKTHECALCUTTAELE</t>
  </si>
  <si>
    <t>0002426762566375</t>
  </si>
  <si>
    <t>0000000565232384</t>
  </si>
  <si>
    <t>0000000565543352</t>
  </si>
  <si>
    <t>0000000565714330</t>
  </si>
  <si>
    <t>FT- 565885294-50200085415108 - HDFC SECURITIES LTD-CLIENT DSCNB A/C -</t>
  </si>
  <si>
    <t>0000000782037940</t>
  </si>
  <si>
    <t>0000008957347293</t>
  </si>
  <si>
    <t>0000000565990106</t>
  </si>
  <si>
    <t>ATW-498792XXXXXX0500-S1ANMN04-NASHIK</t>
  </si>
  <si>
    <t>0000000000005540</t>
  </si>
  <si>
    <t>0000000566338714</t>
  </si>
  <si>
    <t>0000000566467505</t>
  </si>
  <si>
    <t>NEFT CR-SBIN0004266-SBI GENERAL INSURANCE CO LTDSBI GEN-SUNITA GUPTA 0000000002717756-SBIN324270219069</t>
  </si>
  <si>
    <t>SBIN324270219069</t>
  </si>
  <si>
    <t>FT- 566781852-50200085415108 - HDFC SECURITIES LTD-CLIENT DSCNB A/C -</t>
  </si>
  <si>
    <t>0000000784623671</t>
  </si>
  <si>
    <t>0000000566936909</t>
  </si>
  <si>
    <t>50100542230922-TPT-FOR EXPENSES TRN TO ARCHIT-ARCHIT GUPTA</t>
  </si>
  <si>
    <t>0000000503500292</t>
  </si>
  <si>
    <t>NEFT CR-SBIN0004266-SBI GENERAL INSURANCE CO LTDSBI GEN-SUNITA GUPTA 0000000002717756-SBIN424271842614</t>
  </si>
  <si>
    <t>SBIN424271842614</t>
  </si>
  <si>
    <t>FT- 567225434-50200085415108 - HDFC SECURITIES LTD-CLIENT DSCNB A/C -</t>
  </si>
  <si>
    <t>0000000786722540</t>
  </si>
  <si>
    <t>0000000567395837</t>
  </si>
  <si>
    <t>NEFT CR-UTIB0000004-AXIS MUTUAL FUND DIVIDEND A/C-SUNITA GUPTA-AXISCN0759989851</t>
  </si>
  <si>
    <t>AXISCN0759989851</t>
  </si>
  <si>
    <t>NEFT CR-UTIB0002656-SUNITA GUPTA-SUNITA GUPTA-AXOIR27490761713</t>
  </si>
  <si>
    <t>AXOIR27490761713</t>
  </si>
  <si>
    <t>0000000567605473</t>
  </si>
  <si>
    <t>INTEREST PAID TILL 30-SEP-2024</t>
  </si>
  <si>
    <t>0000000567937491</t>
  </si>
  <si>
    <t>01671000085930-TPT-MONEY RETURNED FROM SUNITA TO AJAY-AJAY KUMAR GUPTA</t>
  </si>
  <si>
    <t>0000000229921584</t>
  </si>
  <si>
    <t>50100542230922-TPT-LOAN MONEY RETURN-ARCHIT GUPTA</t>
  </si>
  <si>
    <t>0000000121755254</t>
  </si>
  <si>
    <t>FT- 568257882-50200085415108 - HDFC SECURITIES LTD-CLIENT DSCNB A/C -</t>
  </si>
  <si>
    <t>0000000790801592</t>
  </si>
  <si>
    <t>FT- 568289447-50200085415108 - HDFC SECURITIES LTD-CLIENT DSCNB A/C -</t>
  </si>
  <si>
    <t>0000000790823382</t>
  </si>
  <si>
    <t>0000000568441513</t>
  </si>
  <si>
    <t>0000000568661478</t>
  </si>
  <si>
    <t>0000000568963793</t>
  </si>
  <si>
    <t>0000000569184822</t>
  </si>
  <si>
    <t>0000000569606660</t>
  </si>
  <si>
    <t>ACH C- ALU FINAL 2023 2024-11514</t>
  </si>
  <si>
    <t>0000009718130123</t>
  </si>
  <si>
    <t>0000000569769624</t>
  </si>
  <si>
    <t>0000000569875031</t>
  </si>
  <si>
    <t>FT- 570053472-50200085415108 - HDFC SECURITIES LTD-CLIENT DSCNB A/C -</t>
  </si>
  <si>
    <t>0000000798598517</t>
  </si>
  <si>
    <t>0000000570156139</t>
  </si>
  <si>
    <t>ACH C- MCX OF INDIA LTD-3645726</t>
  </si>
  <si>
    <t>0000009866322545</t>
  </si>
  <si>
    <t>FT- 570463394-50200085415108 - HDFC SECURITIES LTD-CLIENT DSCNB A/C -</t>
  </si>
  <si>
    <t>0000000800336512</t>
  </si>
  <si>
    <t>0000000570587516</t>
  </si>
  <si>
    <t>FT- 570885181-50200085415108 - HDFC SECURITIES LTD-CLIENT DSCNB A/C -</t>
  </si>
  <si>
    <t>0000000801922703</t>
  </si>
  <si>
    <t>FT- 570915703-50200085415108 - HDFC SECURITIES LTD-CLIENT DSCNB A/C -</t>
  </si>
  <si>
    <t>0000000801939713</t>
  </si>
  <si>
    <t>0000000571065497</t>
  </si>
  <si>
    <t>NEFT CR-SBIN0004266-SBI GENERAL INSURANCE CO LTDSBI GEN-SUNITA GUPTA 0000000002717756-SBIN424284032197</t>
  </si>
  <si>
    <t>SBIN424284032197</t>
  </si>
  <si>
    <t>FT- 571335388-50200085415108 - HDFC SECURITIES LTD-CLIENT DSCNB A/C -</t>
  </si>
  <si>
    <t>0000000803539140</t>
  </si>
  <si>
    <t>0000000571479635</t>
  </si>
  <si>
    <t>0000000571610341</t>
  </si>
  <si>
    <t>0000000572007299</t>
  </si>
  <si>
    <t>FT- 572160230-50200085415108 - HDFC SECURITIES LTD-CLIENT DSCNB A/C -</t>
  </si>
  <si>
    <t>0000000806383753</t>
  </si>
  <si>
    <t>0000000087866418</t>
  </si>
  <si>
    <t>DEPOSITORY CHARGES SEP24 - 41060499</t>
  </si>
  <si>
    <t>ATW-498792XXXXXX0500-S1ANRS37-KOTA</t>
  </si>
  <si>
    <t>0000000000009746</t>
  </si>
  <si>
    <t>0000000572284253</t>
  </si>
  <si>
    <t>0000000572448395</t>
  </si>
  <si>
    <t>0000000572697913</t>
  </si>
  <si>
    <t>ACH C- CONCOR FINDIV 23-24-CN18092400347</t>
  </si>
  <si>
    <t>0000000195772238</t>
  </si>
  <si>
    <t>FT- 572987110-50200085415108 - HDFC SECURITIES LTD-CLIENT DSCNB A/C -</t>
  </si>
  <si>
    <t>0000000808728361</t>
  </si>
  <si>
    <t>0000000573129120</t>
  </si>
  <si>
    <t>0000000573313947</t>
  </si>
  <si>
    <t>0000000000000319</t>
  </si>
  <si>
    <t>0000000573562723</t>
  </si>
  <si>
    <t>NEFT CR-SBIN0004266-SBI GENERAL INSURANCE CO LTDSBI GEN-SUNITA GUPTA 0000000002717756-SBIN124292890137</t>
  </si>
  <si>
    <t>SBIN124292890137</t>
  </si>
  <si>
    <t>0000000573737824</t>
  </si>
  <si>
    <t>YHDF2461369507/BILLDKTHECALCUTTAELE</t>
  </si>
  <si>
    <t>0002429365018211</t>
  </si>
  <si>
    <t>ACH C- NMDC LTD-0000020308359</t>
  </si>
  <si>
    <t>0000000286327922</t>
  </si>
  <si>
    <t>0000000574056397</t>
  </si>
  <si>
    <t>0000000574236069</t>
  </si>
  <si>
    <t>0000000574519625</t>
  </si>
  <si>
    <t>TRF JAYPEE INFRATECH LTD</t>
  </si>
  <si>
    <t>0000000000508099</t>
  </si>
  <si>
    <t>0000000574741799</t>
  </si>
  <si>
    <t>0000000575011153</t>
  </si>
  <si>
    <t>FT- 575331981-50200085415108 - HDFC SECURITIES LTD-CLIENT DSCNB A/C -</t>
  </si>
  <si>
    <t>0000000815410366</t>
  </si>
  <si>
    <t>0000000575448938</t>
  </si>
  <si>
    <t>ACH C- COFORGE LTD-93826</t>
  </si>
  <si>
    <t>0000000401527723</t>
  </si>
  <si>
    <t>0000000575580835</t>
  </si>
  <si>
    <t>0000000575631090</t>
  </si>
  <si>
    <t>0000000408761218</t>
  </si>
  <si>
    <t>0000000575892635</t>
  </si>
  <si>
    <t>ACH C- HINDUSTAN COPPER LTD-509416</t>
  </si>
  <si>
    <t>0000000340032182</t>
  </si>
  <si>
    <t>0000000576054373</t>
  </si>
  <si>
    <t>0000000576144331</t>
  </si>
  <si>
    <t>50100128155413-TPT-BOROW FROM AAYUSH-AAYUSH KUMAR GUPTA</t>
  </si>
  <si>
    <t>0000000566404752</t>
  </si>
  <si>
    <t>0000000576467917</t>
  </si>
  <si>
    <t>NEFT CR-SBIN0004266-SBI GENERAL INSURANCE CO LTDSBI GEN-SUNITA GUPTA 0000000002717756-SBIN424302247596</t>
  </si>
  <si>
    <t>SBIN424302247596</t>
  </si>
  <si>
    <t>FT- 576770898-50200085415108 - HDFC SECURITIES LTD-CLIENT DSCNB A/C -</t>
  </si>
  <si>
    <t>0000000821172241</t>
  </si>
  <si>
    <t>0000000576911551</t>
  </si>
  <si>
    <t>NEFT CR-UTIB0000004-AXIS MUTUAL FUND DIVIDEND A/C-SUNITA GUPTA-AXISCN0795685543</t>
  </si>
  <si>
    <t>AXISCN0795685543</t>
  </si>
  <si>
    <t>0000000577072362</t>
  </si>
  <si>
    <t>0000000577342244</t>
  </si>
  <si>
    <t>FT- 577607783-50200085415108 - HDFC SECURITIES LTD-CLIENT DSCNB A/C -</t>
  </si>
  <si>
    <t>0000000826132772</t>
  </si>
  <si>
    <t>FT- INVESCO MF A/C - BS77 11104515 31020891566 45871233</t>
  </si>
  <si>
    <t>0000001826217238</t>
  </si>
  <si>
    <t>0000000577728982</t>
  </si>
  <si>
    <t>0000000577842363</t>
  </si>
  <si>
    <t>0000000577876068</t>
  </si>
  <si>
    <t>0000000578098192</t>
  </si>
  <si>
    <t>FT- 578249626-50200085415108 - HDFC SECURITIES LTD-CLIENT DSCNB A/C -</t>
  </si>
  <si>
    <t>0000000827846288</t>
  </si>
  <si>
    <t>0000000578523399</t>
  </si>
  <si>
    <t>0000000578766618</t>
  </si>
  <si>
    <t>0000000579068219</t>
  </si>
  <si>
    <t>ACH C- TCS2NDINTDIV051124-852371</t>
  </si>
  <si>
    <t>0000000599566692</t>
  </si>
  <si>
    <t>FT- 579367524-50200085415108 - HDFC SECURITIES LTD-CLIENT DSCNB A/C -</t>
  </si>
  <si>
    <t>0000000830495722</t>
  </si>
  <si>
    <t>0000000579511644</t>
  </si>
  <si>
    <t>FT- 579792596-50200085415108 - HDFC SECURITIES LTD-CLIENT DSCNB A/C -</t>
  </si>
  <si>
    <t>0000000831980312</t>
  </si>
  <si>
    <t>0000000579946012</t>
  </si>
  <si>
    <t>ACH C- LTIMIN INT 2024 25-184405</t>
  </si>
  <si>
    <t>0000000844690671</t>
  </si>
  <si>
    <t>NEFT CR-SBIN0004266-SBI GENERAL INSURANCE CO LTDSBI GEN-SUNITA GUPTA 0000000002717756-SBIN224312774608</t>
  </si>
  <si>
    <t>SBIN224312774608</t>
  </si>
  <si>
    <t>0000000580130123</t>
  </si>
  <si>
    <t>0611208954 INFY INTDIV2024-25 45328804</t>
  </si>
  <si>
    <t>0000061124134567</t>
  </si>
  <si>
    <t>0000000580395647</t>
  </si>
  <si>
    <t>0000000580606205</t>
  </si>
  <si>
    <t>0000000580935996</t>
  </si>
  <si>
    <t>0000000581143374</t>
  </si>
  <si>
    <t>FT- 581299632-50200085415108 - HDFC SECURITIES LTD-CLIENT DSCNB A/C -</t>
  </si>
  <si>
    <t>0000000838553458</t>
  </si>
  <si>
    <t>0000000581420546</t>
  </si>
  <si>
    <t>0000000581598063</t>
  </si>
  <si>
    <t>DEPOSITORY CHARGES OCT24 - 41060499</t>
  </si>
  <si>
    <t>0000000581859372</t>
  </si>
  <si>
    <t>0000000582092439</t>
  </si>
  <si>
    <t>0000000582351694</t>
  </si>
  <si>
    <t>0000000582532586</t>
  </si>
  <si>
    <t>01671000085930-TPT-BORROW FROM AJAY HDFC-AJAY KUMAR GUPTA</t>
  </si>
  <si>
    <t>0000000178961580</t>
  </si>
  <si>
    <t>DR LAL PATH DIV24 2500000000000000008238</t>
  </si>
  <si>
    <t>0000243218238387</t>
  </si>
  <si>
    <t>0000001210939104</t>
  </si>
  <si>
    <t>0000000582858649</t>
  </si>
  <si>
    <t>FT- 583186864-50200085415108 - HDFC SECURITIES LTD-CLIENT DSCNB A/C -</t>
  </si>
  <si>
    <t>0000000844903657</t>
  </si>
  <si>
    <t>0000000583320782</t>
  </si>
  <si>
    <t>ACH C- CAMS 2ND INT 2024 25-162211</t>
  </si>
  <si>
    <t>0000001317850832</t>
  </si>
  <si>
    <t>ACH C- SHRIRAM.FINLTD IDV25-STFCIN300476</t>
  </si>
  <si>
    <t>0000001382701632</t>
  </si>
  <si>
    <t>FT- 583585295-50200085415108 - HDFC SECURITIES LTD-CLIENT DSCNB A/C -</t>
  </si>
  <si>
    <t>0000000846872023</t>
  </si>
  <si>
    <t>0000000583741513</t>
  </si>
  <si>
    <t>ACH C- COAL INDIA LTD-1619328</t>
  </si>
  <si>
    <t>0000001437922408</t>
  </si>
  <si>
    <t>ACH C- HUL INT AND SPLDIV24-000000000000</t>
  </si>
  <si>
    <t>0000007329202326</t>
  </si>
  <si>
    <t>ACH C- NAVIN FLUORINE-000000000000037301</t>
  </si>
  <si>
    <t>0000007549226326</t>
  </si>
  <si>
    <t>0000000583965639</t>
  </si>
  <si>
    <t>0000000584231215</t>
  </si>
  <si>
    <t>ACH C- DABUR INDIA LIMITED-9118516</t>
  </si>
  <si>
    <t>0000001426867930</t>
  </si>
  <si>
    <t>YHDF2482557867/BILLDKTHECALCUTTAELE</t>
  </si>
  <si>
    <t>0002432768309002</t>
  </si>
  <si>
    <t>FT- 584504407-50200085415108 - HDFC SECURITIES LTD-CLIENT DSCNB A/C -</t>
  </si>
  <si>
    <t>0000000849717570</t>
  </si>
  <si>
    <t>FT- 584540072-50200085415108 - HDFC SECURITIES LTD-CLIENT DSCNB A/C -</t>
  </si>
  <si>
    <t>0000000849737762</t>
  </si>
  <si>
    <t>0000001466313921</t>
  </si>
  <si>
    <t>ACH C- CONCOR 2ND INT DIV 2-CN1511240039</t>
  </si>
  <si>
    <t>0000001482967108</t>
  </si>
  <si>
    <t>0000000584691939</t>
  </si>
  <si>
    <t>FT- 584941938-50200085415108 - HDFC SECURITIES LTD-CLIENT DSCNB A/C -</t>
  </si>
  <si>
    <t>0000000850819360</t>
  </si>
  <si>
    <t>0000000585074480</t>
  </si>
  <si>
    <t>ACH C- IRFC LTD-IR1511240142832</t>
  </si>
  <si>
    <t>0000001542888603</t>
  </si>
  <si>
    <t>FT- 585351267-50200085415108 - HDFC SECURITIES LTD-CLIENT DSCNB A/C -</t>
  </si>
  <si>
    <t>0000000852413361</t>
  </si>
  <si>
    <t>0000000585481903</t>
  </si>
  <si>
    <t>FT- 585750863-50200085415108 - HDFC SECURITIES LTD-CLIENT DSCNB A/C -</t>
  </si>
  <si>
    <t>0000000853418067</t>
  </si>
  <si>
    <t>0000000585901913</t>
  </si>
  <si>
    <t>NEFT CR-UTIB0000004-AXIS ASSET MANAGEMENT COMPANY LTD-SUNITA GUPTA-AXISP00576026071</t>
  </si>
  <si>
    <t>AXISP00576026071</t>
  </si>
  <si>
    <t>0000000586098641</t>
  </si>
  <si>
    <t>0000000586347592</t>
  </si>
  <si>
    <t>0000000586506339</t>
  </si>
  <si>
    <t>0000000000006796</t>
  </si>
  <si>
    <t>0000000586839432</t>
  </si>
  <si>
    <t>FT- 587120347-50200085415108 - HDFC SECURITIES LTD-CLIENT DSCNB A/C -</t>
  </si>
  <si>
    <t>0000000859117432</t>
  </si>
  <si>
    <t>0000000587249871</t>
  </si>
  <si>
    <t>0000000587405560</t>
  </si>
  <si>
    <t>FT- 587569592-50200085415108 - HDFC SECURITIES LTD-CLIENT DSCNB A/C -</t>
  </si>
  <si>
    <t>0000000860906420</t>
  </si>
  <si>
    <t>0000000587670098</t>
  </si>
  <si>
    <t>ACH C- POWER GRID CORPORATI-96351445</t>
  </si>
  <si>
    <t>0000001850605510</t>
  </si>
  <si>
    <t>0000000587822376</t>
  </si>
  <si>
    <t>0000000588109710</t>
  </si>
  <si>
    <t>FT- 588392744-50200085415108 - HDFC SECURITIES LTD-CLIENT DSCNB A/C -</t>
  </si>
  <si>
    <t>0000000863934371</t>
  </si>
  <si>
    <t>0000000588534715</t>
  </si>
  <si>
    <t>0000000588705484</t>
  </si>
  <si>
    <t>NEFT CR-SBIN0004266-SBI GENERAL INSURANCE CO LTDSBI GEN-SUNITA GUPTA 0000000002717756-SBIN324342428946</t>
  </si>
  <si>
    <t>SBIN324342428946</t>
  </si>
  <si>
    <t>0000000589050215</t>
  </si>
  <si>
    <t>FT- 589344583-50200085415108 - HDFC SECURITIES LTD-CLIENT DSCNB A/C -</t>
  </si>
  <si>
    <t>0000000869671393</t>
  </si>
  <si>
    <t>0000000589525318</t>
  </si>
  <si>
    <t>0000000589607900</t>
  </si>
  <si>
    <t>NEFT CR-SBIN0004266-SBI GENERAL INSURANCE CO LTDSBI GEN-SUNITA GUPTA 0000000002717756-SBIN124345927368</t>
  </si>
  <si>
    <t>SBIN124345927368</t>
  </si>
  <si>
    <t>FT- 589801141-50200085415108 - HDFC SECURITIES LTD-CLIENT DSCNB A/C -</t>
  </si>
  <si>
    <t>0000000871291904</t>
  </si>
  <si>
    <t>0000000589947458</t>
  </si>
  <si>
    <t>FT- 590196612-50200085415108 - HDFC SECURITIES LTD-CLIENT DSCNB A/C -</t>
  </si>
  <si>
    <t>0000000872656874</t>
  </si>
  <si>
    <t>0000000590333265</t>
  </si>
  <si>
    <t>0000000590451903</t>
  </si>
  <si>
    <t>0000000590517535</t>
  </si>
  <si>
    <t>0000000590756029</t>
  </si>
  <si>
    <t>CASH DEPOSIT BY - SELF - VISHWAKARMA CIRCLE</t>
  </si>
  <si>
    <t>0000000590888219</t>
  </si>
  <si>
    <t>0000000590938039</t>
  </si>
  <si>
    <t>0000002312871648</t>
  </si>
  <si>
    <t>0000000591246255</t>
  </si>
  <si>
    <t>0000000591399847</t>
  </si>
  <si>
    <t>0000000591651541</t>
  </si>
  <si>
    <t>DEPOSITORY CHARGES NOV24 - 41060499</t>
  </si>
  <si>
    <t>0000000591848095</t>
  </si>
  <si>
    <t>FT- 591999594-50200085415108 - HDFC SECURITIES LTD-CLIENT DSCNB A/C -</t>
  </si>
  <si>
    <t>0000000878544326</t>
  </si>
  <si>
    <t>0000000592103571</t>
  </si>
  <si>
    <t>0000000592289455</t>
  </si>
  <si>
    <t>0000000592597224</t>
  </si>
  <si>
    <t>NEFT CR-SBIN0004266-SBI GENERAL INSURANCE CO LTDSBI GEN-SUNITA GUPTA 0000000002717756-SBIN224354335526</t>
  </si>
  <si>
    <t>SBIN224354335526</t>
  </si>
  <si>
    <t>0000000592781335</t>
  </si>
  <si>
    <t>0000000593079110</t>
  </si>
  <si>
    <t>0000000593286867</t>
  </si>
  <si>
    <t>0000000593602456</t>
  </si>
  <si>
    <t>0000000593760155</t>
  </si>
  <si>
    <t>0000000594022488</t>
  </si>
  <si>
    <t>01671000085930-TPT-BORROW FROM AKG-AJAY KUMAR GUPTA</t>
  </si>
  <si>
    <t>0000000503524290</t>
  </si>
  <si>
    <t>YHDF2500679849/BILLDKTHECALCUTTAELE</t>
  </si>
  <si>
    <t>0002436071393645</t>
  </si>
  <si>
    <t>FT- 594273619-50200085415108 - HDFC SECURITIES LTD-CLIENT DSCNB A/C -</t>
  </si>
  <si>
    <t>0000000886172799</t>
  </si>
  <si>
    <t>ACH D- TP ACH INDIANESIGN-1660009188</t>
  </si>
  <si>
    <t>0000002662972044</t>
  </si>
  <si>
    <t>0000000594440742</t>
  </si>
  <si>
    <t>NEFT CR-UTIB0000004-AXIS MUTUAL FUND DIVIDEND A/C-SUNITA GUPTA-AXISCN0872204867</t>
  </si>
  <si>
    <t>AXISCN0872204867</t>
  </si>
  <si>
    <t>0000000595531923</t>
  </si>
  <si>
    <t>FT- 595680118-50200085415108 - HDFC SECURITIES LTD-CLIENT DSCNB A/C -</t>
  </si>
  <si>
    <t>0000000891478194</t>
  </si>
  <si>
    <t>0000000595770114</t>
  </si>
  <si>
    <t>0000000595927394</t>
  </si>
  <si>
    <t>INTEREST PAID TILL 31-DEC-2024</t>
  </si>
  <si>
    <t>0000000596236855</t>
  </si>
  <si>
    <t>FT- 596476875-50200085415108 - HDFC SECURITIES LTD-CLIENT DSCNB A/C -</t>
  </si>
  <si>
    <t>0000000894520930</t>
  </si>
  <si>
    <t>0000000596618890</t>
  </si>
  <si>
    <t>01671000085930-TPT-TRANSFER FROM AJAY-AJAY KUMAR GUPTA</t>
  </si>
  <si>
    <t>0000000255304792</t>
  </si>
  <si>
    <t>FT- 596877830-50200085415108 - HDFC SECURITIES LTD-CLIENT DSCNB A/C -</t>
  </si>
  <si>
    <t>0000000895887386</t>
  </si>
  <si>
    <t>0000000597045165</t>
  </si>
  <si>
    <t>0000000597251501</t>
  </si>
  <si>
    <t>NEFT CR-SBIN0004266-SBI GENERAL INSURANCE CO LTDSBI GEN-SUNITA GUPTA 0000000002717756-SBIN225004018693</t>
  </si>
  <si>
    <t>SBIN225004018693</t>
  </si>
  <si>
    <t>0000000597648313</t>
  </si>
  <si>
    <t>NEFT DR-CBIN0281641-MEGHA GUPTA-NETBANK, MUM-N006253497197898-EXPENSES FOR EVENT</t>
  </si>
  <si>
    <t>N006253497197898</t>
  </si>
  <si>
    <t>0000000597892509</t>
  </si>
  <si>
    <t>0000000598202343</t>
  </si>
  <si>
    <t>NEFT CR-SBIN0004266-SBI GENERAL INSURANCE CO LTDSBI GEN-SUNITA GUPTA 0000000002717756-SBIN125007600924</t>
  </si>
  <si>
    <t>SBIN125007600924</t>
  </si>
  <si>
    <t>FT- 598464901-50200085415108 - HDFC SECURITIES LTD-CLIENT DSCNB A/C -</t>
  </si>
  <si>
    <t>0000000903580821</t>
  </si>
  <si>
    <t>0000000598609135</t>
  </si>
  <si>
    <t>0000000598774703</t>
  </si>
  <si>
    <t>0000000599038372</t>
  </si>
  <si>
    <t>0000000599232533</t>
  </si>
  <si>
    <t>0000000000003380</t>
  </si>
  <si>
    <t>0000000599513072</t>
  </si>
  <si>
    <t>0000000599717217</t>
  </si>
  <si>
    <t>0000000600020713</t>
  </si>
  <si>
    <t>DEPOSITORY CHARGES DEC24 - 41060499</t>
  </si>
  <si>
    <t>0000000600267015</t>
  </si>
  <si>
    <t>0000000600553490</t>
  </si>
  <si>
    <t>FT- 600825987-50200085415108 - HDFC SECURITIES LTD-CLIENT DSCNB A/C -</t>
  </si>
  <si>
    <t>0000000912382805</t>
  </si>
  <si>
    <t>ACH D- TP ACH INDIANESIGN-1689209396</t>
  </si>
  <si>
    <t>0000003459664940</t>
  </si>
  <si>
    <t>0000000600977148</t>
  </si>
  <si>
    <t>FT- 601273702-50200085415108 - HDFC SECURITIES LTD-CLIENT DSCNB A/C -</t>
  </si>
  <si>
    <t>0000000913436128</t>
  </si>
  <si>
    <t>0000000601416546</t>
  </si>
  <si>
    <t>FT- 601652980-50200085415108 - HDFC SECURITIES LTD-CLIENT DSCNB A/C -</t>
  </si>
  <si>
    <t>0000000914519428</t>
  </si>
  <si>
    <t>0000000601807532</t>
  </si>
  <si>
    <t>FT- 602049692-50200085415108 - HDFC SECURITIES LTD-CLIENT DSCNB A/C -</t>
  </si>
  <si>
    <t>0000000916737444</t>
  </si>
  <si>
    <t>0000000602224560</t>
  </si>
  <si>
    <t>FT- 602479922-50200085415108 - HDFC SECURITIES LTD-CLIENT DSCNB A/C -</t>
  </si>
  <si>
    <t>0000000917759889</t>
  </si>
  <si>
    <t>0000000602604597</t>
  </si>
  <si>
    <t>NEFT CR-UTIB0000004-AXIS MUTUAL FUND DIVIDEND A/C-SUNITA GUPTA-UTIBN62025012165110745</t>
  </si>
  <si>
    <t>UTIBN62025012165110745</t>
  </si>
  <si>
    <t>0000000602791877</t>
  </si>
  <si>
    <t>0000000603041251</t>
  </si>
  <si>
    <t>0000000603227741</t>
  </si>
  <si>
    <t>0000000603456338</t>
  </si>
  <si>
    <t>FT- 603769079-50200085415108 - HDFC SECURITIES LTD-CLIENT DSCNB A/C -</t>
  </si>
  <si>
    <t>0000000921309434</t>
  </si>
  <si>
    <t>0000000603897648</t>
  </si>
  <si>
    <t>UPI-BIDYUT  HALDAR-7014298146@AXL-SBIN0031251-220367711683-LEMON TEA</t>
  </si>
  <si>
    <t>0000220367711683</t>
  </si>
  <si>
    <t>0000000604083144</t>
  </si>
  <si>
    <t>YHDF2518408318/BILLDKTHECALCUTTAELE</t>
  </si>
  <si>
    <t>0000252474286240</t>
  </si>
  <si>
    <t>ACH D- TP ACH INDIANESIGN-1692517311</t>
  </si>
  <si>
    <t>0000003797480267</t>
  </si>
  <si>
    <t>0000000604402522</t>
  </si>
  <si>
    <t>0000000604613595</t>
  </si>
  <si>
    <t>NEFT CR-UTIB0000004-AXIS MUTUAL FUND DIVIDEND A/C-SUNITA GUPTA-UTIBN62025012940337499</t>
  </si>
  <si>
    <t>UTIBN62025012940337499</t>
  </si>
  <si>
    <t>0000000605469737</t>
  </si>
  <si>
    <t>FT- 605558165-50200085415108 - HDFC SECURITIES LTD-CLIENT DSCNB A/C -</t>
  </si>
  <si>
    <t>0000000927235357</t>
  </si>
  <si>
    <t>UPI-AJAY KUMAR GUPTA-AJAYGUPTANEL@IBL-HDFC0000167-810561957614-PAYMENT FROM PHONE</t>
  </si>
  <si>
    <t>0000810561957614</t>
  </si>
  <si>
    <t>0000000605686935</t>
  </si>
  <si>
    <t>0000000605831271</t>
  </si>
  <si>
    <t>NEFT CR-SBIN0004266-SBI GENERAL INSURANCE CO LTDSBI GEN-SUNITA GUPTA 0000000002717756-SBINN52025013077176630</t>
  </si>
  <si>
    <t>SBINN52025013077176630</t>
  </si>
  <si>
    <t>0000000605902511</t>
  </si>
  <si>
    <t>FT- 606018689-50200085415108 - HDFC SECURITIES LTD-CLIENT DSCNB A/C -</t>
  </si>
  <si>
    <t>0000000928614873</t>
  </si>
  <si>
    <t>0000000606129630</t>
  </si>
  <si>
    <t>FT- 606603295-50200085415108 - HDFC SECURITIES LTD-CLIENT DSCNB A/C -</t>
  </si>
  <si>
    <t>0000000932234453</t>
  </si>
  <si>
    <t>FT- 606642758-50200085415108 - HDFC SECURITIES LTD-CLIENT DSCNB A/C -</t>
  </si>
  <si>
    <t>0000000932209174</t>
  </si>
  <si>
    <t>ACH C- TCS3INTSPLDIV030225-789082</t>
  </si>
  <si>
    <t>0000003978429499</t>
  </si>
  <si>
    <t>0000000606971283</t>
  </si>
  <si>
    <t>FT- 607119671-50200085415108 - HDFC SECURITIES LTD-CLIENT DSCNB A/C -</t>
  </si>
  <si>
    <t>0000000933874366</t>
  </si>
  <si>
    <t>0000000607235409</t>
  </si>
  <si>
    <t>0000000607401894</t>
  </si>
  <si>
    <t>0000000607666478</t>
  </si>
  <si>
    <t>NEFT CR-SBIN0004266-SBI GENERAL INSURANCE CO LTDSBI GEN-SUNITA GUPTA 0000000002717756-SBINN52025020592093945</t>
  </si>
  <si>
    <t>SBINN52025020592093945</t>
  </si>
  <si>
    <t>0000000607815966</t>
  </si>
  <si>
    <t>FT- 607956203-50200085415108 - HDFC SECURITIES LTD-CLIENT DSCNB A/C -</t>
  </si>
  <si>
    <t>0000000937435816</t>
  </si>
  <si>
    <t>0000000608067800</t>
  </si>
  <si>
    <t>0000000608233949</t>
  </si>
  <si>
    <t>0000000608473140</t>
  </si>
  <si>
    <t>NEFT CR-SBIN0004266-SBI GENERAL INSURANCE CO LTDSBI GEN-SUNITA GUPTA 0000000002717756-SBINN52025020795304462</t>
  </si>
  <si>
    <t>SBINN52025020795304462</t>
  </si>
  <si>
    <t>0000000608626433</t>
  </si>
  <si>
    <t>FT- 608796900-50200085415108 - HDFC SECURITIES LTD-CLIENT DSCNB A/C -</t>
  </si>
  <si>
    <t>0000000942972147</t>
  </si>
  <si>
    <t>0000000608981340</t>
  </si>
  <si>
    <t>0000000609204108</t>
  </si>
  <si>
    <t>0000000609459108</t>
  </si>
  <si>
    <t>0000000609656175</t>
  </si>
  <si>
    <t>0000000609912955</t>
  </si>
  <si>
    <t>0000000610090800</t>
  </si>
  <si>
    <t>0000000610366580</t>
  </si>
  <si>
    <t>ACH C- COFORGE LTD-95252</t>
  </si>
  <si>
    <t>0000004485597556</t>
  </si>
  <si>
    <t>0000000610514625</t>
  </si>
  <si>
    <t>DR LAL PATHLDIV24 2500000000000000008368</t>
  </si>
  <si>
    <t>0000250449784923</t>
  </si>
  <si>
    <t>0000000610752888</t>
  </si>
  <si>
    <t>DEPOSITORY CHARGES JAN25 - 41060499</t>
  </si>
  <si>
    <t>0000000610956478</t>
  </si>
  <si>
    <t>0000000611016991</t>
  </si>
  <si>
    <t>FT- 611101706-50200085415108 - HDFC SECURITIES LTD-CLIENT DSCNB A/C -</t>
  </si>
  <si>
    <t>0000000951903089</t>
  </si>
  <si>
    <t>FT- 611101707-50200085415108 - HDFC SECURITIES LTD-CLIENT DSCNB A/C -</t>
  </si>
  <si>
    <t>0000000951903093</t>
  </si>
  <si>
    <t>ACH D- TP ACH INDIANESIGN-1720937443</t>
  </si>
  <si>
    <t>0000004616735225</t>
  </si>
  <si>
    <t>0000000611267279</t>
  </si>
  <si>
    <t>ACH C- SHRIRAM.FINLTD I2DV2-STFIN3004764</t>
  </si>
  <si>
    <t>0000004642446420</t>
  </si>
  <si>
    <t>0000000611475267</t>
  </si>
  <si>
    <t>0000000611516776</t>
  </si>
  <si>
    <t>FT- 611623287-50200085415108 - HDFC SECURITIES LTD-CLIENT DSCNB A/C -</t>
  </si>
  <si>
    <t>0000000953039575</t>
  </si>
  <si>
    <t>0000000611750471</t>
  </si>
  <si>
    <t>ACH C- COAL INDIA LTD-1765532</t>
  </si>
  <si>
    <t>0000004678552777</t>
  </si>
  <si>
    <t>ACH C- CAMS 3INTDIV 24 25-179387</t>
  </si>
  <si>
    <t>0000004674863456</t>
  </si>
  <si>
    <t>0000000611976420</t>
  </si>
  <si>
    <t>0000000612010020</t>
  </si>
  <si>
    <t>0000000612158040</t>
  </si>
  <si>
    <t>0000000612307517</t>
  </si>
  <si>
    <t>FT- 612389928-50200085415108 - HDFC SECURITIES LTD-CLIENT DSCNB A/C -</t>
  </si>
  <si>
    <t>0000000955041078</t>
  </si>
  <si>
    <t>ACH C- CONCOR 3RD INT DIV-CN060225004173</t>
  </si>
  <si>
    <t>0000004731849470</t>
  </si>
  <si>
    <t>0000000612555837</t>
  </si>
  <si>
    <t>YHDF2532495131/BILLDKTHECALCUTTAELE</t>
  </si>
  <si>
    <t>0000255176808718</t>
  </si>
  <si>
    <t>FT- 612817930-50200085415108 - HDFC SECURITIES LTD-CLIENT DSCNB A/C -</t>
  </si>
  <si>
    <t>0000000956285689</t>
  </si>
  <si>
    <t>FT- 612789373-50200085415108 - HDFC SECURITIES LTD-CLIENT DSCNB A/C -</t>
  </si>
  <si>
    <t>0000000956277351</t>
  </si>
  <si>
    <t>0000000612905644</t>
  </si>
  <si>
    <t>0000000613095690</t>
  </si>
  <si>
    <t>0000000613123782</t>
  </si>
  <si>
    <t>0000000613361543</t>
  </si>
  <si>
    <t>ACH C- PI INDUSTRIES LTD-3738446</t>
  </si>
  <si>
    <t>0000004935229836</t>
  </si>
  <si>
    <t>0000000613534015</t>
  </si>
  <si>
    <t>ACH D- TP ACH INDIANESIGN-1724388224</t>
  </si>
  <si>
    <t>0000004954609668</t>
  </si>
  <si>
    <t>0000000613787503</t>
  </si>
  <si>
    <t>ACH C- HEROMOTOCORPLTD-00000000000007133</t>
  </si>
  <si>
    <t>0000007059427056</t>
  </si>
  <si>
    <t>0000000613939750</t>
  </si>
  <si>
    <t>FT- 614513900-50200085415108 - HDFC SECURITIES LTD-CLIENT DSCNB A/C -</t>
  </si>
  <si>
    <t>0000000963766350</t>
  </si>
  <si>
    <t>0000000614645050</t>
  </si>
  <si>
    <t>ACH C- POWER GRID CORPORATI-98355423</t>
  </si>
  <si>
    <t>0000005170152520</t>
  </si>
  <si>
    <t>NEFT CR-SBIN0004266-SBI GENERAL INSURANCE CO LTDSBI GEN-SUNITA GUPTA 0000000002717756-SBINN52025022832582513</t>
  </si>
  <si>
    <t>SBINN52025022832582513</t>
  </si>
  <si>
    <t>NEFT CR-UTIB0000004-AXIS MUTUAL FUND DIVIDEND A/C-SUNITA GUPTA-UTIBN62025022834402533</t>
  </si>
  <si>
    <t>UTIBN62025022834402533</t>
  </si>
  <si>
    <t>NEFT CR-SBIN0004266-SBI GENERAL INSURANCE CO LTDSBI GEN-SUNITA GUPTA 0000000002717756-SBINN52025022834304792</t>
  </si>
  <si>
    <t>SBINN52025022834304792</t>
  </si>
  <si>
    <t>0000000614847452</t>
  </si>
  <si>
    <t>ACH C- HINDUSTAN AERONAUTIC-5997828</t>
  </si>
  <si>
    <t>0000005213615472</t>
  </si>
  <si>
    <t>0000000494386268</t>
  </si>
  <si>
    <t>0000000615040666</t>
  </si>
  <si>
    <t>CUMMINS IND DIV24 2500000000000000009129</t>
  </si>
  <si>
    <t>0000250606578485</t>
  </si>
  <si>
    <t>0000000615218345</t>
  </si>
  <si>
    <t>0000000615421442</t>
  </si>
  <si>
    <t>0000000615700704</t>
  </si>
  <si>
    <t>FT- 615954992-50200085415108 - HDFC SECURITIES LTD-CLIENT DSCNB A/C -</t>
  </si>
  <si>
    <t>0000000971336845</t>
  </si>
  <si>
    <t>0000000616094449</t>
  </si>
  <si>
    <t>FT- 616353489-50200085415108 - HDFC SECURITIES LTD-CLIENT DSCNB A/C -</t>
  </si>
  <si>
    <t>0000000973366845</t>
  </si>
  <si>
    <t>0000000616486079</t>
  </si>
  <si>
    <t>FT- 616737413-50200085415108 - HDFC SECURITIES LTD-CLIENT DSCNB A/C -</t>
  </si>
  <si>
    <t>0000000975520750</t>
  </si>
  <si>
    <t>0000000616872735</t>
  </si>
  <si>
    <t>0000000617026809</t>
  </si>
  <si>
    <t>NEFT CR-SBIN0004266-SBI GENERAL INSURANCE CO LTDSBI GEN-SUNITA GUPTA 0000000002717756-SBINN52025030852329749</t>
  </si>
  <si>
    <t>SBINN52025030852329749</t>
  </si>
  <si>
    <t>.ACH DEBIT RETURN CHARGES 250225 250225-MIR2506812943710</t>
  </si>
  <si>
    <t>MIR2506812943710</t>
  </si>
  <si>
    <t>0000000617417013</t>
  </si>
  <si>
    <t>NEFT DR-SBIN0011669-SUNITA GUPTA-NETBANK, MUM-HDFCN52025031010201759-TRFR FR SUNITA HDF</t>
  </si>
  <si>
    <t>HDFCN52025031010201759</t>
  </si>
  <si>
    <t>0000000617604161</t>
  </si>
  <si>
    <t>0000000617842812</t>
  </si>
  <si>
    <t>0000000617990197</t>
  </si>
  <si>
    <t>0000000618237527</t>
  </si>
  <si>
    <t>0000000618374522</t>
  </si>
  <si>
    <t>0000000618631035</t>
  </si>
  <si>
    <t>DEPOSITORY CHARGES FEB25 - 41060499</t>
  </si>
  <si>
    <t>FT- 618929987-50200085415108 - HDFC SECURITIES LTD-CLIENT DSCNB A/C -</t>
  </si>
  <si>
    <t>0000000988622903</t>
  </si>
  <si>
    <t>ACH D- TP ACH INDIANESIGN-1752676394</t>
  </si>
  <si>
    <t>0000006164673791</t>
  </si>
  <si>
    <t>0000000619112958</t>
  </si>
  <si>
    <t>FT- 619390903-50200085415108 - HDFC SECURITIES LTD-CLIENT DSCNB A/C -</t>
  </si>
  <si>
    <t>0000000989836158</t>
  </si>
  <si>
    <t>0000000619517620</t>
  </si>
  <si>
    <t>0000000619643845</t>
  </si>
  <si>
    <t>0000000619891002</t>
  </si>
  <si>
    <t>FT- 620122043-50200085415108 - HDFC SECURITIES LTD-CLIENT DSCNB A/C -</t>
  </si>
  <si>
    <t>0000000992611311</t>
  </si>
  <si>
    <t>0000000200154523</t>
  </si>
  <si>
    <t>0000000620274462</t>
  </si>
  <si>
    <t>0000000620386355</t>
  </si>
  <si>
    <t>IMPS-507918394917-SBI GENERAL INSURANC-IDFB-XXXXXXX8671-IMPSTXN</t>
  </si>
  <si>
    <t>0000507918394917</t>
  </si>
  <si>
    <t>0000000620408632</t>
  </si>
  <si>
    <t>0000000620679490</t>
  </si>
  <si>
    <t>0000000620786197</t>
  </si>
  <si>
    <t>YHDF2547685358/BILLDKTHECALCUTTAELE</t>
  </si>
  <si>
    <t>0000258179548489</t>
  </si>
  <si>
    <t>0000000621091728</t>
  </si>
  <si>
    <t>FT- 621348015-50200085415108 - HDFC SECURITIES LTD-CLIENT DSCNB A/C -</t>
  </si>
  <si>
    <t>0000000998110131</t>
  </si>
  <si>
    <t>ACH D- TP ACH INDIANESIGN-1756309312</t>
  </si>
  <si>
    <t>0000006385920508</t>
  </si>
  <si>
    <t>0000000621519684</t>
  </si>
  <si>
    <t>0000000621689205</t>
  </si>
  <si>
    <t>FT- 621799157-50200085415108 - HDFC SECURITIES LTD-CLIENT DSCNB A/C -</t>
  </si>
  <si>
    <t>0000000999436007</t>
  </si>
  <si>
    <t>FT- 621822800-50200085415108 - HDFC SECURITIES LTD-CLIENT DSCNB A/C -</t>
  </si>
  <si>
    <t>0000000999473460</t>
  </si>
  <si>
    <t>0000000621932120</t>
  </si>
  <si>
    <t>0000000622109680</t>
  </si>
  <si>
    <t>0000000622365500</t>
  </si>
  <si>
    <t>ACH C- IRFC LTD-IR2103250146332</t>
  </si>
  <si>
    <t>0000006490317246</t>
  </si>
  <si>
    <t>0000000622506110</t>
  </si>
  <si>
    <t>FT- 622645959-50200085415108 - HDFC SECURITIES LTD-CLIENT DSCNB A/C -</t>
  </si>
  <si>
    <t>0000001002983074</t>
  </si>
  <si>
    <t>ACH C- NMDC LTD-0000030388452</t>
  </si>
  <si>
    <t>0000006524703984</t>
  </si>
  <si>
    <t>0000000622783934</t>
  </si>
  <si>
    <t>NEFT CR-UTIB0000004-AXIS MUTUAL FUND DIVIDEND A/C-SUNITA GUPTA-UTIBN62025032810896860</t>
  </si>
  <si>
    <t>UTIBN62025032810896860</t>
  </si>
  <si>
    <t>0000000622945273</t>
  </si>
  <si>
    <t>ISAQMC-JUL-SEP24-323600 070325-MIR2508872188526</t>
  </si>
  <si>
    <t>MIR2508872188526</t>
  </si>
  <si>
    <t xml:space="preserve">Account Name       :                </t>
  </si>
  <si>
    <t>Mrs. SUNITA AJAY GUPTA,Mr. AJAY  KUMAR  GUPTA</t>
  </si>
  <si>
    <t>Address            :</t>
  </si>
  <si>
    <t>FLAT NO. D-7 ISHWAR PARADISE</t>
  </si>
  <si>
    <t xml:space="preserve">                                    </t>
  </si>
  <si>
    <t>ASHOKA MARG NASIK ROAD</t>
  </si>
  <si>
    <t>NASHIK-422101</t>
  </si>
  <si>
    <t>Nashik</t>
  </si>
  <si>
    <t xml:space="preserve">Date               :                </t>
  </si>
  <si>
    <t>Account Number     :</t>
  </si>
  <si>
    <t>_00000032679487685</t>
  </si>
  <si>
    <t>Account Description:</t>
  </si>
  <si>
    <t>REGULAR SB NCHQ-INDIVIDUALS</t>
  </si>
  <si>
    <t>Branch             :</t>
  </si>
  <si>
    <t>SHIVAJI NAGAR, NASIK</t>
  </si>
  <si>
    <t>Drawing Power      :</t>
  </si>
  <si>
    <t>Interest Rate(% p.a.):</t>
  </si>
  <si>
    <t>MOD Balance      :</t>
  </si>
  <si>
    <t>CIF No.          :</t>
  </si>
  <si>
    <t>_86527767551</t>
  </si>
  <si>
    <t>IFS (Indian Financial System) Code         :</t>
  </si>
  <si>
    <t>SBIN0011669</t>
  </si>
  <si>
    <t>CKYCR Number          :</t>
  </si>
  <si>
    <t>MICR (Magnetic Ink Character Recognition)  Code        :</t>
  </si>
  <si>
    <t>_422002020</t>
  </si>
  <si>
    <t>Nomination Registered    :</t>
  </si>
  <si>
    <t xml:space="preserve">Yes </t>
  </si>
  <si>
    <t>Balance on 1 Apr 2024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</si>
  <si>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</si>
  <si>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</si>
  <si>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</si>
  <si>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</si>
  <si>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</si>
  <si>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</si>
  <si>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</si>
  <si>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</si>
  <si>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</si>
  <si>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ATM WDL-ATM CASH 3233  SBI SHIVAJI NAGAR ATM NASHIK--</t>
  </si>
  <si>
    <t xml:space="preserve">   CREDIT INTEREST---</t>
  </si>
  <si>
    <t xml:space="preserve">   ATM WDL-ATM CASH 2734  SBI SHIVAJI NAGAR ATM NASHIK--</t>
  </si>
  <si>
    <t xml:space="preserve">   DEBIT-ATMCard AMC  652294*8079--</t>
  </si>
  <si>
    <t xml:space="preserve">   BY TRANSFER-INB borrow--</t>
  </si>
  <si>
    <t>IID4853269               TRANSFER FROM 32718635441</t>
  </si>
  <si>
    <t xml:space="preserve">   TO TRANSFER-INB Security deposit return--</t>
  </si>
  <si>
    <t xml:space="preserve">IT00YWYOL0               TRANSFER TO 35730790076  </t>
  </si>
  <si>
    <t xml:space="preserve">   BY TRANSFER-INB borrow from Sunita--</t>
  </si>
  <si>
    <t>IID5359354               TRANSFER FROM 32718635441</t>
  </si>
  <si>
    <t xml:space="preserve">   TO TRANSFER-INB Pymt twrds scrap material--</t>
  </si>
  <si>
    <t xml:space="preserve">IT00ZBZYC9               TRANSFER TO 35730790076  </t>
  </si>
  <si>
    <t xml:space="preserve">   BY TRANSFER-NEFT*HDFC0000001*HDFCH00113163511*SUNITA GUPTA*BAT--</t>
  </si>
  <si>
    <t>TRANSFER FROM 3199970044309</t>
  </si>
  <si>
    <t xml:space="preserve">   TO TRANSFER-INB Rent--</t>
  </si>
  <si>
    <t xml:space="preserve">IT00ZCPZM4               TRANSFER TO 35730790076  </t>
  </si>
  <si>
    <t>Asset Purchase</t>
  </si>
  <si>
    <t>Security Deposit Returned</t>
  </si>
  <si>
    <t>Transfer to Ajay</t>
  </si>
  <si>
    <t>Rent Income</t>
  </si>
  <si>
    <t>Transfer by Ajay</t>
  </si>
  <si>
    <t>Transfer to Aayush</t>
  </si>
  <si>
    <t>Transfer to Archit</t>
  </si>
  <si>
    <t>Transfer by Archit</t>
  </si>
  <si>
    <t>Plus -Minus</t>
  </si>
  <si>
    <t>Cash Deposit</t>
  </si>
  <si>
    <t>Shaadi Kharcha</t>
  </si>
  <si>
    <t>Income Tax Refund</t>
  </si>
  <si>
    <t>Misc Income</t>
  </si>
  <si>
    <t>UPI</t>
  </si>
  <si>
    <t>HDFC Sec</t>
  </si>
  <si>
    <t>JP Infratech?</t>
  </si>
  <si>
    <t>AXIS ASSET MANAGEMENT COMPANY ?</t>
  </si>
  <si>
    <t>MF Redemption</t>
  </si>
  <si>
    <t>Insurance</t>
  </si>
  <si>
    <t>SIP - 10000</t>
  </si>
  <si>
    <t>80 - D?</t>
  </si>
  <si>
    <t>Account of Statements from 01-04-2024 to 31-03-2025</t>
  </si>
  <si>
    <t>TX Date</t>
  </si>
  <si>
    <t>Particulars</t>
  </si>
  <si>
    <t>Ref</t>
  </si>
  <si>
    <t>Account No</t>
  </si>
  <si>
    <t>HDFC</t>
  </si>
  <si>
    <t>AXIS</t>
  </si>
  <si>
    <t>SBI</t>
  </si>
  <si>
    <t>SIP</t>
  </si>
  <si>
    <t>Electricity Bill -Reim</t>
  </si>
  <si>
    <t>Q1</t>
  </si>
  <si>
    <t>Q2</t>
  </si>
  <si>
    <t>Q3</t>
  </si>
  <si>
    <t>Q4</t>
  </si>
  <si>
    <t xml:space="preserve">Rental Income </t>
  </si>
  <si>
    <t>SB:919010088767042:Int.Pd:01-01-2025 to 31-03-2025</t>
  </si>
  <si>
    <t>INTEREST PAID TILL 31-MAR-2025</t>
  </si>
  <si>
    <t>Entry?</t>
  </si>
  <si>
    <t>Done</t>
  </si>
  <si>
    <t>Ajay Gupta</t>
  </si>
  <si>
    <t>Archit</t>
  </si>
  <si>
    <t>Sunita Gupta</t>
  </si>
  <si>
    <t>IPO</t>
  </si>
  <si>
    <t>Transfer to Sunita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</si>
</sst>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16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0" fontId="16" fillId="0" borderId="0" xfId="0" applyFont="1"/>
    <xf numFmtId="0" fontId="16" fillId="0" borderId="0" xfId="43" applyFont="1"/>
    <xf numFmtId="0" fontId="19" fillId="0" borderId="0" xfId="0" applyFont="1"/>
    <xf numFmtId="43" fontId="0" fillId="0" borderId="0" xfId="0" applyNumberFormat="1"/>
    <xf numFmtId="15" fontId="0" fillId="0" borderId="0" xfId="0" applyNumberFormat="1"/>
    <xf numFmtId="4" fontId="0" fillId="0" borderId="0" xfId="0" applyNumberFormat="1"/>
    <xf numFmtId="43" fontId="0" fillId="33" borderId="0" xfId="0" applyNumberFormat="1" applyFill="1"/>
    <xf numFmtId="164" fontId="0" fillId="0" borderId="0" xfId="0" applyNumberFormat="1"/>
    <xf numFmtId="0" fontId="0" fillId="0" borderId="0" xfId="0" quotePrefix="1"/>
    <xf numFmtId="43" fontId="0" fillId="0" borderId="0" xfId="1" applyFont="1"/>
    <xf numFmtId="164" fontId="0" fillId="0" borderId="0" xfId="1" applyNumberFormat="1" applyFont="1" applyFill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325F9FE6-3AAA-424D-9D51-951B33144E8E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B01E-E344-4219-A840-AD6C227C44C2}">
  <dimension ref="A1:H114"/>
  <sheetViews>
    <sheetView workbookViewId="0">
      <selection activeCell="E16" sqref="E16"/>
    </sheetView>
  </sheetViews>
  <sheetFormatPr defaultRowHeight="14.4" x14ac:dyDescent="0.3"/>
  <cols>
    <col min="2" max="2" width="10.33203125" bestFit="1" customWidth="1"/>
    <col min="4" max="4" width="58.5546875" bestFit="1" customWidth="1"/>
    <col min="5" max="5" width="9.88671875" bestFit="1" customWidth="1"/>
    <col min="6" max="7" width="11.33203125" bestFit="1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A5" t="s">
        <v>4</v>
      </c>
    </row>
    <row r="6" spans="1:7" x14ac:dyDescent="0.3">
      <c r="A6" t="s">
        <v>5</v>
      </c>
    </row>
    <row r="7" spans="1:7" x14ac:dyDescent="0.3">
      <c r="A7" t="s">
        <v>6</v>
      </c>
    </row>
    <row r="8" spans="1:7" x14ac:dyDescent="0.3">
      <c r="A8" t="s">
        <v>7</v>
      </c>
    </row>
    <row r="9" spans="1:7" x14ac:dyDescent="0.3">
      <c r="A9" t="s">
        <v>8</v>
      </c>
    </row>
    <row r="10" spans="1:7" x14ac:dyDescent="0.3">
      <c r="A10" t="s">
        <v>9</v>
      </c>
    </row>
    <row r="11" spans="1:7" x14ac:dyDescent="0.3">
      <c r="A11" t="s">
        <v>10</v>
      </c>
    </row>
    <row r="12" spans="1:7" x14ac:dyDescent="0.3">
      <c r="A12" t="s">
        <v>11</v>
      </c>
    </row>
    <row r="13" spans="1:7" x14ac:dyDescent="0.3">
      <c r="A13" t="s">
        <v>12</v>
      </c>
    </row>
    <row r="14" spans="1:7" x14ac:dyDescent="0.3">
      <c r="A14" t="s">
        <v>13</v>
      </c>
    </row>
    <row r="15" spans="1:7" x14ac:dyDescent="0.3">
      <c r="A15" t="s">
        <v>14</v>
      </c>
    </row>
    <row r="16" spans="1:7" x14ac:dyDescent="0.3">
      <c r="A16" t="s">
        <v>15</v>
      </c>
      <c r="G16" s="14">
        <f>G18+E18</f>
        <v>9474.6200000000008</v>
      </c>
    </row>
    <row r="17" spans="1:8" x14ac:dyDescent="0.3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45</v>
      </c>
    </row>
    <row r="18" spans="1:8" x14ac:dyDescent="0.3">
      <c r="A18">
        <v>1</v>
      </c>
      <c r="B18" s="1">
        <v>45388</v>
      </c>
      <c r="C18" t="s">
        <v>23</v>
      </c>
      <c r="D18" t="s">
        <v>24</v>
      </c>
      <c r="E18" s="2">
        <v>30</v>
      </c>
      <c r="F18" s="2">
        <v>0</v>
      </c>
      <c r="G18" s="2">
        <v>9444.6200000000008</v>
      </c>
      <c r="H18" t="s">
        <v>48</v>
      </c>
    </row>
    <row r="19" spans="1:8" x14ac:dyDescent="0.3">
      <c r="A19">
        <v>2</v>
      </c>
      <c r="B19" s="1">
        <v>45395</v>
      </c>
      <c r="C19" t="s">
        <v>23</v>
      </c>
      <c r="D19" t="s">
        <v>25</v>
      </c>
      <c r="E19" s="2">
        <v>1000</v>
      </c>
      <c r="F19" s="2">
        <v>0</v>
      </c>
      <c r="G19" s="2">
        <v>8444.6200000000008</v>
      </c>
      <c r="H19" t="s">
        <v>49</v>
      </c>
    </row>
    <row r="20" spans="1:8" x14ac:dyDescent="0.3">
      <c r="A20">
        <v>3</v>
      </c>
      <c r="B20" s="1">
        <v>45405</v>
      </c>
      <c r="C20" t="s">
        <v>23</v>
      </c>
      <c r="D20" t="s">
        <v>26</v>
      </c>
      <c r="E20" s="2">
        <v>390</v>
      </c>
      <c r="F20" s="2">
        <v>0</v>
      </c>
      <c r="G20" s="2">
        <v>8054.62</v>
      </c>
      <c r="H20" t="s">
        <v>48</v>
      </c>
    </row>
    <row r="21" spans="1:8" x14ac:dyDescent="0.3">
      <c r="A21">
        <v>4</v>
      </c>
      <c r="B21" s="1">
        <v>45406</v>
      </c>
      <c r="C21" t="s">
        <v>23</v>
      </c>
      <c r="D21" t="s">
        <v>27</v>
      </c>
      <c r="E21" s="2">
        <v>150</v>
      </c>
      <c r="F21" s="2">
        <v>0</v>
      </c>
      <c r="G21" s="2">
        <v>7904.62</v>
      </c>
      <c r="H21" t="s">
        <v>48</v>
      </c>
    </row>
    <row r="22" spans="1:8" x14ac:dyDescent="0.3">
      <c r="A22">
        <v>5</v>
      </c>
      <c r="B22" s="1">
        <v>45408</v>
      </c>
      <c r="C22" t="s">
        <v>23</v>
      </c>
      <c r="D22" t="s">
        <v>28</v>
      </c>
      <c r="E22" s="2">
        <v>0</v>
      </c>
      <c r="F22" s="2">
        <v>4251.5</v>
      </c>
      <c r="G22" s="2">
        <v>12156.12</v>
      </c>
      <c r="H22" t="s">
        <v>46</v>
      </c>
    </row>
    <row r="23" spans="1:8" x14ac:dyDescent="0.3">
      <c r="A23">
        <v>6</v>
      </c>
      <c r="B23" s="1">
        <v>45415</v>
      </c>
      <c r="C23" t="s">
        <v>23</v>
      </c>
      <c r="D23" t="s">
        <v>29</v>
      </c>
      <c r="E23" s="2">
        <v>2000</v>
      </c>
      <c r="F23" s="2">
        <v>0</v>
      </c>
      <c r="G23" s="2">
        <v>10156.120000000001</v>
      </c>
      <c r="H23" t="s">
        <v>50</v>
      </c>
    </row>
    <row r="24" spans="1:8" x14ac:dyDescent="0.3">
      <c r="A24">
        <v>7</v>
      </c>
      <c r="B24" s="1">
        <v>45420</v>
      </c>
      <c r="C24" t="s">
        <v>23</v>
      </c>
      <c r="D24" t="s">
        <v>30</v>
      </c>
      <c r="E24" s="2">
        <v>0</v>
      </c>
      <c r="F24" s="2">
        <v>50000</v>
      </c>
      <c r="G24" s="2">
        <v>60156.12</v>
      </c>
      <c r="H24" t="s">
        <v>51</v>
      </c>
    </row>
    <row r="25" spans="1:8" x14ac:dyDescent="0.3">
      <c r="A25">
        <v>8</v>
      </c>
      <c r="B25" s="1">
        <v>45420</v>
      </c>
      <c r="C25" t="s">
        <v>23</v>
      </c>
      <c r="D25" t="s">
        <v>31</v>
      </c>
      <c r="E25" s="2">
        <v>50000</v>
      </c>
      <c r="F25" s="2">
        <v>0</v>
      </c>
      <c r="G25" s="2">
        <v>10156.120000000001</v>
      </c>
      <c r="H25" t="s">
        <v>46</v>
      </c>
    </row>
    <row r="26" spans="1:8" x14ac:dyDescent="0.3">
      <c r="A26">
        <v>9</v>
      </c>
      <c r="B26" s="1">
        <v>45422</v>
      </c>
      <c r="C26" t="s">
        <v>23</v>
      </c>
      <c r="D26" t="s">
        <v>32</v>
      </c>
      <c r="E26" s="2">
        <v>1320</v>
      </c>
      <c r="F26" s="2">
        <v>0</v>
      </c>
      <c r="G26" s="2">
        <v>8836.1200000000008</v>
      </c>
      <c r="H26" t="s">
        <v>48</v>
      </c>
    </row>
    <row r="27" spans="1:8" x14ac:dyDescent="0.3">
      <c r="A27">
        <v>10</v>
      </c>
      <c r="B27" s="1">
        <v>45427</v>
      </c>
      <c r="C27" t="s">
        <v>23</v>
      </c>
      <c r="D27" t="s">
        <v>33</v>
      </c>
      <c r="E27" s="2">
        <v>0</v>
      </c>
      <c r="F27" s="2">
        <v>100000</v>
      </c>
      <c r="G27" s="2">
        <v>108836.12</v>
      </c>
      <c r="H27" t="s">
        <v>51</v>
      </c>
    </row>
    <row r="28" spans="1:8" x14ac:dyDescent="0.3">
      <c r="A28">
        <v>11</v>
      </c>
      <c r="B28" s="1">
        <v>45427</v>
      </c>
      <c r="C28" t="s">
        <v>23</v>
      </c>
      <c r="D28" t="s">
        <v>34</v>
      </c>
      <c r="E28" s="2">
        <v>40000</v>
      </c>
      <c r="F28" s="2">
        <v>0</v>
      </c>
      <c r="G28" s="2">
        <v>68836.12</v>
      </c>
      <c r="H28" t="s">
        <v>52</v>
      </c>
    </row>
    <row r="29" spans="1:8" x14ac:dyDescent="0.3">
      <c r="A29">
        <v>12</v>
      </c>
      <c r="B29" s="1">
        <v>45436</v>
      </c>
      <c r="C29" t="s">
        <v>23</v>
      </c>
      <c r="D29" t="s">
        <v>34</v>
      </c>
      <c r="E29" s="2">
        <v>30000</v>
      </c>
      <c r="F29" s="2">
        <v>0</v>
      </c>
      <c r="G29" s="2">
        <v>38836.120000000003</v>
      </c>
      <c r="H29" t="s">
        <v>52</v>
      </c>
    </row>
    <row r="30" spans="1:8" x14ac:dyDescent="0.3">
      <c r="A30">
        <v>13</v>
      </c>
      <c r="B30" s="1">
        <v>45451</v>
      </c>
      <c r="C30" t="s">
        <v>23</v>
      </c>
      <c r="D30" t="s">
        <v>35</v>
      </c>
      <c r="E30" s="2">
        <v>0</v>
      </c>
      <c r="F30" s="2">
        <v>7726.63</v>
      </c>
      <c r="G30" s="2">
        <v>46562.75</v>
      </c>
      <c r="H30" t="s">
        <v>46</v>
      </c>
    </row>
    <row r="31" spans="1:8" x14ac:dyDescent="0.3">
      <c r="A31">
        <v>14</v>
      </c>
      <c r="B31" s="1">
        <v>45453</v>
      </c>
      <c r="C31" t="s">
        <v>23</v>
      </c>
      <c r="D31" t="s">
        <v>36</v>
      </c>
      <c r="E31" s="2">
        <v>108</v>
      </c>
      <c r="F31" s="2">
        <v>0</v>
      </c>
      <c r="G31" s="2">
        <v>46454.75</v>
      </c>
      <c r="H31" t="s">
        <v>47</v>
      </c>
    </row>
    <row r="32" spans="1:8" x14ac:dyDescent="0.3">
      <c r="A32">
        <v>15</v>
      </c>
      <c r="B32" s="1">
        <v>45453</v>
      </c>
      <c r="C32" t="s">
        <v>23</v>
      </c>
      <c r="D32" t="s">
        <v>37</v>
      </c>
      <c r="E32" s="2">
        <v>600</v>
      </c>
      <c r="F32" s="2">
        <v>0</v>
      </c>
      <c r="G32" s="2">
        <v>45854.75</v>
      </c>
      <c r="H32" t="s">
        <v>47</v>
      </c>
    </row>
    <row r="33" spans="1:8" x14ac:dyDescent="0.3">
      <c r="A33">
        <v>16</v>
      </c>
      <c r="B33" s="1">
        <v>45464</v>
      </c>
      <c r="C33" t="s">
        <v>23</v>
      </c>
      <c r="D33" t="s">
        <v>38</v>
      </c>
      <c r="E33" s="2">
        <v>25000</v>
      </c>
      <c r="F33" s="2">
        <v>0</v>
      </c>
      <c r="G33" s="2">
        <v>20854.75</v>
      </c>
      <c r="H33" t="s">
        <v>46</v>
      </c>
    </row>
    <row r="34" spans="1:8" x14ac:dyDescent="0.3">
      <c r="A34">
        <v>17</v>
      </c>
      <c r="B34" s="1">
        <v>45465</v>
      </c>
      <c r="C34" t="s">
        <v>23</v>
      </c>
      <c r="D34" t="s">
        <v>39</v>
      </c>
      <c r="E34" s="2">
        <v>1000</v>
      </c>
      <c r="F34" s="2">
        <v>0</v>
      </c>
      <c r="G34" s="2">
        <v>19854.75</v>
      </c>
      <c r="H34" t="s">
        <v>49</v>
      </c>
    </row>
    <row r="35" spans="1:8" x14ac:dyDescent="0.3">
      <c r="A35">
        <v>18</v>
      </c>
      <c r="B35" s="1">
        <v>45467</v>
      </c>
      <c r="C35" t="s">
        <v>23</v>
      </c>
      <c r="D35" t="s">
        <v>40</v>
      </c>
      <c r="E35" s="2">
        <v>0</v>
      </c>
      <c r="F35" s="2">
        <v>50000</v>
      </c>
      <c r="G35" s="2">
        <v>69854.75</v>
      </c>
      <c r="H35" t="s">
        <v>51</v>
      </c>
    </row>
    <row r="36" spans="1:8" x14ac:dyDescent="0.3">
      <c r="A36">
        <v>19</v>
      </c>
      <c r="B36" s="1">
        <v>45467</v>
      </c>
      <c r="C36" t="s">
        <v>23</v>
      </c>
      <c r="D36" t="s">
        <v>41</v>
      </c>
      <c r="E36" s="2">
        <v>30000</v>
      </c>
      <c r="F36" s="2">
        <v>0</v>
      </c>
      <c r="G36" s="2">
        <v>39854.75</v>
      </c>
      <c r="H36" t="s">
        <v>46</v>
      </c>
    </row>
    <row r="37" spans="1:8" x14ac:dyDescent="0.3">
      <c r="A37">
        <v>20</v>
      </c>
      <c r="B37" s="1">
        <v>45467</v>
      </c>
      <c r="C37" t="s">
        <v>23</v>
      </c>
      <c r="D37" t="s">
        <v>42</v>
      </c>
      <c r="E37" s="2">
        <v>30000</v>
      </c>
      <c r="F37" s="2">
        <v>0</v>
      </c>
      <c r="G37" s="2">
        <v>9854.75</v>
      </c>
      <c r="H37" t="s">
        <v>46</v>
      </c>
    </row>
    <row r="38" spans="1:8" x14ac:dyDescent="0.3">
      <c r="A38">
        <v>21</v>
      </c>
      <c r="B38" s="1">
        <v>45467</v>
      </c>
      <c r="C38" t="s">
        <v>23</v>
      </c>
      <c r="D38" t="s">
        <v>43</v>
      </c>
      <c r="E38" s="2">
        <v>0</v>
      </c>
      <c r="F38" s="2">
        <v>25000</v>
      </c>
      <c r="G38" s="2">
        <v>34854.75</v>
      </c>
      <c r="H38" t="s">
        <v>51</v>
      </c>
    </row>
    <row r="39" spans="1:8" x14ac:dyDescent="0.3">
      <c r="A39">
        <v>22</v>
      </c>
      <c r="B39" s="1">
        <v>45472</v>
      </c>
      <c r="C39" t="s">
        <v>23</v>
      </c>
      <c r="D39" t="s">
        <v>44</v>
      </c>
      <c r="E39" s="2">
        <v>770</v>
      </c>
      <c r="F39" s="2">
        <v>0</v>
      </c>
      <c r="G39" s="2">
        <v>34084.75</v>
      </c>
      <c r="H39" t="s">
        <v>48</v>
      </c>
    </row>
    <row r="40" spans="1:8" x14ac:dyDescent="0.3">
      <c r="A40">
        <v>23</v>
      </c>
      <c r="B40" s="1">
        <v>45474</v>
      </c>
      <c r="C40" t="s">
        <v>23</v>
      </c>
      <c r="D40" t="s">
        <v>348</v>
      </c>
      <c r="E40" s="2">
        <v>0</v>
      </c>
      <c r="F40" s="2">
        <v>208</v>
      </c>
      <c r="G40" s="2">
        <v>34292.75</v>
      </c>
      <c r="H40" t="s">
        <v>344</v>
      </c>
    </row>
    <row r="41" spans="1:8" x14ac:dyDescent="0.3">
      <c r="A41">
        <v>24</v>
      </c>
      <c r="B41" s="1">
        <v>45474</v>
      </c>
      <c r="C41" t="s">
        <v>23</v>
      </c>
      <c r="D41" t="s">
        <v>349</v>
      </c>
      <c r="E41" s="2">
        <v>0</v>
      </c>
      <c r="F41" s="2">
        <v>805</v>
      </c>
      <c r="G41" s="2">
        <v>35097.75</v>
      </c>
      <c r="H41" t="s">
        <v>340</v>
      </c>
    </row>
    <row r="42" spans="1:8" x14ac:dyDescent="0.3">
      <c r="A42">
        <v>25</v>
      </c>
      <c r="B42" s="1">
        <v>45474</v>
      </c>
      <c r="C42" t="s">
        <v>23</v>
      </c>
      <c r="D42" t="s">
        <v>350</v>
      </c>
      <c r="E42" s="2">
        <v>2000</v>
      </c>
      <c r="F42" s="2">
        <v>0</v>
      </c>
      <c r="G42" s="2">
        <v>33097.75</v>
      </c>
      <c r="H42" t="s">
        <v>50</v>
      </c>
    </row>
    <row r="43" spans="1:8" x14ac:dyDescent="0.3">
      <c r="A43">
        <v>26</v>
      </c>
      <c r="B43" s="1">
        <v>45476</v>
      </c>
      <c r="C43" t="s">
        <v>23</v>
      </c>
      <c r="D43" t="s">
        <v>351</v>
      </c>
      <c r="E43" s="2">
        <v>0</v>
      </c>
      <c r="F43" s="2">
        <v>3688.79</v>
      </c>
      <c r="G43" s="2">
        <v>36786.54</v>
      </c>
      <c r="H43" t="s">
        <v>46</v>
      </c>
    </row>
    <row r="44" spans="1:8" x14ac:dyDescent="0.3">
      <c r="A44">
        <v>27</v>
      </c>
      <c r="B44" s="1">
        <v>45478</v>
      </c>
      <c r="C44" t="s">
        <v>23</v>
      </c>
      <c r="D44" t="s">
        <v>352</v>
      </c>
      <c r="E44" s="2">
        <v>22</v>
      </c>
      <c r="F44" s="2">
        <v>0</v>
      </c>
      <c r="G44" s="2">
        <v>36764.54</v>
      </c>
      <c r="H44" t="s">
        <v>1309</v>
      </c>
    </row>
    <row r="45" spans="1:8" x14ac:dyDescent="0.3">
      <c r="A45">
        <v>28</v>
      </c>
      <c r="B45" s="1">
        <v>45478</v>
      </c>
      <c r="C45" t="s">
        <v>23</v>
      </c>
      <c r="D45" t="s">
        <v>353</v>
      </c>
      <c r="E45" s="2">
        <v>0</v>
      </c>
      <c r="F45" s="2">
        <v>1000</v>
      </c>
      <c r="G45" s="2">
        <v>37764.54</v>
      </c>
      <c r="H45" t="s">
        <v>1309</v>
      </c>
    </row>
    <row r="46" spans="1:8" x14ac:dyDescent="0.3">
      <c r="A46">
        <v>29</v>
      </c>
      <c r="B46" s="1">
        <v>45479</v>
      </c>
      <c r="C46" t="s">
        <v>23</v>
      </c>
      <c r="D46" t="s">
        <v>354</v>
      </c>
      <c r="E46" s="2">
        <v>0</v>
      </c>
      <c r="F46" s="2">
        <v>1000</v>
      </c>
      <c r="G46" s="2">
        <v>38764.54</v>
      </c>
      <c r="H46" t="s">
        <v>1309</v>
      </c>
    </row>
    <row r="47" spans="1:8" x14ac:dyDescent="0.3">
      <c r="A47">
        <v>30</v>
      </c>
      <c r="B47" s="1">
        <v>45481</v>
      </c>
      <c r="C47" t="s">
        <v>23</v>
      </c>
      <c r="D47" t="s">
        <v>355</v>
      </c>
      <c r="E47" s="2">
        <v>650</v>
      </c>
      <c r="F47" s="2">
        <v>0</v>
      </c>
      <c r="G47" s="2">
        <v>38114.54</v>
      </c>
      <c r="H47" t="s">
        <v>1309</v>
      </c>
    </row>
    <row r="48" spans="1:8" x14ac:dyDescent="0.3">
      <c r="A48">
        <v>31</v>
      </c>
      <c r="B48" s="1">
        <v>45484</v>
      </c>
      <c r="C48" t="s">
        <v>23</v>
      </c>
      <c r="D48" t="s">
        <v>356</v>
      </c>
      <c r="E48" s="2">
        <v>0</v>
      </c>
      <c r="F48" s="2">
        <v>1000</v>
      </c>
      <c r="G48" s="2">
        <v>39114.54</v>
      </c>
      <c r="H48" t="s">
        <v>1309</v>
      </c>
    </row>
    <row r="49" spans="1:8" x14ac:dyDescent="0.3">
      <c r="A49">
        <v>32</v>
      </c>
      <c r="B49" s="1">
        <v>45484</v>
      </c>
      <c r="C49" t="s">
        <v>23</v>
      </c>
      <c r="D49" t="s">
        <v>357</v>
      </c>
      <c r="E49" s="2">
        <v>25</v>
      </c>
      <c r="F49" s="2">
        <v>0</v>
      </c>
      <c r="G49" s="2">
        <v>39089.54</v>
      </c>
      <c r="H49" t="s">
        <v>1309</v>
      </c>
    </row>
    <row r="50" spans="1:8" x14ac:dyDescent="0.3">
      <c r="A50">
        <v>33</v>
      </c>
      <c r="B50" s="1">
        <v>45484</v>
      </c>
      <c r="C50" t="s">
        <v>23</v>
      </c>
      <c r="D50" t="s">
        <v>358</v>
      </c>
      <c r="E50" s="2">
        <v>0</v>
      </c>
      <c r="F50" s="2">
        <v>1000</v>
      </c>
      <c r="G50" s="2">
        <v>40089.54</v>
      </c>
      <c r="H50" t="s">
        <v>1309</v>
      </c>
    </row>
    <row r="51" spans="1:8" x14ac:dyDescent="0.3">
      <c r="A51">
        <v>34</v>
      </c>
      <c r="B51" s="1">
        <v>45489</v>
      </c>
      <c r="C51" t="s">
        <v>23</v>
      </c>
      <c r="D51" t="s">
        <v>359</v>
      </c>
      <c r="E51" s="2">
        <v>320</v>
      </c>
      <c r="F51" s="2">
        <v>0</v>
      </c>
      <c r="G51" s="2">
        <v>39769.54</v>
      </c>
      <c r="H51" t="s">
        <v>1309</v>
      </c>
    </row>
    <row r="52" spans="1:8" x14ac:dyDescent="0.3">
      <c r="A52">
        <v>35</v>
      </c>
      <c r="B52" s="1">
        <v>45490</v>
      </c>
      <c r="C52" t="s">
        <v>23</v>
      </c>
      <c r="D52" t="s">
        <v>36</v>
      </c>
      <c r="E52" s="2">
        <v>108</v>
      </c>
      <c r="F52" s="2">
        <v>0</v>
      </c>
      <c r="G52" s="2">
        <v>39661.54</v>
      </c>
      <c r="H52" t="s">
        <v>47</v>
      </c>
    </row>
    <row r="53" spans="1:8" x14ac:dyDescent="0.3">
      <c r="A53">
        <v>36</v>
      </c>
      <c r="B53" s="1">
        <v>45490</v>
      </c>
      <c r="C53" t="s">
        <v>23</v>
      </c>
      <c r="D53" t="s">
        <v>360</v>
      </c>
      <c r="E53" s="2">
        <v>600</v>
      </c>
      <c r="F53" s="2">
        <v>0</v>
      </c>
      <c r="G53" s="2">
        <v>39061.54</v>
      </c>
      <c r="H53" t="s">
        <v>47</v>
      </c>
    </row>
    <row r="54" spans="1:8" x14ac:dyDescent="0.3">
      <c r="A54">
        <v>37</v>
      </c>
      <c r="B54" s="1">
        <v>45491</v>
      </c>
      <c r="C54" t="s">
        <v>23</v>
      </c>
      <c r="D54" t="s">
        <v>361</v>
      </c>
      <c r="E54" s="2">
        <v>0</v>
      </c>
      <c r="F54" s="2">
        <v>50</v>
      </c>
      <c r="G54" s="2">
        <v>39111.54</v>
      </c>
      <c r="H54" t="s">
        <v>340</v>
      </c>
    </row>
    <row r="55" spans="1:8" x14ac:dyDescent="0.3">
      <c r="A55">
        <v>38</v>
      </c>
      <c r="B55" s="1">
        <v>45492</v>
      </c>
      <c r="C55" t="s">
        <v>23</v>
      </c>
      <c r="D55" t="s">
        <v>362</v>
      </c>
      <c r="E55" s="2">
        <v>1000</v>
      </c>
      <c r="F55" s="2">
        <v>0</v>
      </c>
      <c r="G55" s="2">
        <v>38111.54</v>
      </c>
      <c r="H55" t="s">
        <v>1309</v>
      </c>
    </row>
    <row r="56" spans="1:8" x14ac:dyDescent="0.3">
      <c r="A56">
        <v>39</v>
      </c>
      <c r="B56" s="1">
        <v>45494</v>
      </c>
      <c r="C56" t="s">
        <v>23</v>
      </c>
      <c r="D56" t="s">
        <v>363</v>
      </c>
      <c r="E56" s="2">
        <v>0</v>
      </c>
      <c r="F56" s="2">
        <v>150</v>
      </c>
      <c r="G56" s="2">
        <v>38261.54</v>
      </c>
      <c r="H56" t="s">
        <v>1309</v>
      </c>
    </row>
    <row r="57" spans="1:8" x14ac:dyDescent="0.3">
      <c r="A57">
        <v>40</v>
      </c>
      <c r="B57" s="1">
        <v>45494</v>
      </c>
      <c r="C57" t="s">
        <v>23</v>
      </c>
      <c r="D57" t="s">
        <v>364</v>
      </c>
      <c r="E57" s="2">
        <v>600</v>
      </c>
      <c r="F57" s="2">
        <v>0</v>
      </c>
      <c r="G57" s="2">
        <v>37661.54</v>
      </c>
      <c r="H57" t="s">
        <v>1309</v>
      </c>
    </row>
    <row r="58" spans="1:8" x14ac:dyDescent="0.3">
      <c r="A58">
        <v>41</v>
      </c>
      <c r="B58" s="1">
        <v>45494</v>
      </c>
      <c r="C58" t="s">
        <v>23</v>
      </c>
      <c r="D58" t="s">
        <v>365</v>
      </c>
      <c r="E58" s="2">
        <v>420</v>
      </c>
      <c r="F58" s="2">
        <v>0</v>
      </c>
      <c r="G58" s="2">
        <v>37241.54</v>
      </c>
      <c r="H58" t="s">
        <v>1309</v>
      </c>
    </row>
    <row r="59" spans="1:8" x14ac:dyDescent="0.3">
      <c r="A59">
        <v>42</v>
      </c>
      <c r="B59" s="1">
        <v>45498</v>
      </c>
      <c r="C59" t="s">
        <v>23</v>
      </c>
      <c r="D59" t="s">
        <v>366</v>
      </c>
      <c r="E59" s="2">
        <v>0</v>
      </c>
      <c r="F59" s="2">
        <v>1000</v>
      </c>
      <c r="G59" s="2">
        <v>38241.54</v>
      </c>
      <c r="H59" t="s">
        <v>1309</v>
      </c>
    </row>
    <row r="60" spans="1:8" x14ac:dyDescent="0.3">
      <c r="A60">
        <v>43</v>
      </c>
      <c r="B60" s="1">
        <v>45498</v>
      </c>
      <c r="C60" t="s">
        <v>23</v>
      </c>
      <c r="D60" t="s">
        <v>367</v>
      </c>
      <c r="E60" s="2">
        <v>407.25</v>
      </c>
      <c r="F60" s="2">
        <v>0</v>
      </c>
      <c r="G60" s="2">
        <v>37834.29</v>
      </c>
      <c r="H60" t="s">
        <v>1309</v>
      </c>
    </row>
    <row r="61" spans="1:8" x14ac:dyDescent="0.3">
      <c r="A61">
        <v>44</v>
      </c>
      <c r="B61" s="1">
        <v>45504</v>
      </c>
      <c r="C61" t="s">
        <v>23</v>
      </c>
      <c r="D61" t="s">
        <v>368</v>
      </c>
      <c r="E61" s="2">
        <v>0</v>
      </c>
      <c r="F61" s="2">
        <v>900</v>
      </c>
      <c r="G61" s="2">
        <v>38734.29</v>
      </c>
      <c r="H61" t="s">
        <v>340</v>
      </c>
    </row>
    <row r="62" spans="1:8" x14ac:dyDescent="0.3">
      <c r="A62">
        <v>45</v>
      </c>
      <c r="B62" s="1">
        <v>45507</v>
      </c>
      <c r="C62" t="s">
        <v>23</v>
      </c>
      <c r="D62" t="s">
        <v>369</v>
      </c>
      <c r="E62" s="2">
        <v>0</v>
      </c>
      <c r="F62" s="2">
        <v>25000</v>
      </c>
      <c r="G62" s="2">
        <v>63734.29</v>
      </c>
      <c r="H62" t="s">
        <v>46</v>
      </c>
    </row>
    <row r="63" spans="1:8" x14ac:dyDescent="0.3">
      <c r="A63">
        <v>46</v>
      </c>
      <c r="B63" s="1">
        <v>45510</v>
      </c>
      <c r="C63" t="s">
        <v>23</v>
      </c>
      <c r="D63" t="s">
        <v>370</v>
      </c>
      <c r="E63" s="2">
        <v>1519</v>
      </c>
      <c r="F63" s="2">
        <v>0</v>
      </c>
      <c r="G63" s="2">
        <v>62215.29</v>
      </c>
      <c r="H63" t="s">
        <v>1309</v>
      </c>
    </row>
    <row r="64" spans="1:8" x14ac:dyDescent="0.3">
      <c r="A64">
        <v>47</v>
      </c>
      <c r="B64" s="1">
        <v>45516</v>
      </c>
      <c r="C64" t="s">
        <v>23</v>
      </c>
      <c r="D64" t="s">
        <v>371</v>
      </c>
      <c r="E64" s="2">
        <v>400</v>
      </c>
      <c r="F64" s="2">
        <v>0</v>
      </c>
      <c r="G64" s="2">
        <v>61815.29</v>
      </c>
      <c r="H64" t="s">
        <v>1309</v>
      </c>
    </row>
    <row r="65" spans="1:8" x14ac:dyDescent="0.3">
      <c r="A65">
        <v>48</v>
      </c>
      <c r="B65" s="1">
        <v>45518</v>
      </c>
      <c r="C65" t="s">
        <v>23</v>
      </c>
      <c r="D65" t="s">
        <v>36</v>
      </c>
      <c r="E65" s="2">
        <v>108</v>
      </c>
      <c r="F65" s="2">
        <v>0</v>
      </c>
      <c r="G65" s="2">
        <v>61707.29</v>
      </c>
      <c r="H65" t="s">
        <v>47</v>
      </c>
    </row>
    <row r="66" spans="1:8" x14ac:dyDescent="0.3">
      <c r="A66">
        <v>49</v>
      </c>
      <c r="B66" s="1">
        <v>45518</v>
      </c>
      <c r="C66" t="s">
        <v>23</v>
      </c>
      <c r="D66" t="s">
        <v>372</v>
      </c>
      <c r="E66" s="2">
        <v>600</v>
      </c>
      <c r="F66" s="2">
        <v>0</v>
      </c>
      <c r="G66" s="2">
        <v>61107.29</v>
      </c>
      <c r="H66" t="s">
        <v>47</v>
      </c>
    </row>
    <row r="67" spans="1:8" x14ac:dyDescent="0.3">
      <c r="A67">
        <v>50</v>
      </c>
      <c r="B67" s="1">
        <v>45520</v>
      </c>
      <c r="C67" t="s">
        <v>23</v>
      </c>
      <c r="D67" t="s">
        <v>373</v>
      </c>
      <c r="E67" s="2">
        <v>1300</v>
      </c>
      <c r="F67" s="2">
        <v>0</v>
      </c>
      <c r="G67" s="2">
        <v>59807.29</v>
      </c>
      <c r="H67" t="s">
        <v>1309</v>
      </c>
    </row>
    <row r="68" spans="1:8" x14ac:dyDescent="0.3">
      <c r="A68">
        <v>51</v>
      </c>
      <c r="B68" s="1">
        <v>45525</v>
      </c>
      <c r="C68" t="s">
        <v>23</v>
      </c>
      <c r="D68" t="s">
        <v>374</v>
      </c>
      <c r="E68" s="2">
        <v>0</v>
      </c>
      <c r="F68" s="2">
        <v>600</v>
      </c>
      <c r="G68" s="2">
        <v>60407.29</v>
      </c>
      <c r="H68" t="s">
        <v>47</v>
      </c>
    </row>
    <row r="69" spans="1:8" x14ac:dyDescent="0.3">
      <c r="A69">
        <v>52</v>
      </c>
      <c r="B69" s="1">
        <v>45529</v>
      </c>
      <c r="C69" t="s">
        <v>23</v>
      </c>
      <c r="D69" t="s">
        <v>375</v>
      </c>
      <c r="E69" s="2">
        <v>127</v>
      </c>
      <c r="F69" s="2">
        <v>0</v>
      </c>
      <c r="G69" s="2">
        <v>60280.29</v>
      </c>
      <c r="H69" t="s">
        <v>1309</v>
      </c>
    </row>
    <row r="70" spans="1:8" x14ac:dyDescent="0.3">
      <c r="A70">
        <v>53</v>
      </c>
      <c r="B70" s="1">
        <v>45529</v>
      </c>
      <c r="C70" t="s">
        <v>23</v>
      </c>
      <c r="D70" t="s">
        <v>376</v>
      </c>
      <c r="E70" s="2">
        <v>0</v>
      </c>
      <c r="F70" s="2">
        <v>150000</v>
      </c>
      <c r="G70" s="2">
        <v>210280.29</v>
      </c>
      <c r="H70" t="s">
        <v>51</v>
      </c>
    </row>
    <row r="71" spans="1:8" x14ac:dyDescent="0.3">
      <c r="A71">
        <v>54</v>
      </c>
      <c r="B71" s="1">
        <v>45530</v>
      </c>
      <c r="C71" t="s">
        <v>23</v>
      </c>
      <c r="D71" t="s">
        <v>377</v>
      </c>
      <c r="E71" s="2">
        <v>0</v>
      </c>
      <c r="F71" s="2">
        <v>11206.33</v>
      </c>
      <c r="G71" s="2">
        <v>221486.62</v>
      </c>
      <c r="H71" t="s">
        <v>46</v>
      </c>
    </row>
    <row r="72" spans="1:8" x14ac:dyDescent="0.3">
      <c r="A72">
        <v>55</v>
      </c>
      <c r="B72" s="1">
        <v>45538</v>
      </c>
      <c r="C72" t="s">
        <v>23</v>
      </c>
      <c r="D72" t="s">
        <v>378</v>
      </c>
      <c r="E72" s="2">
        <v>14696</v>
      </c>
      <c r="F72" s="2">
        <v>0</v>
      </c>
      <c r="G72" s="2">
        <v>206790.62</v>
      </c>
      <c r="H72" t="s">
        <v>1309</v>
      </c>
    </row>
    <row r="73" spans="1:8" x14ac:dyDescent="0.3">
      <c r="A73">
        <v>56</v>
      </c>
      <c r="B73" s="1">
        <v>45538</v>
      </c>
      <c r="C73" t="s">
        <v>23</v>
      </c>
      <c r="D73" t="s">
        <v>379</v>
      </c>
      <c r="E73" s="2">
        <v>0</v>
      </c>
      <c r="F73" s="2">
        <v>230</v>
      </c>
      <c r="G73" s="2">
        <v>207020.62</v>
      </c>
      <c r="H73" t="s">
        <v>1309</v>
      </c>
    </row>
    <row r="74" spans="1:8" x14ac:dyDescent="0.3">
      <c r="A74">
        <v>57</v>
      </c>
      <c r="B74" s="1">
        <v>45540</v>
      </c>
      <c r="C74" t="s">
        <v>23</v>
      </c>
      <c r="D74" t="s">
        <v>380</v>
      </c>
      <c r="E74" s="2">
        <v>0</v>
      </c>
      <c r="F74" s="2">
        <v>40</v>
      </c>
      <c r="G74" s="2">
        <v>207060.62</v>
      </c>
      <c r="H74" t="s">
        <v>1309</v>
      </c>
    </row>
    <row r="75" spans="1:8" x14ac:dyDescent="0.3">
      <c r="A75">
        <v>58</v>
      </c>
      <c r="B75" s="1">
        <v>45541</v>
      </c>
      <c r="C75" t="s">
        <v>23</v>
      </c>
      <c r="D75" t="s">
        <v>381</v>
      </c>
      <c r="E75" s="2">
        <v>0</v>
      </c>
      <c r="F75" s="2">
        <v>19000</v>
      </c>
      <c r="G75" s="2">
        <v>226060.62</v>
      </c>
      <c r="H75" t="s">
        <v>46</v>
      </c>
    </row>
    <row r="76" spans="1:8" x14ac:dyDescent="0.3">
      <c r="A76">
        <v>59</v>
      </c>
      <c r="B76" s="1">
        <v>45546</v>
      </c>
      <c r="C76" t="s">
        <v>23</v>
      </c>
      <c r="D76" t="s">
        <v>382</v>
      </c>
      <c r="E76" s="2">
        <v>0</v>
      </c>
      <c r="F76" s="2">
        <v>10</v>
      </c>
      <c r="G76" s="2">
        <v>226070.62</v>
      </c>
      <c r="H76" t="s">
        <v>340</v>
      </c>
    </row>
    <row r="77" spans="1:8" x14ac:dyDescent="0.3">
      <c r="A77">
        <v>60</v>
      </c>
      <c r="B77" s="1">
        <v>45556</v>
      </c>
      <c r="C77" t="s">
        <v>23</v>
      </c>
      <c r="D77" t="s">
        <v>383</v>
      </c>
      <c r="E77" s="2">
        <v>310</v>
      </c>
      <c r="F77" s="2">
        <v>0</v>
      </c>
      <c r="G77" s="2">
        <v>225760.62</v>
      </c>
      <c r="H77" t="s">
        <v>1309</v>
      </c>
    </row>
    <row r="78" spans="1:8" x14ac:dyDescent="0.3">
      <c r="A78">
        <v>61</v>
      </c>
      <c r="B78" s="1">
        <v>45557</v>
      </c>
      <c r="C78" t="s">
        <v>23</v>
      </c>
      <c r="D78" t="s">
        <v>384</v>
      </c>
      <c r="E78" s="2">
        <v>422</v>
      </c>
      <c r="F78" s="2">
        <v>0</v>
      </c>
      <c r="G78" s="2">
        <v>225338.62</v>
      </c>
      <c r="H78" t="s">
        <v>1309</v>
      </c>
    </row>
    <row r="79" spans="1:8" x14ac:dyDescent="0.3">
      <c r="A79">
        <v>62</v>
      </c>
      <c r="B79" s="1">
        <v>45559</v>
      </c>
      <c r="C79" t="s">
        <v>23</v>
      </c>
      <c r="D79" t="s">
        <v>385</v>
      </c>
      <c r="E79" s="2">
        <v>500</v>
      </c>
      <c r="F79" s="2">
        <v>0</v>
      </c>
      <c r="G79" s="2">
        <v>224838.62</v>
      </c>
      <c r="H79" t="s">
        <v>1309</v>
      </c>
    </row>
    <row r="80" spans="1:8" x14ac:dyDescent="0.3">
      <c r="A80">
        <v>63</v>
      </c>
      <c r="B80" s="1">
        <v>45562</v>
      </c>
      <c r="C80" t="s">
        <v>23</v>
      </c>
      <c r="D80" t="s">
        <v>386</v>
      </c>
      <c r="E80" s="2">
        <v>0</v>
      </c>
      <c r="F80" s="2">
        <v>250</v>
      </c>
      <c r="G80" s="2">
        <v>225088.62</v>
      </c>
      <c r="H80" t="s">
        <v>340</v>
      </c>
    </row>
    <row r="81" spans="1:8" x14ac:dyDescent="0.3">
      <c r="A81">
        <v>64</v>
      </c>
      <c r="B81" s="1">
        <v>45563</v>
      </c>
      <c r="C81" t="s">
        <v>23</v>
      </c>
      <c r="D81" t="s">
        <v>387</v>
      </c>
      <c r="E81" s="2">
        <v>1700</v>
      </c>
      <c r="F81" s="2">
        <v>0</v>
      </c>
      <c r="G81" s="2">
        <v>223388.62</v>
      </c>
      <c r="H81" t="s">
        <v>1309</v>
      </c>
    </row>
    <row r="82" spans="1:8" x14ac:dyDescent="0.3">
      <c r="A82">
        <v>65</v>
      </c>
      <c r="B82" s="1">
        <v>45563</v>
      </c>
      <c r="C82" t="s">
        <v>23</v>
      </c>
      <c r="D82" t="s">
        <v>388</v>
      </c>
      <c r="E82" s="2">
        <v>10000</v>
      </c>
      <c r="F82" s="2">
        <v>0</v>
      </c>
      <c r="G82" s="2">
        <v>213388.62</v>
      </c>
      <c r="H82" t="s">
        <v>50</v>
      </c>
    </row>
    <row r="83" spans="1:8" x14ac:dyDescent="0.3">
      <c r="A83">
        <v>66</v>
      </c>
      <c r="B83" s="1">
        <v>45565</v>
      </c>
      <c r="C83" t="s">
        <v>23</v>
      </c>
      <c r="D83" t="s">
        <v>389</v>
      </c>
      <c r="E83" s="2">
        <v>100000</v>
      </c>
      <c r="F83" s="2">
        <v>0</v>
      </c>
      <c r="G83" s="2">
        <v>113388.62</v>
      </c>
      <c r="H83" s="2" t="s">
        <v>51</v>
      </c>
    </row>
    <row r="84" spans="1:8" x14ac:dyDescent="0.3">
      <c r="A84">
        <v>67</v>
      </c>
      <c r="B84" s="1">
        <v>45566</v>
      </c>
      <c r="C84" t="s">
        <v>23</v>
      </c>
      <c r="D84" t="s">
        <v>390</v>
      </c>
      <c r="E84" s="2">
        <v>0</v>
      </c>
      <c r="F84" s="2">
        <v>881</v>
      </c>
      <c r="G84" s="2">
        <v>114269.62</v>
      </c>
      <c r="H84" t="s">
        <v>344</v>
      </c>
    </row>
    <row r="85" spans="1:8" x14ac:dyDescent="0.3">
      <c r="A85">
        <v>68</v>
      </c>
      <c r="B85" s="1">
        <v>45568</v>
      </c>
      <c r="C85" t="s">
        <v>23</v>
      </c>
      <c r="D85" t="s">
        <v>391</v>
      </c>
      <c r="E85" s="2">
        <v>0</v>
      </c>
      <c r="F85" s="2">
        <v>39310.75</v>
      </c>
      <c r="G85" s="2">
        <v>153580.37</v>
      </c>
      <c r="H85" t="s">
        <v>46</v>
      </c>
    </row>
    <row r="86" spans="1:8" x14ac:dyDescent="0.3">
      <c r="A86">
        <v>69</v>
      </c>
      <c r="B86" s="1">
        <v>45581</v>
      </c>
      <c r="C86" t="s">
        <v>23</v>
      </c>
      <c r="D86" t="s">
        <v>392</v>
      </c>
      <c r="E86" s="2">
        <v>5000</v>
      </c>
      <c r="F86" s="2">
        <v>0</v>
      </c>
      <c r="G86" s="2">
        <v>148580.37</v>
      </c>
      <c r="H86" t="s">
        <v>1309</v>
      </c>
    </row>
    <row r="87" spans="1:8" x14ac:dyDescent="0.3">
      <c r="A87">
        <v>70</v>
      </c>
      <c r="B87" s="1">
        <v>45586</v>
      </c>
      <c r="C87" t="s">
        <v>23</v>
      </c>
      <c r="D87" t="s">
        <v>393</v>
      </c>
      <c r="E87" s="2">
        <v>15</v>
      </c>
      <c r="F87" s="2">
        <v>0</v>
      </c>
      <c r="G87" s="2">
        <v>148565.37</v>
      </c>
      <c r="H87" t="s">
        <v>1309</v>
      </c>
    </row>
    <row r="88" spans="1:8" x14ac:dyDescent="0.3">
      <c r="A88">
        <v>71</v>
      </c>
      <c r="B88" s="1">
        <v>45589</v>
      </c>
      <c r="C88" t="s">
        <v>23</v>
      </c>
      <c r="D88" t="s">
        <v>394</v>
      </c>
      <c r="E88" s="2">
        <v>7000</v>
      </c>
      <c r="F88" s="2">
        <v>0</v>
      </c>
      <c r="G88" s="2">
        <v>141565.37</v>
      </c>
      <c r="H88" t="s">
        <v>1309</v>
      </c>
    </row>
    <row r="89" spans="1:8" x14ac:dyDescent="0.3">
      <c r="A89">
        <v>72</v>
      </c>
      <c r="B89" s="1">
        <v>45592</v>
      </c>
      <c r="C89" t="s">
        <v>23</v>
      </c>
      <c r="D89" t="s">
        <v>34</v>
      </c>
      <c r="E89" s="2">
        <v>100000</v>
      </c>
      <c r="F89" s="2">
        <v>0</v>
      </c>
      <c r="G89" s="2">
        <v>41565.370000000003</v>
      </c>
      <c r="H89" t="s">
        <v>1301</v>
      </c>
    </row>
    <row r="90" spans="1:8" x14ac:dyDescent="0.3">
      <c r="A90">
        <v>73</v>
      </c>
      <c r="B90" s="1">
        <v>45594</v>
      </c>
      <c r="C90" t="s">
        <v>23</v>
      </c>
      <c r="D90" t="s">
        <v>395</v>
      </c>
      <c r="E90" s="2">
        <v>25000</v>
      </c>
      <c r="F90" s="2">
        <v>0</v>
      </c>
      <c r="G90" s="2">
        <v>16565.37</v>
      </c>
      <c r="H90" t="s">
        <v>1309</v>
      </c>
    </row>
    <row r="91" spans="1:8" x14ac:dyDescent="0.3">
      <c r="A91">
        <v>74</v>
      </c>
      <c r="B91" s="1">
        <v>45596</v>
      </c>
      <c r="C91" t="s">
        <v>23</v>
      </c>
      <c r="D91" t="s">
        <v>396</v>
      </c>
      <c r="E91" s="2">
        <v>590</v>
      </c>
      <c r="F91" s="2">
        <v>0</v>
      </c>
      <c r="G91" s="2">
        <v>15975.37</v>
      </c>
      <c r="H91" t="s">
        <v>47</v>
      </c>
    </row>
    <row r="92" spans="1:8" x14ac:dyDescent="0.3">
      <c r="A92">
        <v>75</v>
      </c>
      <c r="B92" s="1">
        <v>45597</v>
      </c>
      <c r="C92" t="s">
        <v>23</v>
      </c>
      <c r="D92" t="s">
        <v>397</v>
      </c>
      <c r="E92" s="2">
        <v>0</v>
      </c>
      <c r="F92" s="2">
        <v>25000</v>
      </c>
      <c r="G92" s="2">
        <v>40975.370000000003</v>
      </c>
      <c r="H92" t="s">
        <v>46</v>
      </c>
    </row>
    <row r="93" spans="1:8" x14ac:dyDescent="0.3">
      <c r="A93">
        <v>76</v>
      </c>
      <c r="B93" s="1">
        <v>45608</v>
      </c>
      <c r="C93" t="s">
        <v>23</v>
      </c>
      <c r="D93" t="s">
        <v>398</v>
      </c>
      <c r="E93" s="2">
        <v>3420</v>
      </c>
      <c r="F93" s="2">
        <v>0</v>
      </c>
      <c r="G93" s="2">
        <v>37555.370000000003</v>
      </c>
      <c r="H93" t="s">
        <v>1309</v>
      </c>
    </row>
    <row r="94" spans="1:8" x14ac:dyDescent="0.3">
      <c r="A94">
        <v>77</v>
      </c>
      <c r="B94" s="1">
        <v>45609</v>
      </c>
      <c r="C94" t="s">
        <v>23</v>
      </c>
      <c r="D94" t="s">
        <v>399</v>
      </c>
      <c r="E94" s="2">
        <v>10000</v>
      </c>
      <c r="F94" s="2">
        <v>0</v>
      </c>
      <c r="G94" s="2">
        <v>27555.37</v>
      </c>
      <c r="H94" t="s">
        <v>1309</v>
      </c>
    </row>
    <row r="95" spans="1:8" x14ac:dyDescent="0.3">
      <c r="A95">
        <v>78</v>
      </c>
      <c r="B95" s="1">
        <v>45609</v>
      </c>
      <c r="C95" t="s">
        <v>23</v>
      </c>
      <c r="D95" t="s">
        <v>400</v>
      </c>
      <c r="E95" s="2">
        <v>0</v>
      </c>
      <c r="F95" s="2">
        <v>5</v>
      </c>
      <c r="G95" s="2">
        <v>27560.37</v>
      </c>
      <c r="H95" t="s">
        <v>1309</v>
      </c>
    </row>
    <row r="96" spans="1:8" x14ac:dyDescent="0.3">
      <c r="A96">
        <v>79</v>
      </c>
      <c r="B96" s="1">
        <v>45609</v>
      </c>
      <c r="C96" t="s">
        <v>23</v>
      </c>
      <c r="D96" t="s">
        <v>401</v>
      </c>
      <c r="E96" s="2">
        <v>0</v>
      </c>
      <c r="F96" s="2">
        <v>10000</v>
      </c>
      <c r="G96" s="2">
        <v>37560.370000000003</v>
      </c>
      <c r="H96" t="s">
        <v>1309</v>
      </c>
    </row>
    <row r="97" spans="1:8" x14ac:dyDescent="0.3">
      <c r="A97">
        <v>80</v>
      </c>
      <c r="B97" s="1">
        <v>45623</v>
      </c>
      <c r="C97" t="s">
        <v>23</v>
      </c>
      <c r="D97" t="s">
        <v>402</v>
      </c>
      <c r="E97" s="2">
        <v>2280</v>
      </c>
      <c r="F97" s="2">
        <v>0</v>
      </c>
      <c r="G97" s="2">
        <v>35280.370000000003</v>
      </c>
      <c r="H97" t="s">
        <v>1309</v>
      </c>
    </row>
    <row r="98" spans="1:8" x14ac:dyDescent="0.3">
      <c r="A98">
        <v>81</v>
      </c>
      <c r="B98" s="1">
        <v>45635</v>
      </c>
      <c r="C98" t="s">
        <v>23</v>
      </c>
      <c r="D98" t="s">
        <v>403</v>
      </c>
      <c r="E98" s="2">
        <v>2700</v>
      </c>
      <c r="F98" s="2">
        <v>0</v>
      </c>
      <c r="G98" s="2">
        <v>32580.37</v>
      </c>
      <c r="H98" t="s">
        <v>1309</v>
      </c>
    </row>
    <row r="99" spans="1:8" x14ac:dyDescent="0.3">
      <c r="A99">
        <v>82</v>
      </c>
      <c r="B99" s="1">
        <v>45642</v>
      </c>
      <c r="C99" t="s">
        <v>23</v>
      </c>
      <c r="D99" t="s">
        <v>404</v>
      </c>
      <c r="E99" s="2">
        <v>500</v>
      </c>
      <c r="F99" s="2">
        <v>0</v>
      </c>
      <c r="G99" s="2">
        <v>32080.37</v>
      </c>
      <c r="H99" t="s">
        <v>1309</v>
      </c>
    </row>
    <row r="100" spans="1:8" x14ac:dyDescent="0.3">
      <c r="A100">
        <v>83</v>
      </c>
      <c r="B100" s="1">
        <v>45658</v>
      </c>
      <c r="C100" t="s">
        <v>23</v>
      </c>
      <c r="D100" t="s">
        <v>405</v>
      </c>
      <c r="E100" s="2">
        <v>0</v>
      </c>
      <c r="F100" s="2">
        <v>505</v>
      </c>
      <c r="G100" s="2">
        <v>32585.37</v>
      </c>
      <c r="H100" t="s">
        <v>344</v>
      </c>
    </row>
    <row r="101" spans="1:8" x14ac:dyDescent="0.3">
      <c r="A101">
        <v>84</v>
      </c>
      <c r="B101" s="1">
        <v>45661</v>
      </c>
      <c r="C101" t="s">
        <v>23</v>
      </c>
      <c r="D101" t="s">
        <v>406</v>
      </c>
      <c r="E101" s="2">
        <v>0</v>
      </c>
      <c r="F101" s="2">
        <v>24454.02</v>
      </c>
      <c r="G101" s="2">
        <v>57039.39</v>
      </c>
      <c r="H101" t="s">
        <v>46</v>
      </c>
    </row>
    <row r="102" spans="1:8" x14ac:dyDescent="0.3">
      <c r="A102">
        <v>85</v>
      </c>
      <c r="B102" s="1">
        <v>45684</v>
      </c>
      <c r="C102" t="s">
        <v>23</v>
      </c>
      <c r="D102" t="s">
        <v>407</v>
      </c>
      <c r="E102" s="2">
        <v>20000</v>
      </c>
      <c r="F102" s="2">
        <v>0</v>
      </c>
      <c r="G102" s="2">
        <v>37039.39</v>
      </c>
      <c r="H102" t="s">
        <v>1309</v>
      </c>
    </row>
    <row r="103" spans="1:8" x14ac:dyDescent="0.3">
      <c r="A103">
        <v>86</v>
      </c>
      <c r="B103" s="1">
        <v>45698</v>
      </c>
      <c r="C103" t="s">
        <v>23</v>
      </c>
      <c r="D103" t="s">
        <v>408</v>
      </c>
      <c r="E103" s="2">
        <v>1200</v>
      </c>
      <c r="F103" s="2">
        <v>0</v>
      </c>
      <c r="G103" s="2">
        <v>35839.39</v>
      </c>
      <c r="H103" t="s">
        <v>1309</v>
      </c>
    </row>
    <row r="104" spans="1:8" x14ac:dyDescent="0.3">
      <c r="A104">
        <v>87</v>
      </c>
      <c r="B104" s="1">
        <v>45702</v>
      </c>
      <c r="C104" t="s">
        <v>23</v>
      </c>
      <c r="D104" t="s">
        <v>409</v>
      </c>
      <c r="E104" s="2">
        <v>320</v>
      </c>
      <c r="F104" s="2">
        <v>0</v>
      </c>
      <c r="G104" s="2">
        <v>35519.39</v>
      </c>
      <c r="H104" t="s">
        <v>1309</v>
      </c>
    </row>
    <row r="105" spans="1:8" x14ac:dyDescent="0.3">
      <c r="A105">
        <v>88</v>
      </c>
      <c r="B105" s="1">
        <v>45719</v>
      </c>
      <c r="C105" t="s">
        <v>23</v>
      </c>
      <c r="D105" t="s">
        <v>410</v>
      </c>
      <c r="E105" s="2">
        <v>50</v>
      </c>
      <c r="F105" s="2">
        <v>0</v>
      </c>
      <c r="G105" s="2">
        <v>35469.39</v>
      </c>
      <c r="H105" t="s">
        <v>1309</v>
      </c>
    </row>
    <row r="106" spans="1:8" x14ac:dyDescent="0.3">
      <c r="A106">
        <v>89</v>
      </c>
      <c r="B106" s="1">
        <v>45719</v>
      </c>
      <c r="C106" t="s">
        <v>23</v>
      </c>
      <c r="D106" t="s">
        <v>411</v>
      </c>
      <c r="E106" s="2">
        <v>1270</v>
      </c>
      <c r="F106" s="2">
        <v>0</v>
      </c>
      <c r="G106" s="2">
        <v>34199.39</v>
      </c>
      <c r="H106" t="s">
        <v>1309</v>
      </c>
    </row>
    <row r="107" spans="1:8" x14ac:dyDescent="0.3">
      <c r="A107">
        <v>90</v>
      </c>
      <c r="B107" s="1">
        <v>45719</v>
      </c>
      <c r="C107" t="s">
        <v>23</v>
      </c>
      <c r="D107" t="s">
        <v>412</v>
      </c>
      <c r="E107" s="2">
        <v>0</v>
      </c>
      <c r="F107" s="2">
        <v>965</v>
      </c>
      <c r="G107" s="2">
        <v>35164.39</v>
      </c>
      <c r="H107" t="s">
        <v>1309</v>
      </c>
    </row>
    <row r="108" spans="1:8" x14ac:dyDescent="0.3">
      <c r="A108">
        <v>91</v>
      </c>
      <c r="B108" s="1">
        <v>45719</v>
      </c>
      <c r="C108" t="s">
        <v>23</v>
      </c>
      <c r="D108" t="s">
        <v>413</v>
      </c>
      <c r="E108" s="2">
        <v>0</v>
      </c>
      <c r="F108" s="2">
        <v>305</v>
      </c>
      <c r="G108" s="2">
        <v>35469.39</v>
      </c>
      <c r="H108" t="s">
        <v>1309</v>
      </c>
    </row>
    <row r="109" spans="1:8" x14ac:dyDescent="0.3">
      <c r="A109">
        <v>92</v>
      </c>
      <c r="B109" s="1">
        <v>45719</v>
      </c>
      <c r="C109" t="s">
        <v>23</v>
      </c>
      <c r="D109" t="s">
        <v>414</v>
      </c>
      <c r="E109" s="2">
        <v>305</v>
      </c>
      <c r="F109" s="2">
        <v>0</v>
      </c>
      <c r="G109" s="2">
        <v>35164.39</v>
      </c>
      <c r="H109" t="s">
        <v>1309</v>
      </c>
    </row>
    <row r="110" spans="1:8" x14ac:dyDescent="0.3">
      <c r="A110">
        <v>93</v>
      </c>
      <c r="B110" s="1">
        <v>45719</v>
      </c>
      <c r="C110" t="s">
        <v>23</v>
      </c>
      <c r="D110" t="s">
        <v>415</v>
      </c>
      <c r="E110" s="2">
        <v>1258</v>
      </c>
      <c r="F110" s="2">
        <v>0</v>
      </c>
      <c r="G110" s="2">
        <v>33906.39</v>
      </c>
      <c r="H110" t="s">
        <v>1309</v>
      </c>
    </row>
    <row r="111" spans="1:8" x14ac:dyDescent="0.3">
      <c r="A111">
        <v>94</v>
      </c>
      <c r="B111" s="1">
        <v>45726</v>
      </c>
      <c r="C111" t="s">
        <v>23</v>
      </c>
      <c r="D111" t="s">
        <v>416</v>
      </c>
      <c r="E111" s="2">
        <v>960</v>
      </c>
      <c r="F111" s="2">
        <v>0</v>
      </c>
      <c r="G111" s="2">
        <v>32946.39</v>
      </c>
      <c r="H111" t="s">
        <v>1309</v>
      </c>
    </row>
    <row r="112" spans="1:8" x14ac:dyDescent="0.3">
      <c r="A112">
        <v>95</v>
      </c>
      <c r="B112" s="1">
        <v>45728</v>
      </c>
      <c r="C112" t="s">
        <v>23</v>
      </c>
      <c r="D112" t="s">
        <v>417</v>
      </c>
      <c r="E112" s="2">
        <v>2499</v>
      </c>
      <c r="F112" s="2">
        <v>0</v>
      </c>
      <c r="G112" s="2">
        <v>30447.39</v>
      </c>
      <c r="H112" t="s">
        <v>1316</v>
      </c>
    </row>
    <row r="113" spans="1:8" x14ac:dyDescent="0.3">
      <c r="A113">
        <v>96</v>
      </c>
      <c r="B113" s="1">
        <v>45734</v>
      </c>
      <c r="C113" t="s">
        <v>23</v>
      </c>
      <c r="D113" t="s">
        <v>418</v>
      </c>
      <c r="E113" s="2">
        <v>1</v>
      </c>
      <c r="F113" s="2">
        <v>0</v>
      </c>
      <c r="G113" s="2">
        <v>30446.39</v>
      </c>
      <c r="H113" t="s">
        <v>1309</v>
      </c>
    </row>
    <row r="114" spans="1:8" x14ac:dyDescent="0.3">
      <c r="A114">
        <v>97</v>
      </c>
      <c r="B114" s="1">
        <v>45734</v>
      </c>
      <c r="C114" t="s">
        <v>23</v>
      </c>
      <c r="D114" t="s">
        <v>419</v>
      </c>
      <c r="E114" s="2">
        <v>17550</v>
      </c>
      <c r="F114" s="2">
        <v>0</v>
      </c>
      <c r="G114" s="2">
        <v>12896.39</v>
      </c>
      <c r="H114" t="s">
        <v>1309</v>
      </c>
    </row>
  </sheetData>
  <autoFilter ref="A17:H114" xr:uid="{5C48B01E-E344-4219-A840-AD6C227C44C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85BF-EBED-414D-8C96-3AFF6FDA8AB3}">
  <dimension ref="A1:H836"/>
  <sheetViews>
    <sheetView workbookViewId="0">
      <selection activeCell="G18" sqref="G18"/>
    </sheetView>
  </sheetViews>
  <sheetFormatPr defaultRowHeight="14.4" x14ac:dyDescent="0.3"/>
  <cols>
    <col min="1" max="1" width="10.33203125" bestFit="1" customWidth="1"/>
    <col min="2" max="2" width="45" customWidth="1"/>
    <col min="3" max="3" width="18.77734375" customWidth="1"/>
    <col min="4" max="4" width="10.33203125" bestFit="1" customWidth="1"/>
    <col min="5" max="7" width="18.77734375" customWidth="1"/>
    <col min="8" max="256" width="11.5546875" customWidth="1"/>
    <col min="257" max="257" width="8.44140625" customWidth="1"/>
    <col min="258" max="258" width="45" customWidth="1"/>
    <col min="259" max="259" width="18.77734375" customWidth="1"/>
    <col min="260" max="260" width="8.44140625" customWidth="1"/>
    <col min="261" max="263" width="18.77734375" customWidth="1"/>
    <col min="264" max="512" width="11.5546875" customWidth="1"/>
    <col min="513" max="513" width="8.44140625" customWidth="1"/>
    <col min="514" max="514" width="45" customWidth="1"/>
    <col min="515" max="515" width="18.77734375" customWidth="1"/>
    <col min="516" max="516" width="8.44140625" customWidth="1"/>
    <col min="517" max="519" width="18.77734375" customWidth="1"/>
    <col min="520" max="768" width="11.5546875" customWidth="1"/>
    <col min="769" max="769" width="8.44140625" customWidth="1"/>
    <col min="770" max="770" width="45" customWidth="1"/>
    <col min="771" max="771" width="18.77734375" customWidth="1"/>
    <col min="772" max="772" width="8.44140625" customWidth="1"/>
    <col min="773" max="775" width="18.77734375" customWidth="1"/>
    <col min="776" max="1024" width="11.5546875" customWidth="1"/>
    <col min="1025" max="1025" width="8.44140625" customWidth="1"/>
    <col min="1026" max="1026" width="45" customWidth="1"/>
    <col min="1027" max="1027" width="18.77734375" customWidth="1"/>
    <col min="1028" max="1028" width="8.44140625" customWidth="1"/>
    <col min="1029" max="1031" width="18.77734375" customWidth="1"/>
    <col min="1032" max="1280" width="11.5546875" customWidth="1"/>
    <col min="1281" max="1281" width="8.44140625" customWidth="1"/>
    <col min="1282" max="1282" width="45" customWidth="1"/>
    <col min="1283" max="1283" width="18.77734375" customWidth="1"/>
    <col min="1284" max="1284" width="8.44140625" customWidth="1"/>
    <col min="1285" max="1287" width="18.77734375" customWidth="1"/>
    <col min="1288" max="1536" width="11.5546875" customWidth="1"/>
    <col min="1537" max="1537" width="8.44140625" customWidth="1"/>
    <col min="1538" max="1538" width="45" customWidth="1"/>
    <col min="1539" max="1539" width="18.77734375" customWidth="1"/>
    <col min="1540" max="1540" width="8.44140625" customWidth="1"/>
    <col min="1541" max="1543" width="18.77734375" customWidth="1"/>
    <col min="1544" max="1792" width="11.5546875" customWidth="1"/>
    <col min="1793" max="1793" width="8.44140625" customWidth="1"/>
    <col min="1794" max="1794" width="45" customWidth="1"/>
    <col min="1795" max="1795" width="18.77734375" customWidth="1"/>
    <col min="1796" max="1796" width="8.44140625" customWidth="1"/>
    <col min="1797" max="1799" width="18.77734375" customWidth="1"/>
    <col min="1800" max="2048" width="11.5546875" customWidth="1"/>
    <col min="2049" max="2049" width="8.44140625" customWidth="1"/>
    <col min="2050" max="2050" width="45" customWidth="1"/>
    <col min="2051" max="2051" width="18.77734375" customWidth="1"/>
    <col min="2052" max="2052" width="8.44140625" customWidth="1"/>
    <col min="2053" max="2055" width="18.77734375" customWidth="1"/>
    <col min="2056" max="2304" width="11.5546875" customWidth="1"/>
    <col min="2305" max="2305" width="8.44140625" customWidth="1"/>
    <col min="2306" max="2306" width="45" customWidth="1"/>
    <col min="2307" max="2307" width="18.77734375" customWidth="1"/>
    <col min="2308" max="2308" width="8.44140625" customWidth="1"/>
    <col min="2309" max="2311" width="18.77734375" customWidth="1"/>
    <col min="2312" max="2560" width="11.5546875" customWidth="1"/>
    <col min="2561" max="2561" width="8.44140625" customWidth="1"/>
    <col min="2562" max="2562" width="45" customWidth="1"/>
    <col min="2563" max="2563" width="18.77734375" customWidth="1"/>
    <col min="2564" max="2564" width="8.44140625" customWidth="1"/>
    <col min="2565" max="2567" width="18.77734375" customWidth="1"/>
    <col min="2568" max="2816" width="11.5546875" customWidth="1"/>
    <col min="2817" max="2817" width="8.44140625" customWidth="1"/>
    <col min="2818" max="2818" width="45" customWidth="1"/>
    <col min="2819" max="2819" width="18.77734375" customWidth="1"/>
    <col min="2820" max="2820" width="8.44140625" customWidth="1"/>
    <col min="2821" max="2823" width="18.77734375" customWidth="1"/>
    <col min="2824" max="3072" width="11.5546875" customWidth="1"/>
    <col min="3073" max="3073" width="8.44140625" customWidth="1"/>
    <col min="3074" max="3074" width="45" customWidth="1"/>
    <col min="3075" max="3075" width="18.77734375" customWidth="1"/>
    <col min="3076" max="3076" width="8.44140625" customWidth="1"/>
    <col min="3077" max="3079" width="18.77734375" customWidth="1"/>
    <col min="3080" max="3328" width="11.5546875" customWidth="1"/>
    <col min="3329" max="3329" width="8.44140625" customWidth="1"/>
    <col min="3330" max="3330" width="45" customWidth="1"/>
    <col min="3331" max="3331" width="18.77734375" customWidth="1"/>
    <col min="3332" max="3332" width="8.44140625" customWidth="1"/>
    <col min="3333" max="3335" width="18.77734375" customWidth="1"/>
    <col min="3336" max="3584" width="11.5546875" customWidth="1"/>
    <col min="3585" max="3585" width="8.44140625" customWidth="1"/>
    <col min="3586" max="3586" width="45" customWidth="1"/>
    <col min="3587" max="3587" width="18.77734375" customWidth="1"/>
    <col min="3588" max="3588" width="8.44140625" customWidth="1"/>
    <col min="3589" max="3591" width="18.77734375" customWidth="1"/>
    <col min="3592" max="3840" width="11.5546875" customWidth="1"/>
    <col min="3841" max="3841" width="8.44140625" customWidth="1"/>
    <col min="3842" max="3842" width="45" customWidth="1"/>
    <col min="3843" max="3843" width="18.77734375" customWidth="1"/>
    <col min="3844" max="3844" width="8.44140625" customWidth="1"/>
    <col min="3845" max="3847" width="18.77734375" customWidth="1"/>
    <col min="3848" max="4096" width="11.5546875" customWidth="1"/>
    <col min="4097" max="4097" width="8.44140625" customWidth="1"/>
    <col min="4098" max="4098" width="45" customWidth="1"/>
    <col min="4099" max="4099" width="18.77734375" customWidth="1"/>
    <col min="4100" max="4100" width="8.44140625" customWidth="1"/>
    <col min="4101" max="4103" width="18.77734375" customWidth="1"/>
    <col min="4104" max="4352" width="11.5546875" customWidth="1"/>
    <col min="4353" max="4353" width="8.44140625" customWidth="1"/>
    <col min="4354" max="4354" width="45" customWidth="1"/>
    <col min="4355" max="4355" width="18.77734375" customWidth="1"/>
    <col min="4356" max="4356" width="8.44140625" customWidth="1"/>
    <col min="4357" max="4359" width="18.77734375" customWidth="1"/>
    <col min="4360" max="4608" width="11.5546875" customWidth="1"/>
    <col min="4609" max="4609" width="8.44140625" customWidth="1"/>
    <col min="4610" max="4610" width="45" customWidth="1"/>
    <col min="4611" max="4611" width="18.77734375" customWidth="1"/>
    <col min="4612" max="4612" width="8.44140625" customWidth="1"/>
    <col min="4613" max="4615" width="18.77734375" customWidth="1"/>
    <col min="4616" max="4864" width="11.5546875" customWidth="1"/>
    <col min="4865" max="4865" width="8.44140625" customWidth="1"/>
    <col min="4866" max="4866" width="45" customWidth="1"/>
    <col min="4867" max="4867" width="18.77734375" customWidth="1"/>
    <col min="4868" max="4868" width="8.44140625" customWidth="1"/>
    <col min="4869" max="4871" width="18.77734375" customWidth="1"/>
    <col min="4872" max="5120" width="11.5546875" customWidth="1"/>
    <col min="5121" max="5121" width="8.44140625" customWidth="1"/>
    <col min="5122" max="5122" width="45" customWidth="1"/>
    <col min="5123" max="5123" width="18.77734375" customWidth="1"/>
    <col min="5124" max="5124" width="8.44140625" customWidth="1"/>
    <col min="5125" max="5127" width="18.77734375" customWidth="1"/>
    <col min="5128" max="5376" width="11.5546875" customWidth="1"/>
    <col min="5377" max="5377" width="8.44140625" customWidth="1"/>
    <col min="5378" max="5378" width="45" customWidth="1"/>
    <col min="5379" max="5379" width="18.77734375" customWidth="1"/>
    <col min="5380" max="5380" width="8.44140625" customWidth="1"/>
    <col min="5381" max="5383" width="18.77734375" customWidth="1"/>
    <col min="5384" max="5632" width="11.5546875" customWidth="1"/>
    <col min="5633" max="5633" width="8.44140625" customWidth="1"/>
    <col min="5634" max="5634" width="45" customWidth="1"/>
    <col min="5635" max="5635" width="18.77734375" customWidth="1"/>
    <col min="5636" max="5636" width="8.44140625" customWidth="1"/>
    <col min="5637" max="5639" width="18.77734375" customWidth="1"/>
    <col min="5640" max="5888" width="11.5546875" customWidth="1"/>
    <col min="5889" max="5889" width="8.44140625" customWidth="1"/>
    <col min="5890" max="5890" width="45" customWidth="1"/>
    <col min="5891" max="5891" width="18.77734375" customWidth="1"/>
    <col min="5892" max="5892" width="8.44140625" customWidth="1"/>
    <col min="5893" max="5895" width="18.77734375" customWidth="1"/>
    <col min="5896" max="6144" width="11.5546875" customWidth="1"/>
    <col min="6145" max="6145" width="8.44140625" customWidth="1"/>
    <col min="6146" max="6146" width="45" customWidth="1"/>
    <col min="6147" max="6147" width="18.77734375" customWidth="1"/>
    <col min="6148" max="6148" width="8.44140625" customWidth="1"/>
    <col min="6149" max="6151" width="18.77734375" customWidth="1"/>
    <col min="6152" max="6400" width="11.5546875" customWidth="1"/>
    <col min="6401" max="6401" width="8.44140625" customWidth="1"/>
    <col min="6402" max="6402" width="45" customWidth="1"/>
    <col min="6403" max="6403" width="18.77734375" customWidth="1"/>
    <col min="6404" max="6404" width="8.44140625" customWidth="1"/>
    <col min="6405" max="6407" width="18.77734375" customWidth="1"/>
    <col min="6408" max="6656" width="11.5546875" customWidth="1"/>
    <col min="6657" max="6657" width="8.44140625" customWidth="1"/>
    <col min="6658" max="6658" width="45" customWidth="1"/>
    <col min="6659" max="6659" width="18.77734375" customWidth="1"/>
    <col min="6660" max="6660" width="8.44140625" customWidth="1"/>
    <col min="6661" max="6663" width="18.77734375" customWidth="1"/>
    <col min="6664" max="6912" width="11.5546875" customWidth="1"/>
    <col min="6913" max="6913" width="8.44140625" customWidth="1"/>
    <col min="6914" max="6914" width="45" customWidth="1"/>
    <col min="6915" max="6915" width="18.77734375" customWidth="1"/>
    <col min="6916" max="6916" width="8.44140625" customWidth="1"/>
    <col min="6917" max="6919" width="18.77734375" customWidth="1"/>
    <col min="6920" max="7168" width="11.5546875" customWidth="1"/>
    <col min="7169" max="7169" width="8.44140625" customWidth="1"/>
    <col min="7170" max="7170" width="45" customWidth="1"/>
    <col min="7171" max="7171" width="18.77734375" customWidth="1"/>
    <col min="7172" max="7172" width="8.44140625" customWidth="1"/>
    <col min="7173" max="7175" width="18.77734375" customWidth="1"/>
    <col min="7176" max="7424" width="11.5546875" customWidth="1"/>
    <col min="7425" max="7425" width="8.44140625" customWidth="1"/>
    <col min="7426" max="7426" width="45" customWidth="1"/>
    <col min="7427" max="7427" width="18.77734375" customWidth="1"/>
    <col min="7428" max="7428" width="8.44140625" customWidth="1"/>
    <col min="7429" max="7431" width="18.77734375" customWidth="1"/>
    <col min="7432" max="7680" width="11.5546875" customWidth="1"/>
    <col min="7681" max="7681" width="8.44140625" customWidth="1"/>
    <col min="7682" max="7682" width="45" customWidth="1"/>
    <col min="7683" max="7683" width="18.77734375" customWidth="1"/>
    <col min="7684" max="7684" width="8.44140625" customWidth="1"/>
    <col min="7685" max="7687" width="18.77734375" customWidth="1"/>
    <col min="7688" max="7936" width="11.5546875" customWidth="1"/>
    <col min="7937" max="7937" width="8.44140625" customWidth="1"/>
    <col min="7938" max="7938" width="45" customWidth="1"/>
    <col min="7939" max="7939" width="18.77734375" customWidth="1"/>
    <col min="7940" max="7940" width="8.44140625" customWidth="1"/>
    <col min="7941" max="7943" width="18.77734375" customWidth="1"/>
    <col min="7944" max="8192" width="11.5546875" customWidth="1"/>
    <col min="8193" max="8193" width="8.44140625" customWidth="1"/>
    <col min="8194" max="8194" width="45" customWidth="1"/>
    <col min="8195" max="8195" width="18.77734375" customWidth="1"/>
    <col min="8196" max="8196" width="8.44140625" customWidth="1"/>
    <col min="8197" max="8199" width="18.77734375" customWidth="1"/>
    <col min="8200" max="8448" width="11.5546875" customWidth="1"/>
    <col min="8449" max="8449" width="8.44140625" customWidth="1"/>
    <col min="8450" max="8450" width="45" customWidth="1"/>
    <col min="8451" max="8451" width="18.77734375" customWidth="1"/>
    <col min="8452" max="8452" width="8.44140625" customWidth="1"/>
    <col min="8453" max="8455" width="18.77734375" customWidth="1"/>
    <col min="8456" max="8704" width="11.5546875" customWidth="1"/>
    <col min="8705" max="8705" width="8.44140625" customWidth="1"/>
    <col min="8706" max="8706" width="45" customWidth="1"/>
    <col min="8707" max="8707" width="18.77734375" customWidth="1"/>
    <col min="8708" max="8708" width="8.44140625" customWidth="1"/>
    <col min="8709" max="8711" width="18.77734375" customWidth="1"/>
    <col min="8712" max="8960" width="11.5546875" customWidth="1"/>
    <col min="8961" max="8961" width="8.44140625" customWidth="1"/>
    <col min="8962" max="8962" width="45" customWidth="1"/>
    <col min="8963" max="8963" width="18.77734375" customWidth="1"/>
    <col min="8964" max="8964" width="8.44140625" customWidth="1"/>
    <col min="8965" max="8967" width="18.77734375" customWidth="1"/>
    <col min="8968" max="9216" width="11.5546875" customWidth="1"/>
    <col min="9217" max="9217" width="8.44140625" customWidth="1"/>
    <col min="9218" max="9218" width="45" customWidth="1"/>
    <col min="9219" max="9219" width="18.77734375" customWidth="1"/>
    <col min="9220" max="9220" width="8.44140625" customWidth="1"/>
    <col min="9221" max="9223" width="18.77734375" customWidth="1"/>
    <col min="9224" max="9472" width="11.5546875" customWidth="1"/>
    <col min="9473" max="9473" width="8.44140625" customWidth="1"/>
    <col min="9474" max="9474" width="45" customWidth="1"/>
    <col min="9475" max="9475" width="18.77734375" customWidth="1"/>
    <col min="9476" max="9476" width="8.44140625" customWidth="1"/>
    <col min="9477" max="9479" width="18.77734375" customWidth="1"/>
    <col min="9480" max="9728" width="11.5546875" customWidth="1"/>
    <col min="9729" max="9729" width="8.44140625" customWidth="1"/>
    <col min="9730" max="9730" width="45" customWidth="1"/>
    <col min="9731" max="9731" width="18.77734375" customWidth="1"/>
    <col min="9732" max="9732" width="8.44140625" customWidth="1"/>
    <col min="9733" max="9735" width="18.77734375" customWidth="1"/>
    <col min="9736" max="9984" width="11.5546875" customWidth="1"/>
    <col min="9985" max="9985" width="8.44140625" customWidth="1"/>
    <col min="9986" max="9986" width="45" customWidth="1"/>
    <col min="9987" max="9987" width="18.77734375" customWidth="1"/>
    <col min="9988" max="9988" width="8.44140625" customWidth="1"/>
    <col min="9989" max="9991" width="18.77734375" customWidth="1"/>
    <col min="9992" max="10240" width="11.5546875" customWidth="1"/>
    <col min="10241" max="10241" width="8.44140625" customWidth="1"/>
    <col min="10242" max="10242" width="45" customWidth="1"/>
    <col min="10243" max="10243" width="18.77734375" customWidth="1"/>
    <col min="10244" max="10244" width="8.44140625" customWidth="1"/>
    <col min="10245" max="10247" width="18.77734375" customWidth="1"/>
    <col min="10248" max="10496" width="11.5546875" customWidth="1"/>
    <col min="10497" max="10497" width="8.44140625" customWidth="1"/>
    <col min="10498" max="10498" width="45" customWidth="1"/>
    <col min="10499" max="10499" width="18.77734375" customWidth="1"/>
    <col min="10500" max="10500" width="8.44140625" customWidth="1"/>
    <col min="10501" max="10503" width="18.77734375" customWidth="1"/>
    <col min="10504" max="10752" width="11.5546875" customWidth="1"/>
    <col min="10753" max="10753" width="8.44140625" customWidth="1"/>
    <col min="10754" max="10754" width="45" customWidth="1"/>
    <col min="10755" max="10755" width="18.77734375" customWidth="1"/>
    <col min="10756" max="10756" width="8.44140625" customWidth="1"/>
    <col min="10757" max="10759" width="18.77734375" customWidth="1"/>
    <col min="10760" max="11008" width="11.5546875" customWidth="1"/>
    <col min="11009" max="11009" width="8.44140625" customWidth="1"/>
    <col min="11010" max="11010" width="45" customWidth="1"/>
    <col min="11011" max="11011" width="18.77734375" customWidth="1"/>
    <col min="11012" max="11012" width="8.44140625" customWidth="1"/>
    <col min="11013" max="11015" width="18.77734375" customWidth="1"/>
    <col min="11016" max="11264" width="11.5546875" customWidth="1"/>
    <col min="11265" max="11265" width="8.44140625" customWidth="1"/>
    <col min="11266" max="11266" width="45" customWidth="1"/>
    <col min="11267" max="11267" width="18.77734375" customWidth="1"/>
    <col min="11268" max="11268" width="8.44140625" customWidth="1"/>
    <col min="11269" max="11271" width="18.77734375" customWidth="1"/>
    <col min="11272" max="11520" width="11.5546875" customWidth="1"/>
    <col min="11521" max="11521" width="8.44140625" customWidth="1"/>
    <col min="11522" max="11522" width="45" customWidth="1"/>
    <col min="11523" max="11523" width="18.77734375" customWidth="1"/>
    <col min="11524" max="11524" width="8.44140625" customWidth="1"/>
    <col min="11525" max="11527" width="18.77734375" customWidth="1"/>
    <col min="11528" max="11776" width="11.5546875" customWidth="1"/>
    <col min="11777" max="11777" width="8.44140625" customWidth="1"/>
    <col min="11778" max="11778" width="45" customWidth="1"/>
    <col min="11779" max="11779" width="18.77734375" customWidth="1"/>
    <col min="11780" max="11780" width="8.44140625" customWidth="1"/>
    <col min="11781" max="11783" width="18.77734375" customWidth="1"/>
    <col min="11784" max="12032" width="11.5546875" customWidth="1"/>
    <col min="12033" max="12033" width="8.44140625" customWidth="1"/>
    <col min="12034" max="12034" width="45" customWidth="1"/>
    <col min="12035" max="12035" width="18.77734375" customWidth="1"/>
    <col min="12036" max="12036" width="8.44140625" customWidth="1"/>
    <col min="12037" max="12039" width="18.77734375" customWidth="1"/>
    <col min="12040" max="12288" width="11.5546875" customWidth="1"/>
    <col min="12289" max="12289" width="8.44140625" customWidth="1"/>
    <col min="12290" max="12290" width="45" customWidth="1"/>
    <col min="12291" max="12291" width="18.77734375" customWidth="1"/>
    <col min="12292" max="12292" width="8.44140625" customWidth="1"/>
    <col min="12293" max="12295" width="18.77734375" customWidth="1"/>
    <col min="12296" max="12544" width="11.5546875" customWidth="1"/>
    <col min="12545" max="12545" width="8.44140625" customWidth="1"/>
    <col min="12546" max="12546" width="45" customWidth="1"/>
    <col min="12547" max="12547" width="18.77734375" customWidth="1"/>
    <col min="12548" max="12548" width="8.44140625" customWidth="1"/>
    <col min="12549" max="12551" width="18.77734375" customWidth="1"/>
    <col min="12552" max="12800" width="11.5546875" customWidth="1"/>
    <col min="12801" max="12801" width="8.44140625" customWidth="1"/>
    <col min="12802" max="12802" width="45" customWidth="1"/>
    <col min="12803" max="12803" width="18.77734375" customWidth="1"/>
    <col min="12804" max="12804" width="8.44140625" customWidth="1"/>
    <col min="12805" max="12807" width="18.77734375" customWidth="1"/>
    <col min="12808" max="13056" width="11.5546875" customWidth="1"/>
    <col min="13057" max="13057" width="8.44140625" customWidth="1"/>
    <col min="13058" max="13058" width="45" customWidth="1"/>
    <col min="13059" max="13059" width="18.77734375" customWidth="1"/>
    <col min="13060" max="13060" width="8.44140625" customWidth="1"/>
    <col min="13061" max="13063" width="18.77734375" customWidth="1"/>
    <col min="13064" max="13312" width="11.5546875" customWidth="1"/>
    <col min="13313" max="13313" width="8.44140625" customWidth="1"/>
    <col min="13314" max="13314" width="45" customWidth="1"/>
    <col min="13315" max="13315" width="18.77734375" customWidth="1"/>
    <col min="13316" max="13316" width="8.44140625" customWidth="1"/>
    <col min="13317" max="13319" width="18.77734375" customWidth="1"/>
    <col min="13320" max="13568" width="11.5546875" customWidth="1"/>
    <col min="13569" max="13569" width="8.44140625" customWidth="1"/>
    <col min="13570" max="13570" width="45" customWidth="1"/>
    <col min="13571" max="13571" width="18.77734375" customWidth="1"/>
    <col min="13572" max="13572" width="8.44140625" customWidth="1"/>
    <col min="13573" max="13575" width="18.77734375" customWidth="1"/>
    <col min="13576" max="13824" width="11.5546875" customWidth="1"/>
    <col min="13825" max="13825" width="8.44140625" customWidth="1"/>
    <col min="13826" max="13826" width="45" customWidth="1"/>
    <col min="13827" max="13827" width="18.77734375" customWidth="1"/>
    <col min="13828" max="13828" width="8.44140625" customWidth="1"/>
    <col min="13829" max="13831" width="18.77734375" customWidth="1"/>
    <col min="13832" max="14080" width="11.5546875" customWidth="1"/>
    <col min="14081" max="14081" width="8.44140625" customWidth="1"/>
    <col min="14082" max="14082" width="45" customWidth="1"/>
    <col min="14083" max="14083" width="18.77734375" customWidth="1"/>
    <col min="14084" max="14084" width="8.44140625" customWidth="1"/>
    <col min="14085" max="14087" width="18.77734375" customWidth="1"/>
    <col min="14088" max="14336" width="11.5546875" customWidth="1"/>
    <col min="14337" max="14337" width="8.44140625" customWidth="1"/>
    <col min="14338" max="14338" width="45" customWidth="1"/>
    <col min="14339" max="14339" width="18.77734375" customWidth="1"/>
    <col min="14340" max="14340" width="8.44140625" customWidth="1"/>
    <col min="14341" max="14343" width="18.77734375" customWidth="1"/>
    <col min="14344" max="14592" width="11.5546875" customWidth="1"/>
    <col min="14593" max="14593" width="8.44140625" customWidth="1"/>
    <col min="14594" max="14594" width="45" customWidth="1"/>
    <col min="14595" max="14595" width="18.77734375" customWidth="1"/>
    <col min="14596" max="14596" width="8.44140625" customWidth="1"/>
    <col min="14597" max="14599" width="18.77734375" customWidth="1"/>
    <col min="14600" max="14848" width="11.5546875" customWidth="1"/>
    <col min="14849" max="14849" width="8.44140625" customWidth="1"/>
    <col min="14850" max="14850" width="45" customWidth="1"/>
    <col min="14851" max="14851" width="18.77734375" customWidth="1"/>
    <col min="14852" max="14852" width="8.44140625" customWidth="1"/>
    <col min="14853" max="14855" width="18.77734375" customWidth="1"/>
    <col min="14856" max="15104" width="11.5546875" customWidth="1"/>
    <col min="15105" max="15105" width="8.44140625" customWidth="1"/>
    <col min="15106" max="15106" width="45" customWidth="1"/>
    <col min="15107" max="15107" width="18.77734375" customWidth="1"/>
    <col min="15108" max="15108" width="8.44140625" customWidth="1"/>
    <col min="15109" max="15111" width="18.77734375" customWidth="1"/>
    <col min="15112" max="15360" width="11.5546875" customWidth="1"/>
    <col min="15361" max="15361" width="8.44140625" customWidth="1"/>
    <col min="15362" max="15362" width="45" customWidth="1"/>
    <col min="15363" max="15363" width="18.77734375" customWidth="1"/>
    <col min="15364" max="15364" width="8.44140625" customWidth="1"/>
    <col min="15365" max="15367" width="18.77734375" customWidth="1"/>
    <col min="15368" max="15616" width="11.5546875" customWidth="1"/>
    <col min="15617" max="15617" width="8.44140625" customWidth="1"/>
    <col min="15618" max="15618" width="45" customWidth="1"/>
    <col min="15619" max="15619" width="18.77734375" customWidth="1"/>
    <col min="15620" max="15620" width="8.44140625" customWidth="1"/>
    <col min="15621" max="15623" width="18.77734375" customWidth="1"/>
    <col min="15624" max="15872" width="11.5546875" customWidth="1"/>
    <col min="15873" max="15873" width="8.44140625" customWidth="1"/>
    <col min="15874" max="15874" width="45" customWidth="1"/>
    <col min="15875" max="15875" width="18.77734375" customWidth="1"/>
    <col min="15876" max="15876" width="8.44140625" customWidth="1"/>
    <col min="15877" max="15879" width="18.77734375" customWidth="1"/>
    <col min="15880" max="16128" width="11.5546875" customWidth="1"/>
    <col min="16129" max="16129" width="8.44140625" customWidth="1"/>
    <col min="16130" max="16130" width="45" customWidth="1"/>
    <col min="16131" max="16131" width="18.77734375" customWidth="1"/>
    <col min="16132" max="16132" width="8.44140625" customWidth="1"/>
    <col min="16133" max="16135" width="18.77734375" customWidth="1"/>
    <col min="16136" max="16384" width="11.5546875" customWidth="1"/>
  </cols>
  <sheetData>
    <row r="1" spans="1:5" x14ac:dyDescent="0.3">
      <c r="A1" t="s">
        <v>53</v>
      </c>
    </row>
    <row r="5" spans="1:5" x14ac:dyDescent="0.3">
      <c r="E5" t="s">
        <v>54</v>
      </c>
    </row>
    <row r="6" spans="1:5" x14ac:dyDescent="0.3">
      <c r="A6" t="s">
        <v>55</v>
      </c>
      <c r="E6" t="s">
        <v>56</v>
      </c>
    </row>
    <row r="7" spans="1:5" x14ac:dyDescent="0.3">
      <c r="A7" t="s">
        <v>57</v>
      </c>
      <c r="E7" t="s">
        <v>58</v>
      </c>
    </row>
    <row r="8" spans="1:5" x14ac:dyDescent="0.3">
      <c r="A8" t="s">
        <v>59</v>
      </c>
      <c r="E8" t="s">
        <v>60</v>
      </c>
    </row>
    <row r="9" spans="1:5" x14ac:dyDescent="0.3">
      <c r="A9" t="s">
        <v>61</v>
      </c>
      <c r="E9" t="s">
        <v>62</v>
      </c>
    </row>
    <row r="10" spans="1:5" x14ac:dyDescent="0.3">
      <c r="A10" t="s">
        <v>63</v>
      </c>
      <c r="E10" t="s">
        <v>64</v>
      </c>
    </row>
    <row r="11" spans="1:5" x14ac:dyDescent="0.3">
      <c r="E11" t="s">
        <v>65</v>
      </c>
    </row>
    <row r="12" spans="1:5" x14ac:dyDescent="0.3">
      <c r="E12" t="s">
        <v>66</v>
      </c>
    </row>
    <row r="13" spans="1:5" x14ac:dyDescent="0.3">
      <c r="A13" t="s">
        <v>67</v>
      </c>
      <c r="E13" t="s">
        <v>68</v>
      </c>
    </row>
    <row r="14" spans="1:5" x14ac:dyDescent="0.3">
      <c r="E14" t="s">
        <v>69</v>
      </c>
    </row>
    <row r="15" spans="1:5" x14ac:dyDescent="0.3">
      <c r="A15" t="s">
        <v>70</v>
      </c>
      <c r="E15" t="s">
        <v>71</v>
      </c>
    </row>
    <row r="16" spans="1:5" x14ac:dyDescent="0.3">
      <c r="A16" t="s">
        <v>72</v>
      </c>
      <c r="E16" t="s">
        <v>73</v>
      </c>
    </row>
    <row r="17" spans="1:8" x14ac:dyDescent="0.3">
      <c r="E17" t="s">
        <v>74</v>
      </c>
    </row>
    <row r="18" spans="1:8" x14ac:dyDescent="0.3">
      <c r="E18" t="s">
        <v>75</v>
      </c>
    </row>
    <row r="19" spans="1:8" x14ac:dyDescent="0.3">
      <c r="G19" s="14">
        <f>G21+E21</f>
        <v>33236</v>
      </c>
    </row>
    <row r="20" spans="1:8" x14ac:dyDescent="0.3">
      <c r="A20" t="s">
        <v>76</v>
      </c>
      <c r="B20" t="s">
        <v>45</v>
      </c>
      <c r="C20" t="s">
        <v>77</v>
      </c>
      <c r="D20" t="s">
        <v>78</v>
      </c>
      <c r="E20" t="s">
        <v>79</v>
      </c>
      <c r="F20" t="s">
        <v>80</v>
      </c>
      <c r="G20" t="s">
        <v>81</v>
      </c>
      <c r="H20" t="s">
        <v>45</v>
      </c>
    </row>
    <row r="21" spans="1:8" x14ac:dyDescent="0.3">
      <c r="A21" s="1">
        <v>45383</v>
      </c>
      <c r="B21" t="s">
        <v>82</v>
      </c>
      <c r="C21" t="s">
        <v>83</v>
      </c>
      <c r="D21" s="1">
        <v>45383</v>
      </c>
      <c r="E21" s="2">
        <v>1672</v>
      </c>
      <c r="F21" s="2">
        <v>0</v>
      </c>
      <c r="G21" s="2">
        <v>31564</v>
      </c>
      <c r="H21" t="s">
        <v>337</v>
      </c>
    </row>
    <row r="22" spans="1:8" x14ac:dyDescent="0.3">
      <c r="A22" s="1">
        <v>45384</v>
      </c>
      <c r="B22" t="s">
        <v>84</v>
      </c>
      <c r="C22" t="s">
        <v>85</v>
      </c>
      <c r="D22" s="1">
        <v>45384</v>
      </c>
      <c r="E22" s="2">
        <v>0</v>
      </c>
      <c r="F22" s="2">
        <v>16753.39</v>
      </c>
      <c r="G22" s="2">
        <v>48317.39</v>
      </c>
      <c r="H22" t="s">
        <v>337</v>
      </c>
    </row>
    <row r="23" spans="1:8" x14ac:dyDescent="0.3">
      <c r="A23" s="1">
        <v>45384</v>
      </c>
      <c r="B23" t="s">
        <v>84</v>
      </c>
      <c r="C23" t="s">
        <v>86</v>
      </c>
      <c r="D23" s="1">
        <v>45384</v>
      </c>
      <c r="E23" s="2">
        <v>0</v>
      </c>
      <c r="F23" s="2">
        <v>97641.5</v>
      </c>
      <c r="G23" s="2">
        <v>145958.89000000001</v>
      </c>
      <c r="H23" t="s">
        <v>337</v>
      </c>
    </row>
    <row r="24" spans="1:8" x14ac:dyDescent="0.3">
      <c r="A24" s="1">
        <v>45384</v>
      </c>
      <c r="B24" t="s">
        <v>82</v>
      </c>
      <c r="C24" t="s">
        <v>87</v>
      </c>
      <c r="D24" s="1">
        <v>45384</v>
      </c>
      <c r="E24" s="2">
        <v>418</v>
      </c>
      <c r="F24" s="2">
        <v>0</v>
      </c>
      <c r="G24" s="2">
        <v>145540.89000000001</v>
      </c>
      <c r="H24" t="s">
        <v>337</v>
      </c>
    </row>
    <row r="25" spans="1:8" x14ac:dyDescent="0.3">
      <c r="A25" s="1">
        <v>45384</v>
      </c>
      <c r="B25" t="s">
        <v>82</v>
      </c>
      <c r="C25" t="s">
        <v>88</v>
      </c>
      <c r="D25" s="1">
        <v>45384</v>
      </c>
      <c r="E25" s="2">
        <v>103098.99</v>
      </c>
      <c r="F25" s="2">
        <v>0</v>
      </c>
      <c r="G25" s="2">
        <v>42441.9</v>
      </c>
      <c r="H25" t="s">
        <v>337</v>
      </c>
    </row>
    <row r="26" spans="1:8" x14ac:dyDescent="0.3">
      <c r="A26" s="1">
        <v>45385</v>
      </c>
      <c r="B26" t="s">
        <v>84</v>
      </c>
      <c r="C26" t="s">
        <v>89</v>
      </c>
      <c r="D26" s="1">
        <v>45385</v>
      </c>
      <c r="E26" s="2">
        <v>0</v>
      </c>
      <c r="F26" s="2">
        <v>1514.95</v>
      </c>
      <c r="G26" s="2">
        <v>43956.85</v>
      </c>
      <c r="H26" t="s">
        <v>337</v>
      </c>
    </row>
    <row r="27" spans="1:8" x14ac:dyDescent="0.3">
      <c r="A27" s="1">
        <v>45385</v>
      </c>
      <c r="B27" t="s">
        <v>82</v>
      </c>
      <c r="C27" t="s">
        <v>90</v>
      </c>
      <c r="D27" s="1">
        <v>45385</v>
      </c>
      <c r="E27" s="2">
        <v>379.22</v>
      </c>
      <c r="F27" s="2">
        <v>0</v>
      </c>
      <c r="G27" s="2">
        <v>43577.63</v>
      </c>
      <c r="H27" t="s">
        <v>337</v>
      </c>
    </row>
    <row r="28" spans="1:8" x14ac:dyDescent="0.3">
      <c r="A28" s="1">
        <v>45386</v>
      </c>
      <c r="B28" t="s">
        <v>84</v>
      </c>
      <c r="C28" t="s">
        <v>91</v>
      </c>
      <c r="D28" s="1">
        <v>45386</v>
      </c>
      <c r="E28" s="2">
        <v>0</v>
      </c>
      <c r="F28" s="2">
        <v>6701.42</v>
      </c>
      <c r="G28" s="2">
        <v>50279.05</v>
      </c>
      <c r="H28" t="s">
        <v>337</v>
      </c>
    </row>
    <row r="29" spans="1:8" x14ac:dyDescent="0.3">
      <c r="A29" s="1">
        <v>45386</v>
      </c>
      <c r="B29" t="s">
        <v>92</v>
      </c>
      <c r="C29" t="s">
        <v>93</v>
      </c>
      <c r="D29" s="1">
        <v>45386</v>
      </c>
      <c r="E29" s="2">
        <v>0</v>
      </c>
      <c r="F29" s="2">
        <v>30000</v>
      </c>
      <c r="G29" s="2">
        <v>80279.05</v>
      </c>
      <c r="H29" t="s">
        <v>338</v>
      </c>
    </row>
    <row r="30" spans="1:8" x14ac:dyDescent="0.3">
      <c r="A30" s="1">
        <v>45386</v>
      </c>
      <c r="B30" t="s">
        <v>82</v>
      </c>
      <c r="C30" t="s">
        <v>94</v>
      </c>
      <c r="D30" s="1">
        <v>45386</v>
      </c>
      <c r="E30" s="2">
        <v>425.81</v>
      </c>
      <c r="F30" s="2">
        <v>0</v>
      </c>
      <c r="G30" s="2">
        <v>79853.240000000005</v>
      </c>
      <c r="H30" t="s">
        <v>337</v>
      </c>
    </row>
    <row r="31" spans="1:8" x14ac:dyDescent="0.3">
      <c r="A31" s="1">
        <v>45386</v>
      </c>
      <c r="B31" t="s">
        <v>82</v>
      </c>
      <c r="C31" t="s">
        <v>95</v>
      </c>
      <c r="D31" s="1">
        <v>45386</v>
      </c>
      <c r="E31" s="2">
        <v>72828.22</v>
      </c>
      <c r="F31" s="2">
        <v>0</v>
      </c>
      <c r="G31" s="2">
        <v>7025.02</v>
      </c>
      <c r="H31" t="s">
        <v>337</v>
      </c>
    </row>
    <row r="32" spans="1:8" x14ac:dyDescent="0.3">
      <c r="A32" s="1">
        <v>45387</v>
      </c>
      <c r="B32" t="s">
        <v>82</v>
      </c>
      <c r="C32" t="s">
        <v>96</v>
      </c>
      <c r="D32" s="1">
        <v>45387</v>
      </c>
      <c r="E32" s="2">
        <v>402.46</v>
      </c>
      <c r="F32" s="2">
        <v>0</v>
      </c>
      <c r="G32" s="2">
        <v>6622.56</v>
      </c>
      <c r="H32" t="s">
        <v>337</v>
      </c>
    </row>
    <row r="33" spans="1:8" x14ac:dyDescent="0.3">
      <c r="A33" s="1">
        <v>45387</v>
      </c>
      <c r="B33" t="s">
        <v>97</v>
      </c>
      <c r="C33" t="s">
        <v>98</v>
      </c>
      <c r="D33" s="1">
        <v>45387</v>
      </c>
      <c r="E33" s="2">
        <v>1270.6199999999999</v>
      </c>
      <c r="F33" s="2">
        <v>0</v>
      </c>
      <c r="G33" s="2">
        <v>5351.94</v>
      </c>
      <c r="H33" t="s">
        <v>343</v>
      </c>
    </row>
    <row r="34" spans="1:8" x14ac:dyDescent="0.3">
      <c r="A34" s="1">
        <v>45387</v>
      </c>
      <c r="B34" t="s">
        <v>84</v>
      </c>
      <c r="C34" t="s">
        <v>99</v>
      </c>
      <c r="D34" s="1">
        <v>45387</v>
      </c>
      <c r="E34" s="2">
        <v>0</v>
      </c>
      <c r="F34" s="2">
        <v>42585.27</v>
      </c>
      <c r="G34" s="2">
        <v>47937.21</v>
      </c>
      <c r="H34" t="s">
        <v>337</v>
      </c>
    </row>
    <row r="35" spans="1:8" x14ac:dyDescent="0.3">
      <c r="A35" s="1">
        <v>45388</v>
      </c>
      <c r="B35" t="s">
        <v>97</v>
      </c>
      <c r="C35" t="s">
        <v>98</v>
      </c>
      <c r="D35" s="1">
        <v>45388</v>
      </c>
      <c r="E35" s="2">
        <v>239.78</v>
      </c>
      <c r="F35" s="2">
        <v>0</v>
      </c>
      <c r="G35" s="2">
        <v>47697.43</v>
      </c>
      <c r="H35" t="s">
        <v>343</v>
      </c>
    </row>
    <row r="36" spans="1:8" x14ac:dyDescent="0.3">
      <c r="A36" s="1">
        <v>45390</v>
      </c>
      <c r="B36" t="s">
        <v>84</v>
      </c>
      <c r="C36" t="s">
        <v>100</v>
      </c>
      <c r="D36" s="1">
        <v>45390</v>
      </c>
      <c r="E36" s="2">
        <v>0</v>
      </c>
      <c r="F36" s="2">
        <v>6712.4</v>
      </c>
      <c r="G36" s="2">
        <v>54409.83</v>
      </c>
      <c r="H36" t="s">
        <v>337</v>
      </c>
    </row>
    <row r="37" spans="1:8" x14ac:dyDescent="0.3">
      <c r="A37" s="1">
        <v>45390</v>
      </c>
      <c r="B37" t="s">
        <v>84</v>
      </c>
      <c r="C37" t="s">
        <v>101</v>
      </c>
      <c r="D37" s="1">
        <v>45390</v>
      </c>
      <c r="E37" s="2">
        <v>0</v>
      </c>
      <c r="F37" s="2">
        <v>25926.77</v>
      </c>
      <c r="G37" s="2">
        <v>80336.600000000006</v>
      </c>
      <c r="H37" t="s">
        <v>337</v>
      </c>
    </row>
    <row r="38" spans="1:8" x14ac:dyDescent="0.3">
      <c r="A38" s="1">
        <v>45390</v>
      </c>
      <c r="B38" t="s">
        <v>82</v>
      </c>
      <c r="C38" t="s">
        <v>102</v>
      </c>
      <c r="D38" s="1">
        <v>45390</v>
      </c>
      <c r="E38" s="2">
        <v>1477.11</v>
      </c>
      <c r="F38" s="2">
        <v>0</v>
      </c>
      <c r="G38" s="2">
        <v>78859.490000000005</v>
      </c>
      <c r="H38" t="s">
        <v>337</v>
      </c>
    </row>
    <row r="39" spans="1:8" x14ac:dyDescent="0.3">
      <c r="A39" s="1">
        <v>45390</v>
      </c>
      <c r="B39" t="s">
        <v>82</v>
      </c>
      <c r="C39" t="s">
        <v>103</v>
      </c>
      <c r="D39" s="1">
        <v>45390</v>
      </c>
      <c r="E39" s="2">
        <v>47223.12</v>
      </c>
      <c r="F39" s="2">
        <v>0</v>
      </c>
      <c r="G39" s="2">
        <v>31636.37</v>
      </c>
      <c r="H39" t="s">
        <v>337</v>
      </c>
    </row>
    <row r="40" spans="1:8" x14ac:dyDescent="0.3">
      <c r="A40" s="1">
        <v>45390</v>
      </c>
      <c r="B40" t="s">
        <v>104</v>
      </c>
      <c r="C40" t="s">
        <v>105</v>
      </c>
      <c r="D40" s="1">
        <v>45390</v>
      </c>
      <c r="E40" s="2">
        <v>0</v>
      </c>
      <c r="F40" s="2">
        <v>32137</v>
      </c>
      <c r="G40" s="2">
        <v>63773.37</v>
      </c>
      <c r="H40" t="s">
        <v>345</v>
      </c>
    </row>
    <row r="41" spans="1:8" x14ac:dyDescent="0.3">
      <c r="A41" s="1">
        <v>45391</v>
      </c>
      <c r="B41" t="s">
        <v>82</v>
      </c>
      <c r="C41" t="s">
        <v>106</v>
      </c>
      <c r="D41" s="1">
        <v>45391</v>
      </c>
      <c r="E41" s="2">
        <v>22012.34</v>
      </c>
      <c r="F41" s="2">
        <v>0</v>
      </c>
      <c r="G41" s="2">
        <v>41761.03</v>
      </c>
      <c r="H41" t="s">
        <v>337</v>
      </c>
    </row>
    <row r="42" spans="1:8" x14ac:dyDescent="0.3">
      <c r="A42" s="1">
        <v>45392</v>
      </c>
      <c r="B42" t="s">
        <v>84</v>
      </c>
      <c r="C42" t="s">
        <v>107</v>
      </c>
      <c r="D42" s="1">
        <v>45392</v>
      </c>
      <c r="E42" s="2">
        <v>0</v>
      </c>
      <c r="F42" s="2">
        <v>11463.88</v>
      </c>
      <c r="G42" s="2">
        <v>53224.91</v>
      </c>
      <c r="H42" t="s">
        <v>337</v>
      </c>
    </row>
    <row r="43" spans="1:8" x14ac:dyDescent="0.3">
      <c r="A43" s="1">
        <v>45392</v>
      </c>
      <c r="B43" t="s">
        <v>82</v>
      </c>
      <c r="C43" t="s">
        <v>108</v>
      </c>
      <c r="D43" s="1">
        <v>45392</v>
      </c>
      <c r="E43" s="2">
        <v>437.52</v>
      </c>
      <c r="F43" s="2">
        <v>0</v>
      </c>
      <c r="G43" s="2">
        <v>52787.39</v>
      </c>
      <c r="H43" t="s">
        <v>337</v>
      </c>
    </row>
    <row r="44" spans="1:8" x14ac:dyDescent="0.3">
      <c r="A44" s="1">
        <v>45392</v>
      </c>
      <c r="B44" t="s">
        <v>82</v>
      </c>
      <c r="C44" t="s">
        <v>109</v>
      </c>
      <c r="D44" s="1">
        <v>45392</v>
      </c>
      <c r="E44" s="2">
        <v>4688.18</v>
      </c>
      <c r="F44" s="2">
        <v>0</v>
      </c>
      <c r="G44" s="2">
        <v>48099.21</v>
      </c>
      <c r="H44" t="s">
        <v>337</v>
      </c>
    </row>
    <row r="45" spans="1:8" x14ac:dyDescent="0.3">
      <c r="A45" s="1">
        <v>45394</v>
      </c>
      <c r="B45" t="s">
        <v>84</v>
      </c>
      <c r="C45" t="s">
        <v>110</v>
      </c>
      <c r="D45" s="1">
        <v>45394</v>
      </c>
      <c r="E45" s="2">
        <v>0</v>
      </c>
      <c r="F45" s="2">
        <v>4970.09</v>
      </c>
      <c r="G45" s="2">
        <v>53069.3</v>
      </c>
      <c r="H45" t="s">
        <v>337</v>
      </c>
    </row>
    <row r="46" spans="1:8" x14ac:dyDescent="0.3">
      <c r="A46" s="1">
        <v>45394</v>
      </c>
      <c r="B46" t="s">
        <v>84</v>
      </c>
      <c r="C46" t="s">
        <v>111</v>
      </c>
      <c r="D46" s="1">
        <v>45394</v>
      </c>
      <c r="E46" s="2">
        <v>0</v>
      </c>
      <c r="F46" s="2">
        <v>30503.75</v>
      </c>
      <c r="G46" s="2">
        <v>83573.05</v>
      </c>
      <c r="H46" t="s">
        <v>337</v>
      </c>
    </row>
    <row r="47" spans="1:8" x14ac:dyDescent="0.3">
      <c r="A47" s="1">
        <v>45394</v>
      </c>
      <c r="B47" t="s">
        <v>82</v>
      </c>
      <c r="C47" t="s">
        <v>112</v>
      </c>
      <c r="D47" s="1">
        <v>45394</v>
      </c>
      <c r="E47" s="2">
        <v>939.76</v>
      </c>
      <c r="F47" s="2">
        <v>0</v>
      </c>
      <c r="G47" s="2">
        <v>82633.289999999994</v>
      </c>
      <c r="H47" t="s">
        <v>337</v>
      </c>
    </row>
    <row r="48" spans="1:8" x14ac:dyDescent="0.3">
      <c r="A48" s="1">
        <v>45397</v>
      </c>
      <c r="B48" t="s">
        <v>84</v>
      </c>
      <c r="C48" t="s">
        <v>113</v>
      </c>
      <c r="D48" s="1">
        <v>45397</v>
      </c>
      <c r="E48" s="2">
        <v>0</v>
      </c>
      <c r="F48" s="2">
        <v>29255.99</v>
      </c>
      <c r="G48" s="2">
        <v>111889.28</v>
      </c>
      <c r="H48" t="s">
        <v>337</v>
      </c>
    </row>
    <row r="49" spans="1:8" x14ac:dyDescent="0.3">
      <c r="A49" s="1">
        <v>45397</v>
      </c>
      <c r="B49" t="s">
        <v>114</v>
      </c>
      <c r="C49" t="s">
        <v>115</v>
      </c>
      <c r="D49" s="1">
        <v>45397</v>
      </c>
      <c r="E49" s="2">
        <v>5000</v>
      </c>
      <c r="F49" s="2">
        <v>0</v>
      </c>
      <c r="G49" s="2">
        <v>106889.28</v>
      </c>
      <c r="H49" t="s">
        <v>341</v>
      </c>
    </row>
    <row r="50" spans="1:8" x14ac:dyDescent="0.3">
      <c r="A50" s="1">
        <v>45397</v>
      </c>
      <c r="B50" t="s">
        <v>82</v>
      </c>
      <c r="C50" t="s">
        <v>116</v>
      </c>
      <c r="D50" s="1">
        <v>45397</v>
      </c>
      <c r="E50" s="2">
        <v>1254.81</v>
      </c>
      <c r="F50" s="2">
        <v>0</v>
      </c>
      <c r="G50" s="2">
        <v>105634.47</v>
      </c>
      <c r="H50" t="s">
        <v>337</v>
      </c>
    </row>
    <row r="51" spans="1:8" x14ac:dyDescent="0.3">
      <c r="A51" s="1">
        <v>45398</v>
      </c>
      <c r="B51" t="s">
        <v>84</v>
      </c>
      <c r="C51" t="s">
        <v>117</v>
      </c>
      <c r="D51" s="1">
        <v>45398</v>
      </c>
      <c r="E51" s="2">
        <v>0</v>
      </c>
      <c r="F51" s="2">
        <v>29141.48</v>
      </c>
      <c r="G51" s="2">
        <v>134775.95000000001</v>
      </c>
      <c r="H51" t="s">
        <v>337</v>
      </c>
    </row>
    <row r="52" spans="1:8" x14ac:dyDescent="0.3">
      <c r="A52" s="1">
        <v>45398</v>
      </c>
      <c r="B52" t="s">
        <v>82</v>
      </c>
      <c r="C52" t="s">
        <v>118</v>
      </c>
      <c r="D52" s="1">
        <v>45398</v>
      </c>
      <c r="E52" s="2">
        <v>400.81</v>
      </c>
      <c r="F52" s="2">
        <v>0</v>
      </c>
      <c r="G52" s="2">
        <v>134375.14000000001</v>
      </c>
      <c r="H52" t="s">
        <v>337</v>
      </c>
    </row>
    <row r="53" spans="1:8" x14ac:dyDescent="0.3">
      <c r="A53" s="1">
        <v>45398</v>
      </c>
      <c r="B53" t="s">
        <v>119</v>
      </c>
      <c r="C53" t="s">
        <v>120</v>
      </c>
      <c r="D53" s="1">
        <v>45398</v>
      </c>
      <c r="E53" s="2">
        <v>10000</v>
      </c>
      <c r="F53" s="2">
        <v>0</v>
      </c>
      <c r="G53" s="2">
        <v>124375.14</v>
      </c>
      <c r="H53" t="s">
        <v>347</v>
      </c>
    </row>
    <row r="54" spans="1:8" x14ac:dyDescent="0.3">
      <c r="A54" s="1">
        <v>45398</v>
      </c>
      <c r="B54" t="s">
        <v>82</v>
      </c>
      <c r="C54" t="s">
        <v>121</v>
      </c>
      <c r="D54" s="1">
        <v>45398</v>
      </c>
      <c r="E54" s="2">
        <v>32991.42</v>
      </c>
      <c r="F54" s="2">
        <v>0</v>
      </c>
      <c r="G54" s="2">
        <v>91383.72</v>
      </c>
      <c r="H54" t="s">
        <v>337</v>
      </c>
    </row>
    <row r="55" spans="1:8" x14ac:dyDescent="0.3">
      <c r="A55" s="1">
        <v>45400</v>
      </c>
      <c r="B55" t="s">
        <v>84</v>
      </c>
      <c r="C55" t="s">
        <v>122</v>
      </c>
      <c r="D55" s="1">
        <v>45400</v>
      </c>
      <c r="E55" s="2">
        <v>0</v>
      </c>
      <c r="F55" s="2">
        <v>10255.18</v>
      </c>
      <c r="G55" s="2">
        <v>101638.9</v>
      </c>
      <c r="H55" t="s">
        <v>337</v>
      </c>
    </row>
    <row r="56" spans="1:8" x14ac:dyDescent="0.3">
      <c r="A56" s="1">
        <v>45400</v>
      </c>
      <c r="B56" t="s">
        <v>82</v>
      </c>
      <c r="C56" t="s">
        <v>123</v>
      </c>
      <c r="D56" s="1">
        <v>45400</v>
      </c>
      <c r="E56" s="2">
        <v>731.06</v>
      </c>
      <c r="F56" s="2">
        <v>0</v>
      </c>
      <c r="G56" s="2">
        <v>100907.84</v>
      </c>
      <c r="H56" t="s">
        <v>337</v>
      </c>
    </row>
    <row r="57" spans="1:8" x14ac:dyDescent="0.3">
      <c r="A57" s="1">
        <v>45400</v>
      </c>
      <c r="B57" t="s">
        <v>82</v>
      </c>
      <c r="C57" t="s">
        <v>124</v>
      </c>
      <c r="D57" s="1">
        <v>45400</v>
      </c>
      <c r="E57" s="2">
        <v>20472.73</v>
      </c>
      <c r="F57" s="2">
        <v>0</v>
      </c>
      <c r="G57" s="2">
        <v>80435.11</v>
      </c>
      <c r="H57" t="s">
        <v>337</v>
      </c>
    </row>
    <row r="58" spans="1:8" x14ac:dyDescent="0.3">
      <c r="A58" s="1">
        <v>45401</v>
      </c>
      <c r="B58" t="s">
        <v>82</v>
      </c>
      <c r="C58" t="s">
        <v>125</v>
      </c>
      <c r="D58" s="1">
        <v>45401</v>
      </c>
      <c r="E58" s="2">
        <v>401.53</v>
      </c>
      <c r="F58" s="2">
        <v>0</v>
      </c>
      <c r="G58" s="2">
        <v>80033.58</v>
      </c>
      <c r="H58" t="s">
        <v>337</v>
      </c>
    </row>
    <row r="59" spans="1:8" x14ac:dyDescent="0.3">
      <c r="A59" s="1">
        <v>45401</v>
      </c>
      <c r="B59" t="s">
        <v>82</v>
      </c>
      <c r="C59" t="s">
        <v>126</v>
      </c>
      <c r="D59" s="1">
        <v>45401</v>
      </c>
      <c r="E59" s="2">
        <v>26524.15</v>
      </c>
      <c r="F59" s="2">
        <v>0</v>
      </c>
      <c r="G59" s="2">
        <v>53509.43</v>
      </c>
      <c r="H59" t="s">
        <v>337</v>
      </c>
    </row>
    <row r="60" spans="1:8" x14ac:dyDescent="0.3">
      <c r="A60" s="1">
        <v>45404</v>
      </c>
      <c r="B60" t="s">
        <v>82</v>
      </c>
      <c r="C60" t="s">
        <v>127</v>
      </c>
      <c r="D60" s="1">
        <v>45404</v>
      </c>
      <c r="E60" s="2">
        <v>1243.71</v>
      </c>
      <c r="F60" s="2">
        <v>0</v>
      </c>
      <c r="G60" s="2">
        <v>52265.72</v>
      </c>
      <c r="H60" t="s">
        <v>337</v>
      </c>
    </row>
    <row r="61" spans="1:8" x14ac:dyDescent="0.3">
      <c r="A61" s="1">
        <v>45405</v>
      </c>
      <c r="B61" t="s">
        <v>84</v>
      </c>
      <c r="C61" t="s">
        <v>128</v>
      </c>
      <c r="D61" s="1">
        <v>45405</v>
      </c>
      <c r="E61" s="2">
        <v>0</v>
      </c>
      <c r="F61" s="2">
        <v>89361.65</v>
      </c>
      <c r="G61" s="2">
        <v>141627.37</v>
      </c>
      <c r="H61" t="s">
        <v>337</v>
      </c>
    </row>
    <row r="62" spans="1:8" x14ac:dyDescent="0.3">
      <c r="A62" s="1">
        <v>45405</v>
      </c>
      <c r="B62" t="s">
        <v>84</v>
      </c>
      <c r="C62" t="s">
        <v>129</v>
      </c>
      <c r="D62" s="1">
        <v>45405</v>
      </c>
      <c r="E62" s="2">
        <v>0</v>
      </c>
      <c r="F62" s="2">
        <v>19918.93</v>
      </c>
      <c r="G62" s="2">
        <v>161546.29999999999</v>
      </c>
      <c r="H62" t="s">
        <v>337</v>
      </c>
    </row>
    <row r="63" spans="1:8" x14ac:dyDescent="0.3">
      <c r="A63" s="1">
        <v>45405</v>
      </c>
      <c r="B63" t="s">
        <v>82</v>
      </c>
      <c r="C63" t="s">
        <v>130</v>
      </c>
      <c r="D63" s="1">
        <v>45405</v>
      </c>
      <c r="E63" s="2">
        <v>425.91</v>
      </c>
      <c r="F63" s="2">
        <v>0</v>
      </c>
      <c r="G63" s="2">
        <v>161120.39000000001</v>
      </c>
      <c r="H63" t="s">
        <v>337</v>
      </c>
    </row>
    <row r="64" spans="1:8" x14ac:dyDescent="0.3">
      <c r="A64" s="1">
        <v>45405</v>
      </c>
      <c r="B64" t="s">
        <v>131</v>
      </c>
      <c r="C64" t="s">
        <v>132</v>
      </c>
      <c r="D64" s="1">
        <v>45405</v>
      </c>
      <c r="E64" s="2">
        <v>100000</v>
      </c>
      <c r="F64" s="2">
        <v>0</v>
      </c>
      <c r="G64" s="2">
        <v>61120.39</v>
      </c>
      <c r="H64" t="s">
        <v>52</v>
      </c>
    </row>
    <row r="65" spans="1:8" x14ac:dyDescent="0.3">
      <c r="A65" s="1">
        <v>45406</v>
      </c>
      <c r="B65" t="s">
        <v>84</v>
      </c>
      <c r="C65" t="s">
        <v>133</v>
      </c>
      <c r="D65" s="1">
        <v>45406</v>
      </c>
      <c r="E65" s="2">
        <v>0</v>
      </c>
      <c r="F65" s="2">
        <v>15099.63</v>
      </c>
      <c r="G65" s="2">
        <v>76220.02</v>
      </c>
      <c r="H65" t="s">
        <v>337</v>
      </c>
    </row>
    <row r="66" spans="1:8" x14ac:dyDescent="0.3">
      <c r="A66" s="1">
        <v>45406</v>
      </c>
      <c r="B66" t="s">
        <v>82</v>
      </c>
      <c r="C66" t="s">
        <v>134</v>
      </c>
      <c r="D66" s="1">
        <v>45406</v>
      </c>
      <c r="E66" s="2">
        <v>376.18</v>
      </c>
      <c r="F66" s="2">
        <v>0</v>
      </c>
      <c r="G66" s="2">
        <v>75843.839999999997</v>
      </c>
      <c r="H66" t="s">
        <v>337</v>
      </c>
    </row>
    <row r="67" spans="1:8" x14ac:dyDescent="0.3">
      <c r="A67" s="1">
        <v>45406</v>
      </c>
      <c r="B67" t="s">
        <v>135</v>
      </c>
      <c r="C67" t="s">
        <v>136</v>
      </c>
      <c r="D67" s="1">
        <v>45406</v>
      </c>
      <c r="E67" s="2">
        <v>18664</v>
      </c>
      <c r="F67" s="2">
        <v>0</v>
      </c>
      <c r="G67" s="2">
        <v>57179.839999999997</v>
      </c>
      <c r="H67" t="s">
        <v>347</v>
      </c>
    </row>
    <row r="68" spans="1:8" x14ac:dyDescent="0.3">
      <c r="A68" s="1">
        <v>45407</v>
      </c>
      <c r="B68" t="s">
        <v>84</v>
      </c>
      <c r="C68" t="s">
        <v>137</v>
      </c>
      <c r="D68" s="1">
        <v>45407</v>
      </c>
      <c r="E68" s="2">
        <v>0</v>
      </c>
      <c r="F68" s="2">
        <v>42290.74</v>
      </c>
      <c r="G68" s="2">
        <v>99470.58</v>
      </c>
      <c r="H68" t="s">
        <v>337</v>
      </c>
    </row>
    <row r="69" spans="1:8" x14ac:dyDescent="0.3">
      <c r="A69" s="1">
        <v>45407</v>
      </c>
      <c r="B69" t="s">
        <v>84</v>
      </c>
      <c r="C69" t="s">
        <v>138</v>
      </c>
      <c r="D69" s="1">
        <v>45407</v>
      </c>
      <c r="E69" s="2">
        <v>0</v>
      </c>
      <c r="F69" s="2">
        <v>74786.990000000005</v>
      </c>
      <c r="G69" s="2">
        <v>174257.57</v>
      </c>
      <c r="H69" t="s">
        <v>337</v>
      </c>
    </row>
    <row r="70" spans="1:8" x14ac:dyDescent="0.3">
      <c r="A70" s="1">
        <v>45407</v>
      </c>
      <c r="B70" t="s">
        <v>114</v>
      </c>
      <c r="C70" t="s">
        <v>139</v>
      </c>
      <c r="D70" s="1">
        <v>45407</v>
      </c>
      <c r="E70" s="2">
        <v>10000</v>
      </c>
      <c r="F70" s="2">
        <v>0</v>
      </c>
      <c r="G70" s="2">
        <v>164257.57</v>
      </c>
      <c r="H70" t="s">
        <v>342</v>
      </c>
    </row>
    <row r="71" spans="1:8" x14ac:dyDescent="0.3">
      <c r="A71" s="1">
        <v>45407</v>
      </c>
      <c r="B71" t="s">
        <v>82</v>
      </c>
      <c r="C71" t="s">
        <v>140</v>
      </c>
      <c r="D71" s="1">
        <v>45407</v>
      </c>
      <c r="E71" s="2">
        <v>374.11</v>
      </c>
      <c r="F71" s="2">
        <v>0</v>
      </c>
      <c r="G71" s="2">
        <v>163883.46</v>
      </c>
      <c r="H71" t="s">
        <v>337</v>
      </c>
    </row>
    <row r="72" spans="1:8" x14ac:dyDescent="0.3">
      <c r="A72" s="1">
        <v>45407</v>
      </c>
      <c r="B72" t="s">
        <v>141</v>
      </c>
      <c r="C72" t="s">
        <v>142</v>
      </c>
      <c r="D72" s="1">
        <v>45407</v>
      </c>
      <c r="E72" s="2">
        <v>0</v>
      </c>
      <c r="F72" s="2">
        <v>84.57</v>
      </c>
      <c r="G72" s="2">
        <v>163968.03</v>
      </c>
      <c r="H72" t="s">
        <v>346</v>
      </c>
    </row>
    <row r="73" spans="1:8" x14ac:dyDescent="0.3">
      <c r="A73" s="1">
        <v>45407</v>
      </c>
      <c r="B73" t="s">
        <v>82</v>
      </c>
      <c r="C73" t="s">
        <v>143</v>
      </c>
      <c r="D73" s="1">
        <v>45407</v>
      </c>
      <c r="E73" s="2">
        <v>83979.75</v>
      </c>
      <c r="F73" s="2">
        <v>0</v>
      </c>
      <c r="G73" s="2">
        <v>79988.28</v>
      </c>
      <c r="H73" t="s">
        <v>337</v>
      </c>
    </row>
    <row r="74" spans="1:8" x14ac:dyDescent="0.3">
      <c r="A74" s="1">
        <v>45408</v>
      </c>
      <c r="B74" t="s">
        <v>84</v>
      </c>
      <c r="C74" t="s">
        <v>144</v>
      </c>
      <c r="D74" s="1">
        <v>45408</v>
      </c>
      <c r="E74" s="2">
        <v>0</v>
      </c>
      <c r="F74" s="2">
        <v>1478.14</v>
      </c>
      <c r="G74" s="2">
        <v>81466.42</v>
      </c>
      <c r="H74" t="s">
        <v>337</v>
      </c>
    </row>
    <row r="75" spans="1:8" x14ac:dyDescent="0.3">
      <c r="A75" s="1">
        <v>45408</v>
      </c>
      <c r="B75" t="s">
        <v>84</v>
      </c>
      <c r="C75" t="s">
        <v>145</v>
      </c>
      <c r="D75" s="1">
        <v>45408</v>
      </c>
      <c r="E75" s="2">
        <v>0</v>
      </c>
      <c r="F75" s="2">
        <v>19816.62</v>
      </c>
      <c r="G75" s="2">
        <v>101283.04</v>
      </c>
      <c r="H75" t="s">
        <v>337</v>
      </c>
    </row>
    <row r="76" spans="1:8" x14ac:dyDescent="0.3">
      <c r="A76" s="1">
        <v>45408</v>
      </c>
      <c r="B76" t="s">
        <v>82</v>
      </c>
      <c r="C76" t="s">
        <v>146</v>
      </c>
      <c r="D76" s="1">
        <v>45408</v>
      </c>
      <c r="E76" s="2">
        <v>308.18</v>
      </c>
      <c r="F76" s="2">
        <v>0</v>
      </c>
      <c r="G76" s="2">
        <v>100974.86</v>
      </c>
      <c r="H76" t="s">
        <v>337</v>
      </c>
    </row>
    <row r="77" spans="1:8" x14ac:dyDescent="0.3">
      <c r="A77" s="1">
        <v>45408</v>
      </c>
      <c r="B77" t="s">
        <v>82</v>
      </c>
      <c r="C77" t="s">
        <v>147</v>
      </c>
      <c r="D77" s="1">
        <v>45408</v>
      </c>
      <c r="E77" s="2">
        <v>41835.78</v>
      </c>
      <c r="F77" s="2">
        <v>0</v>
      </c>
      <c r="G77" s="2">
        <v>59139.08</v>
      </c>
      <c r="H77" t="s">
        <v>337</v>
      </c>
    </row>
    <row r="78" spans="1:8" x14ac:dyDescent="0.3">
      <c r="A78" s="1">
        <v>45411</v>
      </c>
      <c r="B78" t="s">
        <v>84</v>
      </c>
      <c r="C78" t="s">
        <v>148</v>
      </c>
      <c r="D78" s="1">
        <v>45411</v>
      </c>
      <c r="E78" s="2">
        <v>0</v>
      </c>
      <c r="F78" s="2">
        <v>1181.1400000000001</v>
      </c>
      <c r="G78" s="2">
        <v>60320.22</v>
      </c>
      <c r="H78" t="s">
        <v>337</v>
      </c>
    </row>
    <row r="79" spans="1:8" x14ac:dyDescent="0.3">
      <c r="A79" s="1">
        <v>45411</v>
      </c>
      <c r="B79" t="s">
        <v>82</v>
      </c>
      <c r="C79" t="s">
        <v>149</v>
      </c>
      <c r="D79" s="1">
        <v>45411</v>
      </c>
      <c r="E79" s="2">
        <v>854.79</v>
      </c>
      <c r="F79" s="2">
        <v>0</v>
      </c>
      <c r="G79" s="2">
        <v>59465.43</v>
      </c>
      <c r="H79" t="s">
        <v>337</v>
      </c>
    </row>
    <row r="80" spans="1:8" x14ac:dyDescent="0.3">
      <c r="A80" s="1">
        <v>45411</v>
      </c>
      <c r="B80" t="s">
        <v>82</v>
      </c>
      <c r="C80" t="s">
        <v>150</v>
      </c>
      <c r="D80" s="1">
        <v>45411</v>
      </c>
      <c r="E80" s="2">
        <v>55580.94</v>
      </c>
      <c r="F80" s="2">
        <v>0</v>
      </c>
      <c r="G80" s="2">
        <v>3884.49</v>
      </c>
      <c r="H80" t="s">
        <v>337</v>
      </c>
    </row>
    <row r="81" spans="1:8" x14ac:dyDescent="0.3">
      <c r="A81" s="1">
        <v>45412</v>
      </c>
      <c r="B81" t="s">
        <v>84</v>
      </c>
      <c r="C81" t="s">
        <v>151</v>
      </c>
      <c r="D81" s="1">
        <v>45412</v>
      </c>
      <c r="E81" s="2">
        <v>0</v>
      </c>
      <c r="F81" s="2">
        <v>2567.0300000000002</v>
      </c>
      <c r="G81" s="2">
        <v>6451.52</v>
      </c>
      <c r="H81" t="s">
        <v>337</v>
      </c>
    </row>
    <row r="82" spans="1:8" x14ac:dyDescent="0.3">
      <c r="A82" s="1">
        <v>45412</v>
      </c>
      <c r="B82" t="s">
        <v>84</v>
      </c>
      <c r="C82" t="s">
        <v>152</v>
      </c>
      <c r="D82" s="1">
        <v>45412</v>
      </c>
      <c r="E82" s="2">
        <v>0</v>
      </c>
      <c r="F82" s="2">
        <v>59028.57</v>
      </c>
      <c r="G82" s="2">
        <v>65480.09</v>
      </c>
      <c r="H82" t="s">
        <v>337</v>
      </c>
    </row>
    <row r="83" spans="1:8" x14ac:dyDescent="0.3">
      <c r="A83" s="1">
        <v>45412</v>
      </c>
      <c r="B83" t="s">
        <v>82</v>
      </c>
      <c r="C83" t="s">
        <v>153</v>
      </c>
      <c r="D83" s="1">
        <v>45412</v>
      </c>
      <c r="E83" s="2">
        <v>248.41</v>
      </c>
      <c r="F83" s="2">
        <v>0</v>
      </c>
      <c r="G83" s="2">
        <v>65231.68</v>
      </c>
      <c r="H83" t="s">
        <v>337</v>
      </c>
    </row>
    <row r="84" spans="1:8" x14ac:dyDescent="0.3">
      <c r="A84" s="1">
        <v>45412</v>
      </c>
      <c r="B84" t="s">
        <v>82</v>
      </c>
      <c r="C84" t="s">
        <v>154</v>
      </c>
      <c r="D84" s="1">
        <v>45412</v>
      </c>
      <c r="E84" s="2">
        <v>381.8</v>
      </c>
      <c r="F84" s="2">
        <v>0</v>
      </c>
      <c r="G84" s="2">
        <v>64849.88</v>
      </c>
      <c r="H84" t="s">
        <v>337</v>
      </c>
    </row>
    <row r="85" spans="1:8" x14ac:dyDescent="0.3">
      <c r="A85" s="1">
        <v>45414</v>
      </c>
      <c r="B85" t="s">
        <v>84</v>
      </c>
      <c r="C85" t="s">
        <v>155</v>
      </c>
      <c r="D85" s="1">
        <v>45414</v>
      </c>
      <c r="E85" s="2">
        <v>0</v>
      </c>
      <c r="F85" s="2">
        <v>13096.51</v>
      </c>
      <c r="G85" s="2">
        <v>77946.39</v>
      </c>
      <c r="H85" t="s">
        <v>337</v>
      </c>
    </row>
    <row r="86" spans="1:8" x14ac:dyDescent="0.3">
      <c r="A86" s="1">
        <v>45414</v>
      </c>
      <c r="B86" t="s">
        <v>84</v>
      </c>
      <c r="C86" t="s">
        <v>156</v>
      </c>
      <c r="D86" s="1">
        <v>45414</v>
      </c>
      <c r="E86" s="2">
        <v>0</v>
      </c>
      <c r="F86" s="2">
        <v>29905.83</v>
      </c>
      <c r="G86" s="2">
        <v>107852.22</v>
      </c>
      <c r="H86" t="s">
        <v>337</v>
      </c>
    </row>
    <row r="87" spans="1:8" x14ac:dyDescent="0.3">
      <c r="A87" s="1">
        <v>45414</v>
      </c>
      <c r="B87" t="s">
        <v>82</v>
      </c>
      <c r="C87" t="s">
        <v>157</v>
      </c>
      <c r="D87" s="1">
        <v>45414</v>
      </c>
      <c r="E87" s="2">
        <v>540.82000000000005</v>
      </c>
      <c r="F87" s="2">
        <v>0</v>
      </c>
      <c r="G87" s="2">
        <v>107311.4</v>
      </c>
      <c r="H87" t="s">
        <v>337</v>
      </c>
    </row>
    <row r="88" spans="1:8" x14ac:dyDescent="0.3">
      <c r="A88" s="1">
        <v>45415</v>
      </c>
      <c r="B88" t="s">
        <v>84</v>
      </c>
      <c r="C88" t="s">
        <v>158</v>
      </c>
      <c r="D88" s="1">
        <v>45415</v>
      </c>
      <c r="E88" s="2">
        <v>0</v>
      </c>
      <c r="F88" s="2">
        <v>1350.04</v>
      </c>
      <c r="G88" s="2">
        <v>108661.44</v>
      </c>
      <c r="H88" t="s">
        <v>337</v>
      </c>
    </row>
    <row r="89" spans="1:8" x14ac:dyDescent="0.3">
      <c r="A89" s="1">
        <v>45415</v>
      </c>
      <c r="B89" t="s">
        <v>84</v>
      </c>
      <c r="C89" t="s">
        <v>159</v>
      </c>
      <c r="D89" s="1">
        <v>45415</v>
      </c>
      <c r="E89" s="2">
        <v>0</v>
      </c>
      <c r="F89" s="2">
        <v>31409.53</v>
      </c>
      <c r="G89" s="2">
        <v>140070.97</v>
      </c>
      <c r="H89" t="s">
        <v>337</v>
      </c>
    </row>
    <row r="90" spans="1:8" x14ac:dyDescent="0.3">
      <c r="A90" s="1">
        <v>45415</v>
      </c>
      <c r="B90" t="s">
        <v>160</v>
      </c>
      <c r="C90" t="s">
        <v>161</v>
      </c>
      <c r="D90" s="1">
        <v>45415</v>
      </c>
      <c r="E90" s="2">
        <v>295</v>
      </c>
      <c r="F90" s="2">
        <v>0</v>
      </c>
      <c r="G90" s="2">
        <v>139775.97</v>
      </c>
      <c r="H90" t="s">
        <v>47</v>
      </c>
    </row>
    <row r="91" spans="1:8" x14ac:dyDescent="0.3">
      <c r="A91" s="1">
        <v>45415</v>
      </c>
      <c r="B91" t="s">
        <v>82</v>
      </c>
      <c r="C91" t="s">
        <v>162</v>
      </c>
      <c r="D91" s="1">
        <v>45415</v>
      </c>
      <c r="E91" s="2">
        <v>210.54</v>
      </c>
      <c r="F91" s="2">
        <v>0</v>
      </c>
      <c r="G91" s="2">
        <v>139565.43</v>
      </c>
      <c r="H91" t="s">
        <v>337</v>
      </c>
    </row>
    <row r="92" spans="1:8" x14ac:dyDescent="0.3">
      <c r="A92" s="1">
        <v>45415</v>
      </c>
      <c r="B92" t="s">
        <v>82</v>
      </c>
      <c r="C92" t="s">
        <v>163</v>
      </c>
      <c r="D92" s="1">
        <v>45415</v>
      </c>
      <c r="E92" s="2">
        <v>10104.280000000001</v>
      </c>
      <c r="F92" s="2">
        <v>0</v>
      </c>
      <c r="G92" s="2">
        <v>129461.15</v>
      </c>
      <c r="H92" t="s">
        <v>337</v>
      </c>
    </row>
    <row r="93" spans="1:8" x14ac:dyDescent="0.3">
      <c r="A93" s="1">
        <v>45415</v>
      </c>
      <c r="B93" t="s">
        <v>82</v>
      </c>
      <c r="C93" t="s">
        <v>164</v>
      </c>
      <c r="D93" s="1">
        <v>45415</v>
      </c>
      <c r="E93" s="2">
        <v>56293.41</v>
      </c>
      <c r="F93" s="2">
        <v>0</v>
      </c>
      <c r="G93" s="2">
        <v>73167.740000000005</v>
      </c>
      <c r="H93" t="s">
        <v>337</v>
      </c>
    </row>
    <row r="94" spans="1:8" x14ac:dyDescent="0.3">
      <c r="A94" s="1">
        <v>45418</v>
      </c>
      <c r="B94" t="s">
        <v>84</v>
      </c>
      <c r="C94" t="s">
        <v>165</v>
      </c>
      <c r="D94" s="1">
        <v>45418</v>
      </c>
      <c r="E94" s="2">
        <v>0</v>
      </c>
      <c r="F94" s="2">
        <v>4235.46</v>
      </c>
      <c r="G94" s="2">
        <v>77403.199999999997</v>
      </c>
      <c r="H94" t="s">
        <v>337</v>
      </c>
    </row>
    <row r="95" spans="1:8" x14ac:dyDescent="0.3">
      <c r="A95" s="1">
        <v>45418</v>
      </c>
      <c r="B95" t="s">
        <v>82</v>
      </c>
      <c r="C95" t="s">
        <v>166</v>
      </c>
      <c r="D95" s="1">
        <v>45418</v>
      </c>
      <c r="E95" s="2">
        <v>572.91</v>
      </c>
      <c r="F95" s="2">
        <v>0</v>
      </c>
      <c r="G95" s="2">
        <v>76830.289999999994</v>
      </c>
      <c r="H95" t="s">
        <v>337</v>
      </c>
    </row>
    <row r="96" spans="1:8" x14ac:dyDescent="0.3">
      <c r="A96" s="1">
        <v>45419</v>
      </c>
      <c r="B96" t="s">
        <v>84</v>
      </c>
      <c r="C96" t="s">
        <v>167</v>
      </c>
      <c r="D96" s="1">
        <v>45419</v>
      </c>
      <c r="E96" s="2">
        <v>0</v>
      </c>
      <c r="F96" s="2">
        <v>28704.57</v>
      </c>
      <c r="G96" s="2">
        <v>105534.86</v>
      </c>
      <c r="H96" t="s">
        <v>337</v>
      </c>
    </row>
    <row r="97" spans="1:8" x14ac:dyDescent="0.3">
      <c r="A97" s="1">
        <v>45419</v>
      </c>
      <c r="B97" t="s">
        <v>82</v>
      </c>
      <c r="C97" t="s">
        <v>168</v>
      </c>
      <c r="D97" s="1">
        <v>45419</v>
      </c>
      <c r="E97" s="2">
        <v>244.98</v>
      </c>
      <c r="F97" s="2">
        <v>0</v>
      </c>
      <c r="G97" s="2">
        <v>105289.88</v>
      </c>
      <c r="H97" t="s">
        <v>337</v>
      </c>
    </row>
    <row r="98" spans="1:8" x14ac:dyDescent="0.3">
      <c r="A98" s="1">
        <v>45419</v>
      </c>
      <c r="B98" t="s">
        <v>82</v>
      </c>
      <c r="C98" t="s">
        <v>169</v>
      </c>
      <c r="D98" s="1">
        <v>45419</v>
      </c>
      <c r="E98" s="2">
        <v>25590.3</v>
      </c>
      <c r="F98" s="2">
        <v>0</v>
      </c>
      <c r="G98" s="2">
        <v>79699.58</v>
      </c>
      <c r="H98" t="s">
        <v>337</v>
      </c>
    </row>
    <row r="99" spans="1:8" x14ac:dyDescent="0.3">
      <c r="A99" s="1">
        <v>45419</v>
      </c>
      <c r="B99" t="s">
        <v>82</v>
      </c>
      <c r="C99" t="s">
        <v>170</v>
      </c>
      <c r="D99" s="1">
        <v>45419</v>
      </c>
      <c r="E99" s="2">
        <v>414.01</v>
      </c>
      <c r="F99" s="2">
        <v>0</v>
      </c>
      <c r="G99" s="2">
        <v>79285.570000000007</v>
      </c>
      <c r="H99" t="s">
        <v>337</v>
      </c>
    </row>
    <row r="100" spans="1:8" x14ac:dyDescent="0.3">
      <c r="A100" s="1">
        <v>45420</v>
      </c>
      <c r="B100" t="s">
        <v>84</v>
      </c>
      <c r="C100" t="s">
        <v>171</v>
      </c>
      <c r="D100" s="1">
        <v>45420</v>
      </c>
      <c r="E100" s="2">
        <v>0</v>
      </c>
      <c r="F100" s="2">
        <v>100255.34</v>
      </c>
      <c r="G100" s="2">
        <v>179540.91</v>
      </c>
      <c r="H100" t="s">
        <v>337</v>
      </c>
    </row>
    <row r="101" spans="1:8" x14ac:dyDescent="0.3">
      <c r="A101" s="1">
        <v>45420</v>
      </c>
      <c r="B101" t="s">
        <v>82</v>
      </c>
      <c r="C101" t="s">
        <v>172</v>
      </c>
      <c r="D101" s="1">
        <v>45420</v>
      </c>
      <c r="E101" s="2">
        <v>217.06</v>
      </c>
      <c r="F101" s="2">
        <v>0</v>
      </c>
      <c r="G101" s="2">
        <v>179323.85</v>
      </c>
      <c r="H101" t="s">
        <v>337</v>
      </c>
    </row>
    <row r="102" spans="1:8" x14ac:dyDescent="0.3">
      <c r="A102" s="1">
        <v>45420</v>
      </c>
      <c r="B102" t="s">
        <v>173</v>
      </c>
      <c r="C102" t="s">
        <v>174</v>
      </c>
      <c r="D102" s="1">
        <v>45420</v>
      </c>
      <c r="E102" s="2">
        <v>50000</v>
      </c>
      <c r="F102" s="2">
        <v>0</v>
      </c>
      <c r="G102" s="2">
        <v>129323.85</v>
      </c>
      <c r="H102" t="s">
        <v>51</v>
      </c>
    </row>
    <row r="103" spans="1:8" x14ac:dyDescent="0.3">
      <c r="A103" s="1">
        <v>45421</v>
      </c>
      <c r="B103" t="s">
        <v>84</v>
      </c>
      <c r="C103" t="s">
        <v>175</v>
      </c>
      <c r="D103" s="1">
        <v>45421</v>
      </c>
      <c r="E103" s="2">
        <v>0</v>
      </c>
      <c r="F103" s="2">
        <v>4156.8100000000004</v>
      </c>
      <c r="G103" s="2">
        <v>133480.66</v>
      </c>
      <c r="H103" t="s">
        <v>337</v>
      </c>
    </row>
    <row r="104" spans="1:8" x14ac:dyDescent="0.3">
      <c r="A104" s="1">
        <v>45421</v>
      </c>
      <c r="B104" t="s">
        <v>176</v>
      </c>
      <c r="C104" t="s">
        <v>177</v>
      </c>
      <c r="D104" s="1">
        <v>45421</v>
      </c>
      <c r="E104" s="2">
        <v>0</v>
      </c>
      <c r="F104" s="2">
        <v>29757</v>
      </c>
      <c r="G104" s="2">
        <v>163237.66</v>
      </c>
      <c r="H104" t="s">
        <v>345</v>
      </c>
    </row>
    <row r="105" spans="1:8" x14ac:dyDescent="0.3">
      <c r="A105" s="1">
        <v>45421</v>
      </c>
      <c r="B105" t="s">
        <v>82</v>
      </c>
      <c r="C105" t="s">
        <v>178</v>
      </c>
      <c r="D105" s="1">
        <v>45421</v>
      </c>
      <c r="E105" s="2">
        <v>240.29</v>
      </c>
      <c r="F105" s="2">
        <v>0</v>
      </c>
      <c r="G105" s="2">
        <v>162997.37</v>
      </c>
      <c r="H105" t="s">
        <v>337</v>
      </c>
    </row>
    <row r="106" spans="1:8" x14ac:dyDescent="0.3">
      <c r="A106" s="1">
        <v>45421</v>
      </c>
      <c r="B106" t="s">
        <v>179</v>
      </c>
      <c r="C106" t="s">
        <v>98</v>
      </c>
      <c r="D106" s="1">
        <v>45421</v>
      </c>
      <c r="E106" s="2">
        <v>4177.2</v>
      </c>
      <c r="F106" s="2">
        <v>0</v>
      </c>
      <c r="G106" s="2">
        <v>158820.17000000001</v>
      </c>
      <c r="H106" t="s">
        <v>343</v>
      </c>
    </row>
    <row r="107" spans="1:8" x14ac:dyDescent="0.3">
      <c r="A107" s="1">
        <v>45421</v>
      </c>
      <c r="B107" t="s">
        <v>180</v>
      </c>
      <c r="C107" t="s">
        <v>181</v>
      </c>
      <c r="D107" s="1">
        <v>45421</v>
      </c>
      <c r="E107" s="2">
        <v>25000</v>
      </c>
      <c r="F107" s="2">
        <v>0</v>
      </c>
      <c r="G107" s="2">
        <v>133820.17000000001</v>
      </c>
      <c r="H107" t="s">
        <v>339</v>
      </c>
    </row>
    <row r="108" spans="1:8" x14ac:dyDescent="0.3">
      <c r="A108" s="1">
        <v>45421</v>
      </c>
      <c r="B108" t="s">
        <v>182</v>
      </c>
      <c r="C108" t="s">
        <v>183</v>
      </c>
      <c r="D108" s="1">
        <v>45421</v>
      </c>
      <c r="E108" s="2">
        <v>25000</v>
      </c>
      <c r="F108" s="2">
        <v>0</v>
      </c>
      <c r="G108" s="2">
        <v>108820.17</v>
      </c>
      <c r="H108" t="s">
        <v>52</v>
      </c>
    </row>
    <row r="109" spans="1:8" x14ac:dyDescent="0.3">
      <c r="A109" s="1">
        <v>45421</v>
      </c>
      <c r="B109" t="s">
        <v>82</v>
      </c>
      <c r="C109" t="s">
        <v>184</v>
      </c>
      <c r="D109" s="1">
        <v>45421</v>
      </c>
      <c r="E109" s="2">
        <v>31074.79</v>
      </c>
      <c r="F109" s="2">
        <v>0</v>
      </c>
      <c r="G109" s="2">
        <v>77745.38</v>
      </c>
      <c r="H109" t="s">
        <v>337</v>
      </c>
    </row>
    <row r="110" spans="1:8" x14ac:dyDescent="0.3">
      <c r="A110" s="1">
        <v>45422</v>
      </c>
      <c r="B110" t="s">
        <v>84</v>
      </c>
      <c r="C110" t="s">
        <v>185</v>
      </c>
      <c r="D110" s="1">
        <v>45422</v>
      </c>
      <c r="E110" s="2">
        <v>0</v>
      </c>
      <c r="F110" s="2">
        <v>349.85</v>
      </c>
      <c r="G110" s="2">
        <v>78095.23</v>
      </c>
      <c r="H110" t="s">
        <v>337</v>
      </c>
    </row>
    <row r="111" spans="1:8" x14ac:dyDescent="0.3">
      <c r="A111" s="1">
        <v>45422</v>
      </c>
      <c r="B111" t="s">
        <v>84</v>
      </c>
      <c r="C111" t="s">
        <v>186</v>
      </c>
      <c r="D111" s="1">
        <v>45422</v>
      </c>
      <c r="E111" s="2">
        <v>0</v>
      </c>
      <c r="F111" s="2">
        <v>61550.5</v>
      </c>
      <c r="G111" s="2">
        <v>139645.73000000001</v>
      </c>
      <c r="H111" t="s">
        <v>337</v>
      </c>
    </row>
    <row r="112" spans="1:8" x14ac:dyDescent="0.3">
      <c r="A112" s="1">
        <v>45422</v>
      </c>
      <c r="B112" t="s">
        <v>187</v>
      </c>
      <c r="C112" t="s">
        <v>188</v>
      </c>
      <c r="D112" s="1">
        <v>45422</v>
      </c>
      <c r="E112" s="2">
        <v>0</v>
      </c>
      <c r="F112" s="2">
        <v>18664</v>
      </c>
      <c r="G112" s="2">
        <v>158309.73000000001</v>
      </c>
      <c r="H112" t="s">
        <v>345</v>
      </c>
    </row>
    <row r="113" spans="1:8" x14ac:dyDescent="0.3">
      <c r="A113" s="1">
        <v>45422</v>
      </c>
      <c r="B113" t="s">
        <v>82</v>
      </c>
      <c r="C113" t="s">
        <v>189</v>
      </c>
      <c r="D113" s="1">
        <v>45422</v>
      </c>
      <c r="E113" s="2">
        <v>230.71</v>
      </c>
      <c r="F113" s="2">
        <v>0</v>
      </c>
      <c r="G113" s="2">
        <v>158079.01999999999</v>
      </c>
      <c r="H113" t="s">
        <v>337</v>
      </c>
    </row>
    <row r="114" spans="1:8" x14ac:dyDescent="0.3">
      <c r="A114" s="1">
        <v>45422</v>
      </c>
      <c r="B114" t="s">
        <v>82</v>
      </c>
      <c r="C114" t="s">
        <v>190</v>
      </c>
      <c r="D114" s="1">
        <v>45422</v>
      </c>
      <c r="E114" s="2">
        <v>6380.74</v>
      </c>
      <c r="F114" s="2">
        <v>0</v>
      </c>
      <c r="G114" s="2">
        <v>151698.28</v>
      </c>
      <c r="H114" t="s">
        <v>337</v>
      </c>
    </row>
    <row r="115" spans="1:8" x14ac:dyDescent="0.3">
      <c r="A115" s="1">
        <v>45422</v>
      </c>
      <c r="B115" t="s">
        <v>82</v>
      </c>
      <c r="C115" t="s">
        <v>191</v>
      </c>
      <c r="D115" s="1">
        <v>45422</v>
      </c>
      <c r="E115" s="2">
        <v>12572.1</v>
      </c>
      <c r="F115" s="2">
        <v>0</v>
      </c>
      <c r="G115" s="2">
        <v>139126.18</v>
      </c>
      <c r="H115" t="s">
        <v>337</v>
      </c>
    </row>
    <row r="116" spans="1:8" x14ac:dyDescent="0.3">
      <c r="A116" s="1">
        <v>45425</v>
      </c>
      <c r="B116" t="s">
        <v>82</v>
      </c>
      <c r="C116" t="s">
        <v>192</v>
      </c>
      <c r="D116" s="1">
        <v>45425</v>
      </c>
      <c r="E116" s="2">
        <v>759.6</v>
      </c>
      <c r="F116" s="2">
        <v>0</v>
      </c>
      <c r="G116" s="2">
        <v>138366.57999999999</v>
      </c>
      <c r="H116" t="s">
        <v>337</v>
      </c>
    </row>
    <row r="117" spans="1:8" x14ac:dyDescent="0.3">
      <c r="A117" s="1">
        <v>45425</v>
      </c>
      <c r="B117" t="s">
        <v>82</v>
      </c>
      <c r="C117" t="s">
        <v>193</v>
      </c>
      <c r="D117" s="1">
        <v>45425</v>
      </c>
      <c r="E117" s="2">
        <v>920.99</v>
      </c>
      <c r="F117" s="2">
        <v>0</v>
      </c>
      <c r="G117" s="2">
        <v>137445.59</v>
      </c>
      <c r="H117" t="s">
        <v>337</v>
      </c>
    </row>
    <row r="118" spans="1:8" x14ac:dyDescent="0.3">
      <c r="A118" s="1">
        <v>45426</v>
      </c>
      <c r="B118" t="s">
        <v>84</v>
      </c>
      <c r="C118" t="s">
        <v>194</v>
      </c>
      <c r="D118" s="1">
        <v>45426</v>
      </c>
      <c r="E118" s="2">
        <v>0</v>
      </c>
      <c r="F118" s="2">
        <v>2084.4</v>
      </c>
      <c r="G118" s="2">
        <v>139529.99</v>
      </c>
      <c r="H118" t="s">
        <v>337</v>
      </c>
    </row>
    <row r="119" spans="1:8" x14ac:dyDescent="0.3">
      <c r="A119" s="1">
        <v>45426</v>
      </c>
      <c r="B119" t="s">
        <v>82</v>
      </c>
      <c r="C119" t="s">
        <v>195</v>
      </c>
      <c r="D119" s="1">
        <v>45426</v>
      </c>
      <c r="E119" s="2">
        <v>272.35000000000002</v>
      </c>
      <c r="F119" s="2">
        <v>0</v>
      </c>
      <c r="G119" s="2">
        <v>139257.64000000001</v>
      </c>
      <c r="H119" t="s">
        <v>337</v>
      </c>
    </row>
    <row r="120" spans="1:8" x14ac:dyDescent="0.3">
      <c r="A120" s="1">
        <v>45427</v>
      </c>
      <c r="B120" t="s">
        <v>84</v>
      </c>
      <c r="C120" t="s">
        <v>196</v>
      </c>
      <c r="D120" s="1">
        <v>45427</v>
      </c>
      <c r="E120" s="2">
        <v>0</v>
      </c>
      <c r="F120" s="2">
        <v>10981.68</v>
      </c>
      <c r="G120" s="2">
        <v>150239.32</v>
      </c>
      <c r="H120" t="s">
        <v>337</v>
      </c>
    </row>
    <row r="121" spans="1:8" x14ac:dyDescent="0.3">
      <c r="A121" s="1">
        <v>45427</v>
      </c>
      <c r="B121" t="s">
        <v>84</v>
      </c>
      <c r="C121" t="s">
        <v>197</v>
      </c>
      <c r="D121" s="1">
        <v>45427</v>
      </c>
      <c r="E121" s="2">
        <v>0</v>
      </c>
      <c r="F121" s="2">
        <v>134185.19</v>
      </c>
      <c r="G121" s="2">
        <v>284424.51</v>
      </c>
      <c r="H121" t="s">
        <v>337</v>
      </c>
    </row>
    <row r="122" spans="1:8" x14ac:dyDescent="0.3">
      <c r="A122" s="1">
        <v>45427</v>
      </c>
      <c r="B122" t="s">
        <v>114</v>
      </c>
      <c r="C122" t="s">
        <v>198</v>
      </c>
      <c r="D122" s="1">
        <v>45427</v>
      </c>
      <c r="E122" s="2">
        <v>5000</v>
      </c>
      <c r="F122" s="2">
        <v>0</v>
      </c>
      <c r="G122" s="2">
        <v>279424.51</v>
      </c>
      <c r="H122" t="s">
        <v>341</v>
      </c>
    </row>
    <row r="123" spans="1:8" x14ac:dyDescent="0.3">
      <c r="A123" s="1">
        <v>45427</v>
      </c>
      <c r="B123" t="s">
        <v>82</v>
      </c>
      <c r="C123" t="s">
        <v>199</v>
      </c>
      <c r="D123" s="1">
        <v>45427</v>
      </c>
      <c r="E123" s="2">
        <v>272.35000000000002</v>
      </c>
      <c r="F123" s="2">
        <v>0</v>
      </c>
      <c r="G123" s="2">
        <v>279152.15999999997</v>
      </c>
      <c r="H123" t="s">
        <v>337</v>
      </c>
    </row>
    <row r="124" spans="1:8" x14ac:dyDescent="0.3">
      <c r="A124" s="1">
        <v>45427</v>
      </c>
      <c r="B124" t="s">
        <v>200</v>
      </c>
      <c r="C124" t="s">
        <v>201</v>
      </c>
      <c r="D124" s="1">
        <v>45427</v>
      </c>
      <c r="E124" s="2">
        <v>100000</v>
      </c>
      <c r="F124" s="2">
        <v>0</v>
      </c>
      <c r="G124" s="2">
        <v>179152.16</v>
      </c>
      <c r="H124" t="s">
        <v>51</v>
      </c>
    </row>
    <row r="125" spans="1:8" x14ac:dyDescent="0.3">
      <c r="A125" s="1">
        <v>45428</v>
      </c>
      <c r="B125" t="s">
        <v>84</v>
      </c>
      <c r="C125" t="s">
        <v>202</v>
      </c>
      <c r="D125" s="1">
        <v>45428</v>
      </c>
      <c r="E125" s="2">
        <v>0</v>
      </c>
      <c r="F125" s="2">
        <v>6827.3</v>
      </c>
      <c r="G125" s="2">
        <v>185979.46</v>
      </c>
      <c r="H125" t="s">
        <v>337</v>
      </c>
    </row>
    <row r="126" spans="1:8" x14ac:dyDescent="0.3">
      <c r="A126" s="1">
        <v>45428</v>
      </c>
      <c r="B126" t="s">
        <v>82</v>
      </c>
      <c r="C126" t="s">
        <v>203</v>
      </c>
      <c r="D126" s="1">
        <v>45428</v>
      </c>
      <c r="E126" s="2">
        <v>262.77</v>
      </c>
      <c r="F126" s="2">
        <v>0</v>
      </c>
      <c r="G126" s="2">
        <v>185716.69</v>
      </c>
      <c r="H126" t="s">
        <v>337</v>
      </c>
    </row>
    <row r="127" spans="1:8" x14ac:dyDescent="0.3">
      <c r="A127" s="1">
        <v>45428</v>
      </c>
      <c r="B127" t="s">
        <v>204</v>
      </c>
      <c r="C127" t="s">
        <v>205</v>
      </c>
      <c r="D127" s="1">
        <v>45428</v>
      </c>
      <c r="E127" s="2">
        <v>0</v>
      </c>
      <c r="F127" s="2">
        <v>2380</v>
      </c>
      <c r="G127" s="2">
        <v>188096.69</v>
      </c>
      <c r="H127" t="s">
        <v>345</v>
      </c>
    </row>
    <row r="128" spans="1:8" x14ac:dyDescent="0.3">
      <c r="A128" s="1">
        <v>45428</v>
      </c>
      <c r="B128" t="s">
        <v>206</v>
      </c>
      <c r="C128" t="s">
        <v>207</v>
      </c>
      <c r="D128" s="1">
        <v>45428</v>
      </c>
      <c r="E128" s="2">
        <v>0</v>
      </c>
      <c r="F128" s="2">
        <v>6480</v>
      </c>
      <c r="G128" s="2">
        <v>194576.69</v>
      </c>
      <c r="H128" t="s">
        <v>340</v>
      </c>
    </row>
    <row r="129" spans="1:8" x14ac:dyDescent="0.3">
      <c r="A129" s="1">
        <v>45428</v>
      </c>
      <c r="B129" t="s">
        <v>82</v>
      </c>
      <c r="C129" t="s">
        <v>208</v>
      </c>
      <c r="D129" s="1">
        <v>45428</v>
      </c>
      <c r="E129" s="2">
        <v>81859.92</v>
      </c>
      <c r="F129" s="2">
        <v>0</v>
      </c>
      <c r="G129" s="2">
        <v>112716.77</v>
      </c>
      <c r="H129" t="s">
        <v>337</v>
      </c>
    </row>
    <row r="130" spans="1:8" x14ac:dyDescent="0.3">
      <c r="A130" s="1">
        <v>45429</v>
      </c>
      <c r="B130" t="s">
        <v>84</v>
      </c>
      <c r="C130" t="s">
        <v>209</v>
      </c>
      <c r="D130" s="1">
        <v>45429</v>
      </c>
      <c r="E130" s="2">
        <v>0</v>
      </c>
      <c r="F130" s="2">
        <v>3449.38</v>
      </c>
      <c r="G130" s="2">
        <v>116166.15</v>
      </c>
      <c r="H130" t="s">
        <v>337</v>
      </c>
    </row>
    <row r="131" spans="1:8" x14ac:dyDescent="0.3">
      <c r="A131" s="1">
        <v>45429</v>
      </c>
      <c r="B131" t="s">
        <v>84</v>
      </c>
      <c r="C131" t="s">
        <v>210</v>
      </c>
      <c r="D131" s="1">
        <v>45429</v>
      </c>
      <c r="E131" s="2">
        <v>0</v>
      </c>
      <c r="F131" s="2">
        <v>42829.41</v>
      </c>
      <c r="G131" s="2">
        <v>158995.56</v>
      </c>
      <c r="H131" t="s">
        <v>337</v>
      </c>
    </row>
    <row r="132" spans="1:8" x14ac:dyDescent="0.3">
      <c r="A132" s="1">
        <v>45429</v>
      </c>
      <c r="B132" t="s">
        <v>82</v>
      </c>
      <c r="C132" t="s">
        <v>211</v>
      </c>
      <c r="D132" s="1">
        <v>45429</v>
      </c>
      <c r="E132" s="2">
        <v>232.55</v>
      </c>
      <c r="F132" s="2">
        <v>0</v>
      </c>
      <c r="G132" s="2">
        <v>158763.01</v>
      </c>
      <c r="H132" t="s">
        <v>337</v>
      </c>
    </row>
    <row r="133" spans="1:8" x14ac:dyDescent="0.3">
      <c r="A133" s="1">
        <v>45429</v>
      </c>
      <c r="B133" t="s">
        <v>82</v>
      </c>
      <c r="C133" t="s">
        <v>212</v>
      </c>
      <c r="D133" s="1">
        <v>45429</v>
      </c>
      <c r="E133" s="2">
        <v>9417.32</v>
      </c>
      <c r="F133" s="2">
        <v>0</v>
      </c>
      <c r="G133" s="2">
        <v>149345.69</v>
      </c>
      <c r="H133" t="s">
        <v>337</v>
      </c>
    </row>
    <row r="134" spans="1:8" x14ac:dyDescent="0.3">
      <c r="A134" s="1">
        <v>45430</v>
      </c>
      <c r="B134" t="s">
        <v>82</v>
      </c>
      <c r="C134" t="s">
        <v>213</v>
      </c>
      <c r="D134" s="1">
        <v>45430</v>
      </c>
      <c r="E134" s="2">
        <v>291.08999999999997</v>
      </c>
      <c r="F134" s="2">
        <v>0</v>
      </c>
      <c r="G134" s="2">
        <v>149054.6</v>
      </c>
      <c r="H134" t="s">
        <v>337</v>
      </c>
    </row>
    <row r="135" spans="1:8" x14ac:dyDescent="0.3">
      <c r="A135" s="1">
        <v>45433</v>
      </c>
      <c r="B135" t="s">
        <v>84</v>
      </c>
      <c r="C135" t="s">
        <v>214</v>
      </c>
      <c r="D135" s="1">
        <v>45433</v>
      </c>
      <c r="E135" s="2">
        <v>0</v>
      </c>
      <c r="F135" s="2">
        <v>2558.71</v>
      </c>
      <c r="G135" s="2">
        <v>151613.31</v>
      </c>
      <c r="H135" t="s">
        <v>337</v>
      </c>
    </row>
    <row r="136" spans="1:8" x14ac:dyDescent="0.3">
      <c r="A136" s="1">
        <v>45433</v>
      </c>
      <c r="B136" t="s">
        <v>84</v>
      </c>
      <c r="C136" t="s">
        <v>215</v>
      </c>
      <c r="D136" s="1">
        <v>45433</v>
      </c>
      <c r="E136" s="2">
        <v>0</v>
      </c>
      <c r="F136" s="2">
        <v>23334.720000000001</v>
      </c>
      <c r="G136" s="2">
        <v>174948.03</v>
      </c>
      <c r="H136" t="s">
        <v>337</v>
      </c>
    </row>
    <row r="137" spans="1:8" x14ac:dyDescent="0.3">
      <c r="A137" s="1">
        <v>45433</v>
      </c>
      <c r="B137" t="s">
        <v>82</v>
      </c>
      <c r="C137" t="s">
        <v>216</v>
      </c>
      <c r="D137" s="1">
        <v>45433</v>
      </c>
      <c r="E137" s="2">
        <v>873.27</v>
      </c>
      <c r="F137" s="2">
        <v>0</v>
      </c>
      <c r="G137" s="2">
        <v>174074.76</v>
      </c>
      <c r="H137" t="s">
        <v>337</v>
      </c>
    </row>
    <row r="138" spans="1:8" x14ac:dyDescent="0.3">
      <c r="A138" s="1">
        <v>45433</v>
      </c>
      <c r="B138" t="s">
        <v>82</v>
      </c>
      <c r="C138" t="s">
        <v>217</v>
      </c>
      <c r="D138" s="1">
        <v>45433</v>
      </c>
      <c r="E138" s="2">
        <v>45536.34</v>
      </c>
      <c r="F138" s="2">
        <v>0</v>
      </c>
      <c r="G138" s="2">
        <v>128538.42</v>
      </c>
      <c r="H138" t="s">
        <v>337</v>
      </c>
    </row>
    <row r="139" spans="1:8" x14ac:dyDescent="0.3">
      <c r="A139" s="1">
        <v>45434</v>
      </c>
      <c r="B139" t="s">
        <v>84</v>
      </c>
      <c r="C139" t="s">
        <v>218</v>
      </c>
      <c r="D139" s="1">
        <v>45434</v>
      </c>
      <c r="E139" s="2">
        <v>0</v>
      </c>
      <c r="F139" s="2">
        <v>3073.48</v>
      </c>
      <c r="G139" s="2">
        <v>131611.9</v>
      </c>
      <c r="H139" t="s">
        <v>337</v>
      </c>
    </row>
    <row r="140" spans="1:8" x14ac:dyDescent="0.3">
      <c r="A140" s="1">
        <v>45434</v>
      </c>
      <c r="B140" t="s">
        <v>82</v>
      </c>
      <c r="C140" t="s">
        <v>219</v>
      </c>
      <c r="D140" s="1">
        <v>45434</v>
      </c>
      <c r="E140" s="2">
        <v>289.36</v>
      </c>
      <c r="F140" s="2">
        <v>0</v>
      </c>
      <c r="G140" s="2">
        <v>131322.54</v>
      </c>
      <c r="H140" t="s">
        <v>337</v>
      </c>
    </row>
    <row r="141" spans="1:8" x14ac:dyDescent="0.3">
      <c r="A141" s="1">
        <v>45434</v>
      </c>
      <c r="B141" t="s">
        <v>82</v>
      </c>
      <c r="C141" t="s">
        <v>220</v>
      </c>
      <c r="D141" s="1">
        <v>45434</v>
      </c>
      <c r="E141" s="2">
        <v>93700.02</v>
      </c>
      <c r="F141" s="2">
        <v>0</v>
      </c>
      <c r="G141" s="2">
        <v>37622.519999999997</v>
      </c>
      <c r="H141" t="s">
        <v>337</v>
      </c>
    </row>
    <row r="142" spans="1:8" x14ac:dyDescent="0.3">
      <c r="A142" s="1">
        <v>45435</v>
      </c>
      <c r="B142" t="s">
        <v>221</v>
      </c>
      <c r="C142" t="s">
        <v>222</v>
      </c>
      <c r="D142" s="1">
        <v>45435</v>
      </c>
      <c r="E142" s="2">
        <v>17.7</v>
      </c>
      <c r="F142" s="2">
        <v>0</v>
      </c>
      <c r="G142" s="2">
        <v>37604.82</v>
      </c>
      <c r="H142" t="s">
        <v>47</v>
      </c>
    </row>
    <row r="143" spans="1:8" x14ac:dyDescent="0.3">
      <c r="A143" s="1">
        <v>45435</v>
      </c>
      <c r="B143" t="s">
        <v>82</v>
      </c>
      <c r="C143" t="s">
        <v>223</v>
      </c>
      <c r="D143" s="1">
        <v>45435</v>
      </c>
      <c r="E143" s="2">
        <v>313.62</v>
      </c>
      <c r="F143" s="2">
        <v>0</v>
      </c>
      <c r="G143" s="2">
        <v>37291.199999999997</v>
      </c>
      <c r="H143" t="s">
        <v>337</v>
      </c>
    </row>
    <row r="144" spans="1:8" x14ac:dyDescent="0.3">
      <c r="A144" s="1">
        <v>45436</v>
      </c>
      <c r="B144" t="s">
        <v>84</v>
      </c>
      <c r="C144" t="s">
        <v>224</v>
      </c>
      <c r="D144" s="1">
        <v>45436</v>
      </c>
      <c r="E144" s="2">
        <v>0</v>
      </c>
      <c r="F144" s="2">
        <v>31015.360000000001</v>
      </c>
      <c r="G144" s="2">
        <v>68306.559999999998</v>
      </c>
      <c r="H144" t="s">
        <v>337</v>
      </c>
    </row>
    <row r="145" spans="1:8" x14ac:dyDescent="0.3">
      <c r="A145" s="1">
        <v>45436</v>
      </c>
      <c r="B145" t="s">
        <v>84</v>
      </c>
      <c r="C145" t="s">
        <v>225</v>
      </c>
      <c r="D145" s="1">
        <v>45436</v>
      </c>
      <c r="E145" s="2">
        <v>0</v>
      </c>
      <c r="F145" s="2">
        <v>35498.65</v>
      </c>
      <c r="G145" s="2">
        <v>103805.21</v>
      </c>
      <c r="H145" t="s">
        <v>337</v>
      </c>
    </row>
    <row r="146" spans="1:8" x14ac:dyDescent="0.3">
      <c r="A146" s="1">
        <v>45436</v>
      </c>
      <c r="B146" t="s">
        <v>82</v>
      </c>
      <c r="C146" t="s">
        <v>226</v>
      </c>
      <c r="D146" s="1">
        <v>45436</v>
      </c>
      <c r="E146" s="2">
        <v>313.62</v>
      </c>
      <c r="F146" s="2">
        <v>0</v>
      </c>
      <c r="G146" s="2">
        <v>103491.59</v>
      </c>
      <c r="H146" t="s">
        <v>337</v>
      </c>
    </row>
    <row r="147" spans="1:8" x14ac:dyDescent="0.3">
      <c r="A147" s="1">
        <v>45436</v>
      </c>
      <c r="B147" t="s">
        <v>227</v>
      </c>
      <c r="C147" t="s">
        <v>228</v>
      </c>
      <c r="D147" s="1">
        <v>45436</v>
      </c>
      <c r="E147" s="2">
        <v>0</v>
      </c>
      <c r="F147" s="2">
        <v>2223</v>
      </c>
      <c r="G147" s="2">
        <v>105714.59</v>
      </c>
      <c r="H147" t="s">
        <v>340</v>
      </c>
    </row>
    <row r="148" spans="1:8" x14ac:dyDescent="0.3">
      <c r="A148" s="1">
        <v>45436</v>
      </c>
      <c r="B148" t="s">
        <v>229</v>
      </c>
      <c r="C148" t="s">
        <v>230</v>
      </c>
      <c r="D148" s="1">
        <v>45436</v>
      </c>
      <c r="E148" s="2">
        <v>0</v>
      </c>
      <c r="F148" s="2">
        <v>418</v>
      </c>
      <c r="G148" s="2">
        <v>106132.59</v>
      </c>
      <c r="H148" t="s">
        <v>340</v>
      </c>
    </row>
    <row r="149" spans="1:8" x14ac:dyDescent="0.3">
      <c r="A149" s="1">
        <v>45436</v>
      </c>
      <c r="B149" t="s">
        <v>231</v>
      </c>
      <c r="C149" t="s">
        <v>232</v>
      </c>
      <c r="D149" s="1">
        <v>45436</v>
      </c>
      <c r="E149" s="2">
        <v>0</v>
      </c>
      <c r="F149" s="2">
        <v>84.57</v>
      </c>
      <c r="G149" s="2">
        <v>106217.16</v>
      </c>
      <c r="H149" t="s">
        <v>346</v>
      </c>
    </row>
    <row r="150" spans="1:8" x14ac:dyDescent="0.3">
      <c r="A150" s="1">
        <v>45437</v>
      </c>
      <c r="B150" t="s">
        <v>82</v>
      </c>
      <c r="C150" t="s">
        <v>233</v>
      </c>
      <c r="D150" s="1">
        <v>45437</v>
      </c>
      <c r="E150" s="2">
        <v>47642.67</v>
      </c>
      <c r="F150" s="2">
        <v>0</v>
      </c>
      <c r="G150" s="2">
        <v>58574.49</v>
      </c>
      <c r="H150" t="s">
        <v>337</v>
      </c>
    </row>
    <row r="151" spans="1:8" x14ac:dyDescent="0.3">
      <c r="A151" s="1">
        <v>45437</v>
      </c>
      <c r="B151" t="s">
        <v>234</v>
      </c>
      <c r="C151" t="s">
        <v>235</v>
      </c>
      <c r="D151" s="1">
        <v>45437</v>
      </c>
      <c r="E151" s="2">
        <v>21011</v>
      </c>
      <c r="F151" s="2">
        <v>0</v>
      </c>
      <c r="G151" s="2">
        <v>37563.49</v>
      </c>
      <c r="H151" t="s">
        <v>347</v>
      </c>
    </row>
    <row r="152" spans="1:8" x14ac:dyDescent="0.3">
      <c r="A152" s="1">
        <v>45439</v>
      </c>
      <c r="B152" t="s">
        <v>114</v>
      </c>
      <c r="C152" t="s">
        <v>236</v>
      </c>
      <c r="D152" s="1">
        <v>45439</v>
      </c>
      <c r="E152" s="2">
        <v>10000</v>
      </c>
      <c r="F152" s="2">
        <v>0</v>
      </c>
      <c r="G152" s="2">
        <v>27563.49</v>
      </c>
      <c r="H152" t="s">
        <v>342</v>
      </c>
    </row>
    <row r="153" spans="1:8" x14ac:dyDescent="0.3">
      <c r="A153" s="1">
        <v>45439</v>
      </c>
      <c r="B153" t="s">
        <v>82</v>
      </c>
      <c r="C153" t="s">
        <v>237</v>
      </c>
      <c r="D153" s="1">
        <v>45439</v>
      </c>
      <c r="E153" s="2">
        <v>1076.0999999999999</v>
      </c>
      <c r="F153" s="2">
        <v>0</v>
      </c>
      <c r="G153" s="2">
        <v>26487.39</v>
      </c>
      <c r="H153" t="s">
        <v>337</v>
      </c>
    </row>
    <row r="154" spans="1:8" x14ac:dyDescent="0.3">
      <c r="A154" s="1">
        <v>45440</v>
      </c>
      <c r="B154" t="s">
        <v>84</v>
      </c>
      <c r="C154" t="s">
        <v>238</v>
      </c>
      <c r="D154" s="1">
        <v>45440</v>
      </c>
      <c r="E154" s="2">
        <v>0</v>
      </c>
      <c r="F154" s="2">
        <v>4569.7700000000004</v>
      </c>
      <c r="G154" s="2">
        <v>31057.16</v>
      </c>
      <c r="H154" t="s">
        <v>337</v>
      </c>
    </row>
    <row r="155" spans="1:8" x14ac:dyDescent="0.3">
      <c r="A155" s="1">
        <v>45440</v>
      </c>
      <c r="B155" t="s">
        <v>84</v>
      </c>
      <c r="C155" t="s">
        <v>239</v>
      </c>
      <c r="D155" s="1">
        <v>45440</v>
      </c>
      <c r="E155" s="2">
        <v>0</v>
      </c>
      <c r="F155" s="2">
        <v>29701.18</v>
      </c>
      <c r="G155" s="2">
        <v>60758.34</v>
      </c>
      <c r="H155" t="s">
        <v>337</v>
      </c>
    </row>
    <row r="156" spans="1:8" x14ac:dyDescent="0.3">
      <c r="A156" s="1">
        <v>45440</v>
      </c>
      <c r="B156" t="s">
        <v>82</v>
      </c>
      <c r="C156" t="s">
        <v>240</v>
      </c>
      <c r="D156" s="1">
        <v>45440</v>
      </c>
      <c r="E156" s="2">
        <v>398.19</v>
      </c>
      <c r="F156" s="2">
        <v>0</v>
      </c>
      <c r="G156" s="2">
        <v>60360.15</v>
      </c>
      <c r="H156" t="s">
        <v>337</v>
      </c>
    </row>
    <row r="157" spans="1:8" x14ac:dyDescent="0.3">
      <c r="A157" s="1">
        <v>45440</v>
      </c>
      <c r="B157" t="s">
        <v>82</v>
      </c>
      <c r="C157" t="s">
        <v>241</v>
      </c>
      <c r="D157" s="1">
        <v>45440</v>
      </c>
      <c r="E157" s="2">
        <v>9647.7800000000007</v>
      </c>
      <c r="F157" s="2">
        <v>0</v>
      </c>
      <c r="G157" s="2">
        <v>50712.37</v>
      </c>
      <c r="H157" t="s">
        <v>337</v>
      </c>
    </row>
    <row r="158" spans="1:8" x14ac:dyDescent="0.3">
      <c r="A158" s="1">
        <v>45441</v>
      </c>
      <c r="B158" t="s">
        <v>84</v>
      </c>
      <c r="C158" t="s">
        <v>242</v>
      </c>
      <c r="D158" s="1">
        <v>45441</v>
      </c>
      <c r="E158" s="2">
        <v>0</v>
      </c>
      <c r="F158" s="2">
        <v>31189.97</v>
      </c>
      <c r="G158" s="2">
        <v>81902.34</v>
      </c>
      <c r="H158" t="s">
        <v>337</v>
      </c>
    </row>
    <row r="159" spans="1:8" x14ac:dyDescent="0.3">
      <c r="A159" s="1">
        <v>45441</v>
      </c>
      <c r="B159" t="s">
        <v>82</v>
      </c>
      <c r="C159" t="s">
        <v>243</v>
      </c>
      <c r="D159" s="1">
        <v>45441</v>
      </c>
      <c r="E159" s="2">
        <v>392.56</v>
      </c>
      <c r="F159" s="2">
        <v>0</v>
      </c>
      <c r="G159" s="2">
        <v>81509.78</v>
      </c>
      <c r="H159" t="s">
        <v>337</v>
      </c>
    </row>
    <row r="160" spans="1:8" x14ac:dyDescent="0.3">
      <c r="A160" s="1">
        <v>45441</v>
      </c>
      <c r="B160" t="s">
        <v>244</v>
      </c>
      <c r="C160" t="s">
        <v>245</v>
      </c>
      <c r="D160" s="1">
        <v>45441</v>
      </c>
      <c r="E160" s="2">
        <v>30000</v>
      </c>
      <c r="F160" s="2">
        <v>0</v>
      </c>
      <c r="G160" s="2">
        <v>51509.78</v>
      </c>
      <c r="H160" t="s">
        <v>339</v>
      </c>
    </row>
    <row r="161" spans="1:8" x14ac:dyDescent="0.3">
      <c r="A161" s="1">
        <v>45442</v>
      </c>
      <c r="B161" t="s">
        <v>84</v>
      </c>
      <c r="C161" t="s">
        <v>246</v>
      </c>
      <c r="D161" s="1">
        <v>45442</v>
      </c>
      <c r="E161" s="2">
        <v>0</v>
      </c>
      <c r="F161" s="2">
        <v>17962.099999999999</v>
      </c>
      <c r="G161" s="2">
        <v>69471.88</v>
      </c>
      <c r="H161" t="s">
        <v>337</v>
      </c>
    </row>
    <row r="162" spans="1:8" x14ac:dyDescent="0.3">
      <c r="A162" s="1">
        <v>45442</v>
      </c>
      <c r="B162" t="s">
        <v>82</v>
      </c>
      <c r="C162" t="s">
        <v>247</v>
      </c>
      <c r="D162" s="1">
        <v>45442</v>
      </c>
      <c r="E162" s="2">
        <v>392.56</v>
      </c>
      <c r="F162" s="2">
        <v>0</v>
      </c>
      <c r="G162" s="2">
        <v>69079.320000000007</v>
      </c>
      <c r="H162" t="s">
        <v>337</v>
      </c>
    </row>
    <row r="163" spans="1:8" x14ac:dyDescent="0.3">
      <c r="A163" s="1">
        <v>45442</v>
      </c>
      <c r="B163" t="s">
        <v>82</v>
      </c>
      <c r="C163" t="s">
        <v>248</v>
      </c>
      <c r="D163" s="1">
        <v>45442</v>
      </c>
      <c r="E163" s="2">
        <v>18904.07</v>
      </c>
      <c r="F163" s="2">
        <v>0</v>
      </c>
      <c r="G163" s="2">
        <v>50175.25</v>
      </c>
      <c r="H163" t="s">
        <v>337</v>
      </c>
    </row>
    <row r="164" spans="1:8" x14ac:dyDescent="0.3">
      <c r="A164" s="1">
        <v>45443</v>
      </c>
      <c r="B164" t="s">
        <v>82</v>
      </c>
      <c r="C164" t="s">
        <v>249</v>
      </c>
      <c r="D164" s="1">
        <v>45443</v>
      </c>
      <c r="E164" s="2">
        <v>380.68</v>
      </c>
      <c r="F164" s="2">
        <v>0</v>
      </c>
      <c r="G164" s="2">
        <v>49794.57</v>
      </c>
      <c r="H164" t="s">
        <v>337</v>
      </c>
    </row>
    <row r="165" spans="1:8" x14ac:dyDescent="0.3">
      <c r="A165" s="1">
        <v>45443</v>
      </c>
      <c r="B165" t="s">
        <v>82</v>
      </c>
      <c r="C165" t="s">
        <v>250</v>
      </c>
      <c r="D165" s="1">
        <v>45443</v>
      </c>
      <c r="E165" s="2">
        <v>39887.86</v>
      </c>
      <c r="F165" s="2">
        <v>0</v>
      </c>
      <c r="G165" s="2">
        <v>9906.7099999999991</v>
      </c>
      <c r="H165" t="s">
        <v>337</v>
      </c>
    </row>
    <row r="166" spans="1:8" x14ac:dyDescent="0.3">
      <c r="A166" s="1">
        <v>45446</v>
      </c>
      <c r="B166" t="s">
        <v>84</v>
      </c>
      <c r="C166" t="s">
        <v>251</v>
      </c>
      <c r="D166" s="1">
        <v>45446</v>
      </c>
      <c r="E166" s="2">
        <v>0</v>
      </c>
      <c r="F166" s="2">
        <v>19286.45</v>
      </c>
      <c r="G166" s="2">
        <v>29193.16</v>
      </c>
      <c r="H166" t="s">
        <v>337</v>
      </c>
    </row>
    <row r="167" spans="1:8" x14ac:dyDescent="0.3">
      <c r="A167" s="1">
        <v>45446</v>
      </c>
      <c r="B167" t="s">
        <v>82</v>
      </c>
      <c r="C167" t="s">
        <v>252</v>
      </c>
      <c r="D167" s="1">
        <v>45446</v>
      </c>
      <c r="E167" s="2">
        <v>1158.51</v>
      </c>
      <c r="F167" s="2">
        <v>0</v>
      </c>
      <c r="G167" s="2">
        <v>28034.65</v>
      </c>
      <c r="H167" t="s">
        <v>337</v>
      </c>
    </row>
    <row r="168" spans="1:8" x14ac:dyDescent="0.3">
      <c r="A168" s="1">
        <v>45447</v>
      </c>
      <c r="B168" t="s">
        <v>84</v>
      </c>
      <c r="C168" t="s">
        <v>253</v>
      </c>
      <c r="D168" s="1">
        <v>45447</v>
      </c>
      <c r="E168" s="2">
        <v>0</v>
      </c>
      <c r="F168" s="2">
        <v>1329.76</v>
      </c>
      <c r="G168" s="2">
        <v>29364.41</v>
      </c>
      <c r="H168" t="s">
        <v>337</v>
      </c>
    </row>
    <row r="169" spans="1:8" x14ac:dyDescent="0.3">
      <c r="A169" s="1">
        <v>45447</v>
      </c>
      <c r="B169" t="s">
        <v>82</v>
      </c>
      <c r="C169" t="s">
        <v>254</v>
      </c>
      <c r="D169" s="1">
        <v>45447</v>
      </c>
      <c r="E169" s="2">
        <v>380.63</v>
      </c>
      <c r="F169" s="2">
        <v>0</v>
      </c>
      <c r="G169" s="2">
        <v>28983.78</v>
      </c>
      <c r="H169" t="s">
        <v>337</v>
      </c>
    </row>
    <row r="170" spans="1:8" x14ac:dyDescent="0.3">
      <c r="A170" s="1">
        <v>45447</v>
      </c>
      <c r="B170" t="s">
        <v>255</v>
      </c>
      <c r="C170" t="s">
        <v>256</v>
      </c>
      <c r="D170" s="1">
        <v>45447</v>
      </c>
      <c r="E170" s="2">
        <v>0</v>
      </c>
      <c r="F170" s="2">
        <v>448</v>
      </c>
      <c r="G170" s="2">
        <v>29431.78</v>
      </c>
      <c r="H170" t="s">
        <v>340</v>
      </c>
    </row>
    <row r="171" spans="1:8" x14ac:dyDescent="0.3">
      <c r="A171" s="1">
        <v>45447</v>
      </c>
      <c r="B171" t="s">
        <v>82</v>
      </c>
      <c r="C171" t="s">
        <v>257</v>
      </c>
      <c r="D171" s="1">
        <v>45447</v>
      </c>
      <c r="E171" s="2">
        <v>29431.78</v>
      </c>
      <c r="F171" s="2">
        <v>0</v>
      </c>
      <c r="G171" s="2">
        <v>0</v>
      </c>
      <c r="H171" t="s">
        <v>337</v>
      </c>
    </row>
    <row r="172" spans="1:8" x14ac:dyDescent="0.3">
      <c r="A172" s="1">
        <v>45448</v>
      </c>
      <c r="B172" t="s">
        <v>258</v>
      </c>
      <c r="C172" t="s">
        <v>259</v>
      </c>
      <c r="D172" s="1">
        <v>45448</v>
      </c>
      <c r="E172" s="2">
        <v>0</v>
      </c>
      <c r="F172" s="2">
        <v>20000</v>
      </c>
      <c r="G172" s="2">
        <v>20000</v>
      </c>
      <c r="H172" t="s">
        <v>52</v>
      </c>
    </row>
    <row r="173" spans="1:8" x14ac:dyDescent="0.3">
      <c r="A173" s="1">
        <v>45448</v>
      </c>
      <c r="B173" t="s">
        <v>82</v>
      </c>
      <c r="C173" t="s">
        <v>260</v>
      </c>
      <c r="D173" s="1">
        <v>45448</v>
      </c>
      <c r="E173" s="2">
        <v>20000</v>
      </c>
      <c r="F173" s="2">
        <v>0</v>
      </c>
      <c r="G173" s="2">
        <v>0</v>
      </c>
      <c r="H173" t="s">
        <v>337</v>
      </c>
    </row>
    <row r="174" spans="1:8" x14ac:dyDescent="0.3">
      <c r="A174" s="1">
        <v>45448</v>
      </c>
      <c r="B174" t="s">
        <v>261</v>
      </c>
      <c r="C174" t="s">
        <v>262</v>
      </c>
      <c r="D174" s="1">
        <v>45448</v>
      </c>
      <c r="E174" s="2">
        <v>0</v>
      </c>
      <c r="F174" s="2">
        <v>2123.5</v>
      </c>
      <c r="G174" s="2">
        <v>2123.5</v>
      </c>
      <c r="H174" t="s">
        <v>340</v>
      </c>
    </row>
    <row r="175" spans="1:8" x14ac:dyDescent="0.3">
      <c r="A175" s="1">
        <v>45448</v>
      </c>
      <c r="B175" t="s">
        <v>263</v>
      </c>
      <c r="C175" t="s">
        <v>264</v>
      </c>
      <c r="D175" s="1">
        <v>45448</v>
      </c>
      <c r="E175" s="2">
        <v>0</v>
      </c>
      <c r="F175" s="2">
        <v>21011</v>
      </c>
      <c r="G175" s="2">
        <v>23134.5</v>
      </c>
      <c r="H175" t="s">
        <v>345</v>
      </c>
    </row>
    <row r="176" spans="1:8" x14ac:dyDescent="0.3">
      <c r="A176" s="1">
        <v>45448</v>
      </c>
      <c r="B176" t="s">
        <v>82</v>
      </c>
      <c r="C176" t="s">
        <v>265</v>
      </c>
      <c r="D176" s="1">
        <v>45448</v>
      </c>
      <c r="E176" s="2">
        <v>23134.5</v>
      </c>
      <c r="F176" s="2">
        <v>0</v>
      </c>
      <c r="G176" s="2">
        <v>0</v>
      </c>
      <c r="H176" t="s">
        <v>337</v>
      </c>
    </row>
    <row r="177" spans="1:8" x14ac:dyDescent="0.3">
      <c r="A177" s="1">
        <v>45449</v>
      </c>
      <c r="B177" t="s">
        <v>84</v>
      </c>
      <c r="C177" t="s">
        <v>266</v>
      </c>
      <c r="D177" s="1">
        <v>45449</v>
      </c>
      <c r="E177" s="2">
        <v>0</v>
      </c>
      <c r="F177" s="2">
        <v>20604.39</v>
      </c>
      <c r="G177" s="2">
        <v>20604.39</v>
      </c>
      <c r="H177" t="s">
        <v>337</v>
      </c>
    </row>
    <row r="178" spans="1:8" x14ac:dyDescent="0.3">
      <c r="A178" s="1">
        <v>45449</v>
      </c>
      <c r="B178" t="s">
        <v>82</v>
      </c>
      <c r="C178" t="s">
        <v>267</v>
      </c>
      <c r="D178" s="1">
        <v>45449</v>
      </c>
      <c r="E178" s="2">
        <v>374.73</v>
      </c>
      <c r="F178" s="2">
        <v>0</v>
      </c>
      <c r="G178" s="2">
        <v>20229.66</v>
      </c>
      <c r="H178" t="s">
        <v>337</v>
      </c>
    </row>
    <row r="179" spans="1:8" x14ac:dyDescent="0.3">
      <c r="A179" s="1">
        <v>45450</v>
      </c>
      <c r="B179" t="s">
        <v>84</v>
      </c>
      <c r="C179" t="s">
        <v>268</v>
      </c>
      <c r="D179" s="1">
        <v>45450</v>
      </c>
      <c r="E179" s="2">
        <v>0</v>
      </c>
      <c r="F179" s="2">
        <v>16550.740000000002</v>
      </c>
      <c r="G179" s="2">
        <v>36780.400000000001</v>
      </c>
      <c r="H179" t="s">
        <v>337</v>
      </c>
    </row>
    <row r="180" spans="1:8" x14ac:dyDescent="0.3">
      <c r="A180" s="1">
        <v>45450</v>
      </c>
      <c r="B180" t="s">
        <v>82</v>
      </c>
      <c r="C180" t="s">
        <v>269</v>
      </c>
      <c r="D180" s="1">
        <v>45450</v>
      </c>
      <c r="E180" s="2">
        <v>374.73</v>
      </c>
      <c r="F180" s="2">
        <v>0</v>
      </c>
      <c r="G180" s="2">
        <v>36405.67</v>
      </c>
      <c r="H180" t="s">
        <v>337</v>
      </c>
    </row>
    <row r="181" spans="1:8" x14ac:dyDescent="0.3">
      <c r="A181" s="1">
        <v>45450</v>
      </c>
      <c r="B181" t="s">
        <v>84</v>
      </c>
      <c r="C181" t="s">
        <v>270</v>
      </c>
      <c r="D181" s="1">
        <v>45450</v>
      </c>
      <c r="E181" s="2">
        <v>0</v>
      </c>
      <c r="F181" s="2">
        <v>6997.46</v>
      </c>
      <c r="G181" s="2">
        <v>43403.13</v>
      </c>
      <c r="H181" t="s">
        <v>337</v>
      </c>
    </row>
    <row r="182" spans="1:8" x14ac:dyDescent="0.3">
      <c r="A182" s="1">
        <v>45452</v>
      </c>
      <c r="B182" t="s">
        <v>271</v>
      </c>
      <c r="C182" t="s">
        <v>272</v>
      </c>
      <c r="D182" s="1">
        <v>45452</v>
      </c>
      <c r="E182" s="2">
        <v>20000</v>
      </c>
      <c r="F182" s="2">
        <v>0</v>
      </c>
      <c r="G182" s="2">
        <v>23403.13</v>
      </c>
      <c r="H182" t="s">
        <v>52</v>
      </c>
    </row>
    <row r="183" spans="1:8" x14ac:dyDescent="0.3">
      <c r="A183" s="1">
        <v>45453</v>
      </c>
      <c r="B183" t="s">
        <v>84</v>
      </c>
      <c r="C183" t="s">
        <v>273</v>
      </c>
      <c r="D183" s="1">
        <v>45453</v>
      </c>
      <c r="E183" s="2">
        <v>0</v>
      </c>
      <c r="F183" s="2">
        <v>56230.07</v>
      </c>
      <c r="G183" s="2">
        <v>79633.2</v>
      </c>
      <c r="H183" t="s">
        <v>337</v>
      </c>
    </row>
    <row r="184" spans="1:8" x14ac:dyDescent="0.3">
      <c r="A184" s="1">
        <v>45453</v>
      </c>
      <c r="B184" t="s">
        <v>82</v>
      </c>
      <c r="C184" t="s">
        <v>274</v>
      </c>
      <c r="D184" s="1">
        <v>45453</v>
      </c>
      <c r="E184" s="2">
        <v>1149.33</v>
      </c>
      <c r="F184" s="2">
        <v>0</v>
      </c>
      <c r="G184" s="2">
        <v>78483.87</v>
      </c>
      <c r="H184" t="s">
        <v>337</v>
      </c>
    </row>
    <row r="185" spans="1:8" x14ac:dyDescent="0.3">
      <c r="A185" s="1">
        <v>45453</v>
      </c>
      <c r="B185" t="s">
        <v>275</v>
      </c>
      <c r="C185" t="s">
        <v>276</v>
      </c>
      <c r="D185" s="1">
        <v>45453</v>
      </c>
      <c r="E185" s="2">
        <v>0</v>
      </c>
      <c r="F185" s="2">
        <v>29757</v>
      </c>
      <c r="G185" s="2">
        <v>108240.87</v>
      </c>
      <c r="H185" t="s">
        <v>345</v>
      </c>
    </row>
    <row r="186" spans="1:8" x14ac:dyDescent="0.3">
      <c r="A186" s="1">
        <v>45453</v>
      </c>
      <c r="B186" t="s">
        <v>82</v>
      </c>
      <c r="C186" t="s">
        <v>277</v>
      </c>
      <c r="D186" s="1">
        <v>45453</v>
      </c>
      <c r="E186" s="2">
        <v>35676.160000000003</v>
      </c>
      <c r="F186" s="2">
        <v>0</v>
      </c>
      <c r="G186" s="2">
        <v>72564.710000000006</v>
      </c>
      <c r="H186" t="s">
        <v>337</v>
      </c>
    </row>
    <row r="187" spans="1:8" x14ac:dyDescent="0.3">
      <c r="A187" s="1">
        <v>45454</v>
      </c>
      <c r="B187" t="s">
        <v>84</v>
      </c>
      <c r="C187" t="s">
        <v>278</v>
      </c>
      <c r="D187" s="1">
        <v>45454</v>
      </c>
      <c r="E187" s="2">
        <v>0</v>
      </c>
      <c r="F187" s="2">
        <v>17608.23</v>
      </c>
      <c r="G187" s="2">
        <v>90172.94</v>
      </c>
      <c r="H187" t="s">
        <v>337</v>
      </c>
    </row>
    <row r="188" spans="1:8" x14ac:dyDescent="0.3">
      <c r="A188" s="1">
        <v>45454</v>
      </c>
      <c r="B188" t="s">
        <v>82</v>
      </c>
      <c r="C188" t="s">
        <v>279</v>
      </c>
      <c r="D188" s="1">
        <v>45454</v>
      </c>
      <c r="E188" s="2">
        <v>370.41</v>
      </c>
      <c r="F188" s="2">
        <v>0</v>
      </c>
      <c r="G188" s="2">
        <v>89802.53</v>
      </c>
      <c r="H188" t="s">
        <v>337</v>
      </c>
    </row>
    <row r="189" spans="1:8" x14ac:dyDescent="0.3">
      <c r="A189" s="1">
        <v>45454</v>
      </c>
      <c r="B189" t="s">
        <v>82</v>
      </c>
      <c r="C189" t="s">
        <v>280</v>
      </c>
      <c r="D189" s="1">
        <v>45454</v>
      </c>
      <c r="E189" s="2">
        <v>61786.82</v>
      </c>
      <c r="F189" s="2">
        <v>0</v>
      </c>
      <c r="G189" s="2">
        <v>28015.71</v>
      </c>
      <c r="H189" t="s">
        <v>337</v>
      </c>
    </row>
    <row r="190" spans="1:8" x14ac:dyDescent="0.3">
      <c r="A190" s="1">
        <v>45455</v>
      </c>
      <c r="B190" t="s">
        <v>82</v>
      </c>
      <c r="C190" t="s">
        <v>281</v>
      </c>
      <c r="D190" s="1">
        <v>45455</v>
      </c>
      <c r="E190" s="2">
        <v>387.2</v>
      </c>
      <c r="F190" s="2">
        <v>0</v>
      </c>
      <c r="G190" s="2">
        <v>27628.51</v>
      </c>
      <c r="H190" t="s">
        <v>337</v>
      </c>
    </row>
    <row r="191" spans="1:8" x14ac:dyDescent="0.3">
      <c r="A191" s="1">
        <v>45456</v>
      </c>
      <c r="B191" t="s">
        <v>84</v>
      </c>
      <c r="C191" t="s">
        <v>282</v>
      </c>
      <c r="D191" s="1">
        <v>45456</v>
      </c>
      <c r="E191" s="2">
        <v>0</v>
      </c>
      <c r="F191" s="2">
        <v>60155.519999999997</v>
      </c>
      <c r="G191" s="2">
        <v>87784.03</v>
      </c>
      <c r="H191" t="s">
        <v>337</v>
      </c>
    </row>
    <row r="192" spans="1:8" x14ac:dyDescent="0.3">
      <c r="A192" s="1">
        <v>45456</v>
      </c>
      <c r="B192" t="s">
        <v>84</v>
      </c>
      <c r="C192" t="s">
        <v>283</v>
      </c>
      <c r="D192" s="1">
        <v>45456</v>
      </c>
      <c r="E192" s="2">
        <v>0</v>
      </c>
      <c r="F192" s="2">
        <v>48812.56</v>
      </c>
      <c r="G192" s="2">
        <v>136596.59</v>
      </c>
      <c r="H192" t="s">
        <v>337</v>
      </c>
    </row>
    <row r="193" spans="1:8" x14ac:dyDescent="0.3">
      <c r="A193" s="1">
        <v>45456</v>
      </c>
      <c r="B193" t="s">
        <v>284</v>
      </c>
      <c r="C193" t="s">
        <v>285</v>
      </c>
      <c r="D193" s="1">
        <v>45456</v>
      </c>
      <c r="E193" s="2">
        <v>50000</v>
      </c>
      <c r="F193" s="2">
        <v>0</v>
      </c>
      <c r="G193" s="2">
        <v>86596.59</v>
      </c>
      <c r="H193" t="s">
        <v>339</v>
      </c>
    </row>
    <row r="194" spans="1:8" x14ac:dyDescent="0.3">
      <c r="A194" s="1">
        <v>45456</v>
      </c>
      <c r="B194" t="s">
        <v>286</v>
      </c>
      <c r="C194" t="s">
        <v>287</v>
      </c>
      <c r="D194" s="1">
        <v>45456</v>
      </c>
      <c r="E194" s="2">
        <v>50000</v>
      </c>
      <c r="F194" s="2">
        <v>0</v>
      </c>
      <c r="G194" s="2">
        <v>36596.589999999997</v>
      </c>
      <c r="H194" t="s">
        <v>347</v>
      </c>
    </row>
    <row r="195" spans="1:8" x14ac:dyDescent="0.3">
      <c r="A195" s="1">
        <v>45456</v>
      </c>
      <c r="B195" t="s">
        <v>82</v>
      </c>
      <c r="C195" t="s">
        <v>288</v>
      </c>
      <c r="D195" s="1">
        <v>45456</v>
      </c>
      <c r="E195" s="2">
        <v>433.51</v>
      </c>
      <c r="F195" s="2">
        <v>0</v>
      </c>
      <c r="G195" s="2">
        <v>36163.08</v>
      </c>
      <c r="H195" t="s">
        <v>337</v>
      </c>
    </row>
    <row r="196" spans="1:8" x14ac:dyDescent="0.3">
      <c r="A196" s="1">
        <v>45456</v>
      </c>
      <c r="B196" t="s">
        <v>289</v>
      </c>
      <c r="C196" t="s">
        <v>290</v>
      </c>
      <c r="D196" s="1">
        <v>45456</v>
      </c>
      <c r="E196" s="2">
        <v>0</v>
      </c>
      <c r="F196" s="2">
        <v>2380</v>
      </c>
      <c r="G196" s="2">
        <v>38543.08</v>
      </c>
      <c r="H196" t="s">
        <v>345</v>
      </c>
    </row>
    <row r="197" spans="1:8" x14ac:dyDescent="0.3">
      <c r="A197" s="1">
        <v>45456</v>
      </c>
      <c r="B197" t="s">
        <v>82</v>
      </c>
      <c r="C197" t="s">
        <v>291</v>
      </c>
      <c r="D197" s="1">
        <v>45456</v>
      </c>
      <c r="E197" s="2">
        <v>26388.21</v>
      </c>
      <c r="F197" s="2">
        <v>0</v>
      </c>
      <c r="G197" s="2">
        <v>12154.87</v>
      </c>
      <c r="H197" t="s">
        <v>337</v>
      </c>
    </row>
    <row r="198" spans="1:8" x14ac:dyDescent="0.3">
      <c r="A198" s="1">
        <v>45457</v>
      </c>
      <c r="B198" t="s">
        <v>82</v>
      </c>
      <c r="C198" t="s">
        <v>292</v>
      </c>
      <c r="D198" s="1">
        <v>45457</v>
      </c>
      <c r="E198" s="2">
        <v>395.45</v>
      </c>
      <c r="F198" s="2">
        <v>0</v>
      </c>
      <c r="G198" s="2">
        <v>11759.42</v>
      </c>
      <c r="H198" t="s">
        <v>337</v>
      </c>
    </row>
    <row r="199" spans="1:8" x14ac:dyDescent="0.3">
      <c r="A199" s="1">
        <v>45461</v>
      </c>
      <c r="B199" t="s">
        <v>84</v>
      </c>
      <c r="C199" t="s">
        <v>293</v>
      </c>
      <c r="D199" s="1">
        <v>45461</v>
      </c>
      <c r="E199" s="2">
        <v>0</v>
      </c>
      <c r="F199" s="2">
        <v>42936.66</v>
      </c>
      <c r="G199" s="2">
        <v>54696.08</v>
      </c>
      <c r="H199" t="s">
        <v>337</v>
      </c>
    </row>
    <row r="200" spans="1:8" x14ac:dyDescent="0.3">
      <c r="A200" s="1">
        <v>45461</v>
      </c>
      <c r="B200" t="s">
        <v>114</v>
      </c>
      <c r="C200" t="s">
        <v>294</v>
      </c>
      <c r="D200" s="1">
        <v>45461</v>
      </c>
      <c r="E200" s="2">
        <v>5000</v>
      </c>
      <c r="F200" s="2">
        <v>0</v>
      </c>
      <c r="G200" s="2">
        <v>49696.08</v>
      </c>
      <c r="H200" t="s">
        <v>341</v>
      </c>
    </row>
    <row r="201" spans="1:8" x14ac:dyDescent="0.3">
      <c r="A201" s="1">
        <v>45461</v>
      </c>
      <c r="B201" t="s">
        <v>295</v>
      </c>
      <c r="C201" t="s">
        <v>98</v>
      </c>
      <c r="D201" s="1">
        <v>45461</v>
      </c>
      <c r="E201" s="2">
        <v>2871.57</v>
      </c>
      <c r="F201" s="2">
        <v>0</v>
      </c>
      <c r="G201" s="2">
        <v>46824.51</v>
      </c>
      <c r="H201" t="s">
        <v>343</v>
      </c>
    </row>
    <row r="202" spans="1:8" x14ac:dyDescent="0.3">
      <c r="A202" s="1">
        <v>45461</v>
      </c>
      <c r="B202" t="s">
        <v>82</v>
      </c>
      <c r="C202" t="s">
        <v>296</v>
      </c>
      <c r="D202" s="1">
        <v>45461</v>
      </c>
      <c r="E202" s="2">
        <v>1677.96</v>
      </c>
      <c r="F202" s="2">
        <v>0</v>
      </c>
      <c r="G202" s="2">
        <v>45146.55</v>
      </c>
      <c r="H202" t="s">
        <v>337</v>
      </c>
    </row>
    <row r="203" spans="1:8" x14ac:dyDescent="0.3">
      <c r="A203" s="1">
        <v>45462</v>
      </c>
      <c r="B203" t="s">
        <v>84</v>
      </c>
      <c r="C203" t="s">
        <v>297</v>
      </c>
      <c r="D203" s="1">
        <v>45462</v>
      </c>
      <c r="E203" s="2">
        <v>0</v>
      </c>
      <c r="F203" s="2">
        <v>56690.36</v>
      </c>
      <c r="G203" s="2">
        <v>101836.91</v>
      </c>
      <c r="H203" t="s">
        <v>337</v>
      </c>
    </row>
    <row r="204" spans="1:8" x14ac:dyDescent="0.3">
      <c r="A204" s="1">
        <v>45462</v>
      </c>
      <c r="B204" t="s">
        <v>84</v>
      </c>
      <c r="C204" t="s">
        <v>298</v>
      </c>
      <c r="D204" s="1">
        <v>45462</v>
      </c>
      <c r="E204" s="2">
        <v>0</v>
      </c>
      <c r="F204" s="2">
        <v>48063.89</v>
      </c>
      <c r="G204" s="2">
        <v>149900.79999999999</v>
      </c>
      <c r="H204" t="s">
        <v>337</v>
      </c>
    </row>
    <row r="205" spans="1:8" x14ac:dyDescent="0.3">
      <c r="A205" s="1">
        <v>45462</v>
      </c>
      <c r="B205" t="s">
        <v>82</v>
      </c>
      <c r="C205" t="s">
        <v>299</v>
      </c>
      <c r="D205" s="1">
        <v>45462</v>
      </c>
      <c r="E205" s="2">
        <v>401.3</v>
      </c>
      <c r="F205" s="2">
        <v>0</v>
      </c>
      <c r="G205" s="2">
        <v>149499.5</v>
      </c>
      <c r="H205" t="s">
        <v>337</v>
      </c>
    </row>
    <row r="206" spans="1:8" x14ac:dyDescent="0.3">
      <c r="A206" s="1">
        <v>45462</v>
      </c>
      <c r="B206" t="s">
        <v>82</v>
      </c>
      <c r="C206" t="s">
        <v>300</v>
      </c>
      <c r="D206" s="1">
        <v>45462</v>
      </c>
      <c r="E206" s="2">
        <v>3814.25</v>
      </c>
      <c r="F206" s="2">
        <v>0</v>
      </c>
      <c r="G206" s="2">
        <v>145685.25</v>
      </c>
      <c r="H206" t="s">
        <v>337</v>
      </c>
    </row>
    <row r="207" spans="1:8" x14ac:dyDescent="0.3">
      <c r="A207" s="1">
        <v>45463</v>
      </c>
      <c r="B207" t="s">
        <v>82</v>
      </c>
      <c r="C207" t="s">
        <v>301</v>
      </c>
      <c r="D207" s="1">
        <v>45463</v>
      </c>
      <c r="E207" s="2">
        <v>387.58</v>
      </c>
      <c r="F207" s="2">
        <v>0</v>
      </c>
      <c r="G207" s="2">
        <v>145297.67000000001</v>
      </c>
      <c r="H207" t="s">
        <v>337</v>
      </c>
    </row>
    <row r="208" spans="1:8" x14ac:dyDescent="0.3">
      <c r="A208" s="1">
        <v>45464</v>
      </c>
      <c r="B208" t="s">
        <v>84</v>
      </c>
      <c r="C208" t="s">
        <v>302</v>
      </c>
      <c r="D208" s="1">
        <v>45464</v>
      </c>
      <c r="E208" s="2">
        <v>0</v>
      </c>
      <c r="F208" s="2">
        <v>28677.57</v>
      </c>
      <c r="G208" s="2">
        <v>173975.24</v>
      </c>
      <c r="H208" t="s">
        <v>337</v>
      </c>
    </row>
    <row r="209" spans="1:8" x14ac:dyDescent="0.3">
      <c r="A209" s="1">
        <v>45464</v>
      </c>
      <c r="B209" t="s">
        <v>84</v>
      </c>
      <c r="C209" t="s">
        <v>303</v>
      </c>
      <c r="D209" s="1">
        <v>45464</v>
      </c>
      <c r="E209" s="2">
        <v>0</v>
      </c>
      <c r="F209" s="2">
        <v>39997.5</v>
      </c>
      <c r="G209" s="2">
        <v>213972.74</v>
      </c>
      <c r="H209" t="s">
        <v>337</v>
      </c>
    </row>
    <row r="210" spans="1:8" x14ac:dyDescent="0.3">
      <c r="A210" s="1">
        <v>45464</v>
      </c>
      <c r="B210" t="s">
        <v>82</v>
      </c>
      <c r="C210" t="s">
        <v>304</v>
      </c>
      <c r="D210" s="1">
        <v>45464</v>
      </c>
      <c r="E210" s="2">
        <v>387.58</v>
      </c>
      <c r="F210" s="2">
        <v>0</v>
      </c>
      <c r="G210" s="2">
        <v>213585.16</v>
      </c>
      <c r="H210" t="s">
        <v>337</v>
      </c>
    </row>
    <row r="211" spans="1:8" x14ac:dyDescent="0.3">
      <c r="A211" s="1">
        <v>45464</v>
      </c>
      <c r="B211" t="s">
        <v>305</v>
      </c>
      <c r="C211" t="s">
        <v>306</v>
      </c>
      <c r="D211" s="1">
        <v>45464</v>
      </c>
      <c r="E211" s="2">
        <v>31329</v>
      </c>
      <c r="F211" s="2">
        <v>0</v>
      </c>
      <c r="G211" s="2">
        <v>182256.16</v>
      </c>
      <c r="H211" t="s">
        <v>347</v>
      </c>
    </row>
    <row r="212" spans="1:8" x14ac:dyDescent="0.3">
      <c r="A212" s="1">
        <v>45467</v>
      </c>
      <c r="B212" t="s">
        <v>84</v>
      </c>
      <c r="C212" t="s">
        <v>307</v>
      </c>
      <c r="D212" s="1">
        <v>45467</v>
      </c>
      <c r="E212" s="2">
        <v>0</v>
      </c>
      <c r="F212" s="2">
        <v>19521.12</v>
      </c>
      <c r="G212" s="2">
        <v>201777.28</v>
      </c>
      <c r="H212" t="s">
        <v>337</v>
      </c>
    </row>
    <row r="213" spans="1:8" x14ac:dyDescent="0.3">
      <c r="A213" s="1">
        <v>45467</v>
      </c>
      <c r="B213" t="s">
        <v>84</v>
      </c>
      <c r="C213" t="s">
        <v>308</v>
      </c>
      <c r="D213" s="1">
        <v>45467</v>
      </c>
      <c r="E213" s="2">
        <v>0</v>
      </c>
      <c r="F213" s="2">
        <v>25173.360000000001</v>
      </c>
      <c r="G213" s="2">
        <v>226950.64</v>
      </c>
      <c r="H213" t="s">
        <v>337</v>
      </c>
    </row>
    <row r="214" spans="1:8" x14ac:dyDescent="0.3">
      <c r="A214" s="1">
        <v>45467</v>
      </c>
      <c r="B214" t="s">
        <v>309</v>
      </c>
      <c r="C214" t="s">
        <v>310</v>
      </c>
      <c r="D214" s="1">
        <v>45467</v>
      </c>
      <c r="E214" s="2">
        <v>50000</v>
      </c>
      <c r="F214" s="2">
        <v>0</v>
      </c>
      <c r="G214" s="2">
        <v>176950.64</v>
      </c>
      <c r="H214" t="s">
        <v>51</v>
      </c>
    </row>
    <row r="215" spans="1:8" x14ac:dyDescent="0.3">
      <c r="A215" s="1">
        <v>45467</v>
      </c>
      <c r="B215" t="s">
        <v>82</v>
      </c>
      <c r="C215" t="s">
        <v>311</v>
      </c>
      <c r="D215" s="1">
        <v>45467</v>
      </c>
      <c r="E215" s="2">
        <v>1135.23</v>
      </c>
      <c r="F215" s="2">
        <v>0</v>
      </c>
      <c r="G215" s="2">
        <v>175815.41</v>
      </c>
      <c r="H215" t="s">
        <v>337</v>
      </c>
    </row>
    <row r="216" spans="1:8" x14ac:dyDescent="0.3">
      <c r="A216" s="1">
        <v>45467</v>
      </c>
      <c r="B216" t="s">
        <v>312</v>
      </c>
      <c r="C216" t="s">
        <v>313</v>
      </c>
      <c r="D216" s="1">
        <v>45467</v>
      </c>
      <c r="E216" s="2">
        <v>25000</v>
      </c>
      <c r="F216" s="2">
        <v>0</v>
      </c>
      <c r="G216" s="2">
        <v>150815.41</v>
      </c>
      <c r="H216" t="s">
        <v>51</v>
      </c>
    </row>
    <row r="217" spans="1:8" x14ac:dyDescent="0.3">
      <c r="A217" s="1">
        <v>45468</v>
      </c>
      <c r="B217" t="s">
        <v>84</v>
      </c>
      <c r="C217" t="s">
        <v>314</v>
      </c>
      <c r="D217" s="1">
        <v>45468</v>
      </c>
      <c r="E217" s="2">
        <v>0</v>
      </c>
      <c r="F217" s="2">
        <v>34583.15</v>
      </c>
      <c r="G217" s="2">
        <v>185398.56</v>
      </c>
      <c r="H217" t="s">
        <v>337</v>
      </c>
    </row>
    <row r="218" spans="1:8" x14ac:dyDescent="0.3">
      <c r="A218" s="1">
        <v>45468</v>
      </c>
      <c r="B218" t="s">
        <v>84</v>
      </c>
      <c r="C218" t="s">
        <v>315</v>
      </c>
      <c r="D218" s="1">
        <v>45468</v>
      </c>
      <c r="E218" s="2">
        <v>0</v>
      </c>
      <c r="F218" s="2">
        <v>86730.8</v>
      </c>
      <c r="G218" s="2">
        <v>272129.36</v>
      </c>
      <c r="H218" t="s">
        <v>337</v>
      </c>
    </row>
    <row r="219" spans="1:8" x14ac:dyDescent="0.3">
      <c r="A219" s="1">
        <v>45468</v>
      </c>
      <c r="B219" t="s">
        <v>114</v>
      </c>
      <c r="C219" t="s">
        <v>316</v>
      </c>
      <c r="D219" s="1">
        <v>45468</v>
      </c>
      <c r="E219" s="2">
        <v>10000</v>
      </c>
      <c r="F219" s="2">
        <v>0</v>
      </c>
      <c r="G219" s="2">
        <v>262129.36</v>
      </c>
      <c r="H219" t="s">
        <v>342</v>
      </c>
    </row>
    <row r="220" spans="1:8" x14ac:dyDescent="0.3">
      <c r="A220" s="1">
        <v>45468</v>
      </c>
      <c r="B220" t="s">
        <v>317</v>
      </c>
      <c r="C220" t="s">
        <v>318</v>
      </c>
      <c r="D220" s="1">
        <v>45468</v>
      </c>
      <c r="E220" s="2">
        <v>150000</v>
      </c>
      <c r="F220" s="2">
        <v>0</v>
      </c>
      <c r="G220" s="2">
        <v>112129.36</v>
      </c>
      <c r="H220" t="s">
        <v>52</v>
      </c>
    </row>
    <row r="221" spans="1:8" x14ac:dyDescent="0.3">
      <c r="A221" s="1">
        <v>45468</v>
      </c>
      <c r="B221" t="s">
        <v>82</v>
      </c>
      <c r="C221" t="s">
        <v>319</v>
      </c>
      <c r="D221" s="1">
        <v>45468</v>
      </c>
      <c r="E221" s="2">
        <v>370.62</v>
      </c>
      <c r="F221" s="2">
        <v>0</v>
      </c>
      <c r="G221" s="2">
        <v>111758.74</v>
      </c>
      <c r="H221" t="s">
        <v>337</v>
      </c>
    </row>
    <row r="222" spans="1:8" x14ac:dyDescent="0.3">
      <c r="A222" s="1">
        <v>45468</v>
      </c>
      <c r="B222" t="s">
        <v>320</v>
      </c>
      <c r="C222" t="s">
        <v>321</v>
      </c>
      <c r="D222" s="1">
        <v>45468</v>
      </c>
      <c r="E222" s="2">
        <v>0</v>
      </c>
      <c r="F222" s="2">
        <v>720</v>
      </c>
      <c r="G222" s="2">
        <v>112478.74</v>
      </c>
      <c r="H222" t="s">
        <v>340</v>
      </c>
    </row>
    <row r="223" spans="1:8" x14ac:dyDescent="0.3">
      <c r="A223" s="1">
        <v>45468</v>
      </c>
      <c r="B223" t="s">
        <v>322</v>
      </c>
      <c r="C223" t="s">
        <v>323</v>
      </c>
      <c r="D223" s="1">
        <v>45468</v>
      </c>
      <c r="E223" s="2">
        <v>0</v>
      </c>
      <c r="F223" s="2">
        <v>50</v>
      </c>
      <c r="G223" s="2">
        <v>112528.74</v>
      </c>
      <c r="H223" t="s">
        <v>340</v>
      </c>
    </row>
    <row r="224" spans="1:8" x14ac:dyDescent="0.3">
      <c r="A224" s="1">
        <v>45468</v>
      </c>
      <c r="B224" t="s">
        <v>82</v>
      </c>
      <c r="C224" t="s">
        <v>324</v>
      </c>
      <c r="D224" s="1">
        <v>45468</v>
      </c>
      <c r="E224" s="2">
        <v>31517.3</v>
      </c>
      <c r="F224" s="2">
        <v>0</v>
      </c>
      <c r="G224" s="2">
        <v>81011.44</v>
      </c>
      <c r="H224" t="s">
        <v>337</v>
      </c>
    </row>
    <row r="225" spans="1:8" x14ac:dyDescent="0.3">
      <c r="A225" s="1">
        <v>45469</v>
      </c>
      <c r="B225" t="s">
        <v>84</v>
      </c>
      <c r="C225" t="s">
        <v>325</v>
      </c>
      <c r="D225" s="1">
        <v>45469</v>
      </c>
      <c r="E225" s="2">
        <v>0</v>
      </c>
      <c r="F225" s="2">
        <v>7425.28</v>
      </c>
      <c r="G225" s="2">
        <v>88436.72</v>
      </c>
      <c r="H225" t="s">
        <v>337</v>
      </c>
    </row>
    <row r="226" spans="1:8" x14ac:dyDescent="0.3">
      <c r="A226" s="1">
        <v>45469</v>
      </c>
      <c r="B226" t="s">
        <v>84</v>
      </c>
      <c r="C226" t="s">
        <v>326</v>
      </c>
      <c r="D226" s="1">
        <v>45469</v>
      </c>
      <c r="E226" s="2">
        <v>0</v>
      </c>
      <c r="F226" s="2">
        <v>50389.77</v>
      </c>
      <c r="G226" s="2">
        <v>138826.49</v>
      </c>
      <c r="H226" t="s">
        <v>337</v>
      </c>
    </row>
    <row r="227" spans="1:8" x14ac:dyDescent="0.3">
      <c r="A227" s="1">
        <v>45469</v>
      </c>
      <c r="B227" t="s">
        <v>82</v>
      </c>
      <c r="C227" t="s">
        <v>327</v>
      </c>
      <c r="D227" s="1">
        <v>45469</v>
      </c>
      <c r="E227" s="2">
        <v>340.57</v>
      </c>
      <c r="F227" s="2">
        <v>0</v>
      </c>
      <c r="G227" s="2">
        <v>138485.92000000001</v>
      </c>
      <c r="H227" t="s">
        <v>337</v>
      </c>
    </row>
    <row r="228" spans="1:8" x14ac:dyDescent="0.3">
      <c r="A228" s="1">
        <v>45469</v>
      </c>
      <c r="B228" t="s">
        <v>82</v>
      </c>
      <c r="C228" t="s">
        <v>328</v>
      </c>
      <c r="D228" s="1">
        <v>45469</v>
      </c>
      <c r="E228" s="2">
        <v>5260.5</v>
      </c>
      <c r="F228" s="2">
        <v>0</v>
      </c>
      <c r="G228" s="2">
        <v>133225.42000000001</v>
      </c>
      <c r="H228" t="s">
        <v>337</v>
      </c>
    </row>
    <row r="229" spans="1:8" x14ac:dyDescent="0.3">
      <c r="A229" s="1">
        <v>45470</v>
      </c>
      <c r="B229" t="s">
        <v>82</v>
      </c>
      <c r="C229" t="s">
        <v>329</v>
      </c>
      <c r="D229" s="1">
        <v>45470</v>
      </c>
      <c r="E229" s="2">
        <v>316.83999999999997</v>
      </c>
      <c r="F229" s="2">
        <v>0</v>
      </c>
      <c r="G229" s="2">
        <v>132908.57999999999</v>
      </c>
      <c r="H229" t="s">
        <v>337</v>
      </c>
    </row>
    <row r="230" spans="1:8" x14ac:dyDescent="0.3">
      <c r="A230" s="1">
        <v>45470</v>
      </c>
      <c r="B230" t="s">
        <v>330</v>
      </c>
      <c r="C230" t="s">
        <v>331</v>
      </c>
      <c r="D230" s="1">
        <v>45470</v>
      </c>
      <c r="E230" s="2">
        <v>0</v>
      </c>
      <c r="F230" s="2">
        <v>84.57</v>
      </c>
      <c r="G230" s="2">
        <v>132993.15</v>
      </c>
      <c r="H230" t="s">
        <v>346</v>
      </c>
    </row>
    <row r="231" spans="1:8" x14ac:dyDescent="0.3">
      <c r="A231" s="1">
        <v>45470</v>
      </c>
      <c r="B231" t="s">
        <v>82</v>
      </c>
      <c r="C231" t="s">
        <v>332</v>
      </c>
      <c r="D231" s="1">
        <v>45470</v>
      </c>
      <c r="E231" s="2">
        <v>2666.08</v>
      </c>
      <c r="F231" s="2">
        <v>0</v>
      </c>
      <c r="G231" s="2">
        <v>130327.07</v>
      </c>
      <c r="H231" t="s">
        <v>337</v>
      </c>
    </row>
    <row r="232" spans="1:8" x14ac:dyDescent="0.3">
      <c r="A232" s="1">
        <v>45471</v>
      </c>
      <c r="B232" t="s">
        <v>333</v>
      </c>
      <c r="C232" t="s">
        <v>334</v>
      </c>
      <c r="D232" s="1">
        <v>45471</v>
      </c>
      <c r="E232" s="2">
        <v>0</v>
      </c>
      <c r="F232" s="2">
        <v>1800</v>
      </c>
      <c r="G232" s="2">
        <v>132127.07</v>
      </c>
      <c r="H232" t="s">
        <v>340</v>
      </c>
    </row>
    <row r="233" spans="1:8" x14ac:dyDescent="0.3">
      <c r="A233" s="1">
        <v>45471</v>
      </c>
      <c r="B233" t="s">
        <v>82</v>
      </c>
      <c r="C233" t="s">
        <v>335</v>
      </c>
      <c r="D233" s="1">
        <v>45471</v>
      </c>
      <c r="E233" s="2">
        <v>315.89</v>
      </c>
      <c r="F233" s="2">
        <v>0</v>
      </c>
      <c r="G233" s="2">
        <v>131811.18</v>
      </c>
      <c r="H233" t="s">
        <v>337</v>
      </c>
    </row>
    <row r="234" spans="1:8" x14ac:dyDescent="0.3">
      <c r="A234" s="1">
        <v>45473</v>
      </c>
      <c r="B234" t="s">
        <v>336</v>
      </c>
      <c r="C234" t="s">
        <v>98</v>
      </c>
      <c r="D234" s="1">
        <v>45473</v>
      </c>
      <c r="E234" s="2">
        <v>0</v>
      </c>
      <c r="F234" s="2">
        <v>567</v>
      </c>
      <c r="G234" s="2">
        <v>132378.18</v>
      </c>
      <c r="H234" t="s">
        <v>344</v>
      </c>
    </row>
    <row r="235" spans="1:8" x14ac:dyDescent="0.3">
      <c r="A235" s="1">
        <v>45474</v>
      </c>
      <c r="B235" t="s">
        <v>84</v>
      </c>
      <c r="C235" t="s">
        <v>420</v>
      </c>
      <c r="D235" s="1">
        <v>45474</v>
      </c>
      <c r="E235" s="2">
        <v>0</v>
      </c>
      <c r="F235" s="2">
        <v>29030.37</v>
      </c>
      <c r="G235" s="2">
        <v>161408.54999999999</v>
      </c>
      <c r="H235" t="s">
        <v>337</v>
      </c>
    </row>
    <row r="236" spans="1:8" x14ac:dyDescent="0.3">
      <c r="A236" s="1">
        <v>45474</v>
      </c>
      <c r="B236" t="s">
        <v>82</v>
      </c>
      <c r="C236" t="s">
        <v>421</v>
      </c>
      <c r="D236" s="1">
        <v>45474</v>
      </c>
      <c r="E236" s="2">
        <v>947.67</v>
      </c>
      <c r="F236" s="2">
        <v>0</v>
      </c>
      <c r="G236" s="2">
        <v>160460.88</v>
      </c>
      <c r="H236" t="s">
        <v>337</v>
      </c>
    </row>
    <row r="237" spans="1:8" x14ac:dyDescent="0.3">
      <c r="A237" s="1">
        <v>45474</v>
      </c>
      <c r="B237" t="s">
        <v>422</v>
      </c>
      <c r="C237" t="s">
        <v>423</v>
      </c>
      <c r="D237" s="1">
        <v>45474</v>
      </c>
      <c r="E237" s="2">
        <v>0</v>
      </c>
      <c r="F237" s="2">
        <v>1610</v>
      </c>
      <c r="G237" s="2">
        <v>162070.88</v>
      </c>
      <c r="H237" t="s">
        <v>340</v>
      </c>
    </row>
    <row r="238" spans="1:8" x14ac:dyDescent="0.3">
      <c r="A238" s="1">
        <v>45474</v>
      </c>
      <c r="B238" t="s">
        <v>424</v>
      </c>
      <c r="C238" t="s">
        <v>425</v>
      </c>
      <c r="D238" s="1">
        <v>45474</v>
      </c>
      <c r="E238" s="2">
        <v>0</v>
      </c>
      <c r="F238" s="2">
        <v>2800</v>
      </c>
      <c r="G238" s="2">
        <v>164870.88</v>
      </c>
      <c r="H238" t="s">
        <v>340</v>
      </c>
    </row>
    <row r="239" spans="1:8" x14ac:dyDescent="0.3">
      <c r="A239" s="1">
        <v>45474</v>
      </c>
      <c r="B239" t="s">
        <v>426</v>
      </c>
      <c r="C239" t="s">
        <v>427</v>
      </c>
      <c r="D239" s="1">
        <v>45474</v>
      </c>
      <c r="E239" s="2">
        <v>5000</v>
      </c>
      <c r="F239" s="2">
        <v>0</v>
      </c>
      <c r="G239" s="2">
        <v>159870.88</v>
      </c>
      <c r="H239" t="s">
        <v>50</v>
      </c>
    </row>
    <row r="240" spans="1:8" x14ac:dyDescent="0.3">
      <c r="A240" s="1">
        <v>45475</v>
      </c>
      <c r="B240" t="s">
        <v>84</v>
      </c>
      <c r="C240" t="s">
        <v>428</v>
      </c>
      <c r="D240" s="1">
        <v>45475</v>
      </c>
      <c r="E240" s="2">
        <v>0</v>
      </c>
      <c r="F240" s="2">
        <v>11268.65</v>
      </c>
      <c r="G240" s="2">
        <v>171139.53</v>
      </c>
      <c r="H240" t="s">
        <v>337</v>
      </c>
    </row>
    <row r="241" spans="1:8" x14ac:dyDescent="0.3">
      <c r="A241" s="1">
        <v>45475</v>
      </c>
      <c r="B241" t="s">
        <v>82</v>
      </c>
      <c r="C241" t="s">
        <v>429</v>
      </c>
      <c r="D241" s="1">
        <v>45475</v>
      </c>
      <c r="E241" s="2">
        <v>306</v>
      </c>
      <c r="F241" s="2">
        <v>0</v>
      </c>
      <c r="G241" s="2">
        <v>170833.53</v>
      </c>
      <c r="H241" t="s">
        <v>337</v>
      </c>
    </row>
    <row r="242" spans="1:8" x14ac:dyDescent="0.3">
      <c r="A242" s="1">
        <v>45475</v>
      </c>
      <c r="B242" t="s">
        <v>82</v>
      </c>
      <c r="C242" t="s">
        <v>430</v>
      </c>
      <c r="D242" s="1">
        <v>45475</v>
      </c>
      <c r="E242" s="2">
        <v>49494.48</v>
      </c>
      <c r="F242" s="2">
        <v>0</v>
      </c>
      <c r="G242" s="2">
        <v>121339.05</v>
      </c>
      <c r="H242" t="s">
        <v>337</v>
      </c>
    </row>
    <row r="243" spans="1:8" x14ac:dyDescent="0.3">
      <c r="A243" s="1">
        <v>45476</v>
      </c>
      <c r="B243" t="s">
        <v>82</v>
      </c>
      <c r="C243" t="s">
        <v>431</v>
      </c>
      <c r="D243" s="1">
        <v>45476</v>
      </c>
      <c r="E243" s="2">
        <v>283.44</v>
      </c>
      <c r="F243" s="2">
        <v>0</v>
      </c>
      <c r="G243" s="2">
        <v>121055.61</v>
      </c>
      <c r="H243" t="s">
        <v>337</v>
      </c>
    </row>
    <row r="244" spans="1:8" x14ac:dyDescent="0.3">
      <c r="A244" s="1">
        <v>45477</v>
      </c>
      <c r="B244" t="s">
        <v>84</v>
      </c>
      <c r="C244" t="s">
        <v>432</v>
      </c>
      <c r="D244" s="1">
        <v>45477</v>
      </c>
      <c r="E244" s="2">
        <v>0</v>
      </c>
      <c r="F244" s="2">
        <v>4094.42</v>
      </c>
      <c r="G244" s="2">
        <v>125150.03</v>
      </c>
      <c r="H244" t="s">
        <v>337</v>
      </c>
    </row>
    <row r="245" spans="1:8" x14ac:dyDescent="0.3">
      <c r="A245" s="1">
        <v>45477</v>
      </c>
      <c r="B245" t="s">
        <v>433</v>
      </c>
      <c r="C245" t="s">
        <v>434</v>
      </c>
      <c r="D245" s="1">
        <v>45477</v>
      </c>
      <c r="E245" s="2">
        <v>0</v>
      </c>
      <c r="F245" s="2">
        <v>210</v>
      </c>
      <c r="G245" s="2">
        <v>125360.03</v>
      </c>
      <c r="H245" t="s">
        <v>340</v>
      </c>
    </row>
    <row r="246" spans="1:8" x14ac:dyDescent="0.3">
      <c r="A246" s="1">
        <v>45477</v>
      </c>
      <c r="B246" t="s">
        <v>82</v>
      </c>
      <c r="C246" t="s">
        <v>435</v>
      </c>
      <c r="D246" s="1">
        <v>45477</v>
      </c>
      <c r="E246" s="2">
        <v>322.26</v>
      </c>
      <c r="F246" s="2">
        <v>0</v>
      </c>
      <c r="G246" s="2">
        <v>125037.77</v>
      </c>
      <c r="H246" t="s">
        <v>337</v>
      </c>
    </row>
    <row r="247" spans="1:8" x14ac:dyDescent="0.3">
      <c r="A247" s="1">
        <v>45477</v>
      </c>
      <c r="B247" t="s">
        <v>82</v>
      </c>
      <c r="C247" t="s">
        <v>436</v>
      </c>
      <c r="D247" s="1">
        <v>45477</v>
      </c>
      <c r="E247" s="2">
        <v>3478.18</v>
      </c>
      <c r="F247" s="2">
        <v>0</v>
      </c>
      <c r="G247" s="2">
        <v>121559.59</v>
      </c>
      <c r="H247" t="s">
        <v>337</v>
      </c>
    </row>
    <row r="248" spans="1:8" x14ac:dyDescent="0.3">
      <c r="A248" s="1">
        <v>45478</v>
      </c>
      <c r="B248" t="s">
        <v>82</v>
      </c>
      <c r="C248" t="s">
        <v>437</v>
      </c>
      <c r="D248" s="1">
        <v>45478</v>
      </c>
      <c r="E248" s="2">
        <v>322.48</v>
      </c>
      <c r="F248" s="2">
        <v>0</v>
      </c>
      <c r="G248" s="2">
        <v>121237.11</v>
      </c>
      <c r="H248" t="s">
        <v>337</v>
      </c>
    </row>
    <row r="249" spans="1:8" x14ac:dyDescent="0.3">
      <c r="A249" s="1">
        <v>45478</v>
      </c>
      <c r="B249" t="s">
        <v>438</v>
      </c>
      <c r="C249" t="s">
        <v>439</v>
      </c>
      <c r="D249" s="1">
        <v>45478</v>
      </c>
      <c r="E249" s="2">
        <v>0</v>
      </c>
      <c r="F249" s="2">
        <v>29757</v>
      </c>
      <c r="G249" s="2">
        <v>150994.10999999999</v>
      </c>
      <c r="H249" t="s">
        <v>345</v>
      </c>
    </row>
    <row r="250" spans="1:8" x14ac:dyDescent="0.3">
      <c r="A250" s="1">
        <v>45478</v>
      </c>
      <c r="B250" t="s">
        <v>440</v>
      </c>
      <c r="C250" t="s">
        <v>441</v>
      </c>
      <c r="D250" s="1">
        <v>45478</v>
      </c>
      <c r="E250" s="2">
        <v>0</v>
      </c>
      <c r="F250" s="2">
        <v>31329</v>
      </c>
      <c r="G250" s="2">
        <v>182323.11</v>
      </c>
      <c r="H250" t="s">
        <v>345</v>
      </c>
    </row>
    <row r="251" spans="1:8" x14ac:dyDescent="0.3">
      <c r="A251" s="1">
        <v>45478</v>
      </c>
      <c r="B251" t="s">
        <v>82</v>
      </c>
      <c r="C251" t="s">
        <v>442</v>
      </c>
      <c r="D251" s="1">
        <v>45478</v>
      </c>
      <c r="E251" s="2">
        <v>77779.539999999994</v>
      </c>
      <c r="F251" s="2">
        <v>0</v>
      </c>
      <c r="G251" s="2">
        <v>104543.57</v>
      </c>
      <c r="H251" t="s">
        <v>337</v>
      </c>
    </row>
    <row r="252" spans="1:8" x14ac:dyDescent="0.3">
      <c r="A252" s="1">
        <v>45481</v>
      </c>
      <c r="B252" t="s">
        <v>82</v>
      </c>
      <c r="C252" t="s">
        <v>443</v>
      </c>
      <c r="D252" s="1">
        <v>45481</v>
      </c>
      <c r="E252" s="2">
        <v>884.31</v>
      </c>
      <c r="F252" s="2">
        <v>0</v>
      </c>
      <c r="G252" s="2">
        <v>103659.26</v>
      </c>
      <c r="H252" t="s">
        <v>337</v>
      </c>
    </row>
    <row r="253" spans="1:8" x14ac:dyDescent="0.3">
      <c r="A253" s="1">
        <v>45482</v>
      </c>
      <c r="B253" t="s">
        <v>84</v>
      </c>
      <c r="C253" t="s">
        <v>444</v>
      </c>
      <c r="D253" s="1">
        <v>45482</v>
      </c>
      <c r="E253" s="2">
        <v>0</v>
      </c>
      <c r="F253" s="2">
        <v>105064.81</v>
      </c>
      <c r="G253" s="2">
        <v>208724.07</v>
      </c>
      <c r="H253" t="s">
        <v>337</v>
      </c>
    </row>
    <row r="254" spans="1:8" x14ac:dyDescent="0.3">
      <c r="A254" s="1">
        <v>45482</v>
      </c>
      <c r="B254" t="s">
        <v>82</v>
      </c>
      <c r="C254" t="s">
        <v>445</v>
      </c>
      <c r="D254" s="1">
        <v>45482</v>
      </c>
      <c r="E254" s="2">
        <v>366.05</v>
      </c>
      <c r="F254" s="2">
        <v>0</v>
      </c>
      <c r="G254" s="2">
        <v>208358.02</v>
      </c>
      <c r="H254" t="s">
        <v>337</v>
      </c>
    </row>
    <row r="255" spans="1:8" x14ac:dyDescent="0.3">
      <c r="A255" s="1">
        <v>45482</v>
      </c>
      <c r="B255" t="s">
        <v>82</v>
      </c>
      <c r="C255" t="s">
        <v>446</v>
      </c>
      <c r="D255" s="1">
        <v>45482</v>
      </c>
      <c r="E255" s="2">
        <v>26096.89</v>
      </c>
      <c r="F255" s="2">
        <v>0</v>
      </c>
      <c r="G255" s="2">
        <v>182261.13</v>
      </c>
      <c r="H255" t="s">
        <v>337</v>
      </c>
    </row>
    <row r="256" spans="1:8" x14ac:dyDescent="0.3">
      <c r="A256" s="1">
        <v>45483</v>
      </c>
      <c r="B256" t="s">
        <v>82</v>
      </c>
      <c r="C256" t="s">
        <v>447</v>
      </c>
      <c r="D256" s="1">
        <v>45483</v>
      </c>
      <c r="E256" s="2">
        <v>314.45999999999998</v>
      </c>
      <c r="F256" s="2">
        <v>0</v>
      </c>
      <c r="G256" s="2">
        <v>181946.67</v>
      </c>
      <c r="H256" t="s">
        <v>337</v>
      </c>
    </row>
    <row r="257" spans="1:8" x14ac:dyDescent="0.3">
      <c r="A257" s="1">
        <v>45483</v>
      </c>
      <c r="B257" t="s">
        <v>448</v>
      </c>
      <c r="C257" t="s">
        <v>449</v>
      </c>
      <c r="D257" s="1">
        <v>45483</v>
      </c>
      <c r="E257" s="2">
        <v>849</v>
      </c>
      <c r="F257" s="2">
        <v>0</v>
      </c>
      <c r="G257" s="2">
        <v>181097.67</v>
      </c>
      <c r="H257" t="s">
        <v>1314</v>
      </c>
    </row>
    <row r="258" spans="1:8" x14ac:dyDescent="0.3">
      <c r="A258" s="1">
        <v>45484</v>
      </c>
      <c r="B258" t="s">
        <v>84</v>
      </c>
      <c r="C258" t="s">
        <v>450</v>
      </c>
      <c r="D258" s="1">
        <v>45484</v>
      </c>
      <c r="E258" s="2">
        <v>0</v>
      </c>
      <c r="F258" s="2">
        <v>32435.39</v>
      </c>
      <c r="G258" s="2">
        <v>213533.06</v>
      </c>
      <c r="H258" t="s">
        <v>337</v>
      </c>
    </row>
    <row r="259" spans="1:8" x14ac:dyDescent="0.3">
      <c r="A259" s="1">
        <v>45484</v>
      </c>
      <c r="B259" t="s">
        <v>84</v>
      </c>
      <c r="C259" t="s">
        <v>451</v>
      </c>
      <c r="D259" s="1">
        <v>45484</v>
      </c>
      <c r="E259" s="2">
        <v>0</v>
      </c>
      <c r="F259" s="2">
        <v>42358.74</v>
      </c>
      <c r="G259" s="2">
        <v>255891.8</v>
      </c>
      <c r="H259" t="s">
        <v>337</v>
      </c>
    </row>
    <row r="260" spans="1:8" x14ac:dyDescent="0.3">
      <c r="A260" s="1">
        <v>45484</v>
      </c>
      <c r="B260" t="s">
        <v>82</v>
      </c>
      <c r="C260" t="s">
        <v>452</v>
      </c>
      <c r="D260" s="1">
        <v>45484</v>
      </c>
      <c r="E260" s="2">
        <v>347.36</v>
      </c>
      <c r="F260" s="2">
        <v>0</v>
      </c>
      <c r="G260" s="2">
        <v>255544.44</v>
      </c>
      <c r="H260" t="s">
        <v>337</v>
      </c>
    </row>
    <row r="261" spans="1:8" x14ac:dyDescent="0.3">
      <c r="A261" s="1">
        <v>45484</v>
      </c>
      <c r="B261" t="s">
        <v>82</v>
      </c>
      <c r="C261" t="s">
        <v>453</v>
      </c>
      <c r="D261" s="1">
        <v>45484</v>
      </c>
      <c r="E261" s="2">
        <v>226741.8</v>
      </c>
      <c r="F261" s="2">
        <v>0</v>
      </c>
      <c r="G261" s="2">
        <v>28802.639999999999</v>
      </c>
      <c r="H261" t="s">
        <v>337</v>
      </c>
    </row>
    <row r="262" spans="1:8" x14ac:dyDescent="0.3">
      <c r="A262" s="1">
        <v>45485</v>
      </c>
      <c r="B262" t="s">
        <v>82</v>
      </c>
      <c r="C262" t="s">
        <v>454</v>
      </c>
      <c r="D262" s="1">
        <v>45485</v>
      </c>
      <c r="E262" s="2">
        <v>258.48</v>
      </c>
      <c r="F262" s="2">
        <v>0</v>
      </c>
      <c r="G262" s="2">
        <v>28544.16</v>
      </c>
      <c r="H262" t="s">
        <v>337</v>
      </c>
    </row>
    <row r="263" spans="1:8" x14ac:dyDescent="0.3">
      <c r="A263" s="1">
        <v>45488</v>
      </c>
      <c r="B263" t="s">
        <v>84</v>
      </c>
      <c r="C263" t="s">
        <v>455</v>
      </c>
      <c r="D263" s="1">
        <v>45488</v>
      </c>
      <c r="E263" s="2">
        <v>0</v>
      </c>
      <c r="F263" s="2">
        <v>70547.13</v>
      </c>
      <c r="G263" s="2">
        <v>99091.29</v>
      </c>
      <c r="H263" t="s">
        <v>337</v>
      </c>
    </row>
    <row r="264" spans="1:8" x14ac:dyDescent="0.3">
      <c r="A264" s="1">
        <v>45488</v>
      </c>
      <c r="B264" t="s">
        <v>114</v>
      </c>
      <c r="C264" t="s">
        <v>456</v>
      </c>
      <c r="D264" s="1">
        <v>45488</v>
      </c>
      <c r="E264" s="2">
        <v>5000</v>
      </c>
      <c r="F264" s="2">
        <v>0</v>
      </c>
      <c r="G264" s="2">
        <v>94091.29</v>
      </c>
      <c r="H264" t="s">
        <v>341</v>
      </c>
    </row>
    <row r="265" spans="1:8" x14ac:dyDescent="0.3">
      <c r="A265" s="1">
        <v>45488</v>
      </c>
      <c r="B265" t="s">
        <v>82</v>
      </c>
      <c r="C265" t="s">
        <v>457</v>
      </c>
      <c r="D265" s="1">
        <v>45488</v>
      </c>
      <c r="E265" s="2">
        <v>1146.24</v>
      </c>
      <c r="F265" s="2">
        <v>0</v>
      </c>
      <c r="G265" s="2">
        <v>92945.05</v>
      </c>
      <c r="H265" t="s">
        <v>337</v>
      </c>
    </row>
    <row r="266" spans="1:8" x14ac:dyDescent="0.3">
      <c r="A266" s="1">
        <v>45488</v>
      </c>
      <c r="B266" t="s">
        <v>82</v>
      </c>
      <c r="C266" t="s">
        <v>458</v>
      </c>
      <c r="D266" s="1">
        <v>45488</v>
      </c>
      <c r="E266" s="2">
        <v>4746.7299999999996</v>
      </c>
      <c r="F266" s="2">
        <v>0</v>
      </c>
      <c r="G266" s="2">
        <v>88198.32</v>
      </c>
      <c r="H266" t="s">
        <v>337</v>
      </c>
    </row>
    <row r="267" spans="1:8" x14ac:dyDescent="0.3">
      <c r="A267" s="1">
        <v>45489</v>
      </c>
      <c r="B267" t="s">
        <v>84</v>
      </c>
      <c r="C267" t="s">
        <v>459</v>
      </c>
      <c r="D267" s="1">
        <v>45489</v>
      </c>
      <c r="E267" s="2">
        <v>0</v>
      </c>
      <c r="F267" s="2">
        <v>37095.78</v>
      </c>
      <c r="G267" s="2">
        <v>125294.1</v>
      </c>
      <c r="H267" t="s">
        <v>337</v>
      </c>
    </row>
    <row r="268" spans="1:8" x14ac:dyDescent="0.3">
      <c r="A268" s="1">
        <v>45489</v>
      </c>
      <c r="B268" t="s">
        <v>82</v>
      </c>
      <c r="C268" t="s">
        <v>460</v>
      </c>
      <c r="D268" s="1">
        <v>45489</v>
      </c>
      <c r="E268" s="2">
        <v>353.43</v>
      </c>
      <c r="F268" s="2">
        <v>0</v>
      </c>
      <c r="G268" s="2">
        <v>124940.67</v>
      </c>
      <c r="H268" t="s">
        <v>337</v>
      </c>
    </row>
    <row r="269" spans="1:8" x14ac:dyDescent="0.3">
      <c r="A269" s="1">
        <v>45489</v>
      </c>
      <c r="B269" t="s">
        <v>461</v>
      </c>
      <c r="C269" t="s">
        <v>98</v>
      </c>
      <c r="D269" s="1">
        <v>45489</v>
      </c>
      <c r="E269" s="2">
        <v>2017.8</v>
      </c>
      <c r="F269" s="2">
        <v>0</v>
      </c>
      <c r="G269" s="2">
        <v>122922.87</v>
      </c>
      <c r="H269" t="s">
        <v>343</v>
      </c>
    </row>
    <row r="270" spans="1:8" x14ac:dyDescent="0.3">
      <c r="A270" s="1">
        <v>45489</v>
      </c>
      <c r="B270" t="s">
        <v>82</v>
      </c>
      <c r="C270" t="s">
        <v>462</v>
      </c>
      <c r="D270" s="1">
        <v>45489</v>
      </c>
      <c r="E270" s="2">
        <v>64797.19</v>
      </c>
      <c r="F270" s="2">
        <v>0</v>
      </c>
      <c r="G270" s="2">
        <v>58125.68</v>
      </c>
      <c r="H270" t="s">
        <v>337</v>
      </c>
    </row>
    <row r="271" spans="1:8" x14ac:dyDescent="0.3">
      <c r="A271" s="1">
        <v>45491</v>
      </c>
      <c r="B271" t="s">
        <v>84</v>
      </c>
      <c r="C271" t="s">
        <v>463</v>
      </c>
      <c r="D271" s="1">
        <v>45491</v>
      </c>
      <c r="E271" s="2">
        <v>0</v>
      </c>
      <c r="F271" s="2">
        <v>2706.67</v>
      </c>
      <c r="G271" s="2">
        <v>60832.35</v>
      </c>
      <c r="H271" t="s">
        <v>337</v>
      </c>
    </row>
    <row r="272" spans="1:8" x14ac:dyDescent="0.3">
      <c r="A272" s="1">
        <v>45491</v>
      </c>
      <c r="B272" t="s">
        <v>84</v>
      </c>
      <c r="C272" t="s">
        <v>464</v>
      </c>
      <c r="D272" s="1">
        <v>45491</v>
      </c>
      <c r="E272" s="2">
        <v>0</v>
      </c>
      <c r="F272" s="2">
        <v>103150.07</v>
      </c>
      <c r="G272" s="2">
        <v>163982.42000000001</v>
      </c>
      <c r="H272" t="s">
        <v>337</v>
      </c>
    </row>
    <row r="273" spans="1:8" x14ac:dyDescent="0.3">
      <c r="A273" s="1">
        <v>45491</v>
      </c>
      <c r="B273" t="s">
        <v>82</v>
      </c>
      <c r="C273" t="s">
        <v>465</v>
      </c>
      <c r="D273" s="1">
        <v>45491</v>
      </c>
      <c r="E273" s="2">
        <v>660.7</v>
      </c>
      <c r="F273" s="2">
        <v>0</v>
      </c>
      <c r="G273" s="2">
        <v>163321.72</v>
      </c>
      <c r="H273" t="s">
        <v>337</v>
      </c>
    </row>
    <row r="274" spans="1:8" x14ac:dyDescent="0.3">
      <c r="A274" s="1">
        <v>45491</v>
      </c>
      <c r="B274" t="s">
        <v>82</v>
      </c>
      <c r="C274" t="s">
        <v>466</v>
      </c>
      <c r="D274" s="1">
        <v>45491</v>
      </c>
      <c r="E274" s="2">
        <v>11607.97</v>
      </c>
      <c r="F274" s="2">
        <v>0</v>
      </c>
      <c r="G274" s="2">
        <v>151713.75</v>
      </c>
      <c r="H274" t="s">
        <v>337</v>
      </c>
    </row>
    <row r="275" spans="1:8" x14ac:dyDescent="0.3">
      <c r="A275" s="1">
        <v>45492</v>
      </c>
      <c r="B275" t="s">
        <v>82</v>
      </c>
      <c r="C275" t="s">
        <v>467</v>
      </c>
      <c r="D275" s="1">
        <v>45492</v>
      </c>
      <c r="E275" s="2">
        <v>307.64999999999998</v>
      </c>
      <c r="F275" s="2">
        <v>0</v>
      </c>
      <c r="G275" s="2">
        <v>151406.1</v>
      </c>
      <c r="H275" t="s">
        <v>337</v>
      </c>
    </row>
    <row r="276" spans="1:8" x14ac:dyDescent="0.3">
      <c r="A276" s="1">
        <v>45492</v>
      </c>
      <c r="B276" t="s">
        <v>468</v>
      </c>
      <c r="C276" t="s">
        <v>469</v>
      </c>
      <c r="D276" s="1">
        <v>45492</v>
      </c>
      <c r="E276" s="2">
        <v>0</v>
      </c>
      <c r="F276" s="2">
        <v>330</v>
      </c>
      <c r="G276" s="2">
        <v>151736.1</v>
      </c>
      <c r="H276" t="s">
        <v>340</v>
      </c>
    </row>
    <row r="277" spans="1:8" x14ac:dyDescent="0.3">
      <c r="A277" s="1">
        <v>45493</v>
      </c>
      <c r="B277" t="s">
        <v>82</v>
      </c>
      <c r="C277" t="s">
        <v>470</v>
      </c>
      <c r="D277" s="1">
        <v>45493</v>
      </c>
      <c r="E277" s="2">
        <v>23844.720000000001</v>
      </c>
      <c r="F277" s="2">
        <v>0</v>
      </c>
      <c r="G277" s="2">
        <v>127891.38</v>
      </c>
      <c r="H277" t="s">
        <v>337</v>
      </c>
    </row>
    <row r="278" spans="1:8" x14ac:dyDescent="0.3">
      <c r="A278" s="1">
        <v>45495</v>
      </c>
      <c r="B278" t="s">
        <v>471</v>
      </c>
      <c r="C278" t="s">
        <v>472</v>
      </c>
      <c r="D278" s="1">
        <v>45495</v>
      </c>
      <c r="E278" s="2">
        <v>10000</v>
      </c>
      <c r="F278" s="2">
        <v>0</v>
      </c>
      <c r="G278" s="2">
        <v>117891.38</v>
      </c>
      <c r="H278" t="s">
        <v>1315</v>
      </c>
    </row>
    <row r="279" spans="1:8" x14ac:dyDescent="0.3">
      <c r="A279" s="1">
        <v>45495</v>
      </c>
      <c r="B279" t="s">
        <v>82</v>
      </c>
      <c r="C279" t="s">
        <v>473</v>
      </c>
      <c r="D279" s="1">
        <v>45495</v>
      </c>
      <c r="E279" s="2">
        <v>897.45</v>
      </c>
      <c r="F279" s="2">
        <v>0</v>
      </c>
      <c r="G279" s="2">
        <v>116993.93</v>
      </c>
      <c r="H279" t="s">
        <v>337</v>
      </c>
    </row>
    <row r="280" spans="1:8" x14ac:dyDescent="0.3">
      <c r="A280" s="1">
        <v>45496</v>
      </c>
      <c r="B280" t="s">
        <v>84</v>
      </c>
      <c r="C280" t="s">
        <v>474</v>
      </c>
      <c r="D280" s="1">
        <v>45496</v>
      </c>
      <c r="E280" s="2">
        <v>0</v>
      </c>
      <c r="F280" s="2">
        <v>14093.07</v>
      </c>
      <c r="G280" s="2">
        <v>131087</v>
      </c>
      <c r="H280" t="s">
        <v>337</v>
      </c>
    </row>
    <row r="281" spans="1:8" x14ac:dyDescent="0.3">
      <c r="A281" s="1">
        <v>45496</v>
      </c>
      <c r="B281" t="s">
        <v>82</v>
      </c>
      <c r="C281" t="s">
        <v>475</v>
      </c>
      <c r="D281" s="1">
        <v>45496</v>
      </c>
      <c r="E281" s="2">
        <v>299.14999999999998</v>
      </c>
      <c r="F281" s="2">
        <v>0</v>
      </c>
      <c r="G281" s="2">
        <v>130787.85</v>
      </c>
      <c r="H281" t="s">
        <v>337</v>
      </c>
    </row>
    <row r="282" spans="1:8" x14ac:dyDescent="0.3">
      <c r="A282" s="1">
        <v>45496</v>
      </c>
      <c r="B282" t="s">
        <v>82</v>
      </c>
      <c r="C282" t="s">
        <v>476</v>
      </c>
      <c r="D282" s="1">
        <v>45496</v>
      </c>
      <c r="E282" s="2">
        <v>9363.3799999999992</v>
      </c>
      <c r="F282" s="2">
        <v>0</v>
      </c>
      <c r="G282" s="2">
        <v>121424.47</v>
      </c>
      <c r="H282" t="s">
        <v>337</v>
      </c>
    </row>
    <row r="283" spans="1:8" x14ac:dyDescent="0.3">
      <c r="A283" s="1">
        <v>45497</v>
      </c>
      <c r="B283" t="s">
        <v>82</v>
      </c>
      <c r="C283" t="s">
        <v>477</v>
      </c>
      <c r="D283" s="1">
        <v>45497</v>
      </c>
      <c r="E283" s="2">
        <v>300.83999999999997</v>
      </c>
      <c r="F283" s="2">
        <v>0</v>
      </c>
      <c r="G283" s="2">
        <v>121123.63</v>
      </c>
      <c r="H283" t="s">
        <v>337</v>
      </c>
    </row>
    <row r="284" spans="1:8" x14ac:dyDescent="0.3">
      <c r="A284" s="1">
        <v>45497</v>
      </c>
      <c r="B284" t="s">
        <v>478</v>
      </c>
      <c r="C284" t="s">
        <v>479</v>
      </c>
      <c r="D284" s="1">
        <v>45497</v>
      </c>
      <c r="E284" s="2">
        <v>0</v>
      </c>
      <c r="F284" s="2">
        <v>2380</v>
      </c>
      <c r="G284" s="2">
        <v>123503.63</v>
      </c>
      <c r="H284" t="s">
        <v>345</v>
      </c>
    </row>
    <row r="285" spans="1:8" x14ac:dyDescent="0.3">
      <c r="A285" s="1">
        <v>45497</v>
      </c>
      <c r="B285" t="s">
        <v>480</v>
      </c>
      <c r="C285" t="s">
        <v>481</v>
      </c>
      <c r="D285" s="1">
        <v>45497</v>
      </c>
      <c r="E285" s="2">
        <v>0</v>
      </c>
      <c r="F285" s="2">
        <v>828</v>
      </c>
      <c r="G285" s="2">
        <v>124331.63</v>
      </c>
      <c r="H285" t="s">
        <v>340</v>
      </c>
    </row>
    <row r="286" spans="1:8" x14ac:dyDescent="0.3">
      <c r="A286" s="1">
        <v>45498</v>
      </c>
      <c r="B286" t="s">
        <v>84</v>
      </c>
      <c r="C286" t="s">
        <v>482</v>
      </c>
      <c r="D286" s="1">
        <v>45498</v>
      </c>
      <c r="E286" s="2">
        <v>0</v>
      </c>
      <c r="F286" s="2">
        <v>1781.86</v>
      </c>
      <c r="G286" s="2">
        <v>126113.49</v>
      </c>
      <c r="H286" t="s">
        <v>337</v>
      </c>
    </row>
    <row r="287" spans="1:8" x14ac:dyDescent="0.3">
      <c r="A287" s="1">
        <v>45498</v>
      </c>
      <c r="B287" t="s">
        <v>114</v>
      </c>
      <c r="C287" t="s">
        <v>483</v>
      </c>
      <c r="D287" s="1">
        <v>45498</v>
      </c>
      <c r="E287" s="2">
        <v>10000</v>
      </c>
      <c r="F287" s="2">
        <v>0</v>
      </c>
      <c r="G287" s="2">
        <v>116113.49</v>
      </c>
      <c r="H287" t="s">
        <v>342</v>
      </c>
    </row>
    <row r="288" spans="1:8" x14ac:dyDescent="0.3">
      <c r="A288" s="1">
        <v>45498</v>
      </c>
      <c r="B288" t="s">
        <v>82</v>
      </c>
      <c r="C288" t="s">
        <v>484</v>
      </c>
      <c r="D288" s="1">
        <v>45498</v>
      </c>
      <c r="E288" s="2">
        <v>300.83999999999997</v>
      </c>
      <c r="F288" s="2">
        <v>0</v>
      </c>
      <c r="G288" s="2">
        <v>115812.65</v>
      </c>
      <c r="H288" t="s">
        <v>337</v>
      </c>
    </row>
    <row r="289" spans="1:8" x14ac:dyDescent="0.3">
      <c r="A289" s="1">
        <v>45498</v>
      </c>
      <c r="B289" t="s">
        <v>485</v>
      </c>
      <c r="C289" t="s">
        <v>486</v>
      </c>
      <c r="D289" s="1">
        <v>45498</v>
      </c>
      <c r="E289" s="2">
        <v>0</v>
      </c>
      <c r="F289" s="2">
        <v>550</v>
      </c>
      <c r="G289" s="2">
        <v>116362.65</v>
      </c>
      <c r="H289" t="s">
        <v>340</v>
      </c>
    </row>
    <row r="290" spans="1:8" x14ac:dyDescent="0.3">
      <c r="A290" s="1">
        <v>45498</v>
      </c>
      <c r="B290" t="s">
        <v>487</v>
      </c>
      <c r="C290" t="s">
        <v>488</v>
      </c>
      <c r="D290" s="1">
        <v>45498</v>
      </c>
      <c r="E290" s="2">
        <v>0</v>
      </c>
      <c r="F290" s="2">
        <v>35</v>
      </c>
      <c r="G290" s="2">
        <v>116397.65</v>
      </c>
      <c r="H290" t="s">
        <v>340</v>
      </c>
    </row>
    <row r="291" spans="1:8" x14ac:dyDescent="0.3">
      <c r="A291" s="1">
        <v>45498</v>
      </c>
      <c r="B291" t="s">
        <v>489</v>
      </c>
      <c r="C291" t="s">
        <v>490</v>
      </c>
      <c r="D291" s="1">
        <v>45498</v>
      </c>
      <c r="E291" s="2">
        <v>21546</v>
      </c>
      <c r="F291" s="2">
        <v>0</v>
      </c>
      <c r="G291" s="2">
        <v>94851.65</v>
      </c>
      <c r="H291" t="s">
        <v>347</v>
      </c>
    </row>
    <row r="292" spans="1:8" x14ac:dyDescent="0.3">
      <c r="A292" s="1">
        <v>45498</v>
      </c>
      <c r="B292" t="s">
        <v>82</v>
      </c>
      <c r="C292" t="s">
        <v>491</v>
      </c>
      <c r="D292" s="1">
        <v>45498</v>
      </c>
      <c r="E292" s="2">
        <v>9542.0300000000007</v>
      </c>
      <c r="F292" s="2">
        <v>0</v>
      </c>
      <c r="G292" s="2">
        <v>85309.62</v>
      </c>
      <c r="H292" t="s">
        <v>337</v>
      </c>
    </row>
    <row r="293" spans="1:8" x14ac:dyDescent="0.3">
      <c r="A293" s="1">
        <v>45499</v>
      </c>
      <c r="B293" t="s">
        <v>82</v>
      </c>
      <c r="C293" t="s">
        <v>492</v>
      </c>
      <c r="D293" s="1">
        <v>45499</v>
      </c>
      <c r="E293" s="2">
        <v>298.07</v>
      </c>
      <c r="F293" s="2">
        <v>0</v>
      </c>
      <c r="G293" s="2">
        <v>85011.55</v>
      </c>
      <c r="H293" t="s">
        <v>337</v>
      </c>
    </row>
    <row r="294" spans="1:8" x14ac:dyDescent="0.3">
      <c r="A294" s="1">
        <v>45502</v>
      </c>
      <c r="B294" t="s">
        <v>84</v>
      </c>
      <c r="C294" t="s">
        <v>493</v>
      </c>
      <c r="D294" s="1">
        <v>45502</v>
      </c>
      <c r="E294" s="2">
        <v>0</v>
      </c>
      <c r="F294" s="2">
        <v>6065.09</v>
      </c>
      <c r="G294" s="2">
        <v>91076.64</v>
      </c>
      <c r="H294" t="s">
        <v>337</v>
      </c>
    </row>
    <row r="295" spans="1:8" x14ac:dyDescent="0.3">
      <c r="A295" s="1">
        <v>45502</v>
      </c>
      <c r="B295" t="s">
        <v>82</v>
      </c>
      <c r="C295" t="s">
        <v>494</v>
      </c>
      <c r="D295" s="1">
        <v>45502</v>
      </c>
      <c r="E295" s="2">
        <v>894.21</v>
      </c>
      <c r="F295" s="2">
        <v>0</v>
      </c>
      <c r="G295" s="2">
        <v>90182.43</v>
      </c>
      <c r="H295" t="s">
        <v>337</v>
      </c>
    </row>
    <row r="296" spans="1:8" x14ac:dyDescent="0.3">
      <c r="A296" s="1">
        <v>45502</v>
      </c>
      <c r="B296" t="s">
        <v>495</v>
      </c>
      <c r="C296" t="s">
        <v>496</v>
      </c>
      <c r="D296" s="1">
        <v>45502</v>
      </c>
      <c r="E296" s="2">
        <v>0</v>
      </c>
      <c r="F296" s="2">
        <v>825</v>
      </c>
      <c r="G296" s="2">
        <v>91007.43</v>
      </c>
      <c r="H296" t="s">
        <v>340</v>
      </c>
    </row>
    <row r="297" spans="1:8" x14ac:dyDescent="0.3">
      <c r="A297" s="1">
        <v>45502</v>
      </c>
      <c r="B297" t="s">
        <v>497</v>
      </c>
      <c r="C297" t="s">
        <v>498</v>
      </c>
      <c r="D297" s="1">
        <v>45502</v>
      </c>
      <c r="E297" s="2">
        <v>0</v>
      </c>
      <c r="F297" s="2">
        <v>84.57</v>
      </c>
      <c r="G297" s="2">
        <v>91092</v>
      </c>
      <c r="H297" t="s">
        <v>340</v>
      </c>
    </row>
    <row r="298" spans="1:8" x14ac:dyDescent="0.3">
      <c r="A298" s="1">
        <v>45502</v>
      </c>
      <c r="B298" t="s">
        <v>82</v>
      </c>
      <c r="C298" t="s">
        <v>499</v>
      </c>
      <c r="D298" s="1">
        <v>45502</v>
      </c>
      <c r="E298" s="2">
        <v>29487.13</v>
      </c>
      <c r="F298" s="2">
        <v>0</v>
      </c>
      <c r="G298" s="2">
        <v>61604.87</v>
      </c>
      <c r="H298" t="s">
        <v>337</v>
      </c>
    </row>
    <row r="299" spans="1:8" x14ac:dyDescent="0.3">
      <c r="A299" s="1">
        <v>45502</v>
      </c>
      <c r="B299" t="s">
        <v>82</v>
      </c>
      <c r="C299" t="s">
        <v>500</v>
      </c>
      <c r="D299" s="1">
        <v>45502</v>
      </c>
      <c r="E299" s="2">
        <v>27304.28</v>
      </c>
      <c r="F299" s="2">
        <v>0</v>
      </c>
      <c r="G299" s="2">
        <v>34300.589999999997</v>
      </c>
      <c r="H299" t="s">
        <v>337</v>
      </c>
    </row>
    <row r="300" spans="1:8" x14ac:dyDescent="0.3">
      <c r="A300" s="1">
        <v>45503</v>
      </c>
      <c r="B300" t="s">
        <v>84</v>
      </c>
      <c r="C300" t="s">
        <v>501</v>
      </c>
      <c r="D300" s="1">
        <v>45503</v>
      </c>
      <c r="E300" s="2">
        <v>0</v>
      </c>
      <c r="F300" s="2">
        <v>10280.34</v>
      </c>
      <c r="G300" s="2">
        <v>44580.93</v>
      </c>
      <c r="H300" t="s">
        <v>337</v>
      </c>
    </row>
    <row r="301" spans="1:8" x14ac:dyDescent="0.3">
      <c r="A301" s="1">
        <v>45503</v>
      </c>
      <c r="B301" t="s">
        <v>82</v>
      </c>
      <c r="C301" t="s">
        <v>502</v>
      </c>
      <c r="D301" s="1">
        <v>45503</v>
      </c>
      <c r="E301" s="2">
        <v>290.51</v>
      </c>
      <c r="F301" s="2">
        <v>0</v>
      </c>
      <c r="G301" s="2">
        <v>44290.42</v>
      </c>
      <c r="H301" t="s">
        <v>337</v>
      </c>
    </row>
    <row r="302" spans="1:8" x14ac:dyDescent="0.3">
      <c r="A302" s="1">
        <v>45503</v>
      </c>
      <c r="B302" t="s">
        <v>503</v>
      </c>
      <c r="C302" t="s">
        <v>504</v>
      </c>
      <c r="D302" s="1">
        <v>45503</v>
      </c>
      <c r="E302" s="2">
        <v>0</v>
      </c>
      <c r="F302" s="2">
        <v>949</v>
      </c>
      <c r="G302" s="2">
        <v>45239.42</v>
      </c>
      <c r="H302" t="s">
        <v>340</v>
      </c>
    </row>
    <row r="303" spans="1:8" x14ac:dyDescent="0.3">
      <c r="A303" s="1">
        <v>45504</v>
      </c>
      <c r="B303" t="s">
        <v>84</v>
      </c>
      <c r="C303" t="s">
        <v>505</v>
      </c>
      <c r="D303" s="1">
        <v>45504</v>
      </c>
      <c r="E303" s="2">
        <v>0</v>
      </c>
      <c r="F303" s="2">
        <v>6906.74</v>
      </c>
      <c r="G303" s="2">
        <v>52146.16</v>
      </c>
      <c r="H303" t="s">
        <v>337</v>
      </c>
    </row>
    <row r="304" spans="1:8" x14ac:dyDescent="0.3">
      <c r="A304" s="1">
        <v>45504</v>
      </c>
      <c r="B304" t="s">
        <v>82</v>
      </c>
      <c r="C304" t="s">
        <v>506</v>
      </c>
      <c r="D304" s="1">
        <v>45504</v>
      </c>
      <c r="E304" s="2">
        <v>336.24</v>
      </c>
      <c r="F304" s="2">
        <v>0</v>
      </c>
      <c r="G304" s="2">
        <v>51809.919999999998</v>
      </c>
      <c r="H304" t="s">
        <v>337</v>
      </c>
    </row>
    <row r="305" spans="1:8" x14ac:dyDescent="0.3">
      <c r="A305" s="1">
        <v>45504</v>
      </c>
      <c r="B305" t="s">
        <v>507</v>
      </c>
      <c r="C305" t="s">
        <v>508</v>
      </c>
      <c r="D305" s="1">
        <v>45504</v>
      </c>
      <c r="E305" s="2">
        <v>0</v>
      </c>
      <c r="F305" s="2">
        <v>380</v>
      </c>
      <c r="G305" s="2">
        <v>52189.919999999998</v>
      </c>
      <c r="H305" t="s">
        <v>340</v>
      </c>
    </row>
    <row r="306" spans="1:8" x14ac:dyDescent="0.3">
      <c r="A306" s="1">
        <v>45504</v>
      </c>
      <c r="B306" t="s">
        <v>82</v>
      </c>
      <c r="C306" t="s">
        <v>509</v>
      </c>
      <c r="D306" s="1">
        <v>45504</v>
      </c>
      <c r="E306" s="2">
        <v>3412.52</v>
      </c>
      <c r="F306" s="2">
        <v>0</v>
      </c>
      <c r="G306" s="2">
        <v>48777.4</v>
      </c>
      <c r="H306" t="s">
        <v>337</v>
      </c>
    </row>
    <row r="307" spans="1:8" x14ac:dyDescent="0.3">
      <c r="A307" s="1">
        <v>45505</v>
      </c>
      <c r="B307" t="s">
        <v>84</v>
      </c>
      <c r="C307" t="s">
        <v>510</v>
      </c>
      <c r="D307" s="1">
        <v>45505</v>
      </c>
      <c r="E307" s="2">
        <v>0</v>
      </c>
      <c r="F307" s="2">
        <v>39882.720000000001</v>
      </c>
      <c r="G307" s="2">
        <v>88660.12</v>
      </c>
      <c r="H307" t="s">
        <v>337</v>
      </c>
    </row>
    <row r="308" spans="1:8" x14ac:dyDescent="0.3">
      <c r="A308" s="1">
        <v>45505</v>
      </c>
      <c r="B308" t="s">
        <v>82</v>
      </c>
      <c r="C308" t="s">
        <v>511</v>
      </c>
      <c r="D308" s="1">
        <v>45505</v>
      </c>
      <c r="E308" s="2">
        <v>337.49</v>
      </c>
      <c r="F308" s="2">
        <v>0</v>
      </c>
      <c r="G308" s="2">
        <v>88322.63</v>
      </c>
      <c r="H308" t="s">
        <v>337</v>
      </c>
    </row>
    <row r="309" spans="1:8" x14ac:dyDescent="0.3">
      <c r="A309" s="1">
        <v>45505</v>
      </c>
      <c r="B309" t="s">
        <v>82</v>
      </c>
      <c r="C309" t="s">
        <v>512</v>
      </c>
      <c r="D309" s="1">
        <v>45505</v>
      </c>
      <c r="E309" s="2">
        <v>1376.77</v>
      </c>
      <c r="F309" s="2">
        <v>0</v>
      </c>
      <c r="G309" s="2">
        <v>86945.86</v>
      </c>
      <c r="H309" t="s">
        <v>337</v>
      </c>
    </row>
    <row r="310" spans="1:8" x14ac:dyDescent="0.3">
      <c r="A310" s="1">
        <v>45506</v>
      </c>
      <c r="B310" t="s">
        <v>82</v>
      </c>
      <c r="C310" t="s">
        <v>513</v>
      </c>
      <c r="D310" s="1">
        <v>45506</v>
      </c>
      <c r="E310" s="2">
        <v>337</v>
      </c>
      <c r="F310" s="2">
        <v>0</v>
      </c>
      <c r="G310" s="2">
        <v>86608.86</v>
      </c>
      <c r="H310" t="s">
        <v>337</v>
      </c>
    </row>
    <row r="311" spans="1:8" x14ac:dyDescent="0.3">
      <c r="A311" s="1">
        <v>45507</v>
      </c>
      <c r="B311" t="s">
        <v>82</v>
      </c>
      <c r="C311" t="s">
        <v>514</v>
      </c>
      <c r="D311" s="1">
        <v>45507</v>
      </c>
      <c r="E311" s="2">
        <v>9965.5499999999993</v>
      </c>
      <c r="F311" s="2">
        <v>0</v>
      </c>
      <c r="G311" s="2">
        <v>76643.31</v>
      </c>
      <c r="H311" t="s">
        <v>337</v>
      </c>
    </row>
    <row r="312" spans="1:8" x14ac:dyDescent="0.3">
      <c r="A312" s="1">
        <v>45509</v>
      </c>
      <c r="B312" t="s">
        <v>82</v>
      </c>
      <c r="C312" t="s">
        <v>515</v>
      </c>
      <c r="D312" s="1">
        <v>45509</v>
      </c>
      <c r="E312" s="2">
        <v>1000.35</v>
      </c>
      <c r="F312" s="2">
        <v>0</v>
      </c>
      <c r="G312" s="2">
        <v>75642.960000000006</v>
      </c>
      <c r="H312" t="s">
        <v>337</v>
      </c>
    </row>
    <row r="313" spans="1:8" x14ac:dyDescent="0.3">
      <c r="A313" s="1">
        <v>45509</v>
      </c>
      <c r="B313" t="s">
        <v>516</v>
      </c>
      <c r="C313" t="s">
        <v>517</v>
      </c>
      <c r="D313" s="1">
        <v>45509</v>
      </c>
      <c r="E313" s="2">
        <v>0</v>
      </c>
      <c r="F313" s="2">
        <v>310</v>
      </c>
      <c r="G313" s="2">
        <v>75952.960000000006</v>
      </c>
      <c r="H313" t="s">
        <v>340</v>
      </c>
    </row>
    <row r="314" spans="1:8" x14ac:dyDescent="0.3">
      <c r="A314" s="1">
        <v>45509</v>
      </c>
      <c r="B314" t="s">
        <v>82</v>
      </c>
      <c r="C314" t="s">
        <v>518</v>
      </c>
      <c r="D314" s="1">
        <v>45509</v>
      </c>
      <c r="E314" s="2">
        <v>12167.78</v>
      </c>
      <c r="F314" s="2">
        <v>0</v>
      </c>
      <c r="G314" s="2">
        <v>63785.18</v>
      </c>
      <c r="H314" t="s">
        <v>337</v>
      </c>
    </row>
    <row r="315" spans="1:8" x14ac:dyDescent="0.3">
      <c r="A315" s="1">
        <v>45510</v>
      </c>
      <c r="B315" t="s">
        <v>84</v>
      </c>
      <c r="C315" t="s">
        <v>519</v>
      </c>
      <c r="D315" s="1">
        <v>45510</v>
      </c>
      <c r="E315" s="2">
        <v>0</v>
      </c>
      <c r="F315" s="2">
        <v>56809.919999999998</v>
      </c>
      <c r="G315" s="2">
        <v>120595.1</v>
      </c>
      <c r="H315" t="s">
        <v>337</v>
      </c>
    </row>
    <row r="316" spans="1:8" x14ac:dyDescent="0.3">
      <c r="A316" s="1">
        <v>45510</v>
      </c>
      <c r="B316" t="s">
        <v>82</v>
      </c>
      <c r="C316" t="s">
        <v>520</v>
      </c>
      <c r="D316" s="1">
        <v>45510</v>
      </c>
      <c r="E316" s="2">
        <v>329.12</v>
      </c>
      <c r="F316" s="2">
        <v>0</v>
      </c>
      <c r="G316" s="2">
        <v>120265.98</v>
      </c>
      <c r="H316" t="s">
        <v>337</v>
      </c>
    </row>
    <row r="317" spans="1:8" x14ac:dyDescent="0.3">
      <c r="A317" s="1">
        <v>45510</v>
      </c>
      <c r="B317" t="s">
        <v>521</v>
      </c>
      <c r="C317" t="s">
        <v>522</v>
      </c>
      <c r="D317" s="1">
        <v>45510</v>
      </c>
      <c r="E317" s="2">
        <v>0</v>
      </c>
      <c r="F317" s="2">
        <v>45810</v>
      </c>
      <c r="G317" s="2">
        <v>166075.98000000001</v>
      </c>
      <c r="H317" t="s">
        <v>1307</v>
      </c>
    </row>
    <row r="318" spans="1:8" x14ac:dyDescent="0.3">
      <c r="A318" s="1">
        <v>45510</v>
      </c>
      <c r="B318" t="s">
        <v>82</v>
      </c>
      <c r="C318" t="s">
        <v>523</v>
      </c>
      <c r="D318" s="1">
        <v>45510</v>
      </c>
      <c r="E318" s="2">
        <v>28428.92</v>
      </c>
      <c r="F318" s="2">
        <v>0</v>
      </c>
      <c r="G318" s="2">
        <v>137647.06</v>
      </c>
      <c r="H318" t="s">
        <v>337</v>
      </c>
    </row>
    <row r="319" spans="1:8" x14ac:dyDescent="0.3">
      <c r="A319" s="1">
        <v>45511</v>
      </c>
      <c r="B319" t="s">
        <v>524</v>
      </c>
      <c r="C319" t="s">
        <v>525</v>
      </c>
      <c r="D319" s="1">
        <v>45511</v>
      </c>
      <c r="E319" s="2">
        <v>0</v>
      </c>
      <c r="F319" s="2">
        <v>175</v>
      </c>
      <c r="G319" s="2">
        <v>137822.06</v>
      </c>
      <c r="H319" t="s">
        <v>340</v>
      </c>
    </row>
    <row r="320" spans="1:8" x14ac:dyDescent="0.3">
      <c r="A320" s="1">
        <v>45511</v>
      </c>
      <c r="B320" t="s">
        <v>82</v>
      </c>
      <c r="C320" t="s">
        <v>526</v>
      </c>
      <c r="D320" s="1">
        <v>45511</v>
      </c>
      <c r="E320" s="2">
        <v>302.48</v>
      </c>
      <c r="F320" s="2">
        <v>0</v>
      </c>
      <c r="G320" s="2">
        <v>137519.57999999999</v>
      </c>
      <c r="H320" t="s">
        <v>337</v>
      </c>
    </row>
    <row r="321" spans="1:8" x14ac:dyDescent="0.3">
      <c r="A321" s="1">
        <v>45511</v>
      </c>
      <c r="B321" t="s">
        <v>82</v>
      </c>
      <c r="C321" t="s">
        <v>527</v>
      </c>
      <c r="D321" s="1">
        <v>45511</v>
      </c>
      <c r="E321" s="2">
        <v>57623.28</v>
      </c>
      <c r="F321" s="2">
        <v>0</v>
      </c>
      <c r="G321" s="2">
        <v>79896.3</v>
      </c>
      <c r="H321" t="s">
        <v>337</v>
      </c>
    </row>
    <row r="322" spans="1:8" x14ac:dyDescent="0.3">
      <c r="A322" s="1">
        <v>45512</v>
      </c>
      <c r="B322" t="s">
        <v>84</v>
      </c>
      <c r="C322" t="s">
        <v>528</v>
      </c>
      <c r="D322" s="1">
        <v>45512</v>
      </c>
      <c r="E322" s="2">
        <v>0</v>
      </c>
      <c r="F322" s="2">
        <v>11098.7</v>
      </c>
      <c r="G322" s="2">
        <v>90995</v>
      </c>
      <c r="H322" t="s">
        <v>337</v>
      </c>
    </row>
    <row r="323" spans="1:8" x14ac:dyDescent="0.3">
      <c r="A323" s="1">
        <v>45512</v>
      </c>
      <c r="B323" t="s">
        <v>82</v>
      </c>
      <c r="C323" t="s">
        <v>529</v>
      </c>
      <c r="D323" s="1">
        <v>45512</v>
      </c>
      <c r="E323" s="2">
        <v>304.04000000000002</v>
      </c>
      <c r="F323" s="2">
        <v>0</v>
      </c>
      <c r="G323" s="2">
        <v>90690.96</v>
      </c>
      <c r="H323" t="s">
        <v>337</v>
      </c>
    </row>
    <row r="324" spans="1:8" x14ac:dyDescent="0.3">
      <c r="A324" s="1">
        <v>45512</v>
      </c>
      <c r="B324" t="s">
        <v>82</v>
      </c>
      <c r="C324" t="s">
        <v>530</v>
      </c>
      <c r="D324" s="1">
        <v>45512</v>
      </c>
      <c r="E324" s="2">
        <v>7344.01</v>
      </c>
      <c r="F324" s="2">
        <v>0</v>
      </c>
      <c r="G324" s="2">
        <v>83346.95</v>
      </c>
      <c r="H324" t="s">
        <v>337</v>
      </c>
    </row>
    <row r="325" spans="1:8" x14ac:dyDescent="0.3">
      <c r="A325" s="1">
        <v>45513</v>
      </c>
      <c r="B325" t="s">
        <v>531</v>
      </c>
      <c r="C325" t="s">
        <v>532</v>
      </c>
      <c r="D325" s="1">
        <v>45513</v>
      </c>
      <c r="E325" s="2">
        <v>0</v>
      </c>
      <c r="F325" s="2">
        <v>21546</v>
      </c>
      <c r="G325" s="2">
        <v>104892.95</v>
      </c>
      <c r="H325" t="s">
        <v>345</v>
      </c>
    </row>
    <row r="326" spans="1:8" x14ac:dyDescent="0.3">
      <c r="A326" s="1">
        <v>45513</v>
      </c>
      <c r="B326" t="s">
        <v>82</v>
      </c>
      <c r="C326" t="s">
        <v>533</v>
      </c>
      <c r="D326" s="1">
        <v>45513</v>
      </c>
      <c r="E326" s="2">
        <v>305.45999999999998</v>
      </c>
      <c r="F326" s="2">
        <v>0</v>
      </c>
      <c r="G326" s="2">
        <v>104587.49</v>
      </c>
      <c r="H326" t="s">
        <v>337</v>
      </c>
    </row>
    <row r="327" spans="1:8" x14ac:dyDescent="0.3">
      <c r="A327" s="1">
        <v>45513</v>
      </c>
      <c r="B327" t="s">
        <v>534</v>
      </c>
      <c r="C327" t="s">
        <v>535</v>
      </c>
      <c r="D327" s="1">
        <v>45513</v>
      </c>
      <c r="E327" s="2">
        <v>0</v>
      </c>
      <c r="F327" s="2">
        <v>29757</v>
      </c>
      <c r="G327" s="2">
        <v>134344.49</v>
      </c>
      <c r="H327" t="s">
        <v>345</v>
      </c>
    </row>
    <row r="328" spans="1:8" x14ac:dyDescent="0.3">
      <c r="A328" s="1">
        <v>45516</v>
      </c>
      <c r="B328" t="s">
        <v>84</v>
      </c>
      <c r="C328" t="s">
        <v>536</v>
      </c>
      <c r="D328" s="1">
        <v>45516</v>
      </c>
      <c r="E328" s="2">
        <v>0</v>
      </c>
      <c r="F328" s="2">
        <v>2383.87</v>
      </c>
      <c r="G328" s="2">
        <v>136728.35999999999</v>
      </c>
      <c r="H328" t="s">
        <v>337</v>
      </c>
    </row>
    <row r="329" spans="1:8" x14ac:dyDescent="0.3">
      <c r="A329" s="1">
        <v>45516</v>
      </c>
      <c r="B329" t="s">
        <v>537</v>
      </c>
      <c r="C329" t="s">
        <v>98</v>
      </c>
      <c r="D329" s="1">
        <v>45516</v>
      </c>
      <c r="E329" s="2">
        <v>1085.5999999999999</v>
      </c>
      <c r="F329" s="2">
        <v>0</v>
      </c>
      <c r="G329" s="2">
        <v>135642.76</v>
      </c>
      <c r="H329" t="s">
        <v>343</v>
      </c>
    </row>
    <row r="330" spans="1:8" x14ac:dyDescent="0.3">
      <c r="A330" s="1">
        <v>45516</v>
      </c>
      <c r="B330" t="s">
        <v>82</v>
      </c>
      <c r="C330" t="s">
        <v>538</v>
      </c>
      <c r="D330" s="1">
        <v>45516</v>
      </c>
      <c r="E330" s="2">
        <v>916.38</v>
      </c>
      <c r="F330" s="2">
        <v>0</v>
      </c>
      <c r="G330" s="2">
        <v>134726.38</v>
      </c>
      <c r="H330" t="s">
        <v>337</v>
      </c>
    </row>
    <row r="331" spans="1:8" x14ac:dyDescent="0.3">
      <c r="A331" s="1">
        <v>45516</v>
      </c>
      <c r="B331" t="s">
        <v>539</v>
      </c>
      <c r="C331" t="s">
        <v>540</v>
      </c>
      <c r="D331" s="1">
        <v>45516</v>
      </c>
      <c r="E331" s="2">
        <v>0</v>
      </c>
      <c r="F331" s="2">
        <v>206.25</v>
      </c>
      <c r="G331" s="2">
        <v>134932.63</v>
      </c>
      <c r="H331" t="s">
        <v>340</v>
      </c>
    </row>
    <row r="332" spans="1:8" x14ac:dyDescent="0.3">
      <c r="A332" s="1">
        <v>45516</v>
      </c>
      <c r="B332" t="s">
        <v>82</v>
      </c>
      <c r="C332" t="s">
        <v>541</v>
      </c>
      <c r="D332" s="1">
        <v>45516</v>
      </c>
      <c r="E332" s="2">
        <v>15357.07</v>
      </c>
      <c r="F332" s="2">
        <v>0</v>
      </c>
      <c r="G332" s="2">
        <v>119575.56</v>
      </c>
      <c r="H332" t="s">
        <v>337</v>
      </c>
    </row>
    <row r="333" spans="1:8" x14ac:dyDescent="0.3">
      <c r="A333" s="1">
        <v>45516</v>
      </c>
      <c r="B333" t="s">
        <v>82</v>
      </c>
      <c r="C333" t="s">
        <v>542</v>
      </c>
      <c r="D333" s="1">
        <v>45516</v>
      </c>
      <c r="E333" s="2">
        <v>10959.09</v>
      </c>
      <c r="F333" s="2">
        <v>0</v>
      </c>
      <c r="G333" s="2">
        <v>108616.47</v>
      </c>
      <c r="H333" t="s">
        <v>337</v>
      </c>
    </row>
    <row r="334" spans="1:8" x14ac:dyDescent="0.3">
      <c r="A334" s="1">
        <v>45517</v>
      </c>
      <c r="B334" t="s">
        <v>82</v>
      </c>
      <c r="C334" t="s">
        <v>543</v>
      </c>
      <c r="D334" s="1">
        <v>45517</v>
      </c>
      <c r="E334" s="2">
        <v>302.39999999999998</v>
      </c>
      <c r="F334" s="2">
        <v>0</v>
      </c>
      <c r="G334" s="2">
        <v>108314.07</v>
      </c>
      <c r="H334" t="s">
        <v>337</v>
      </c>
    </row>
    <row r="335" spans="1:8" x14ac:dyDescent="0.3">
      <c r="A335" s="1">
        <v>45517</v>
      </c>
      <c r="B335" t="s">
        <v>82</v>
      </c>
      <c r="C335" t="s">
        <v>544</v>
      </c>
      <c r="D335" s="1">
        <v>45517</v>
      </c>
      <c r="E335" s="2">
        <v>15948.05</v>
      </c>
      <c r="F335" s="2">
        <v>0</v>
      </c>
      <c r="G335" s="2">
        <v>92366.02</v>
      </c>
      <c r="H335" t="s">
        <v>337</v>
      </c>
    </row>
    <row r="336" spans="1:8" x14ac:dyDescent="0.3">
      <c r="A336" s="1">
        <v>45518</v>
      </c>
      <c r="B336" t="s">
        <v>82</v>
      </c>
      <c r="C336" t="s">
        <v>545</v>
      </c>
      <c r="D336" s="1">
        <v>45518</v>
      </c>
      <c r="E336" s="2">
        <v>296.72000000000003</v>
      </c>
      <c r="F336" s="2">
        <v>0</v>
      </c>
      <c r="G336" s="2">
        <v>92069.3</v>
      </c>
      <c r="H336" t="s">
        <v>337</v>
      </c>
    </row>
    <row r="337" spans="1:8" x14ac:dyDescent="0.3">
      <c r="A337" s="1">
        <v>45518</v>
      </c>
      <c r="B337" t="s">
        <v>82</v>
      </c>
      <c r="C337" t="s">
        <v>546</v>
      </c>
      <c r="D337" s="1">
        <v>45518</v>
      </c>
      <c r="E337" s="2">
        <v>7437.78</v>
      </c>
      <c r="F337" s="2">
        <v>0</v>
      </c>
      <c r="G337" s="2">
        <v>84631.52</v>
      </c>
      <c r="H337" t="s">
        <v>337</v>
      </c>
    </row>
    <row r="338" spans="1:8" x14ac:dyDescent="0.3">
      <c r="A338" s="1">
        <v>45518</v>
      </c>
      <c r="B338" t="s">
        <v>82</v>
      </c>
      <c r="C338" t="s">
        <v>547</v>
      </c>
      <c r="D338" s="1">
        <v>45518</v>
      </c>
      <c r="E338" s="2">
        <v>11570.08</v>
      </c>
      <c r="F338" s="2">
        <v>0</v>
      </c>
      <c r="G338" s="2">
        <v>73061.440000000002</v>
      </c>
      <c r="H338" t="s">
        <v>337</v>
      </c>
    </row>
    <row r="339" spans="1:8" x14ac:dyDescent="0.3">
      <c r="A339" s="1">
        <v>45520</v>
      </c>
      <c r="B339" t="s">
        <v>84</v>
      </c>
      <c r="C339" t="s">
        <v>548</v>
      </c>
      <c r="D339" s="1">
        <v>45520</v>
      </c>
      <c r="E339" s="2">
        <v>0</v>
      </c>
      <c r="F339" s="2">
        <v>237.12</v>
      </c>
      <c r="G339" s="2">
        <v>73298.559999999998</v>
      </c>
      <c r="H339" t="s">
        <v>337</v>
      </c>
    </row>
    <row r="340" spans="1:8" x14ac:dyDescent="0.3">
      <c r="A340" s="1">
        <v>45520</v>
      </c>
      <c r="B340" t="s">
        <v>114</v>
      </c>
      <c r="C340" t="s">
        <v>549</v>
      </c>
      <c r="D340" s="1">
        <v>45520</v>
      </c>
      <c r="E340" s="2">
        <v>5000</v>
      </c>
      <c r="F340" s="2">
        <v>0</v>
      </c>
      <c r="G340" s="2">
        <v>68298.559999999998</v>
      </c>
      <c r="H340" t="s">
        <v>341</v>
      </c>
    </row>
    <row r="341" spans="1:8" x14ac:dyDescent="0.3">
      <c r="A341" s="1">
        <v>45520</v>
      </c>
      <c r="B341" t="s">
        <v>82</v>
      </c>
      <c r="C341" t="s">
        <v>550</v>
      </c>
      <c r="D341" s="1">
        <v>45520</v>
      </c>
      <c r="E341" s="2">
        <v>594.55999999999995</v>
      </c>
      <c r="F341" s="2">
        <v>0</v>
      </c>
      <c r="G341" s="2">
        <v>67704</v>
      </c>
      <c r="H341" t="s">
        <v>337</v>
      </c>
    </row>
    <row r="342" spans="1:8" x14ac:dyDescent="0.3">
      <c r="A342" s="1">
        <v>45520</v>
      </c>
      <c r="B342" t="s">
        <v>551</v>
      </c>
      <c r="C342" t="s">
        <v>552</v>
      </c>
      <c r="D342" s="1">
        <v>45520</v>
      </c>
      <c r="E342" s="2">
        <v>0</v>
      </c>
      <c r="F342" s="2">
        <v>627</v>
      </c>
      <c r="G342" s="2">
        <v>68331</v>
      </c>
      <c r="H342" t="s">
        <v>340</v>
      </c>
    </row>
    <row r="343" spans="1:8" x14ac:dyDescent="0.3">
      <c r="A343" s="1">
        <v>45520</v>
      </c>
      <c r="B343" t="s">
        <v>553</v>
      </c>
      <c r="C343" t="s">
        <v>554</v>
      </c>
      <c r="D343" s="1">
        <v>45520</v>
      </c>
      <c r="E343" s="2">
        <v>0</v>
      </c>
      <c r="F343" s="2">
        <v>1190</v>
      </c>
      <c r="G343" s="2">
        <v>69521</v>
      </c>
      <c r="H343" t="s">
        <v>340</v>
      </c>
    </row>
    <row r="344" spans="1:8" x14ac:dyDescent="0.3">
      <c r="A344" s="1">
        <v>45520</v>
      </c>
      <c r="B344" t="s">
        <v>555</v>
      </c>
      <c r="C344" t="s">
        <v>556</v>
      </c>
      <c r="D344" s="1">
        <v>45520</v>
      </c>
      <c r="E344" s="2">
        <v>0</v>
      </c>
      <c r="F344" s="2">
        <v>330</v>
      </c>
      <c r="G344" s="2">
        <v>69851</v>
      </c>
      <c r="H344" t="s">
        <v>340</v>
      </c>
    </row>
    <row r="345" spans="1:8" x14ac:dyDescent="0.3">
      <c r="A345" s="1">
        <v>45521</v>
      </c>
      <c r="B345" t="s">
        <v>557</v>
      </c>
      <c r="C345" t="s">
        <v>558</v>
      </c>
      <c r="D345" s="1">
        <v>45521</v>
      </c>
      <c r="E345" s="2">
        <v>295</v>
      </c>
      <c r="F345" s="2">
        <v>0</v>
      </c>
      <c r="G345" s="2">
        <v>69556</v>
      </c>
      <c r="H345" t="s">
        <v>47</v>
      </c>
    </row>
    <row r="346" spans="1:8" x14ac:dyDescent="0.3">
      <c r="A346" s="1">
        <v>45523</v>
      </c>
      <c r="B346" t="s">
        <v>84</v>
      </c>
      <c r="C346" t="s">
        <v>559</v>
      </c>
      <c r="D346" s="1">
        <v>45523</v>
      </c>
      <c r="E346" s="2">
        <v>0</v>
      </c>
      <c r="F346" s="2">
        <v>13649.2</v>
      </c>
      <c r="G346" s="2">
        <v>83205.2</v>
      </c>
      <c r="H346" t="s">
        <v>337</v>
      </c>
    </row>
    <row r="347" spans="1:8" x14ac:dyDescent="0.3">
      <c r="A347" s="1">
        <v>45523</v>
      </c>
      <c r="B347" t="s">
        <v>82</v>
      </c>
      <c r="C347" t="s">
        <v>560</v>
      </c>
      <c r="D347" s="1">
        <v>45523</v>
      </c>
      <c r="E347" s="2">
        <v>891.84</v>
      </c>
      <c r="F347" s="2">
        <v>0</v>
      </c>
      <c r="G347" s="2">
        <v>82313.36</v>
      </c>
      <c r="H347" t="s">
        <v>337</v>
      </c>
    </row>
    <row r="348" spans="1:8" x14ac:dyDescent="0.3">
      <c r="A348" s="1">
        <v>45523</v>
      </c>
      <c r="B348" t="s">
        <v>561</v>
      </c>
      <c r="C348" t="s">
        <v>562</v>
      </c>
      <c r="D348" s="1">
        <v>45523</v>
      </c>
      <c r="E348" s="2">
        <v>290</v>
      </c>
      <c r="F348" s="2">
        <v>0</v>
      </c>
      <c r="G348" s="2">
        <v>82023.360000000001</v>
      </c>
      <c r="H348" t="s">
        <v>1309</v>
      </c>
    </row>
    <row r="349" spans="1:8" x14ac:dyDescent="0.3">
      <c r="A349" s="1">
        <v>45523</v>
      </c>
      <c r="B349" t="s">
        <v>563</v>
      </c>
      <c r="C349" t="s">
        <v>564</v>
      </c>
      <c r="D349" s="1">
        <v>45523</v>
      </c>
      <c r="E349" s="2">
        <v>17805</v>
      </c>
      <c r="F349" s="2">
        <v>0</v>
      </c>
      <c r="G349" s="2">
        <v>64218.36</v>
      </c>
      <c r="H349" t="s">
        <v>347</v>
      </c>
    </row>
    <row r="350" spans="1:8" x14ac:dyDescent="0.3">
      <c r="A350" s="1">
        <v>45523</v>
      </c>
      <c r="B350" t="s">
        <v>82</v>
      </c>
      <c r="C350" t="s">
        <v>565</v>
      </c>
      <c r="D350" s="1">
        <v>45523</v>
      </c>
      <c r="E350" s="2">
        <v>1362.77</v>
      </c>
      <c r="F350" s="2">
        <v>0</v>
      </c>
      <c r="G350" s="2">
        <v>62855.59</v>
      </c>
      <c r="H350" t="s">
        <v>337</v>
      </c>
    </row>
    <row r="351" spans="1:8" x14ac:dyDescent="0.3">
      <c r="A351" s="1">
        <v>45524</v>
      </c>
      <c r="B351" t="s">
        <v>84</v>
      </c>
      <c r="C351" t="s">
        <v>566</v>
      </c>
      <c r="D351" s="1">
        <v>45524</v>
      </c>
      <c r="E351" s="2">
        <v>0</v>
      </c>
      <c r="F351" s="2">
        <v>87679.6</v>
      </c>
      <c r="G351" s="2">
        <v>150535.19</v>
      </c>
      <c r="H351" t="s">
        <v>337</v>
      </c>
    </row>
    <row r="352" spans="1:8" x14ac:dyDescent="0.3">
      <c r="A352" s="1">
        <v>45524</v>
      </c>
      <c r="B352" t="s">
        <v>567</v>
      </c>
      <c r="C352" t="s">
        <v>568</v>
      </c>
      <c r="D352" s="1">
        <v>45524</v>
      </c>
      <c r="E352" s="2">
        <v>18</v>
      </c>
      <c r="F352" s="2">
        <v>0</v>
      </c>
      <c r="G352" s="2">
        <v>150517.19</v>
      </c>
      <c r="H352" t="s">
        <v>1309</v>
      </c>
    </row>
    <row r="353" spans="1:8" x14ac:dyDescent="0.3">
      <c r="A353" s="1">
        <v>45524</v>
      </c>
      <c r="B353" t="s">
        <v>569</v>
      </c>
      <c r="C353" t="s">
        <v>570</v>
      </c>
      <c r="D353" s="1">
        <v>45524</v>
      </c>
      <c r="E353" s="2">
        <v>300</v>
      </c>
      <c r="F353" s="2">
        <v>0</v>
      </c>
      <c r="G353" s="2">
        <v>150217.19</v>
      </c>
      <c r="H353" t="s">
        <v>1309</v>
      </c>
    </row>
    <row r="354" spans="1:8" x14ac:dyDescent="0.3">
      <c r="A354" s="1">
        <v>45524</v>
      </c>
      <c r="B354" t="s">
        <v>82</v>
      </c>
      <c r="C354" t="s">
        <v>571</v>
      </c>
      <c r="D354" s="1">
        <v>45524</v>
      </c>
      <c r="E354" s="2">
        <v>279.69</v>
      </c>
      <c r="F354" s="2">
        <v>0</v>
      </c>
      <c r="G354" s="2">
        <v>149937.5</v>
      </c>
      <c r="H354" t="s">
        <v>337</v>
      </c>
    </row>
    <row r="355" spans="1:8" x14ac:dyDescent="0.3">
      <c r="A355" s="1">
        <v>45524</v>
      </c>
      <c r="B355" t="s">
        <v>572</v>
      </c>
      <c r="C355" t="s">
        <v>573</v>
      </c>
      <c r="D355" s="1">
        <v>45524</v>
      </c>
      <c r="E355" s="2">
        <v>130</v>
      </c>
      <c r="F355" s="2">
        <v>0</v>
      </c>
      <c r="G355" s="2">
        <v>149807.5</v>
      </c>
      <c r="H355" t="s">
        <v>1309</v>
      </c>
    </row>
    <row r="356" spans="1:8" x14ac:dyDescent="0.3">
      <c r="A356" s="1">
        <v>45525</v>
      </c>
      <c r="B356" t="s">
        <v>84</v>
      </c>
      <c r="C356" t="s">
        <v>574</v>
      </c>
      <c r="D356" s="1">
        <v>45525</v>
      </c>
      <c r="E356" s="2">
        <v>0</v>
      </c>
      <c r="F356" s="2">
        <v>87035.28</v>
      </c>
      <c r="G356" s="2">
        <v>236842.78</v>
      </c>
      <c r="H356" t="s">
        <v>337</v>
      </c>
    </row>
    <row r="357" spans="1:8" x14ac:dyDescent="0.3">
      <c r="A357" s="1">
        <v>45525</v>
      </c>
      <c r="B357" t="s">
        <v>575</v>
      </c>
      <c r="C357" t="s">
        <v>576</v>
      </c>
      <c r="D357" s="1">
        <v>45525</v>
      </c>
      <c r="E357" s="2">
        <v>55</v>
      </c>
      <c r="F357" s="2">
        <v>0</v>
      </c>
      <c r="G357" s="2">
        <v>236787.78</v>
      </c>
      <c r="H357" t="s">
        <v>1309</v>
      </c>
    </row>
    <row r="358" spans="1:8" x14ac:dyDescent="0.3">
      <c r="A358" s="1">
        <v>45525</v>
      </c>
      <c r="B358" t="s">
        <v>577</v>
      </c>
      <c r="C358" t="s">
        <v>578</v>
      </c>
      <c r="D358" s="1">
        <v>45525</v>
      </c>
      <c r="E358" s="2">
        <v>200000</v>
      </c>
      <c r="F358" s="2">
        <v>0</v>
      </c>
      <c r="G358" s="2">
        <v>36787.78</v>
      </c>
      <c r="H358" t="s">
        <v>1298</v>
      </c>
    </row>
    <row r="359" spans="1:8" x14ac:dyDescent="0.3">
      <c r="A359" s="1">
        <v>45525</v>
      </c>
      <c r="B359" t="s">
        <v>579</v>
      </c>
      <c r="C359" t="s">
        <v>580</v>
      </c>
      <c r="D359" s="1">
        <v>45525</v>
      </c>
      <c r="E359" s="2">
        <v>0</v>
      </c>
      <c r="F359" s="2">
        <v>1980</v>
      </c>
      <c r="G359" s="2">
        <v>38767.78</v>
      </c>
      <c r="H359" t="s">
        <v>340</v>
      </c>
    </row>
    <row r="360" spans="1:8" x14ac:dyDescent="0.3">
      <c r="A360" s="1">
        <v>45525</v>
      </c>
      <c r="B360" t="s">
        <v>82</v>
      </c>
      <c r="C360" t="s">
        <v>581</v>
      </c>
      <c r="D360" s="1">
        <v>45525</v>
      </c>
      <c r="E360" s="2">
        <v>280.7</v>
      </c>
      <c r="F360" s="2">
        <v>0</v>
      </c>
      <c r="G360" s="2">
        <v>38487.08</v>
      </c>
      <c r="H360" t="s">
        <v>337</v>
      </c>
    </row>
    <row r="361" spans="1:8" x14ac:dyDescent="0.3">
      <c r="A361" s="1">
        <v>45526</v>
      </c>
      <c r="B361" t="s">
        <v>84</v>
      </c>
      <c r="C361" t="s">
        <v>582</v>
      </c>
      <c r="D361" s="1">
        <v>45526</v>
      </c>
      <c r="E361" s="2">
        <v>0</v>
      </c>
      <c r="F361" s="2">
        <v>13652.52</v>
      </c>
      <c r="G361" s="2">
        <v>52139.6</v>
      </c>
      <c r="H361" t="s">
        <v>337</v>
      </c>
    </row>
    <row r="362" spans="1:8" x14ac:dyDescent="0.3">
      <c r="A362" s="1">
        <v>45526</v>
      </c>
      <c r="B362" t="s">
        <v>82</v>
      </c>
      <c r="C362" t="s">
        <v>583</v>
      </c>
      <c r="D362" s="1">
        <v>45526</v>
      </c>
      <c r="E362" s="2">
        <v>254.07</v>
      </c>
      <c r="F362" s="2">
        <v>0</v>
      </c>
      <c r="G362" s="2">
        <v>51885.53</v>
      </c>
      <c r="H362" t="s">
        <v>337</v>
      </c>
    </row>
    <row r="363" spans="1:8" x14ac:dyDescent="0.3">
      <c r="A363" s="1">
        <v>45526</v>
      </c>
      <c r="B363" t="s">
        <v>584</v>
      </c>
      <c r="C363" t="s">
        <v>585</v>
      </c>
      <c r="D363" s="1">
        <v>45526</v>
      </c>
      <c r="E363" s="2">
        <v>0</v>
      </c>
      <c r="F363" s="2">
        <v>200000</v>
      </c>
      <c r="G363" s="2">
        <v>251885.53</v>
      </c>
      <c r="H363" t="s">
        <v>1300</v>
      </c>
    </row>
    <row r="364" spans="1:8" x14ac:dyDescent="0.3">
      <c r="A364" s="1">
        <v>45527</v>
      </c>
      <c r="B364" t="s">
        <v>84</v>
      </c>
      <c r="C364" t="s">
        <v>586</v>
      </c>
      <c r="D364" s="1">
        <v>45527</v>
      </c>
      <c r="E364" s="2">
        <v>0</v>
      </c>
      <c r="F364" s="2">
        <v>1025.02</v>
      </c>
      <c r="G364" s="2">
        <v>252910.55</v>
      </c>
      <c r="H364" t="s">
        <v>337</v>
      </c>
    </row>
    <row r="365" spans="1:8" x14ac:dyDescent="0.3">
      <c r="A365" s="1">
        <v>45527</v>
      </c>
      <c r="B365" t="s">
        <v>84</v>
      </c>
      <c r="C365" t="s">
        <v>587</v>
      </c>
      <c r="D365" s="1">
        <v>45527</v>
      </c>
      <c r="E365" s="2">
        <v>0</v>
      </c>
      <c r="F365" s="2">
        <v>41057.08</v>
      </c>
      <c r="G365" s="2">
        <v>293967.63</v>
      </c>
      <c r="H365" t="s">
        <v>337</v>
      </c>
    </row>
    <row r="366" spans="1:8" x14ac:dyDescent="0.3">
      <c r="A366" s="1">
        <v>45527</v>
      </c>
      <c r="B366" t="s">
        <v>82</v>
      </c>
      <c r="C366" t="s">
        <v>588</v>
      </c>
      <c r="D366" s="1">
        <v>45527</v>
      </c>
      <c r="E366" s="2">
        <v>258.93</v>
      </c>
      <c r="F366" s="2">
        <v>0</v>
      </c>
      <c r="G366" s="2">
        <v>293708.7</v>
      </c>
      <c r="H366" t="s">
        <v>337</v>
      </c>
    </row>
    <row r="367" spans="1:8" x14ac:dyDescent="0.3">
      <c r="A367" s="1">
        <v>45527</v>
      </c>
      <c r="B367" t="s">
        <v>589</v>
      </c>
      <c r="C367" t="s">
        <v>590</v>
      </c>
      <c r="D367" s="1">
        <v>45527</v>
      </c>
      <c r="E367" s="2">
        <v>0</v>
      </c>
      <c r="F367" s="2">
        <v>220</v>
      </c>
      <c r="G367" s="2">
        <v>293928.7</v>
      </c>
      <c r="H367" t="s">
        <v>340</v>
      </c>
    </row>
    <row r="368" spans="1:8" x14ac:dyDescent="0.3">
      <c r="A368" s="1">
        <v>45527</v>
      </c>
      <c r="B368" t="s">
        <v>591</v>
      </c>
      <c r="C368" t="s">
        <v>592</v>
      </c>
      <c r="D368" s="1">
        <v>45527</v>
      </c>
      <c r="E368" s="2">
        <v>0</v>
      </c>
      <c r="F368" s="2">
        <v>17805</v>
      </c>
      <c r="G368" s="2">
        <v>311733.7</v>
      </c>
      <c r="H368" t="s">
        <v>345</v>
      </c>
    </row>
    <row r="369" spans="1:8" x14ac:dyDescent="0.3">
      <c r="A369" s="1">
        <v>45527</v>
      </c>
      <c r="B369" t="s">
        <v>593</v>
      </c>
      <c r="C369" t="s">
        <v>594</v>
      </c>
      <c r="D369" s="1">
        <v>45527</v>
      </c>
      <c r="E369" s="2">
        <v>0</v>
      </c>
      <c r="F369" s="2">
        <v>2380</v>
      </c>
      <c r="G369" s="2">
        <v>314113.7</v>
      </c>
      <c r="H369" t="s">
        <v>345</v>
      </c>
    </row>
    <row r="370" spans="1:8" x14ac:dyDescent="0.3">
      <c r="A370" s="1">
        <v>45527</v>
      </c>
      <c r="B370" t="s">
        <v>82</v>
      </c>
      <c r="C370" t="s">
        <v>595</v>
      </c>
      <c r="D370" s="1">
        <v>45527</v>
      </c>
      <c r="E370" s="2">
        <v>2481.0500000000002</v>
      </c>
      <c r="F370" s="2">
        <v>0</v>
      </c>
      <c r="G370" s="2">
        <v>311632.65000000002</v>
      </c>
      <c r="H370" t="s">
        <v>337</v>
      </c>
    </row>
    <row r="371" spans="1:8" x14ac:dyDescent="0.3">
      <c r="A371" s="1">
        <v>45529</v>
      </c>
      <c r="B371" t="s">
        <v>596</v>
      </c>
      <c r="C371" t="s">
        <v>597</v>
      </c>
      <c r="D371" s="1">
        <v>45529</v>
      </c>
      <c r="E371" s="2">
        <v>150000</v>
      </c>
      <c r="F371" s="2">
        <v>0</v>
      </c>
      <c r="G371" s="2">
        <v>161632.65</v>
      </c>
      <c r="H371" t="s">
        <v>51</v>
      </c>
    </row>
    <row r="372" spans="1:8" x14ac:dyDescent="0.3">
      <c r="A372" s="1">
        <v>45530</v>
      </c>
      <c r="B372" t="s">
        <v>84</v>
      </c>
      <c r="C372" t="s">
        <v>598</v>
      </c>
      <c r="D372" s="1">
        <v>45530</v>
      </c>
      <c r="E372" s="2">
        <v>0</v>
      </c>
      <c r="F372" s="2">
        <v>77978.2</v>
      </c>
      <c r="G372" s="2">
        <v>239610.85</v>
      </c>
      <c r="H372" t="s">
        <v>337</v>
      </c>
    </row>
    <row r="373" spans="1:8" x14ac:dyDescent="0.3">
      <c r="A373" s="1">
        <v>45530</v>
      </c>
      <c r="B373" t="s">
        <v>114</v>
      </c>
      <c r="C373" t="s">
        <v>599</v>
      </c>
      <c r="D373" s="1">
        <v>45530</v>
      </c>
      <c r="E373" s="2">
        <v>10000</v>
      </c>
      <c r="F373" s="2">
        <v>0</v>
      </c>
      <c r="G373" s="2">
        <v>229610.85</v>
      </c>
      <c r="H373" t="s">
        <v>342</v>
      </c>
    </row>
    <row r="374" spans="1:8" x14ac:dyDescent="0.3">
      <c r="A374" s="1">
        <v>45530</v>
      </c>
      <c r="B374" t="s">
        <v>82</v>
      </c>
      <c r="C374" t="s">
        <v>600</v>
      </c>
      <c r="D374" s="1">
        <v>45530</v>
      </c>
      <c r="E374" s="2">
        <v>775.23</v>
      </c>
      <c r="F374" s="2">
        <v>0</v>
      </c>
      <c r="G374" s="2">
        <v>228835.62</v>
      </c>
      <c r="H374" t="s">
        <v>337</v>
      </c>
    </row>
    <row r="375" spans="1:8" x14ac:dyDescent="0.3">
      <c r="A375" s="1">
        <v>45530</v>
      </c>
      <c r="B375" t="s">
        <v>82</v>
      </c>
      <c r="C375" t="s">
        <v>601</v>
      </c>
      <c r="D375" s="1">
        <v>45530</v>
      </c>
      <c r="E375" s="2">
        <v>54974.79</v>
      </c>
      <c r="F375" s="2">
        <v>0</v>
      </c>
      <c r="G375" s="2">
        <v>173860.83</v>
      </c>
      <c r="H375" t="s">
        <v>337</v>
      </c>
    </row>
    <row r="376" spans="1:8" x14ac:dyDescent="0.3">
      <c r="A376" s="1">
        <v>45531</v>
      </c>
      <c r="B376" t="s">
        <v>84</v>
      </c>
      <c r="C376" t="s">
        <v>602</v>
      </c>
      <c r="D376" s="1">
        <v>45531</v>
      </c>
      <c r="E376" s="2">
        <v>0</v>
      </c>
      <c r="F376" s="2">
        <v>7078.49</v>
      </c>
      <c r="G376" s="2">
        <v>180939.32</v>
      </c>
      <c r="H376" t="s">
        <v>337</v>
      </c>
    </row>
    <row r="377" spans="1:8" x14ac:dyDescent="0.3">
      <c r="A377" s="1">
        <v>45531</v>
      </c>
      <c r="B377" t="s">
        <v>84</v>
      </c>
      <c r="C377" t="s">
        <v>603</v>
      </c>
      <c r="D377" s="1">
        <v>45531</v>
      </c>
      <c r="E377" s="2">
        <v>0</v>
      </c>
      <c r="F377" s="2">
        <v>51065.7</v>
      </c>
      <c r="G377" s="2">
        <v>232005.02</v>
      </c>
      <c r="H377" t="s">
        <v>337</v>
      </c>
    </row>
    <row r="378" spans="1:8" x14ac:dyDescent="0.3">
      <c r="A378" s="1">
        <v>45531</v>
      </c>
      <c r="B378" t="s">
        <v>82</v>
      </c>
      <c r="C378" t="s">
        <v>604</v>
      </c>
      <c r="D378" s="1">
        <v>45531</v>
      </c>
      <c r="E378" s="2">
        <v>238.83</v>
      </c>
      <c r="F378" s="2">
        <v>0</v>
      </c>
      <c r="G378" s="2">
        <v>231766.19</v>
      </c>
      <c r="H378" t="s">
        <v>337</v>
      </c>
    </row>
    <row r="379" spans="1:8" x14ac:dyDescent="0.3">
      <c r="A379" s="1">
        <v>45531</v>
      </c>
      <c r="B379" t="s">
        <v>605</v>
      </c>
      <c r="C379" t="s">
        <v>606</v>
      </c>
      <c r="D379" s="1">
        <v>45531</v>
      </c>
      <c r="E379" s="2">
        <v>0</v>
      </c>
      <c r="F379" s="2">
        <v>175</v>
      </c>
      <c r="G379" s="2">
        <v>231941.19</v>
      </c>
      <c r="H379" t="s">
        <v>340</v>
      </c>
    </row>
    <row r="380" spans="1:8" x14ac:dyDescent="0.3">
      <c r="A380" s="1">
        <v>45532</v>
      </c>
      <c r="B380" t="s">
        <v>84</v>
      </c>
      <c r="C380" t="s">
        <v>607</v>
      </c>
      <c r="D380" s="1">
        <v>45532</v>
      </c>
      <c r="E380" s="2">
        <v>0</v>
      </c>
      <c r="F380" s="2">
        <v>45543.92</v>
      </c>
      <c r="G380" s="2">
        <v>277485.11</v>
      </c>
      <c r="H380" t="s">
        <v>337</v>
      </c>
    </row>
    <row r="381" spans="1:8" x14ac:dyDescent="0.3">
      <c r="A381" s="1">
        <v>45532</v>
      </c>
      <c r="B381" t="s">
        <v>82</v>
      </c>
      <c r="C381" t="s">
        <v>608</v>
      </c>
      <c r="D381" s="1">
        <v>45532</v>
      </c>
      <c r="E381" s="2">
        <v>214.73</v>
      </c>
      <c r="F381" s="2">
        <v>0</v>
      </c>
      <c r="G381" s="2">
        <v>277270.38</v>
      </c>
      <c r="H381" t="s">
        <v>337</v>
      </c>
    </row>
    <row r="382" spans="1:8" x14ac:dyDescent="0.3">
      <c r="A382" s="1">
        <v>45532</v>
      </c>
      <c r="B382" t="s">
        <v>609</v>
      </c>
      <c r="C382" t="s">
        <v>610</v>
      </c>
      <c r="D382" s="1">
        <v>45532</v>
      </c>
      <c r="E382" s="2">
        <v>0</v>
      </c>
      <c r="F382" s="2">
        <v>1386</v>
      </c>
      <c r="G382" s="2">
        <v>278656.38</v>
      </c>
      <c r="H382" t="s">
        <v>340</v>
      </c>
    </row>
    <row r="383" spans="1:8" x14ac:dyDescent="0.3">
      <c r="A383" s="1">
        <v>45532</v>
      </c>
      <c r="B383" t="s">
        <v>611</v>
      </c>
      <c r="C383" t="s">
        <v>612</v>
      </c>
      <c r="D383" s="1">
        <v>45532</v>
      </c>
      <c r="E383" s="2">
        <v>0</v>
      </c>
      <c r="F383" s="2">
        <v>84.57</v>
      </c>
      <c r="G383" s="2">
        <v>278740.95</v>
      </c>
      <c r="H383" t="s">
        <v>340</v>
      </c>
    </row>
    <row r="384" spans="1:8" x14ac:dyDescent="0.3">
      <c r="A384" s="1">
        <v>45533</v>
      </c>
      <c r="B384" t="s">
        <v>82</v>
      </c>
      <c r="C384" t="s">
        <v>613</v>
      </c>
      <c r="D384" s="1">
        <v>45533</v>
      </c>
      <c r="E384" s="2">
        <v>16093.87</v>
      </c>
      <c r="F384" s="2">
        <v>0</v>
      </c>
      <c r="G384" s="2">
        <v>262647.08</v>
      </c>
      <c r="H384" t="s">
        <v>337</v>
      </c>
    </row>
    <row r="385" spans="1:8" x14ac:dyDescent="0.3">
      <c r="A385" s="1">
        <v>45533</v>
      </c>
      <c r="B385" t="s">
        <v>614</v>
      </c>
      <c r="C385" t="s">
        <v>615</v>
      </c>
      <c r="D385" s="1">
        <v>45533</v>
      </c>
      <c r="E385" s="2">
        <v>0</v>
      </c>
      <c r="F385" s="2">
        <v>144</v>
      </c>
      <c r="G385" s="2">
        <v>262791.08</v>
      </c>
      <c r="H385" t="s">
        <v>340</v>
      </c>
    </row>
    <row r="386" spans="1:8" x14ac:dyDescent="0.3">
      <c r="A386" s="1">
        <v>45533</v>
      </c>
      <c r="B386" t="s">
        <v>82</v>
      </c>
      <c r="C386" t="s">
        <v>616</v>
      </c>
      <c r="D386" s="1">
        <v>45533</v>
      </c>
      <c r="E386" s="2">
        <v>189.07</v>
      </c>
      <c r="F386" s="2">
        <v>0</v>
      </c>
      <c r="G386" s="2">
        <v>262602.01</v>
      </c>
      <c r="H386" t="s">
        <v>337</v>
      </c>
    </row>
    <row r="387" spans="1:8" x14ac:dyDescent="0.3">
      <c r="A387" s="1">
        <v>45533</v>
      </c>
      <c r="B387" t="s">
        <v>617</v>
      </c>
      <c r="C387" t="s">
        <v>618</v>
      </c>
      <c r="D387" s="1">
        <v>45533</v>
      </c>
      <c r="E387" s="2">
        <v>0</v>
      </c>
      <c r="F387" s="2">
        <v>210</v>
      </c>
      <c r="G387" s="2">
        <v>262812.01</v>
      </c>
      <c r="H387" t="s">
        <v>340</v>
      </c>
    </row>
    <row r="388" spans="1:8" x14ac:dyDescent="0.3">
      <c r="A388" s="1">
        <v>45533</v>
      </c>
      <c r="B388" t="s">
        <v>619</v>
      </c>
      <c r="C388" t="s">
        <v>620</v>
      </c>
      <c r="D388" s="1">
        <v>45533</v>
      </c>
      <c r="E388" s="2">
        <v>0</v>
      </c>
      <c r="F388" s="2">
        <v>370</v>
      </c>
      <c r="G388" s="2">
        <v>263182.01</v>
      </c>
      <c r="H388" t="s">
        <v>340</v>
      </c>
    </row>
    <row r="389" spans="1:8" x14ac:dyDescent="0.3">
      <c r="A389" s="1">
        <v>45534</v>
      </c>
      <c r="B389" t="s">
        <v>82</v>
      </c>
      <c r="C389" t="s">
        <v>621</v>
      </c>
      <c r="D389" s="1">
        <v>45534</v>
      </c>
      <c r="E389" s="2">
        <v>2395.65</v>
      </c>
      <c r="F389" s="2">
        <v>0</v>
      </c>
      <c r="G389" s="2">
        <v>260786.36</v>
      </c>
      <c r="H389" t="s">
        <v>337</v>
      </c>
    </row>
    <row r="390" spans="1:8" x14ac:dyDescent="0.3">
      <c r="A390" s="1">
        <v>45534</v>
      </c>
      <c r="B390" t="s">
        <v>82</v>
      </c>
      <c r="C390" t="s">
        <v>622</v>
      </c>
      <c r="D390" s="1">
        <v>45534</v>
      </c>
      <c r="E390" s="2">
        <v>205.17</v>
      </c>
      <c r="F390" s="2">
        <v>0</v>
      </c>
      <c r="G390" s="2">
        <v>260581.19</v>
      </c>
      <c r="H390" t="s">
        <v>337</v>
      </c>
    </row>
    <row r="391" spans="1:8" x14ac:dyDescent="0.3">
      <c r="A391" s="1">
        <v>45534</v>
      </c>
      <c r="B391" t="s">
        <v>82</v>
      </c>
      <c r="C391" t="s">
        <v>623</v>
      </c>
      <c r="D391" s="1">
        <v>45534</v>
      </c>
      <c r="E391" s="2">
        <v>260581.19</v>
      </c>
      <c r="F391" s="2">
        <v>0</v>
      </c>
      <c r="G391" s="2">
        <v>0</v>
      </c>
      <c r="H391" t="s">
        <v>337</v>
      </c>
    </row>
    <row r="392" spans="1:8" x14ac:dyDescent="0.3">
      <c r="A392" s="1">
        <v>45537</v>
      </c>
      <c r="B392" t="s">
        <v>624</v>
      </c>
      <c r="C392" t="s">
        <v>625</v>
      </c>
      <c r="D392" s="1">
        <v>45537</v>
      </c>
      <c r="E392" s="2">
        <v>0</v>
      </c>
      <c r="F392" s="2">
        <v>270</v>
      </c>
      <c r="G392" s="2">
        <v>270</v>
      </c>
      <c r="H392" t="s">
        <v>340</v>
      </c>
    </row>
    <row r="393" spans="1:8" x14ac:dyDescent="0.3">
      <c r="A393" s="1">
        <v>45537</v>
      </c>
      <c r="B393" t="s">
        <v>626</v>
      </c>
      <c r="C393" t="s">
        <v>627</v>
      </c>
      <c r="D393" s="1">
        <v>45537</v>
      </c>
      <c r="E393" s="2">
        <v>0</v>
      </c>
      <c r="F393" s="2">
        <v>1350</v>
      </c>
      <c r="G393" s="2">
        <v>1620</v>
      </c>
      <c r="H393" t="s">
        <v>340</v>
      </c>
    </row>
    <row r="394" spans="1:8" x14ac:dyDescent="0.3">
      <c r="A394" s="1">
        <v>45537</v>
      </c>
      <c r="B394" t="s">
        <v>82</v>
      </c>
      <c r="C394" t="s">
        <v>628</v>
      </c>
      <c r="D394" s="1">
        <v>45537</v>
      </c>
      <c r="E394" s="2">
        <v>1620</v>
      </c>
      <c r="F394" s="2">
        <v>0</v>
      </c>
      <c r="G394" s="2">
        <v>0</v>
      </c>
      <c r="H394" t="s">
        <v>337</v>
      </c>
    </row>
    <row r="395" spans="1:8" x14ac:dyDescent="0.3">
      <c r="A395" s="1">
        <v>45538</v>
      </c>
      <c r="B395" t="s">
        <v>629</v>
      </c>
      <c r="C395" t="s">
        <v>630</v>
      </c>
      <c r="D395" s="1">
        <v>45538</v>
      </c>
      <c r="E395" s="2">
        <v>0</v>
      </c>
      <c r="F395" s="2">
        <v>75000</v>
      </c>
      <c r="G395" s="2">
        <v>75000</v>
      </c>
      <c r="H395" t="s">
        <v>338</v>
      </c>
    </row>
    <row r="396" spans="1:8" x14ac:dyDescent="0.3">
      <c r="A396" s="1">
        <v>45538</v>
      </c>
      <c r="B396" t="s">
        <v>82</v>
      </c>
      <c r="C396" t="s">
        <v>631</v>
      </c>
      <c r="D396" s="1">
        <v>45538</v>
      </c>
      <c r="E396" s="2">
        <v>75000</v>
      </c>
      <c r="F396" s="2">
        <v>0</v>
      </c>
      <c r="G396" s="2">
        <v>0</v>
      </c>
      <c r="H396" t="s">
        <v>337</v>
      </c>
    </row>
    <row r="397" spans="1:8" x14ac:dyDescent="0.3">
      <c r="A397" s="1">
        <v>45540</v>
      </c>
      <c r="B397" t="s">
        <v>84</v>
      </c>
      <c r="C397" t="s">
        <v>632</v>
      </c>
      <c r="D397" s="1">
        <v>45540</v>
      </c>
      <c r="E397" s="2">
        <v>0</v>
      </c>
      <c r="F397" s="2">
        <v>2267.5100000000002</v>
      </c>
      <c r="G397" s="2">
        <v>2267.5100000000002</v>
      </c>
      <c r="H397" t="s">
        <v>337</v>
      </c>
    </row>
    <row r="398" spans="1:8" x14ac:dyDescent="0.3">
      <c r="A398" s="1">
        <v>45540</v>
      </c>
      <c r="B398" t="s">
        <v>633</v>
      </c>
      <c r="C398" t="s">
        <v>634</v>
      </c>
      <c r="D398" s="1">
        <v>45540</v>
      </c>
      <c r="E398" s="2">
        <v>0</v>
      </c>
      <c r="F398" s="2">
        <v>10000</v>
      </c>
      <c r="G398" s="2">
        <v>12267.51</v>
      </c>
      <c r="H398" t="s">
        <v>1309</v>
      </c>
    </row>
    <row r="399" spans="1:8" x14ac:dyDescent="0.3">
      <c r="A399" s="1">
        <v>45540</v>
      </c>
      <c r="B399" t="s">
        <v>82</v>
      </c>
      <c r="C399" t="s">
        <v>635</v>
      </c>
      <c r="D399" s="1">
        <v>45540</v>
      </c>
      <c r="E399" s="2">
        <v>314.37</v>
      </c>
      <c r="F399" s="2">
        <v>0</v>
      </c>
      <c r="G399" s="2">
        <v>11953.14</v>
      </c>
      <c r="H399" t="s">
        <v>337</v>
      </c>
    </row>
    <row r="400" spans="1:8" x14ac:dyDescent="0.3">
      <c r="A400" s="1">
        <v>45541</v>
      </c>
      <c r="B400" t="s">
        <v>84</v>
      </c>
      <c r="C400" t="s">
        <v>636</v>
      </c>
      <c r="D400" s="1">
        <v>45541</v>
      </c>
      <c r="E400" s="2">
        <v>0</v>
      </c>
      <c r="F400" s="2">
        <v>839.73</v>
      </c>
      <c r="G400" s="2">
        <v>12792.87</v>
      </c>
      <c r="H400" t="s">
        <v>337</v>
      </c>
    </row>
    <row r="401" spans="1:8" x14ac:dyDescent="0.3">
      <c r="A401" s="1">
        <v>45541</v>
      </c>
      <c r="B401" t="s">
        <v>84</v>
      </c>
      <c r="C401" t="s">
        <v>637</v>
      </c>
      <c r="D401" s="1">
        <v>45541</v>
      </c>
      <c r="E401" s="2">
        <v>0</v>
      </c>
      <c r="F401" s="2">
        <v>30658.41</v>
      </c>
      <c r="G401" s="2">
        <v>43451.28</v>
      </c>
      <c r="H401" t="s">
        <v>337</v>
      </c>
    </row>
    <row r="402" spans="1:8" x14ac:dyDescent="0.3">
      <c r="A402" s="1">
        <v>45541</v>
      </c>
      <c r="B402" t="s">
        <v>82</v>
      </c>
      <c r="C402" t="s">
        <v>638</v>
      </c>
      <c r="D402" s="1">
        <v>45541</v>
      </c>
      <c r="E402" s="2">
        <v>307.99</v>
      </c>
      <c r="F402" s="2">
        <v>0</v>
      </c>
      <c r="G402" s="2">
        <v>43143.29</v>
      </c>
      <c r="H402" t="s">
        <v>337</v>
      </c>
    </row>
    <row r="403" spans="1:8" x14ac:dyDescent="0.3">
      <c r="A403" s="1">
        <v>45541</v>
      </c>
      <c r="B403" t="s">
        <v>84</v>
      </c>
      <c r="C403" t="s">
        <v>639</v>
      </c>
      <c r="D403" s="1">
        <v>45541</v>
      </c>
      <c r="E403" s="2">
        <v>0</v>
      </c>
      <c r="F403" s="2">
        <v>67576.460000000006</v>
      </c>
      <c r="G403" s="2">
        <v>110719.75</v>
      </c>
      <c r="H403" t="s">
        <v>337</v>
      </c>
    </row>
    <row r="404" spans="1:8" x14ac:dyDescent="0.3">
      <c r="A404" s="1">
        <v>45541</v>
      </c>
      <c r="B404" t="s">
        <v>640</v>
      </c>
      <c r="C404" t="s">
        <v>641</v>
      </c>
      <c r="D404" s="1">
        <v>45541</v>
      </c>
      <c r="E404" s="2">
        <v>10000</v>
      </c>
      <c r="F404" s="2">
        <v>0</v>
      </c>
      <c r="G404" s="2">
        <v>100719.75</v>
      </c>
      <c r="H404" t="s">
        <v>1309</v>
      </c>
    </row>
    <row r="405" spans="1:8" x14ac:dyDescent="0.3">
      <c r="A405" s="1">
        <v>45544</v>
      </c>
      <c r="B405" t="s">
        <v>82</v>
      </c>
      <c r="C405" t="s">
        <v>642</v>
      </c>
      <c r="D405" s="1">
        <v>45544</v>
      </c>
      <c r="E405" s="2">
        <v>997.08</v>
      </c>
      <c r="F405" s="2">
        <v>0</v>
      </c>
      <c r="G405" s="2">
        <v>99722.67</v>
      </c>
      <c r="H405" t="s">
        <v>337</v>
      </c>
    </row>
    <row r="406" spans="1:8" x14ac:dyDescent="0.3">
      <c r="A406" s="1">
        <v>45544</v>
      </c>
      <c r="B406" t="s">
        <v>643</v>
      </c>
      <c r="C406" t="s">
        <v>644</v>
      </c>
      <c r="D406" s="1">
        <v>45544</v>
      </c>
      <c r="E406" s="2">
        <v>0</v>
      </c>
      <c r="F406" s="2">
        <v>29757</v>
      </c>
      <c r="G406" s="2">
        <v>129479.67</v>
      </c>
      <c r="H406" t="s">
        <v>345</v>
      </c>
    </row>
    <row r="407" spans="1:8" x14ac:dyDescent="0.3">
      <c r="A407" s="1">
        <v>45545</v>
      </c>
      <c r="B407" t="s">
        <v>84</v>
      </c>
      <c r="C407" t="s">
        <v>645</v>
      </c>
      <c r="D407" s="1">
        <v>45545</v>
      </c>
      <c r="E407" s="2">
        <v>0</v>
      </c>
      <c r="F407" s="2">
        <v>6103.31</v>
      </c>
      <c r="G407" s="2">
        <v>135582.98000000001</v>
      </c>
      <c r="H407" t="s">
        <v>337</v>
      </c>
    </row>
    <row r="408" spans="1:8" x14ac:dyDescent="0.3">
      <c r="A408" s="1">
        <v>45545</v>
      </c>
      <c r="B408" t="s">
        <v>82</v>
      </c>
      <c r="C408" t="s">
        <v>646</v>
      </c>
      <c r="D408" s="1">
        <v>45545</v>
      </c>
      <c r="E408" s="2">
        <v>332.36</v>
      </c>
      <c r="F408" s="2">
        <v>0</v>
      </c>
      <c r="G408" s="2">
        <v>135250.62</v>
      </c>
      <c r="H408" t="s">
        <v>337</v>
      </c>
    </row>
    <row r="409" spans="1:8" x14ac:dyDescent="0.3">
      <c r="A409" s="1">
        <v>45545</v>
      </c>
      <c r="B409" t="s">
        <v>647</v>
      </c>
      <c r="C409" t="s">
        <v>648</v>
      </c>
      <c r="D409" s="1">
        <v>45545</v>
      </c>
      <c r="E409" s="2">
        <v>0</v>
      </c>
      <c r="F409" s="2">
        <v>390</v>
      </c>
      <c r="G409" s="2">
        <v>135640.62</v>
      </c>
      <c r="H409" t="s">
        <v>340</v>
      </c>
    </row>
    <row r="410" spans="1:8" x14ac:dyDescent="0.3">
      <c r="A410" s="1">
        <v>45545</v>
      </c>
      <c r="B410" t="s">
        <v>649</v>
      </c>
      <c r="C410" t="s">
        <v>650</v>
      </c>
      <c r="D410" s="1">
        <v>45545</v>
      </c>
      <c r="E410" s="2">
        <v>0</v>
      </c>
      <c r="F410" s="2">
        <v>15</v>
      </c>
      <c r="G410" s="2">
        <v>135655.62</v>
      </c>
      <c r="H410" t="s">
        <v>340</v>
      </c>
    </row>
    <row r="411" spans="1:8" x14ac:dyDescent="0.3">
      <c r="A411" s="1">
        <v>45546</v>
      </c>
      <c r="B411" t="s">
        <v>651</v>
      </c>
      <c r="C411" t="s">
        <v>652</v>
      </c>
      <c r="D411" s="1">
        <v>45546</v>
      </c>
      <c r="E411" s="2">
        <v>0</v>
      </c>
      <c r="F411" s="2">
        <v>3515.71</v>
      </c>
      <c r="G411" s="2">
        <v>139171.32999999999</v>
      </c>
      <c r="H411" t="s">
        <v>1310</v>
      </c>
    </row>
    <row r="412" spans="1:8" x14ac:dyDescent="0.3">
      <c r="A412" s="1">
        <v>45546</v>
      </c>
      <c r="B412" t="s">
        <v>653</v>
      </c>
      <c r="C412" t="s">
        <v>654</v>
      </c>
      <c r="D412" s="1">
        <v>45546</v>
      </c>
      <c r="E412" s="2">
        <v>0</v>
      </c>
      <c r="F412" s="2">
        <v>812.5</v>
      </c>
      <c r="G412" s="2">
        <v>139983.82999999999</v>
      </c>
      <c r="H412" t="s">
        <v>340</v>
      </c>
    </row>
    <row r="413" spans="1:8" x14ac:dyDescent="0.3">
      <c r="A413" s="1">
        <v>45546</v>
      </c>
      <c r="B413" t="s">
        <v>82</v>
      </c>
      <c r="C413" t="s">
        <v>655</v>
      </c>
      <c r="D413" s="1">
        <v>45546</v>
      </c>
      <c r="E413" s="2">
        <v>334.53</v>
      </c>
      <c r="F413" s="2">
        <v>0</v>
      </c>
      <c r="G413" s="2">
        <v>139649.29999999999</v>
      </c>
      <c r="H413" t="s">
        <v>337</v>
      </c>
    </row>
    <row r="414" spans="1:8" x14ac:dyDescent="0.3">
      <c r="A414" s="1">
        <v>45546</v>
      </c>
      <c r="B414" t="s">
        <v>656</v>
      </c>
      <c r="C414" t="s">
        <v>657</v>
      </c>
      <c r="D414" s="1">
        <v>45546</v>
      </c>
      <c r="E414" s="2">
        <v>0</v>
      </c>
      <c r="F414" s="2">
        <v>275</v>
      </c>
      <c r="G414" s="2">
        <v>139924.29999999999</v>
      </c>
      <c r="H414" t="s">
        <v>340</v>
      </c>
    </row>
    <row r="415" spans="1:8" x14ac:dyDescent="0.3">
      <c r="A415" s="1">
        <v>45546</v>
      </c>
      <c r="B415" t="s">
        <v>658</v>
      </c>
      <c r="C415" t="s">
        <v>659</v>
      </c>
      <c r="D415" s="1">
        <v>45546</v>
      </c>
      <c r="E415" s="2">
        <v>0</v>
      </c>
      <c r="F415" s="2">
        <v>100</v>
      </c>
      <c r="G415" s="2">
        <v>140024.29999999999</v>
      </c>
      <c r="H415" t="s">
        <v>340</v>
      </c>
    </row>
    <row r="416" spans="1:8" x14ac:dyDescent="0.3">
      <c r="A416" s="1">
        <v>45546</v>
      </c>
      <c r="B416" t="s">
        <v>82</v>
      </c>
      <c r="C416" t="s">
        <v>660</v>
      </c>
      <c r="D416" s="1">
        <v>45546</v>
      </c>
      <c r="E416" s="2">
        <v>42275.96</v>
      </c>
      <c r="F416" s="2">
        <v>0</v>
      </c>
      <c r="G416" s="2">
        <v>97748.34</v>
      </c>
      <c r="H416" t="s">
        <v>337</v>
      </c>
    </row>
    <row r="417" spans="1:8" x14ac:dyDescent="0.3">
      <c r="A417" s="1">
        <v>45547</v>
      </c>
      <c r="B417" t="s">
        <v>84</v>
      </c>
      <c r="C417" t="s">
        <v>661</v>
      </c>
      <c r="D417" s="1">
        <v>45547</v>
      </c>
      <c r="E417" s="2">
        <v>0</v>
      </c>
      <c r="F417" s="2">
        <v>26296.32</v>
      </c>
      <c r="G417" s="2">
        <v>124044.66</v>
      </c>
      <c r="H417" t="s">
        <v>337</v>
      </c>
    </row>
    <row r="418" spans="1:8" x14ac:dyDescent="0.3">
      <c r="A418" s="1">
        <v>45547</v>
      </c>
      <c r="B418" t="s">
        <v>82</v>
      </c>
      <c r="C418" t="s">
        <v>662</v>
      </c>
      <c r="D418" s="1">
        <v>45547</v>
      </c>
      <c r="E418" s="2">
        <v>320.73</v>
      </c>
      <c r="F418" s="2">
        <v>0</v>
      </c>
      <c r="G418" s="2">
        <v>123723.93</v>
      </c>
      <c r="H418" t="s">
        <v>337</v>
      </c>
    </row>
    <row r="419" spans="1:8" x14ac:dyDescent="0.3">
      <c r="A419" s="1">
        <v>45548</v>
      </c>
      <c r="B419" t="s">
        <v>84</v>
      </c>
      <c r="C419" t="s">
        <v>663</v>
      </c>
      <c r="D419" s="1">
        <v>45548</v>
      </c>
      <c r="E419" s="2">
        <v>0</v>
      </c>
      <c r="F419" s="2">
        <v>1</v>
      </c>
      <c r="G419" s="2">
        <v>123724.93</v>
      </c>
      <c r="H419" t="s">
        <v>337</v>
      </c>
    </row>
    <row r="420" spans="1:8" x14ac:dyDescent="0.3">
      <c r="A420" s="1">
        <v>45548</v>
      </c>
      <c r="B420" t="s">
        <v>664</v>
      </c>
      <c r="C420" t="s">
        <v>665</v>
      </c>
      <c r="D420" s="1">
        <v>45548</v>
      </c>
      <c r="E420" s="2">
        <v>0</v>
      </c>
      <c r="F420" s="2">
        <v>8964.0400000000009</v>
      </c>
      <c r="G420" s="2">
        <v>132688.97</v>
      </c>
      <c r="H420" t="s">
        <v>1310</v>
      </c>
    </row>
    <row r="421" spans="1:8" x14ac:dyDescent="0.3">
      <c r="A421" s="1">
        <v>45548</v>
      </c>
      <c r="B421" t="s">
        <v>82</v>
      </c>
      <c r="C421" t="s">
        <v>666</v>
      </c>
      <c r="D421" s="1">
        <v>45548</v>
      </c>
      <c r="E421" s="2">
        <v>348.93</v>
      </c>
      <c r="F421" s="2">
        <v>0</v>
      </c>
      <c r="G421" s="2">
        <v>132340.04</v>
      </c>
      <c r="H421" t="s">
        <v>337</v>
      </c>
    </row>
    <row r="422" spans="1:8" x14ac:dyDescent="0.3">
      <c r="A422" s="1">
        <v>45548</v>
      </c>
      <c r="B422" t="s">
        <v>82</v>
      </c>
      <c r="C422" t="s">
        <v>667</v>
      </c>
      <c r="D422" s="1">
        <v>45548</v>
      </c>
      <c r="E422" s="2">
        <v>401.48</v>
      </c>
      <c r="F422" s="2">
        <v>0</v>
      </c>
      <c r="G422" s="2">
        <v>131938.56</v>
      </c>
      <c r="H422" t="s">
        <v>337</v>
      </c>
    </row>
    <row r="423" spans="1:8" x14ac:dyDescent="0.3">
      <c r="A423" s="1">
        <v>45550</v>
      </c>
      <c r="B423" t="s">
        <v>668</v>
      </c>
      <c r="C423" t="s">
        <v>669</v>
      </c>
      <c r="D423" s="1">
        <v>45550</v>
      </c>
      <c r="E423" s="2">
        <v>105000</v>
      </c>
      <c r="F423" s="2">
        <v>0</v>
      </c>
      <c r="G423" s="2">
        <v>26938.560000000001</v>
      </c>
      <c r="H423" t="s">
        <v>1301</v>
      </c>
    </row>
    <row r="424" spans="1:8" x14ac:dyDescent="0.3">
      <c r="A424" s="1">
        <v>45551</v>
      </c>
      <c r="B424" t="s">
        <v>114</v>
      </c>
      <c r="C424" t="s">
        <v>670</v>
      </c>
      <c r="D424" s="1">
        <v>45551</v>
      </c>
      <c r="E424" s="2">
        <v>5000</v>
      </c>
      <c r="F424" s="2">
        <v>0</v>
      </c>
      <c r="G424" s="2">
        <v>21938.560000000001</v>
      </c>
      <c r="H424" t="s">
        <v>341</v>
      </c>
    </row>
    <row r="425" spans="1:8" x14ac:dyDescent="0.3">
      <c r="A425" s="1">
        <v>45551</v>
      </c>
      <c r="B425" t="s">
        <v>82</v>
      </c>
      <c r="C425" t="s">
        <v>671</v>
      </c>
      <c r="D425" s="1">
        <v>45551</v>
      </c>
      <c r="E425" s="2">
        <v>1055.94</v>
      </c>
      <c r="F425" s="2">
        <v>0</v>
      </c>
      <c r="G425" s="2">
        <v>20882.62</v>
      </c>
      <c r="H425" t="s">
        <v>337</v>
      </c>
    </row>
    <row r="426" spans="1:8" x14ac:dyDescent="0.3">
      <c r="A426" s="1">
        <v>45552</v>
      </c>
      <c r="B426" t="s">
        <v>672</v>
      </c>
      <c r="C426" t="s">
        <v>673</v>
      </c>
      <c r="D426" s="1">
        <v>45552</v>
      </c>
      <c r="E426" s="2">
        <v>0</v>
      </c>
      <c r="F426" s="2">
        <v>16944.84</v>
      </c>
      <c r="G426" s="2">
        <v>37827.46</v>
      </c>
      <c r="H426" t="s">
        <v>1310</v>
      </c>
    </row>
    <row r="427" spans="1:8" x14ac:dyDescent="0.3">
      <c r="A427" s="1">
        <v>45552</v>
      </c>
      <c r="B427" t="s">
        <v>82</v>
      </c>
      <c r="C427" t="s">
        <v>674</v>
      </c>
      <c r="D427" s="1">
        <v>45552</v>
      </c>
      <c r="E427" s="2">
        <v>351.98</v>
      </c>
      <c r="F427" s="2">
        <v>0</v>
      </c>
      <c r="G427" s="2">
        <v>37475.480000000003</v>
      </c>
      <c r="H427" t="s">
        <v>337</v>
      </c>
    </row>
    <row r="428" spans="1:8" x14ac:dyDescent="0.3">
      <c r="A428" s="1">
        <v>45552</v>
      </c>
      <c r="B428" t="s">
        <v>675</v>
      </c>
      <c r="C428" t="s">
        <v>98</v>
      </c>
      <c r="D428" s="1">
        <v>45552</v>
      </c>
      <c r="E428" s="2">
        <v>1454.21</v>
      </c>
      <c r="F428" s="2">
        <v>0</v>
      </c>
      <c r="G428" s="2">
        <v>36021.269999999997</v>
      </c>
      <c r="H428" t="s">
        <v>343</v>
      </c>
    </row>
    <row r="429" spans="1:8" x14ac:dyDescent="0.3">
      <c r="A429" s="1">
        <v>45552</v>
      </c>
      <c r="B429" t="s">
        <v>676</v>
      </c>
      <c r="C429" t="s">
        <v>677</v>
      </c>
      <c r="D429" s="1">
        <v>45552</v>
      </c>
      <c r="E429" s="2">
        <v>0</v>
      </c>
      <c r="F429" s="2">
        <v>3139.26</v>
      </c>
      <c r="G429" s="2">
        <v>39160.53</v>
      </c>
      <c r="H429" t="s">
        <v>340</v>
      </c>
    </row>
    <row r="430" spans="1:8" x14ac:dyDescent="0.3">
      <c r="A430" s="1">
        <v>45552</v>
      </c>
      <c r="B430" t="s">
        <v>82</v>
      </c>
      <c r="C430" t="s">
        <v>678</v>
      </c>
      <c r="D430" s="1">
        <v>45552</v>
      </c>
      <c r="E430" s="2">
        <v>2257.4699999999998</v>
      </c>
      <c r="F430" s="2">
        <v>0</v>
      </c>
      <c r="G430" s="2">
        <v>36903.06</v>
      </c>
      <c r="H430" t="s">
        <v>337</v>
      </c>
    </row>
    <row r="431" spans="1:8" x14ac:dyDescent="0.3">
      <c r="A431" s="1">
        <v>45553</v>
      </c>
      <c r="B431" t="s">
        <v>82</v>
      </c>
      <c r="C431" t="s">
        <v>679</v>
      </c>
      <c r="D431" s="1">
        <v>45553</v>
      </c>
      <c r="E431" s="2">
        <v>342.65</v>
      </c>
      <c r="F431" s="2">
        <v>0</v>
      </c>
      <c r="G431" s="2">
        <v>36560.410000000003</v>
      </c>
      <c r="H431" t="s">
        <v>337</v>
      </c>
    </row>
    <row r="432" spans="1:8" x14ac:dyDescent="0.3">
      <c r="A432" s="1">
        <v>45553</v>
      </c>
      <c r="B432" t="s">
        <v>82</v>
      </c>
      <c r="C432" t="s">
        <v>680</v>
      </c>
      <c r="D432" s="1">
        <v>45553</v>
      </c>
      <c r="E432" s="2">
        <v>36560.410000000003</v>
      </c>
      <c r="F432" s="2">
        <v>0</v>
      </c>
      <c r="G432" s="2">
        <v>0</v>
      </c>
      <c r="H432" t="s">
        <v>337</v>
      </c>
    </row>
    <row r="433" spans="1:8" x14ac:dyDescent="0.3">
      <c r="A433" s="1">
        <v>45554</v>
      </c>
      <c r="B433" t="s">
        <v>84</v>
      </c>
      <c r="C433" t="s">
        <v>681</v>
      </c>
      <c r="D433" s="1">
        <v>45554</v>
      </c>
      <c r="E433" s="2">
        <v>0</v>
      </c>
      <c r="F433" s="2">
        <v>19217.599999999999</v>
      </c>
      <c r="G433" s="2">
        <v>19217.599999999999</v>
      </c>
      <c r="H433" t="s">
        <v>337</v>
      </c>
    </row>
    <row r="434" spans="1:8" x14ac:dyDescent="0.3">
      <c r="A434" s="1">
        <v>45554</v>
      </c>
      <c r="B434" t="s">
        <v>82</v>
      </c>
      <c r="C434" t="s">
        <v>682</v>
      </c>
      <c r="D434" s="1">
        <v>45554</v>
      </c>
      <c r="E434" s="2">
        <v>329.62</v>
      </c>
      <c r="F434" s="2">
        <v>0</v>
      </c>
      <c r="G434" s="2">
        <v>18887.98</v>
      </c>
      <c r="H434" t="s">
        <v>337</v>
      </c>
    </row>
    <row r="435" spans="1:8" x14ac:dyDescent="0.3">
      <c r="A435" s="1">
        <v>45554</v>
      </c>
      <c r="B435" t="s">
        <v>82</v>
      </c>
      <c r="C435" t="s">
        <v>683</v>
      </c>
      <c r="D435" s="1">
        <v>45554</v>
      </c>
      <c r="E435" s="2">
        <v>7169.87</v>
      </c>
      <c r="F435" s="2">
        <v>0</v>
      </c>
      <c r="G435" s="2">
        <v>11718.11</v>
      </c>
      <c r="H435" t="s">
        <v>337</v>
      </c>
    </row>
    <row r="436" spans="1:8" x14ac:dyDescent="0.3">
      <c r="A436" s="1">
        <v>45555</v>
      </c>
      <c r="B436" t="s">
        <v>82</v>
      </c>
      <c r="C436" t="s">
        <v>684</v>
      </c>
      <c r="D436" s="1">
        <v>45555</v>
      </c>
      <c r="E436" s="2">
        <v>366.63</v>
      </c>
      <c r="F436" s="2">
        <v>0</v>
      </c>
      <c r="G436" s="2">
        <v>11351.48</v>
      </c>
      <c r="H436" t="s">
        <v>337</v>
      </c>
    </row>
    <row r="437" spans="1:8" x14ac:dyDescent="0.3">
      <c r="A437" s="1">
        <v>45558</v>
      </c>
      <c r="B437" t="s">
        <v>685</v>
      </c>
      <c r="C437" t="s">
        <v>686</v>
      </c>
      <c r="D437" s="1">
        <v>45558</v>
      </c>
      <c r="E437" s="2">
        <v>0</v>
      </c>
      <c r="F437" s="2">
        <v>88747.78</v>
      </c>
      <c r="G437" s="2">
        <v>100099.26</v>
      </c>
      <c r="H437" t="s">
        <v>1310</v>
      </c>
    </row>
    <row r="438" spans="1:8" x14ac:dyDescent="0.3">
      <c r="A438" s="1">
        <v>45558</v>
      </c>
      <c r="B438" t="s">
        <v>82</v>
      </c>
      <c r="C438" t="s">
        <v>687</v>
      </c>
      <c r="D438" s="1">
        <v>45558</v>
      </c>
      <c r="E438" s="2">
        <v>1099.8900000000001</v>
      </c>
      <c r="F438" s="2">
        <v>0</v>
      </c>
      <c r="G438" s="2">
        <v>98999.37</v>
      </c>
      <c r="H438" t="s">
        <v>337</v>
      </c>
    </row>
    <row r="439" spans="1:8" x14ac:dyDescent="0.3">
      <c r="A439" s="1">
        <v>45558</v>
      </c>
      <c r="B439" t="s">
        <v>688</v>
      </c>
      <c r="C439" t="s">
        <v>689</v>
      </c>
      <c r="D439" s="1">
        <v>45558</v>
      </c>
      <c r="E439" s="2">
        <v>16728</v>
      </c>
      <c r="F439" s="2">
        <v>0</v>
      </c>
      <c r="G439" s="2">
        <v>82271.37</v>
      </c>
      <c r="H439" t="s">
        <v>347</v>
      </c>
    </row>
    <row r="440" spans="1:8" x14ac:dyDescent="0.3">
      <c r="A440" s="1">
        <v>45558</v>
      </c>
      <c r="B440" t="s">
        <v>82</v>
      </c>
      <c r="C440" t="s">
        <v>690</v>
      </c>
      <c r="D440" s="1">
        <v>45558</v>
      </c>
      <c r="E440" s="2">
        <v>181.39</v>
      </c>
      <c r="F440" s="2">
        <v>0</v>
      </c>
      <c r="G440" s="2">
        <v>82089.98</v>
      </c>
      <c r="H440" t="s">
        <v>337</v>
      </c>
    </row>
    <row r="441" spans="1:8" x14ac:dyDescent="0.3">
      <c r="A441" s="1">
        <v>45559</v>
      </c>
      <c r="B441" t="s">
        <v>82</v>
      </c>
      <c r="C441" t="s">
        <v>691</v>
      </c>
      <c r="D441" s="1">
        <v>45559</v>
      </c>
      <c r="E441" s="2">
        <v>339.23</v>
      </c>
      <c r="F441" s="2">
        <v>0</v>
      </c>
      <c r="G441" s="2">
        <v>81750.75</v>
      </c>
      <c r="H441" t="s">
        <v>337</v>
      </c>
    </row>
    <row r="442" spans="1:8" x14ac:dyDescent="0.3">
      <c r="A442" s="1">
        <v>45559</v>
      </c>
      <c r="B442" t="s">
        <v>82</v>
      </c>
      <c r="C442" t="s">
        <v>692</v>
      </c>
      <c r="D442" s="1">
        <v>45559</v>
      </c>
      <c r="E442" s="2">
        <v>71920.679999999993</v>
      </c>
      <c r="F442" s="2">
        <v>0</v>
      </c>
      <c r="G442" s="2">
        <v>9830.07</v>
      </c>
      <c r="H442" t="s">
        <v>337</v>
      </c>
    </row>
    <row r="443" spans="1:8" x14ac:dyDescent="0.3">
      <c r="A443" s="1">
        <v>45560</v>
      </c>
      <c r="B443" t="s">
        <v>693</v>
      </c>
      <c r="C443" t="s">
        <v>694</v>
      </c>
      <c r="D443" s="1">
        <v>45560</v>
      </c>
      <c r="E443" s="2">
        <v>0</v>
      </c>
      <c r="F443" s="2">
        <v>60928.57</v>
      </c>
      <c r="G443" s="2">
        <v>70758.64</v>
      </c>
      <c r="H443" t="s">
        <v>1310</v>
      </c>
    </row>
    <row r="444" spans="1:8" x14ac:dyDescent="0.3">
      <c r="A444" s="1">
        <v>45560</v>
      </c>
      <c r="B444" t="s">
        <v>114</v>
      </c>
      <c r="C444" t="s">
        <v>695</v>
      </c>
      <c r="D444" s="1">
        <v>45560</v>
      </c>
      <c r="E444" s="2">
        <v>10000</v>
      </c>
      <c r="F444" s="2">
        <v>0</v>
      </c>
      <c r="G444" s="2">
        <v>60758.64</v>
      </c>
      <c r="H444" t="s">
        <v>342</v>
      </c>
    </row>
    <row r="445" spans="1:8" x14ac:dyDescent="0.3">
      <c r="A445" s="1">
        <v>45560</v>
      </c>
      <c r="B445" t="s">
        <v>82</v>
      </c>
      <c r="C445" t="s">
        <v>696</v>
      </c>
      <c r="D445" s="1">
        <v>45560</v>
      </c>
      <c r="E445" s="2">
        <v>313.62</v>
      </c>
      <c r="F445" s="2">
        <v>0</v>
      </c>
      <c r="G445" s="2">
        <v>60445.02</v>
      </c>
      <c r="H445" t="s">
        <v>337</v>
      </c>
    </row>
    <row r="446" spans="1:8" x14ac:dyDescent="0.3">
      <c r="A446" s="1">
        <v>45560</v>
      </c>
      <c r="B446" t="s">
        <v>697</v>
      </c>
      <c r="C446" t="s">
        <v>698</v>
      </c>
      <c r="D446" s="1">
        <v>45560</v>
      </c>
      <c r="E446" s="2">
        <v>10000</v>
      </c>
      <c r="F446" s="2">
        <v>0</v>
      </c>
      <c r="G446" s="2">
        <v>50445.02</v>
      </c>
      <c r="H446" t="s">
        <v>50</v>
      </c>
    </row>
    <row r="447" spans="1:8" x14ac:dyDescent="0.3">
      <c r="A447" s="1">
        <v>45561</v>
      </c>
      <c r="B447" t="s">
        <v>84</v>
      </c>
      <c r="C447" t="s">
        <v>699</v>
      </c>
      <c r="D447" s="1">
        <v>45561</v>
      </c>
      <c r="E447" s="2">
        <v>0</v>
      </c>
      <c r="F447" s="2">
        <v>132691.64000000001</v>
      </c>
      <c r="G447" s="2">
        <v>183136.66</v>
      </c>
      <c r="H447" t="s">
        <v>337</v>
      </c>
    </row>
    <row r="448" spans="1:8" x14ac:dyDescent="0.3">
      <c r="A448" s="1">
        <v>45561</v>
      </c>
      <c r="B448" t="s">
        <v>82</v>
      </c>
      <c r="C448" t="s">
        <v>700</v>
      </c>
      <c r="D448" s="1">
        <v>45561</v>
      </c>
      <c r="E448" s="2">
        <v>313.62</v>
      </c>
      <c r="F448" s="2">
        <v>0</v>
      </c>
      <c r="G448" s="2">
        <v>182823.04000000001</v>
      </c>
      <c r="H448" t="s">
        <v>337</v>
      </c>
    </row>
    <row r="449" spans="1:8" x14ac:dyDescent="0.3">
      <c r="A449" s="1">
        <v>45561</v>
      </c>
      <c r="B449" t="s">
        <v>701</v>
      </c>
      <c r="C449" t="s">
        <v>702</v>
      </c>
      <c r="D449" s="1">
        <v>45561</v>
      </c>
      <c r="E449" s="2">
        <v>0</v>
      </c>
      <c r="F449" s="2">
        <v>2380</v>
      </c>
      <c r="G449" s="2">
        <v>185203.04</v>
      </c>
      <c r="H449" t="s">
        <v>345</v>
      </c>
    </row>
    <row r="450" spans="1:8" x14ac:dyDescent="0.3">
      <c r="A450" s="1">
        <v>45562</v>
      </c>
      <c r="B450" t="s">
        <v>703</v>
      </c>
      <c r="C450" t="s">
        <v>704</v>
      </c>
      <c r="D450" s="1">
        <v>45562</v>
      </c>
      <c r="E450" s="2">
        <v>0</v>
      </c>
      <c r="F450" s="2">
        <v>2984.22</v>
      </c>
      <c r="G450" s="2">
        <v>188187.26</v>
      </c>
      <c r="H450" t="s">
        <v>1310</v>
      </c>
    </row>
    <row r="451" spans="1:8" x14ac:dyDescent="0.3">
      <c r="A451" s="1">
        <v>45562</v>
      </c>
      <c r="B451" t="s">
        <v>82</v>
      </c>
      <c r="C451" t="s">
        <v>705</v>
      </c>
      <c r="D451" s="1">
        <v>45562</v>
      </c>
      <c r="E451" s="2">
        <v>316.10000000000002</v>
      </c>
      <c r="F451" s="2">
        <v>0</v>
      </c>
      <c r="G451" s="2">
        <v>187871.16</v>
      </c>
      <c r="H451" t="s">
        <v>337</v>
      </c>
    </row>
    <row r="452" spans="1:8" x14ac:dyDescent="0.3">
      <c r="A452" s="1">
        <v>45562</v>
      </c>
      <c r="B452" t="s">
        <v>706</v>
      </c>
      <c r="C452" t="s">
        <v>707</v>
      </c>
      <c r="D452" s="1">
        <v>45562</v>
      </c>
      <c r="E452" s="2">
        <v>50000</v>
      </c>
      <c r="F452" s="2">
        <v>0</v>
      </c>
      <c r="G452" s="2">
        <v>137871.16</v>
      </c>
      <c r="H452" t="s">
        <v>1302</v>
      </c>
    </row>
    <row r="453" spans="1:8" x14ac:dyDescent="0.3">
      <c r="A453" s="1">
        <v>45562</v>
      </c>
      <c r="B453" t="s">
        <v>708</v>
      </c>
      <c r="C453" t="s">
        <v>709</v>
      </c>
      <c r="D453" s="1">
        <v>45562</v>
      </c>
      <c r="E453" s="2">
        <v>0</v>
      </c>
      <c r="F453" s="2">
        <v>16728</v>
      </c>
      <c r="G453" s="2">
        <v>154599.16</v>
      </c>
      <c r="H453" t="s">
        <v>345</v>
      </c>
    </row>
    <row r="454" spans="1:8" x14ac:dyDescent="0.3">
      <c r="A454" s="1">
        <v>45565</v>
      </c>
      <c r="B454" t="s">
        <v>710</v>
      </c>
      <c r="C454" t="s">
        <v>711</v>
      </c>
      <c r="D454" s="1">
        <v>45565</v>
      </c>
      <c r="E454" s="2">
        <v>0</v>
      </c>
      <c r="F454" s="2">
        <v>5948.77</v>
      </c>
      <c r="G454" s="2">
        <v>160547.93</v>
      </c>
      <c r="H454" t="s">
        <v>1310</v>
      </c>
    </row>
    <row r="455" spans="1:8" x14ac:dyDescent="0.3">
      <c r="A455" s="1">
        <v>45565</v>
      </c>
      <c r="B455" t="s">
        <v>82</v>
      </c>
      <c r="C455" t="s">
        <v>712</v>
      </c>
      <c r="D455" s="1">
        <v>45565</v>
      </c>
      <c r="E455" s="2">
        <v>951.48</v>
      </c>
      <c r="F455" s="2">
        <v>0</v>
      </c>
      <c r="G455" s="2">
        <v>159596.45000000001</v>
      </c>
      <c r="H455" t="s">
        <v>337</v>
      </c>
    </row>
    <row r="456" spans="1:8" x14ac:dyDescent="0.3">
      <c r="A456" s="1">
        <v>45565</v>
      </c>
      <c r="B456" t="s">
        <v>713</v>
      </c>
      <c r="C456" t="s">
        <v>714</v>
      </c>
      <c r="D456" s="1">
        <v>45565</v>
      </c>
      <c r="E456" s="2">
        <v>0</v>
      </c>
      <c r="F456" s="2">
        <v>84.57</v>
      </c>
      <c r="G456" s="2">
        <v>159681.01999999999</v>
      </c>
      <c r="H456" t="s">
        <v>340</v>
      </c>
    </row>
    <row r="457" spans="1:8" x14ac:dyDescent="0.3">
      <c r="A457" s="1">
        <v>45565</v>
      </c>
      <c r="B457" t="s">
        <v>715</v>
      </c>
      <c r="C457" t="s">
        <v>716</v>
      </c>
      <c r="D457" s="1">
        <v>45565</v>
      </c>
      <c r="E457" s="2">
        <v>0</v>
      </c>
      <c r="F457" s="2">
        <v>100000</v>
      </c>
      <c r="G457" s="2">
        <v>259681.02</v>
      </c>
      <c r="H457" t="s">
        <v>51</v>
      </c>
    </row>
    <row r="458" spans="1:8" x14ac:dyDescent="0.3">
      <c r="A458" s="1">
        <v>45565</v>
      </c>
      <c r="B458" t="s">
        <v>82</v>
      </c>
      <c r="C458" t="s">
        <v>717</v>
      </c>
      <c r="D458" s="1">
        <v>45565</v>
      </c>
      <c r="E458" s="2">
        <v>100829.95</v>
      </c>
      <c r="F458" s="2">
        <v>0</v>
      </c>
      <c r="G458" s="2">
        <v>158851.07</v>
      </c>
      <c r="H458" t="s">
        <v>337</v>
      </c>
    </row>
    <row r="459" spans="1:8" x14ac:dyDescent="0.3">
      <c r="A459" s="1">
        <v>45566</v>
      </c>
      <c r="B459" t="s">
        <v>718</v>
      </c>
      <c r="C459" t="s">
        <v>98</v>
      </c>
      <c r="D459" s="1">
        <v>45565</v>
      </c>
      <c r="E459" s="2">
        <v>0</v>
      </c>
      <c r="F459" s="2">
        <v>742</v>
      </c>
      <c r="G459" s="2">
        <v>159593.07</v>
      </c>
      <c r="H459" t="s">
        <v>344</v>
      </c>
    </row>
    <row r="460" spans="1:8" x14ac:dyDescent="0.3">
      <c r="A460" s="1">
        <v>45566</v>
      </c>
      <c r="B460" t="s">
        <v>82</v>
      </c>
      <c r="C460" t="s">
        <v>719</v>
      </c>
      <c r="D460" s="1">
        <v>45566</v>
      </c>
      <c r="E460" s="2">
        <v>281.95</v>
      </c>
      <c r="F460" s="2">
        <v>0</v>
      </c>
      <c r="G460" s="2">
        <v>159311.12</v>
      </c>
      <c r="H460" t="s">
        <v>337</v>
      </c>
    </row>
    <row r="461" spans="1:8" x14ac:dyDescent="0.3">
      <c r="A461" s="1">
        <v>45566</v>
      </c>
      <c r="B461" t="s">
        <v>720</v>
      </c>
      <c r="C461" t="s">
        <v>721</v>
      </c>
      <c r="D461" s="1">
        <v>45566</v>
      </c>
      <c r="E461" s="2">
        <v>150000</v>
      </c>
      <c r="F461" s="2">
        <v>0</v>
      </c>
      <c r="G461" s="2">
        <v>9311.1200000000008</v>
      </c>
      <c r="H461" t="s">
        <v>1298</v>
      </c>
    </row>
    <row r="462" spans="1:8" x14ac:dyDescent="0.3">
      <c r="A462" s="1">
        <v>45567</v>
      </c>
      <c r="B462" t="s">
        <v>722</v>
      </c>
      <c r="C462" t="s">
        <v>723</v>
      </c>
      <c r="D462" s="1">
        <v>45567</v>
      </c>
      <c r="E462" s="2">
        <v>0</v>
      </c>
      <c r="F462" s="2">
        <v>50000</v>
      </c>
      <c r="G462" s="2">
        <v>59311.12</v>
      </c>
      <c r="H462" t="s">
        <v>1303</v>
      </c>
    </row>
    <row r="463" spans="1:8" x14ac:dyDescent="0.3">
      <c r="A463" s="1">
        <v>45568</v>
      </c>
      <c r="B463" t="s">
        <v>724</v>
      </c>
      <c r="C463" t="s">
        <v>725</v>
      </c>
      <c r="D463" s="1">
        <v>45568</v>
      </c>
      <c r="E463" s="2">
        <v>0</v>
      </c>
      <c r="F463" s="2">
        <v>3562.65</v>
      </c>
      <c r="G463" s="2">
        <v>62873.77</v>
      </c>
      <c r="H463" t="s">
        <v>1310</v>
      </c>
    </row>
    <row r="464" spans="1:8" x14ac:dyDescent="0.3">
      <c r="A464" s="1">
        <v>45568</v>
      </c>
      <c r="B464" t="s">
        <v>726</v>
      </c>
      <c r="C464" t="s">
        <v>727</v>
      </c>
      <c r="D464" s="1">
        <v>45568</v>
      </c>
      <c r="E464" s="2">
        <v>0</v>
      </c>
      <c r="F464" s="2">
        <v>14704.96</v>
      </c>
      <c r="G464" s="2">
        <v>77578.73</v>
      </c>
      <c r="H464" t="s">
        <v>1310</v>
      </c>
    </row>
    <row r="465" spans="1:8" x14ac:dyDescent="0.3">
      <c r="A465" s="1">
        <v>45568</v>
      </c>
      <c r="B465" t="s">
        <v>82</v>
      </c>
      <c r="C465" t="s">
        <v>728</v>
      </c>
      <c r="D465" s="1">
        <v>45568</v>
      </c>
      <c r="E465" s="2">
        <v>732.04</v>
      </c>
      <c r="F465" s="2">
        <v>0</v>
      </c>
      <c r="G465" s="2">
        <v>76846.69</v>
      </c>
      <c r="H465" t="s">
        <v>337</v>
      </c>
    </row>
    <row r="466" spans="1:8" x14ac:dyDescent="0.3">
      <c r="A466" s="1">
        <v>45569</v>
      </c>
      <c r="B466" t="s">
        <v>82</v>
      </c>
      <c r="C466" t="s">
        <v>729</v>
      </c>
      <c r="D466" s="1">
        <v>45569</v>
      </c>
      <c r="E466" s="2">
        <v>40533.449999999997</v>
      </c>
      <c r="F466" s="2">
        <v>0</v>
      </c>
      <c r="G466" s="2">
        <v>36313.24</v>
      </c>
      <c r="H466" t="s">
        <v>337</v>
      </c>
    </row>
    <row r="467" spans="1:8" x14ac:dyDescent="0.3">
      <c r="A467" s="1">
        <v>45569</v>
      </c>
      <c r="B467" t="s">
        <v>82</v>
      </c>
      <c r="C467" t="s">
        <v>730</v>
      </c>
      <c r="D467" s="1">
        <v>45569</v>
      </c>
      <c r="E467" s="2">
        <v>352.85</v>
      </c>
      <c r="F467" s="2">
        <v>0</v>
      </c>
      <c r="G467" s="2">
        <v>35960.39</v>
      </c>
      <c r="H467" t="s">
        <v>337</v>
      </c>
    </row>
    <row r="468" spans="1:8" x14ac:dyDescent="0.3">
      <c r="A468" s="1">
        <v>45569</v>
      </c>
      <c r="B468" t="s">
        <v>82</v>
      </c>
      <c r="C468" t="s">
        <v>731</v>
      </c>
      <c r="D468" s="1">
        <v>45569</v>
      </c>
      <c r="E468" s="2">
        <v>6291.03</v>
      </c>
      <c r="F468" s="2">
        <v>0</v>
      </c>
      <c r="G468" s="2">
        <v>29669.360000000001</v>
      </c>
      <c r="H468" t="s">
        <v>337</v>
      </c>
    </row>
    <row r="469" spans="1:8" x14ac:dyDescent="0.3">
      <c r="A469" s="1">
        <v>45572</v>
      </c>
      <c r="B469" t="s">
        <v>82</v>
      </c>
      <c r="C469" t="s">
        <v>732</v>
      </c>
      <c r="D469" s="1">
        <v>45572</v>
      </c>
      <c r="E469" s="2">
        <v>678.4</v>
      </c>
      <c r="F469" s="2">
        <v>0</v>
      </c>
      <c r="G469" s="2">
        <v>28990.959999999999</v>
      </c>
      <c r="H469" t="s">
        <v>337</v>
      </c>
    </row>
    <row r="470" spans="1:8" x14ac:dyDescent="0.3">
      <c r="A470" s="1">
        <v>45572</v>
      </c>
      <c r="B470" t="s">
        <v>733</v>
      </c>
      <c r="C470" t="s">
        <v>734</v>
      </c>
      <c r="D470" s="1">
        <v>45572</v>
      </c>
      <c r="E470" s="2">
        <v>0</v>
      </c>
      <c r="F470" s="2">
        <v>25</v>
      </c>
      <c r="G470" s="2">
        <v>29015.96</v>
      </c>
      <c r="H470" t="s">
        <v>340</v>
      </c>
    </row>
    <row r="471" spans="1:8" x14ac:dyDescent="0.3">
      <c r="A471" s="1">
        <v>45572</v>
      </c>
      <c r="B471" t="s">
        <v>82</v>
      </c>
      <c r="C471" t="s">
        <v>735</v>
      </c>
      <c r="D471" s="1">
        <v>45572</v>
      </c>
      <c r="E471" s="2">
        <v>431.33</v>
      </c>
      <c r="F471" s="2">
        <v>0</v>
      </c>
      <c r="G471" s="2">
        <v>28584.63</v>
      </c>
      <c r="H471" t="s">
        <v>337</v>
      </c>
    </row>
    <row r="472" spans="1:8" x14ac:dyDescent="0.3">
      <c r="A472" s="1">
        <v>45572</v>
      </c>
      <c r="B472" t="s">
        <v>82</v>
      </c>
      <c r="C472" t="s">
        <v>736</v>
      </c>
      <c r="D472" s="1">
        <v>45572</v>
      </c>
      <c r="E472" s="2">
        <v>15433.41</v>
      </c>
      <c r="F472" s="2">
        <v>0</v>
      </c>
      <c r="G472" s="2">
        <v>13151.22</v>
      </c>
      <c r="H472" t="s">
        <v>337</v>
      </c>
    </row>
    <row r="473" spans="1:8" x14ac:dyDescent="0.3">
      <c r="A473" s="1">
        <v>45573</v>
      </c>
      <c r="B473" t="s">
        <v>737</v>
      </c>
      <c r="C473" t="s">
        <v>738</v>
      </c>
      <c r="D473" s="1">
        <v>45573</v>
      </c>
      <c r="E473" s="2">
        <v>0</v>
      </c>
      <c r="F473" s="2">
        <v>431.33</v>
      </c>
      <c r="G473" s="2">
        <v>13582.55</v>
      </c>
      <c r="H473" t="s">
        <v>1310</v>
      </c>
    </row>
    <row r="474" spans="1:8" x14ac:dyDescent="0.3">
      <c r="A474" s="1">
        <v>45573</v>
      </c>
      <c r="B474" t="s">
        <v>82</v>
      </c>
      <c r="C474" t="s">
        <v>739</v>
      </c>
      <c r="D474" s="1">
        <v>45573</v>
      </c>
      <c r="E474" s="2">
        <v>364.57</v>
      </c>
      <c r="F474" s="2">
        <v>0</v>
      </c>
      <c r="G474" s="2">
        <v>13217.98</v>
      </c>
      <c r="H474" t="s">
        <v>337</v>
      </c>
    </row>
    <row r="475" spans="1:8" x14ac:dyDescent="0.3">
      <c r="A475" s="1">
        <v>45573</v>
      </c>
      <c r="B475" t="s">
        <v>740</v>
      </c>
      <c r="C475" t="s">
        <v>741</v>
      </c>
      <c r="D475" s="1">
        <v>45573</v>
      </c>
      <c r="E475" s="2">
        <v>0</v>
      </c>
      <c r="F475" s="2">
        <v>191</v>
      </c>
      <c r="G475" s="2">
        <v>13408.98</v>
      </c>
      <c r="H475" t="s">
        <v>340</v>
      </c>
    </row>
    <row r="476" spans="1:8" x14ac:dyDescent="0.3">
      <c r="A476" s="1">
        <v>45574</v>
      </c>
      <c r="B476" t="s">
        <v>742</v>
      </c>
      <c r="C476" t="s">
        <v>743</v>
      </c>
      <c r="D476" s="1">
        <v>45574</v>
      </c>
      <c r="E476" s="2">
        <v>0</v>
      </c>
      <c r="F476" s="2">
        <v>4964.28</v>
      </c>
      <c r="G476" s="2">
        <v>18373.259999999998</v>
      </c>
      <c r="H476" t="s">
        <v>1310</v>
      </c>
    </row>
    <row r="477" spans="1:8" x14ac:dyDescent="0.3">
      <c r="A477" s="1">
        <v>45574</v>
      </c>
      <c r="B477" t="s">
        <v>82</v>
      </c>
      <c r="C477" t="s">
        <v>744</v>
      </c>
      <c r="D477" s="1">
        <v>45574</v>
      </c>
      <c r="E477" s="2">
        <v>364.57</v>
      </c>
      <c r="F477" s="2">
        <v>0</v>
      </c>
      <c r="G477" s="2">
        <v>18008.689999999999</v>
      </c>
      <c r="H477" t="s">
        <v>337</v>
      </c>
    </row>
    <row r="478" spans="1:8" x14ac:dyDescent="0.3">
      <c r="A478" s="1">
        <v>45575</v>
      </c>
      <c r="B478" t="s">
        <v>745</v>
      </c>
      <c r="C478" t="s">
        <v>746</v>
      </c>
      <c r="D478" s="1">
        <v>45575</v>
      </c>
      <c r="E478" s="2">
        <v>0</v>
      </c>
      <c r="F478" s="2">
        <v>1439.2</v>
      </c>
      <c r="G478" s="2">
        <v>19447.89</v>
      </c>
      <c r="H478" t="s">
        <v>1310</v>
      </c>
    </row>
    <row r="479" spans="1:8" x14ac:dyDescent="0.3">
      <c r="A479" s="1">
        <v>45575</v>
      </c>
      <c r="B479" t="s">
        <v>747</v>
      </c>
      <c r="C479" t="s">
        <v>748</v>
      </c>
      <c r="D479" s="1">
        <v>45575</v>
      </c>
      <c r="E479" s="2">
        <v>0</v>
      </c>
      <c r="F479" s="2">
        <v>29661.24</v>
      </c>
      <c r="G479" s="2">
        <v>49109.13</v>
      </c>
      <c r="H479" t="s">
        <v>1310</v>
      </c>
    </row>
    <row r="480" spans="1:8" x14ac:dyDescent="0.3">
      <c r="A480" s="1">
        <v>45575</v>
      </c>
      <c r="B480" t="s">
        <v>82</v>
      </c>
      <c r="C480" t="s">
        <v>749</v>
      </c>
      <c r="D480" s="1">
        <v>45575</v>
      </c>
      <c r="E480" s="2">
        <v>366.34</v>
      </c>
      <c r="F480" s="2">
        <v>0</v>
      </c>
      <c r="G480" s="2">
        <v>48742.79</v>
      </c>
      <c r="H480" t="s">
        <v>337</v>
      </c>
    </row>
    <row r="481" spans="1:8" x14ac:dyDescent="0.3">
      <c r="A481" s="1">
        <v>45575</v>
      </c>
      <c r="B481" t="s">
        <v>750</v>
      </c>
      <c r="C481" t="s">
        <v>751</v>
      </c>
      <c r="D481" s="1">
        <v>45575</v>
      </c>
      <c r="E481" s="2">
        <v>0</v>
      </c>
      <c r="F481" s="2">
        <v>34220</v>
      </c>
      <c r="G481" s="2">
        <v>82962.789999999994</v>
      </c>
      <c r="H481" t="s">
        <v>345</v>
      </c>
    </row>
    <row r="482" spans="1:8" x14ac:dyDescent="0.3">
      <c r="A482" s="1">
        <v>45576</v>
      </c>
      <c r="B482" t="s">
        <v>752</v>
      </c>
      <c r="C482" t="s">
        <v>753</v>
      </c>
      <c r="D482" s="1">
        <v>45576</v>
      </c>
      <c r="E482" s="2">
        <v>0</v>
      </c>
      <c r="F482" s="2">
        <v>5366.11</v>
      </c>
      <c r="G482" s="2">
        <v>88328.9</v>
      </c>
      <c r="H482" t="s">
        <v>1310</v>
      </c>
    </row>
    <row r="483" spans="1:8" x14ac:dyDescent="0.3">
      <c r="A483" s="1">
        <v>45576</v>
      </c>
      <c r="B483" t="s">
        <v>82</v>
      </c>
      <c r="C483" t="s">
        <v>754</v>
      </c>
      <c r="D483" s="1">
        <v>45576</v>
      </c>
      <c r="E483" s="2">
        <v>366.85</v>
      </c>
      <c r="F483" s="2">
        <v>0</v>
      </c>
      <c r="G483" s="2">
        <v>87962.05</v>
      </c>
      <c r="H483" t="s">
        <v>337</v>
      </c>
    </row>
    <row r="484" spans="1:8" x14ac:dyDescent="0.3">
      <c r="A484" s="1">
        <v>45576</v>
      </c>
      <c r="B484" t="s">
        <v>82</v>
      </c>
      <c r="C484" t="s">
        <v>755</v>
      </c>
      <c r="D484" s="1">
        <v>45576</v>
      </c>
      <c r="E484" s="2">
        <v>119.69</v>
      </c>
      <c r="F484" s="2">
        <v>0</v>
      </c>
      <c r="G484" s="2">
        <v>87842.36</v>
      </c>
      <c r="H484" t="s">
        <v>337</v>
      </c>
    </row>
    <row r="485" spans="1:8" x14ac:dyDescent="0.3">
      <c r="A485" s="1">
        <v>45579</v>
      </c>
      <c r="B485" t="s">
        <v>82</v>
      </c>
      <c r="C485" t="s">
        <v>756</v>
      </c>
      <c r="D485" s="1">
        <v>45579</v>
      </c>
      <c r="E485" s="2">
        <v>2966.98</v>
      </c>
      <c r="F485" s="2">
        <v>0</v>
      </c>
      <c r="G485" s="2">
        <v>84875.38</v>
      </c>
      <c r="H485" t="s">
        <v>337</v>
      </c>
    </row>
    <row r="486" spans="1:8" x14ac:dyDescent="0.3">
      <c r="A486" s="1">
        <v>45580</v>
      </c>
      <c r="B486" t="s">
        <v>757</v>
      </c>
      <c r="C486" t="s">
        <v>758</v>
      </c>
      <c r="D486" s="1">
        <v>45580</v>
      </c>
      <c r="E486" s="2">
        <v>0</v>
      </c>
      <c r="F486" s="2">
        <v>141198.07</v>
      </c>
      <c r="G486" s="2">
        <v>226073.45</v>
      </c>
      <c r="H486" t="s">
        <v>1310</v>
      </c>
    </row>
    <row r="487" spans="1:8" x14ac:dyDescent="0.3">
      <c r="A487" s="1">
        <v>45580</v>
      </c>
      <c r="B487" t="s">
        <v>114</v>
      </c>
      <c r="C487" t="s">
        <v>759</v>
      </c>
      <c r="D487" s="1">
        <v>45580</v>
      </c>
      <c r="E487" s="2">
        <v>5000</v>
      </c>
      <c r="F487" s="2">
        <v>0</v>
      </c>
      <c r="G487" s="2">
        <v>221073.45</v>
      </c>
      <c r="H487" t="s">
        <v>341</v>
      </c>
    </row>
    <row r="488" spans="1:8" x14ac:dyDescent="0.3">
      <c r="A488" s="1">
        <v>45580</v>
      </c>
      <c r="B488" t="s">
        <v>760</v>
      </c>
      <c r="C488" t="s">
        <v>98</v>
      </c>
      <c r="D488" s="1">
        <v>45580</v>
      </c>
      <c r="E488" s="2">
        <v>746.79</v>
      </c>
      <c r="F488" s="2">
        <v>0</v>
      </c>
      <c r="G488" s="2">
        <v>220326.66</v>
      </c>
      <c r="H488" t="s">
        <v>343</v>
      </c>
    </row>
    <row r="489" spans="1:8" x14ac:dyDescent="0.3">
      <c r="A489" s="1">
        <v>45580</v>
      </c>
      <c r="B489" t="s">
        <v>761</v>
      </c>
      <c r="C489" t="s">
        <v>762</v>
      </c>
      <c r="D489" s="1">
        <v>45580</v>
      </c>
      <c r="E489" s="2">
        <v>10000</v>
      </c>
      <c r="F489" s="2">
        <v>0</v>
      </c>
      <c r="G489" s="2">
        <v>210326.66</v>
      </c>
      <c r="H489" t="s">
        <v>50</v>
      </c>
    </row>
    <row r="490" spans="1:8" x14ac:dyDescent="0.3">
      <c r="A490" s="1">
        <v>45580</v>
      </c>
      <c r="B490" t="s">
        <v>82</v>
      </c>
      <c r="C490" t="s">
        <v>763</v>
      </c>
      <c r="D490" s="1">
        <v>45580</v>
      </c>
      <c r="E490" s="2">
        <v>368.05</v>
      </c>
      <c r="F490" s="2">
        <v>0</v>
      </c>
      <c r="G490" s="2">
        <v>209958.61</v>
      </c>
      <c r="H490" t="s">
        <v>337</v>
      </c>
    </row>
    <row r="491" spans="1:8" x14ac:dyDescent="0.3">
      <c r="A491" s="1">
        <v>45580</v>
      </c>
      <c r="B491" t="s">
        <v>82</v>
      </c>
      <c r="C491" t="s">
        <v>764</v>
      </c>
      <c r="D491" s="1">
        <v>45580</v>
      </c>
      <c r="E491" s="2">
        <v>6720.79</v>
      </c>
      <c r="F491" s="2">
        <v>0</v>
      </c>
      <c r="G491" s="2">
        <v>203237.82</v>
      </c>
      <c r="H491" t="s">
        <v>337</v>
      </c>
    </row>
    <row r="492" spans="1:8" x14ac:dyDescent="0.3">
      <c r="A492" s="1">
        <v>45581</v>
      </c>
      <c r="B492" t="s">
        <v>82</v>
      </c>
      <c r="C492" t="s">
        <v>765</v>
      </c>
      <c r="D492" s="1">
        <v>45581</v>
      </c>
      <c r="E492" s="2">
        <v>365.66</v>
      </c>
      <c r="F492" s="2">
        <v>0</v>
      </c>
      <c r="G492" s="2">
        <v>202872.16</v>
      </c>
      <c r="H492" t="s">
        <v>337</v>
      </c>
    </row>
    <row r="493" spans="1:8" x14ac:dyDescent="0.3">
      <c r="A493" s="1">
        <v>45581</v>
      </c>
      <c r="B493" t="s">
        <v>766</v>
      </c>
      <c r="C493" t="s">
        <v>767</v>
      </c>
      <c r="D493" s="1">
        <v>45581</v>
      </c>
      <c r="E493" s="2">
        <v>0</v>
      </c>
      <c r="F493" s="2">
        <v>337.5</v>
      </c>
      <c r="G493" s="2">
        <v>203209.66</v>
      </c>
      <c r="H493" t="s">
        <v>340</v>
      </c>
    </row>
    <row r="494" spans="1:8" x14ac:dyDescent="0.3">
      <c r="A494" s="1">
        <v>45582</v>
      </c>
      <c r="B494" t="s">
        <v>768</v>
      </c>
      <c r="C494" t="s">
        <v>769</v>
      </c>
      <c r="D494" s="1">
        <v>45582</v>
      </c>
      <c r="E494" s="2">
        <v>0</v>
      </c>
      <c r="F494" s="2">
        <v>32327.51</v>
      </c>
      <c r="G494" s="2">
        <v>235537.17</v>
      </c>
      <c r="H494" t="s">
        <v>1310</v>
      </c>
    </row>
    <row r="495" spans="1:8" x14ac:dyDescent="0.3">
      <c r="A495" s="1">
        <v>45582</v>
      </c>
      <c r="B495" t="s">
        <v>82</v>
      </c>
      <c r="C495" t="s">
        <v>770</v>
      </c>
      <c r="D495" s="1">
        <v>45582</v>
      </c>
      <c r="E495" s="2">
        <v>365.66</v>
      </c>
      <c r="F495" s="2">
        <v>0</v>
      </c>
      <c r="G495" s="2">
        <v>235171.51</v>
      </c>
      <c r="H495" t="s">
        <v>337</v>
      </c>
    </row>
    <row r="496" spans="1:8" x14ac:dyDescent="0.3">
      <c r="A496" s="1">
        <v>45582</v>
      </c>
      <c r="B496" t="s">
        <v>82</v>
      </c>
      <c r="C496" t="s">
        <v>771</v>
      </c>
      <c r="D496" s="1">
        <v>45582</v>
      </c>
      <c r="E496" s="2">
        <v>11850.76</v>
      </c>
      <c r="F496" s="2">
        <v>0</v>
      </c>
      <c r="G496" s="2">
        <v>223320.75</v>
      </c>
      <c r="H496" t="s">
        <v>337</v>
      </c>
    </row>
    <row r="497" spans="1:8" x14ac:dyDescent="0.3">
      <c r="A497" s="1">
        <v>45583</v>
      </c>
      <c r="B497" t="s">
        <v>761</v>
      </c>
      <c r="C497" t="s">
        <v>772</v>
      </c>
      <c r="D497" s="1">
        <v>45583</v>
      </c>
      <c r="E497" s="2">
        <v>10000</v>
      </c>
      <c r="F497" s="2">
        <v>0</v>
      </c>
      <c r="G497" s="2">
        <v>213320.75</v>
      </c>
      <c r="H497" t="s">
        <v>50</v>
      </c>
    </row>
    <row r="498" spans="1:8" x14ac:dyDescent="0.3">
      <c r="A498" s="1">
        <v>45583</v>
      </c>
      <c r="B498" t="s">
        <v>82</v>
      </c>
      <c r="C498" t="s">
        <v>773</v>
      </c>
      <c r="D498" s="1">
        <v>45583</v>
      </c>
      <c r="E498" s="2">
        <v>347.39</v>
      </c>
      <c r="F498" s="2">
        <v>0</v>
      </c>
      <c r="G498" s="2">
        <v>212973.36</v>
      </c>
      <c r="H498" t="s">
        <v>337</v>
      </c>
    </row>
    <row r="499" spans="1:8" x14ac:dyDescent="0.3">
      <c r="A499" s="1">
        <v>45583</v>
      </c>
      <c r="B499" t="s">
        <v>774</v>
      </c>
      <c r="C499" t="s">
        <v>775</v>
      </c>
      <c r="D499" s="1">
        <v>45583</v>
      </c>
      <c r="E499" s="2">
        <v>0</v>
      </c>
      <c r="F499" s="2">
        <v>2738</v>
      </c>
      <c r="G499" s="2">
        <v>215711.35999999999</v>
      </c>
      <c r="H499" t="s">
        <v>345</v>
      </c>
    </row>
    <row r="500" spans="1:8" x14ac:dyDescent="0.3">
      <c r="A500" s="1">
        <v>45583</v>
      </c>
      <c r="B500" t="s">
        <v>82</v>
      </c>
      <c r="C500" t="s">
        <v>776</v>
      </c>
      <c r="D500" s="1">
        <v>45583</v>
      </c>
      <c r="E500" s="2">
        <v>2268.59</v>
      </c>
      <c r="F500" s="2">
        <v>0</v>
      </c>
      <c r="G500" s="2">
        <v>213442.77</v>
      </c>
      <c r="H500" t="s">
        <v>337</v>
      </c>
    </row>
    <row r="501" spans="1:8" x14ac:dyDescent="0.3">
      <c r="A501" s="1">
        <v>45584</v>
      </c>
      <c r="B501" t="s">
        <v>777</v>
      </c>
      <c r="C501" t="s">
        <v>778</v>
      </c>
      <c r="D501" s="1">
        <v>45584</v>
      </c>
      <c r="E501" s="2">
        <v>19498</v>
      </c>
      <c r="F501" s="2">
        <v>0</v>
      </c>
      <c r="G501" s="2">
        <v>193944.77</v>
      </c>
      <c r="H501" t="s">
        <v>347</v>
      </c>
    </row>
    <row r="502" spans="1:8" x14ac:dyDescent="0.3">
      <c r="A502" s="1">
        <v>45586</v>
      </c>
      <c r="B502" t="s">
        <v>779</v>
      </c>
      <c r="C502" t="s">
        <v>780</v>
      </c>
      <c r="D502" s="1">
        <v>45586</v>
      </c>
      <c r="E502" s="2">
        <v>0</v>
      </c>
      <c r="F502" s="2">
        <v>750</v>
      </c>
      <c r="G502" s="2">
        <v>194694.77</v>
      </c>
      <c r="H502" t="s">
        <v>340</v>
      </c>
    </row>
    <row r="503" spans="1:8" x14ac:dyDescent="0.3">
      <c r="A503" s="1">
        <v>45586</v>
      </c>
      <c r="B503" t="s">
        <v>82</v>
      </c>
      <c r="C503" t="s">
        <v>781</v>
      </c>
      <c r="D503" s="1">
        <v>45586</v>
      </c>
      <c r="E503" s="2">
        <v>1057.68</v>
      </c>
      <c r="F503" s="2">
        <v>0</v>
      </c>
      <c r="G503" s="2">
        <v>193637.09</v>
      </c>
      <c r="H503" t="s">
        <v>337</v>
      </c>
    </row>
    <row r="504" spans="1:8" x14ac:dyDescent="0.3">
      <c r="A504" s="1">
        <v>45586</v>
      </c>
      <c r="B504" t="s">
        <v>82</v>
      </c>
      <c r="C504" t="s">
        <v>782</v>
      </c>
      <c r="D504" s="1">
        <v>45586</v>
      </c>
      <c r="E504" s="2">
        <v>10739.78</v>
      </c>
      <c r="F504" s="2">
        <v>0</v>
      </c>
      <c r="G504" s="2">
        <v>182897.31</v>
      </c>
      <c r="H504" t="s">
        <v>337</v>
      </c>
    </row>
    <row r="505" spans="1:8" x14ac:dyDescent="0.3">
      <c r="A505" s="1">
        <v>45587</v>
      </c>
      <c r="B505" t="s">
        <v>82</v>
      </c>
      <c r="C505" t="s">
        <v>783</v>
      </c>
      <c r="D505" s="1">
        <v>45587</v>
      </c>
      <c r="E505" s="2">
        <v>355.42</v>
      </c>
      <c r="F505" s="2">
        <v>0</v>
      </c>
      <c r="G505" s="2">
        <v>182541.89</v>
      </c>
      <c r="H505" t="s">
        <v>337</v>
      </c>
    </row>
    <row r="506" spans="1:8" x14ac:dyDescent="0.3">
      <c r="A506" s="1">
        <v>45587</v>
      </c>
      <c r="B506" t="s">
        <v>784</v>
      </c>
      <c r="C506" t="s">
        <v>785</v>
      </c>
      <c r="D506" s="1">
        <v>45587</v>
      </c>
      <c r="E506" s="2">
        <v>0</v>
      </c>
      <c r="F506" s="2">
        <v>7.24</v>
      </c>
      <c r="G506" s="2">
        <v>182549.13</v>
      </c>
      <c r="H506" t="s">
        <v>1311</v>
      </c>
    </row>
    <row r="507" spans="1:8" x14ac:dyDescent="0.3">
      <c r="A507" s="1">
        <v>45587</v>
      </c>
      <c r="B507" t="s">
        <v>82</v>
      </c>
      <c r="C507" t="s">
        <v>786</v>
      </c>
      <c r="D507" s="1">
        <v>45587</v>
      </c>
      <c r="E507" s="2">
        <v>38201.14</v>
      </c>
      <c r="F507" s="2">
        <v>0</v>
      </c>
      <c r="G507" s="2">
        <v>144347.99</v>
      </c>
      <c r="H507" t="s">
        <v>337</v>
      </c>
    </row>
    <row r="508" spans="1:8" x14ac:dyDescent="0.3">
      <c r="A508" s="1">
        <v>45588</v>
      </c>
      <c r="B508" t="s">
        <v>82</v>
      </c>
      <c r="C508" t="s">
        <v>787</v>
      </c>
      <c r="D508" s="1">
        <v>45588</v>
      </c>
      <c r="E508" s="2">
        <v>341.81</v>
      </c>
      <c r="F508" s="2">
        <v>0</v>
      </c>
      <c r="G508" s="2">
        <v>144006.18</v>
      </c>
      <c r="H508" t="s">
        <v>337</v>
      </c>
    </row>
    <row r="509" spans="1:8" x14ac:dyDescent="0.3">
      <c r="A509" s="1">
        <v>45589</v>
      </c>
      <c r="B509" t="s">
        <v>788</v>
      </c>
      <c r="C509" t="s">
        <v>789</v>
      </c>
      <c r="D509" s="1">
        <v>45589</v>
      </c>
      <c r="E509" s="2">
        <v>0</v>
      </c>
      <c r="F509" s="2">
        <v>5487.3</v>
      </c>
      <c r="G509" s="2">
        <v>149493.48000000001</v>
      </c>
      <c r="H509" t="s">
        <v>1310</v>
      </c>
    </row>
    <row r="510" spans="1:8" x14ac:dyDescent="0.3">
      <c r="A510" s="1">
        <v>45589</v>
      </c>
      <c r="B510" t="s">
        <v>82</v>
      </c>
      <c r="C510" t="s">
        <v>790</v>
      </c>
      <c r="D510" s="1">
        <v>45589</v>
      </c>
      <c r="E510" s="2">
        <v>350.21</v>
      </c>
      <c r="F510" s="2">
        <v>0</v>
      </c>
      <c r="G510" s="2">
        <v>149143.26999999999</v>
      </c>
      <c r="H510" t="s">
        <v>337</v>
      </c>
    </row>
    <row r="511" spans="1:8" x14ac:dyDescent="0.3">
      <c r="A511" s="1">
        <v>45589</v>
      </c>
      <c r="B511" t="s">
        <v>791</v>
      </c>
      <c r="C511" t="s">
        <v>792</v>
      </c>
      <c r="D511" s="1">
        <v>45589</v>
      </c>
      <c r="E511" s="2">
        <v>0</v>
      </c>
      <c r="F511" s="2">
        <v>627</v>
      </c>
      <c r="G511" s="2">
        <v>149770.26999999999</v>
      </c>
      <c r="H511" t="s">
        <v>340</v>
      </c>
    </row>
    <row r="512" spans="1:8" x14ac:dyDescent="0.3">
      <c r="A512" s="1">
        <v>45589</v>
      </c>
      <c r="B512" t="s">
        <v>82</v>
      </c>
      <c r="C512" t="s">
        <v>793</v>
      </c>
      <c r="D512" s="1">
        <v>45589</v>
      </c>
      <c r="E512" s="2">
        <v>17360.75</v>
      </c>
      <c r="F512" s="2">
        <v>0</v>
      </c>
      <c r="G512" s="2">
        <v>132409.51999999999</v>
      </c>
      <c r="H512" t="s">
        <v>337</v>
      </c>
    </row>
    <row r="513" spans="1:8" x14ac:dyDescent="0.3">
      <c r="A513" s="1">
        <v>45589</v>
      </c>
      <c r="B513" t="s">
        <v>82</v>
      </c>
      <c r="C513" t="s">
        <v>794</v>
      </c>
      <c r="D513" s="1">
        <v>45589</v>
      </c>
      <c r="E513" s="2">
        <v>15969.06</v>
      </c>
      <c r="F513" s="2">
        <v>0</v>
      </c>
      <c r="G513" s="2">
        <v>116440.46</v>
      </c>
      <c r="H513" t="s">
        <v>337</v>
      </c>
    </row>
    <row r="514" spans="1:8" x14ac:dyDescent="0.3">
      <c r="A514" s="1">
        <v>45590</v>
      </c>
      <c r="B514" t="s">
        <v>114</v>
      </c>
      <c r="C514" t="s">
        <v>795</v>
      </c>
      <c r="D514" s="1">
        <v>45590</v>
      </c>
      <c r="E514" s="2">
        <v>10000</v>
      </c>
      <c r="F514" s="2">
        <v>0</v>
      </c>
      <c r="G514" s="2">
        <v>106440.46</v>
      </c>
      <c r="H514" t="s">
        <v>342</v>
      </c>
    </row>
    <row r="515" spans="1:8" x14ac:dyDescent="0.3">
      <c r="A515" s="1">
        <v>45590</v>
      </c>
      <c r="B515" t="s">
        <v>82</v>
      </c>
      <c r="C515" t="s">
        <v>796</v>
      </c>
      <c r="D515" s="1">
        <v>45590</v>
      </c>
      <c r="E515" s="2">
        <v>346.47</v>
      </c>
      <c r="F515" s="2">
        <v>0</v>
      </c>
      <c r="G515" s="2">
        <v>106093.99</v>
      </c>
      <c r="H515" t="s">
        <v>337</v>
      </c>
    </row>
    <row r="516" spans="1:8" x14ac:dyDescent="0.3">
      <c r="A516" s="1">
        <v>45590</v>
      </c>
      <c r="B516" t="s">
        <v>797</v>
      </c>
      <c r="C516" t="s">
        <v>798</v>
      </c>
      <c r="D516" s="1">
        <v>45590</v>
      </c>
      <c r="E516" s="2">
        <v>0</v>
      </c>
      <c r="F516" s="2">
        <v>276</v>
      </c>
      <c r="G516" s="2">
        <v>106369.99</v>
      </c>
      <c r="H516" t="s">
        <v>340</v>
      </c>
    </row>
    <row r="517" spans="1:8" x14ac:dyDescent="0.3">
      <c r="A517" s="1">
        <v>45590</v>
      </c>
      <c r="B517" t="s">
        <v>82</v>
      </c>
      <c r="C517" t="s">
        <v>799</v>
      </c>
      <c r="D517" s="1">
        <v>45590</v>
      </c>
      <c r="E517" s="2">
        <v>22819.61</v>
      </c>
      <c r="F517" s="2">
        <v>0</v>
      </c>
      <c r="G517" s="2">
        <v>83550.38</v>
      </c>
      <c r="H517" t="s">
        <v>337</v>
      </c>
    </row>
    <row r="518" spans="1:8" x14ac:dyDescent="0.3">
      <c r="A518" s="1">
        <v>45591</v>
      </c>
      <c r="B518" t="s">
        <v>82</v>
      </c>
      <c r="C518" t="s">
        <v>800</v>
      </c>
      <c r="D518" s="1">
        <v>45591</v>
      </c>
      <c r="E518" s="2">
        <v>29876.83</v>
      </c>
      <c r="F518" s="2">
        <v>0</v>
      </c>
      <c r="G518" s="2">
        <v>53673.55</v>
      </c>
      <c r="H518" t="s">
        <v>337</v>
      </c>
    </row>
    <row r="519" spans="1:8" x14ac:dyDescent="0.3">
      <c r="A519" s="1">
        <v>45592</v>
      </c>
      <c r="B519" t="s">
        <v>801</v>
      </c>
      <c r="C519" t="s">
        <v>802</v>
      </c>
      <c r="D519" s="1">
        <v>45592</v>
      </c>
      <c r="E519" s="2">
        <v>20000</v>
      </c>
      <c r="F519" s="2">
        <v>0</v>
      </c>
      <c r="G519" s="2">
        <v>33673.550000000003</v>
      </c>
      <c r="H519" t="s">
        <v>1301</v>
      </c>
    </row>
    <row r="520" spans="1:8" x14ac:dyDescent="0.3">
      <c r="A520" s="1">
        <v>45593</v>
      </c>
      <c r="B520" t="s">
        <v>82</v>
      </c>
      <c r="C520" t="s">
        <v>803</v>
      </c>
      <c r="D520" s="1">
        <v>45593</v>
      </c>
      <c r="E520" s="2">
        <v>1007.49</v>
      </c>
      <c r="F520" s="2">
        <v>0</v>
      </c>
      <c r="G520" s="2">
        <v>32666.06</v>
      </c>
      <c r="H520" t="s">
        <v>337</v>
      </c>
    </row>
    <row r="521" spans="1:8" x14ac:dyDescent="0.3">
      <c r="A521" s="1">
        <v>45593</v>
      </c>
      <c r="B521" t="s">
        <v>804</v>
      </c>
      <c r="C521" t="s">
        <v>805</v>
      </c>
      <c r="D521" s="1">
        <v>45593</v>
      </c>
      <c r="E521" s="2">
        <v>0</v>
      </c>
      <c r="F521" s="2">
        <v>19498</v>
      </c>
      <c r="G521" s="2">
        <v>52164.06</v>
      </c>
      <c r="H521" t="s">
        <v>345</v>
      </c>
    </row>
    <row r="522" spans="1:8" x14ac:dyDescent="0.3">
      <c r="A522" s="1">
        <v>45594</v>
      </c>
      <c r="B522" t="s">
        <v>806</v>
      </c>
      <c r="C522" t="s">
        <v>807</v>
      </c>
      <c r="D522" s="1">
        <v>45594</v>
      </c>
      <c r="E522" s="2">
        <v>0</v>
      </c>
      <c r="F522" s="2">
        <v>13135.57</v>
      </c>
      <c r="G522" s="2">
        <v>65299.63</v>
      </c>
      <c r="H522" t="s">
        <v>1310</v>
      </c>
    </row>
    <row r="523" spans="1:8" x14ac:dyDescent="0.3">
      <c r="A523" s="1">
        <v>45594</v>
      </c>
      <c r="B523" t="s">
        <v>82</v>
      </c>
      <c r="C523" t="s">
        <v>808</v>
      </c>
      <c r="D523" s="1">
        <v>45594</v>
      </c>
      <c r="E523" s="2">
        <v>345.71</v>
      </c>
      <c r="F523" s="2">
        <v>0</v>
      </c>
      <c r="G523" s="2">
        <v>64953.919999999998</v>
      </c>
      <c r="H523" t="s">
        <v>337</v>
      </c>
    </row>
    <row r="524" spans="1:8" x14ac:dyDescent="0.3">
      <c r="A524" s="1">
        <v>45594</v>
      </c>
      <c r="B524" t="s">
        <v>809</v>
      </c>
      <c r="C524" t="s">
        <v>810</v>
      </c>
      <c r="D524" s="1">
        <v>45594</v>
      </c>
      <c r="E524" s="2">
        <v>0</v>
      </c>
      <c r="F524" s="2">
        <v>84.57</v>
      </c>
      <c r="G524" s="2">
        <v>65038.49</v>
      </c>
      <c r="H524" t="s">
        <v>340</v>
      </c>
    </row>
    <row r="525" spans="1:8" x14ac:dyDescent="0.3">
      <c r="A525" s="1">
        <v>45594</v>
      </c>
      <c r="B525" t="s">
        <v>82</v>
      </c>
      <c r="C525" t="s">
        <v>811</v>
      </c>
      <c r="D525" s="1">
        <v>45594</v>
      </c>
      <c r="E525" s="2">
        <v>1449.86</v>
      </c>
      <c r="F525" s="2">
        <v>0</v>
      </c>
      <c r="G525" s="2">
        <v>63588.63</v>
      </c>
      <c r="H525" t="s">
        <v>337</v>
      </c>
    </row>
    <row r="526" spans="1:8" x14ac:dyDescent="0.3">
      <c r="A526" s="1">
        <v>45595</v>
      </c>
      <c r="B526" t="s">
        <v>82</v>
      </c>
      <c r="C526" t="s">
        <v>812</v>
      </c>
      <c r="D526" s="1">
        <v>45595</v>
      </c>
      <c r="E526" s="2">
        <v>349.87</v>
      </c>
      <c r="F526" s="2">
        <v>0</v>
      </c>
      <c r="G526" s="2">
        <v>63238.76</v>
      </c>
      <c r="H526" t="s">
        <v>337</v>
      </c>
    </row>
    <row r="527" spans="1:8" x14ac:dyDescent="0.3">
      <c r="A527" s="1">
        <v>45596</v>
      </c>
      <c r="B527" t="s">
        <v>813</v>
      </c>
      <c r="C527" t="s">
        <v>814</v>
      </c>
      <c r="D527" s="1">
        <v>45596</v>
      </c>
      <c r="E527" s="2">
        <v>0</v>
      </c>
      <c r="F527" s="2">
        <v>7424.18</v>
      </c>
      <c r="G527" s="2">
        <v>70662.94</v>
      </c>
      <c r="H527" t="s">
        <v>1310</v>
      </c>
    </row>
    <row r="528" spans="1:8" x14ac:dyDescent="0.3">
      <c r="A528" s="1">
        <v>45596</v>
      </c>
      <c r="B528" t="s">
        <v>815</v>
      </c>
      <c r="C528" t="s">
        <v>816</v>
      </c>
      <c r="D528" s="1">
        <v>45596</v>
      </c>
      <c r="E528" s="2">
        <v>0</v>
      </c>
      <c r="F528" s="2">
        <v>51273.2</v>
      </c>
      <c r="G528" s="2">
        <v>121936.14</v>
      </c>
      <c r="H528" t="s">
        <v>1313</v>
      </c>
    </row>
    <row r="529" spans="1:8" x14ac:dyDescent="0.3">
      <c r="A529" s="1">
        <v>45596</v>
      </c>
      <c r="B529" t="s">
        <v>82</v>
      </c>
      <c r="C529" t="s">
        <v>817</v>
      </c>
      <c r="D529" s="1">
        <v>45596</v>
      </c>
      <c r="E529" s="2">
        <v>349.87</v>
      </c>
      <c r="F529" s="2">
        <v>0</v>
      </c>
      <c r="G529" s="2">
        <v>121586.27</v>
      </c>
      <c r="H529" t="s">
        <v>337</v>
      </c>
    </row>
    <row r="530" spans="1:8" x14ac:dyDescent="0.3">
      <c r="A530" s="1">
        <v>45596</v>
      </c>
      <c r="B530" t="s">
        <v>82</v>
      </c>
      <c r="C530" t="s">
        <v>818</v>
      </c>
      <c r="D530" s="1">
        <v>45596</v>
      </c>
      <c r="E530" s="2">
        <v>6912.76</v>
      </c>
      <c r="F530" s="2">
        <v>0</v>
      </c>
      <c r="G530" s="2">
        <v>114673.51</v>
      </c>
      <c r="H530" t="s">
        <v>337</v>
      </c>
    </row>
    <row r="531" spans="1:8" x14ac:dyDescent="0.3">
      <c r="A531" s="1">
        <v>45596</v>
      </c>
      <c r="B531" t="s">
        <v>82</v>
      </c>
      <c r="C531" t="s">
        <v>819</v>
      </c>
      <c r="D531" s="1">
        <v>45596</v>
      </c>
      <c r="E531" s="2">
        <v>85773.87</v>
      </c>
      <c r="F531" s="2">
        <v>0</v>
      </c>
      <c r="G531" s="2">
        <v>28899.64</v>
      </c>
      <c r="H531" t="s">
        <v>337</v>
      </c>
    </row>
    <row r="532" spans="1:8" x14ac:dyDescent="0.3">
      <c r="A532" s="1">
        <v>45598</v>
      </c>
      <c r="B532" t="s">
        <v>82</v>
      </c>
      <c r="C532" t="s">
        <v>820</v>
      </c>
      <c r="D532" s="1">
        <v>45598</v>
      </c>
      <c r="E532" s="2">
        <v>6890.76</v>
      </c>
      <c r="F532" s="2">
        <v>0</v>
      </c>
      <c r="G532" s="2">
        <v>22008.880000000001</v>
      </c>
      <c r="H532" t="s">
        <v>337</v>
      </c>
    </row>
    <row r="533" spans="1:8" x14ac:dyDescent="0.3">
      <c r="A533" s="1">
        <v>45600</v>
      </c>
      <c r="B533" t="s">
        <v>821</v>
      </c>
      <c r="C533" t="s">
        <v>822</v>
      </c>
      <c r="D533" s="1">
        <v>45600</v>
      </c>
      <c r="E533" s="2">
        <v>0</v>
      </c>
      <c r="F533" s="2">
        <v>10084.36</v>
      </c>
      <c r="G533" s="2">
        <v>32093.24</v>
      </c>
      <c r="H533" t="s">
        <v>1310</v>
      </c>
    </row>
    <row r="534" spans="1:8" x14ac:dyDescent="0.3">
      <c r="A534" s="1">
        <v>45600</v>
      </c>
      <c r="B534" t="s">
        <v>82</v>
      </c>
      <c r="C534" t="s">
        <v>823</v>
      </c>
      <c r="D534" s="1">
        <v>45600</v>
      </c>
      <c r="E534" s="2">
        <v>1287.8800000000001</v>
      </c>
      <c r="F534" s="2">
        <v>0</v>
      </c>
      <c r="G534" s="2">
        <v>30805.360000000001</v>
      </c>
      <c r="H534" t="s">
        <v>337</v>
      </c>
    </row>
    <row r="535" spans="1:8" x14ac:dyDescent="0.3">
      <c r="A535" s="1">
        <v>45600</v>
      </c>
      <c r="B535" t="s">
        <v>82</v>
      </c>
      <c r="C535" t="s">
        <v>824</v>
      </c>
      <c r="D535" s="1">
        <v>45600</v>
      </c>
      <c r="E535" s="2">
        <v>12909.03</v>
      </c>
      <c r="F535" s="2">
        <v>0</v>
      </c>
      <c r="G535" s="2">
        <v>17896.330000000002</v>
      </c>
      <c r="H535" t="s">
        <v>337</v>
      </c>
    </row>
    <row r="536" spans="1:8" x14ac:dyDescent="0.3">
      <c r="A536" s="1">
        <v>45601</v>
      </c>
      <c r="B536" t="s">
        <v>82</v>
      </c>
      <c r="C536" t="s">
        <v>825</v>
      </c>
      <c r="D536" s="1">
        <v>45601</v>
      </c>
      <c r="E536" s="2">
        <v>384.2</v>
      </c>
      <c r="F536" s="2">
        <v>0</v>
      </c>
      <c r="G536" s="2">
        <v>17512.13</v>
      </c>
      <c r="H536" t="s">
        <v>337</v>
      </c>
    </row>
    <row r="537" spans="1:8" x14ac:dyDescent="0.3">
      <c r="A537" s="1">
        <v>45601</v>
      </c>
      <c r="B537" t="s">
        <v>826</v>
      </c>
      <c r="C537" t="s">
        <v>827</v>
      </c>
      <c r="D537" s="1">
        <v>45601</v>
      </c>
      <c r="E537" s="2">
        <v>0</v>
      </c>
      <c r="F537" s="2">
        <v>460</v>
      </c>
      <c r="G537" s="2">
        <v>17972.13</v>
      </c>
      <c r="H537" t="s">
        <v>340</v>
      </c>
    </row>
    <row r="538" spans="1:8" x14ac:dyDescent="0.3">
      <c r="A538" s="1">
        <v>45602</v>
      </c>
      <c r="B538" t="s">
        <v>828</v>
      </c>
      <c r="C538" t="s">
        <v>829</v>
      </c>
      <c r="D538" s="1">
        <v>45602</v>
      </c>
      <c r="E538" s="2">
        <v>0</v>
      </c>
      <c r="F538" s="2">
        <v>11008.21</v>
      </c>
      <c r="G538" s="2">
        <v>28980.34</v>
      </c>
      <c r="H538" t="s">
        <v>1310</v>
      </c>
    </row>
    <row r="539" spans="1:8" x14ac:dyDescent="0.3">
      <c r="A539" s="1">
        <v>45602</v>
      </c>
      <c r="B539" t="s">
        <v>82</v>
      </c>
      <c r="C539" t="s">
        <v>830</v>
      </c>
      <c r="D539" s="1">
        <v>45602</v>
      </c>
      <c r="E539" s="2">
        <v>384.2</v>
      </c>
      <c r="F539" s="2">
        <v>0</v>
      </c>
      <c r="G539" s="2">
        <v>28596.14</v>
      </c>
      <c r="H539" t="s">
        <v>337</v>
      </c>
    </row>
    <row r="540" spans="1:8" x14ac:dyDescent="0.3">
      <c r="A540" s="1">
        <v>45603</v>
      </c>
      <c r="B540" t="s">
        <v>831</v>
      </c>
      <c r="C540" t="s">
        <v>832</v>
      </c>
      <c r="D540" s="1">
        <v>45603</v>
      </c>
      <c r="E540" s="2">
        <v>0</v>
      </c>
      <c r="F540" s="2">
        <v>19933.39</v>
      </c>
      <c r="G540" s="2">
        <v>48529.53</v>
      </c>
      <c r="H540" t="s">
        <v>1310</v>
      </c>
    </row>
    <row r="541" spans="1:8" x14ac:dyDescent="0.3">
      <c r="A541" s="1">
        <v>45603</v>
      </c>
      <c r="B541" t="s">
        <v>82</v>
      </c>
      <c r="C541" t="s">
        <v>833</v>
      </c>
      <c r="D541" s="1">
        <v>45603</v>
      </c>
      <c r="E541" s="2">
        <v>388.12</v>
      </c>
      <c r="F541" s="2">
        <v>0</v>
      </c>
      <c r="G541" s="2">
        <v>48141.41</v>
      </c>
      <c r="H541" t="s">
        <v>337</v>
      </c>
    </row>
    <row r="542" spans="1:8" x14ac:dyDescent="0.3">
      <c r="A542" s="1">
        <v>45603</v>
      </c>
      <c r="B542" t="s">
        <v>834</v>
      </c>
      <c r="C542" t="s">
        <v>835</v>
      </c>
      <c r="D542" s="1">
        <v>45603</v>
      </c>
      <c r="E542" s="2">
        <v>0</v>
      </c>
      <c r="F542" s="2">
        <v>700</v>
      </c>
      <c r="G542" s="2">
        <v>48841.41</v>
      </c>
      <c r="H542" t="s">
        <v>340</v>
      </c>
    </row>
    <row r="543" spans="1:8" x14ac:dyDescent="0.3">
      <c r="A543" s="1">
        <v>45603</v>
      </c>
      <c r="B543" t="s">
        <v>836</v>
      </c>
      <c r="C543" t="s">
        <v>837</v>
      </c>
      <c r="D543" s="1">
        <v>45603</v>
      </c>
      <c r="E543" s="2">
        <v>0</v>
      </c>
      <c r="F543" s="2">
        <v>36958</v>
      </c>
      <c r="G543" s="2">
        <v>85799.41</v>
      </c>
      <c r="H543" t="s">
        <v>345</v>
      </c>
    </row>
    <row r="544" spans="1:8" x14ac:dyDescent="0.3">
      <c r="A544" s="1">
        <v>45603</v>
      </c>
      <c r="B544" t="s">
        <v>82</v>
      </c>
      <c r="C544" t="s">
        <v>838</v>
      </c>
      <c r="D544" s="1">
        <v>45603</v>
      </c>
      <c r="E544" s="2">
        <v>12083.67</v>
      </c>
      <c r="F544" s="2">
        <v>0</v>
      </c>
      <c r="G544" s="2">
        <v>73715.740000000005</v>
      </c>
      <c r="H544" t="s">
        <v>337</v>
      </c>
    </row>
    <row r="545" spans="1:8" x14ac:dyDescent="0.3">
      <c r="A545" s="1">
        <v>45604</v>
      </c>
      <c r="B545" t="s">
        <v>839</v>
      </c>
      <c r="C545" t="s">
        <v>840</v>
      </c>
      <c r="D545" s="1">
        <v>45604</v>
      </c>
      <c r="E545" s="2">
        <v>0</v>
      </c>
      <c r="F545" s="2">
        <v>840</v>
      </c>
      <c r="G545" s="2">
        <v>74555.740000000005</v>
      </c>
      <c r="H545" t="s">
        <v>340</v>
      </c>
    </row>
    <row r="546" spans="1:8" x14ac:dyDescent="0.3">
      <c r="A546" s="1">
        <v>45604</v>
      </c>
      <c r="B546" t="s">
        <v>82</v>
      </c>
      <c r="C546" t="s">
        <v>841</v>
      </c>
      <c r="D546" s="1">
        <v>45604</v>
      </c>
      <c r="E546" s="2">
        <v>390.91</v>
      </c>
      <c r="F546" s="2">
        <v>0</v>
      </c>
      <c r="G546" s="2">
        <v>74164.83</v>
      </c>
      <c r="H546" t="s">
        <v>337</v>
      </c>
    </row>
    <row r="547" spans="1:8" x14ac:dyDescent="0.3">
      <c r="A547" s="1">
        <v>45604</v>
      </c>
      <c r="B547" t="s">
        <v>82</v>
      </c>
      <c r="C547" t="s">
        <v>842</v>
      </c>
      <c r="D547" s="1">
        <v>45604</v>
      </c>
      <c r="E547" s="2">
        <v>21327.23</v>
      </c>
      <c r="F547" s="2">
        <v>0</v>
      </c>
      <c r="G547" s="2">
        <v>52837.599999999999</v>
      </c>
      <c r="H547" t="s">
        <v>337</v>
      </c>
    </row>
    <row r="548" spans="1:8" x14ac:dyDescent="0.3">
      <c r="A548" s="1">
        <v>45607</v>
      </c>
      <c r="B548" t="s">
        <v>82</v>
      </c>
      <c r="C548" t="s">
        <v>843</v>
      </c>
      <c r="D548" s="1">
        <v>45607</v>
      </c>
      <c r="E548" s="2">
        <v>1149.96</v>
      </c>
      <c r="F548" s="2">
        <v>0</v>
      </c>
      <c r="G548" s="2">
        <v>51687.64</v>
      </c>
      <c r="H548" t="s">
        <v>337</v>
      </c>
    </row>
    <row r="549" spans="1:8" x14ac:dyDescent="0.3">
      <c r="A549" s="1">
        <v>45608</v>
      </c>
      <c r="B549" t="s">
        <v>82</v>
      </c>
      <c r="C549" t="s">
        <v>844</v>
      </c>
      <c r="D549" s="1">
        <v>45608</v>
      </c>
      <c r="E549" s="2">
        <v>18988.82</v>
      </c>
      <c r="F549" s="2">
        <v>0</v>
      </c>
      <c r="G549" s="2">
        <v>32698.82</v>
      </c>
      <c r="H549" t="s">
        <v>337</v>
      </c>
    </row>
    <row r="550" spans="1:8" x14ac:dyDescent="0.3">
      <c r="A550" s="1">
        <v>45608</v>
      </c>
      <c r="B550" t="s">
        <v>845</v>
      </c>
      <c r="C550" t="s">
        <v>846</v>
      </c>
      <c r="D550" s="1">
        <v>45608</v>
      </c>
      <c r="E550" s="2">
        <v>0</v>
      </c>
      <c r="F550" s="2">
        <v>12632.07</v>
      </c>
      <c r="G550" s="2">
        <v>45330.89</v>
      </c>
      <c r="H550" t="s">
        <v>1310</v>
      </c>
    </row>
    <row r="551" spans="1:8" x14ac:dyDescent="0.3">
      <c r="A551" s="1">
        <v>45608</v>
      </c>
      <c r="B551" t="s">
        <v>82</v>
      </c>
      <c r="C551" t="s">
        <v>847</v>
      </c>
      <c r="D551" s="1">
        <v>45608</v>
      </c>
      <c r="E551" s="2">
        <v>376.55</v>
      </c>
      <c r="F551" s="2">
        <v>0</v>
      </c>
      <c r="G551" s="2">
        <v>44954.34</v>
      </c>
      <c r="H551" t="s">
        <v>337</v>
      </c>
    </row>
    <row r="552" spans="1:8" x14ac:dyDescent="0.3">
      <c r="A552" s="1">
        <v>45608</v>
      </c>
      <c r="B552" t="s">
        <v>82</v>
      </c>
      <c r="C552" t="s">
        <v>848</v>
      </c>
      <c r="D552" s="1">
        <v>45608</v>
      </c>
      <c r="E552" s="2">
        <v>10252.52</v>
      </c>
      <c r="F552" s="2">
        <v>0</v>
      </c>
      <c r="G552" s="2">
        <v>34701.82</v>
      </c>
      <c r="H552" t="s">
        <v>337</v>
      </c>
    </row>
    <row r="553" spans="1:8" x14ac:dyDescent="0.3">
      <c r="A553" s="1">
        <v>45609</v>
      </c>
      <c r="B553" t="s">
        <v>849</v>
      </c>
      <c r="C553" t="s">
        <v>98</v>
      </c>
      <c r="D553" s="1">
        <v>45609</v>
      </c>
      <c r="E553" s="2">
        <v>507.4</v>
      </c>
      <c r="F553" s="2">
        <v>0</v>
      </c>
      <c r="G553" s="2">
        <v>34194.42</v>
      </c>
      <c r="H553" t="s">
        <v>343</v>
      </c>
    </row>
    <row r="554" spans="1:8" x14ac:dyDescent="0.3">
      <c r="A554" s="1">
        <v>45609</v>
      </c>
      <c r="B554" t="s">
        <v>82</v>
      </c>
      <c r="C554" t="s">
        <v>850</v>
      </c>
      <c r="D554" s="1">
        <v>45609</v>
      </c>
      <c r="E554" s="2">
        <v>372.9</v>
      </c>
      <c r="F554" s="2">
        <v>0</v>
      </c>
      <c r="G554" s="2">
        <v>33821.519999999997</v>
      </c>
      <c r="H554" t="s">
        <v>337</v>
      </c>
    </row>
    <row r="555" spans="1:8" x14ac:dyDescent="0.3">
      <c r="A555" s="1">
        <v>45609</v>
      </c>
      <c r="B555" t="s">
        <v>82</v>
      </c>
      <c r="C555" t="s">
        <v>851</v>
      </c>
      <c r="D555" s="1">
        <v>45609</v>
      </c>
      <c r="E555" s="2">
        <v>25275.8</v>
      </c>
      <c r="F555" s="2">
        <v>0</v>
      </c>
      <c r="G555" s="2">
        <v>8545.7199999999993</v>
      </c>
      <c r="H555" t="s">
        <v>337</v>
      </c>
    </row>
    <row r="556" spans="1:8" x14ac:dyDescent="0.3">
      <c r="A556" s="1">
        <v>45610</v>
      </c>
      <c r="B556" t="s">
        <v>82</v>
      </c>
      <c r="C556" t="s">
        <v>852</v>
      </c>
      <c r="D556" s="1">
        <v>45610</v>
      </c>
      <c r="E556" s="2">
        <v>363.9</v>
      </c>
      <c r="F556" s="2">
        <v>0</v>
      </c>
      <c r="G556" s="2">
        <v>8181.82</v>
      </c>
      <c r="H556" t="s">
        <v>337</v>
      </c>
    </row>
    <row r="557" spans="1:8" x14ac:dyDescent="0.3">
      <c r="A557" s="1">
        <v>45610</v>
      </c>
      <c r="B557" t="s">
        <v>82</v>
      </c>
      <c r="C557" t="s">
        <v>853</v>
      </c>
      <c r="D557" s="1">
        <v>45610</v>
      </c>
      <c r="E557" s="2">
        <v>4836.18</v>
      </c>
      <c r="F557" s="2">
        <v>0</v>
      </c>
      <c r="G557" s="2">
        <v>3345.64</v>
      </c>
      <c r="H557" t="s">
        <v>337</v>
      </c>
    </row>
    <row r="558" spans="1:8" x14ac:dyDescent="0.3">
      <c r="A558" s="1">
        <v>45611</v>
      </c>
      <c r="B558" t="s">
        <v>854</v>
      </c>
      <c r="C558" t="s">
        <v>855</v>
      </c>
      <c r="D558" s="1">
        <v>45611</v>
      </c>
      <c r="E558" s="2">
        <v>0</v>
      </c>
      <c r="F558" s="2">
        <v>25000</v>
      </c>
      <c r="G558" s="2">
        <v>28345.64</v>
      </c>
      <c r="H558" t="s">
        <v>1300</v>
      </c>
    </row>
    <row r="559" spans="1:8" x14ac:dyDescent="0.3">
      <c r="A559" s="1">
        <v>45612</v>
      </c>
      <c r="B559" t="s">
        <v>856</v>
      </c>
      <c r="C559" t="s">
        <v>857</v>
      </c>
      <c r="D559" s="1">
        <v>45612</v>
      </c>
      <c r="E559" s="2">
        <v>0</v>
      </c>
      <c r="F559" s="2">
        <v>210</v>
      </c>
      <c r="G559" s="2">
        <v>28555.64</v>
      </c>
      <c r="H559" t="s">
        <v>340</v>
      </c>
    </row>
    <row r="560" spans="1:8" x14ac:dyDescent="0.3">
      <c r="A560" s="1">
        <v>45614</v>
      </c>
      <c r="B560" t="s">
        <v>114</v>
      </c>
      <c r="C560" t="s">
        <v>858</v>
      </c>
      <c r="D560" s="1">
        <v>45614</v>
      </c>
      <c r="E560" s="2">
        <v>5000</v>
      </c>
      <c r="F560" s="2">
        <v>0</v>
      </c>
      <c r="G560" s="2">
        <v>23555.64</v>
      </c>
      <c r="H560" t="s">
        <v>341</v>
      </c>
    </row>
    <row r="561" spans="1:8" x14ac:dyDescent="0.3">
      <c r="A561" s="1">
        <v>45614</v>
      </c>
      <c r="B561" t="s">
        <v>82</v>
      </c>
      <c r="C561" t="s">
        <v>859</v>
      </c>
      <c r="D561" s="1">
        <v>45614</v>
      </c>
      <c r="E561" s="2">
        <v>1448.72</v>
      </c>
      <c r="F561" s="2">
        <v>0</v>
      </c>
      <c r="G561" s="2">
        <v>22106.92</v>
      </c>
      <c r="H561" t="s">
        <v>337</v>
      </c>
    </row>
    <row r="562" spans="1:8" x14ac:dyDescent="0.3">
      <c r="A562" s="1">
        <v>45615</v>
      </c>
      <c r="B562" t="s">
        <v>860</v>
      </c>
      <c r="C562" t="s">
        <v>861</v>
      </c>
      <c r="D562" s="1">
        <v>45615</v>
      </c>
      <c r="E562" s="2">
        <v>0</v>
      </c>
      <c r="F562" s="2">
        <v>1130.97</v>
      </c>
      <c r="G562" s="2">
        <v>23237.89</v>
      </c>
      <c r="H562" t="s">
        <v>1310</v>
      </c>
    </row>
    <row r="563" spans="1:8" x14ac:dyDescent="0.3">
      <c r="A563" s="1">
        <v>45615</v>
      </c>
      <c r="B563" t="s">
        <v>82</v>
      </c>
      <c r="C563" t="s">
        <v>862</v>
      </c>
      <c r="D563" s="1">
        <v>45615</v>
      </c>
      <c r="E563" s="2">
        <v>362.18</v>
      </c>
      <c r="F563" s="2">
        <v>0</v>
      </c>
      <c r="G563" s="2">
        <v>22875.71</v>
      </c>
      <c r="H563" t="s">
        <v>337</v>
      </c>
    </row>
    <row r="564" spans="1:8" x14ac:dyDescent="0.3">
      <c r="A564" s="1">
        <v>45615</v>
      </c>
      <c r="B564" t="s">
        <v>863</v>
      </c>
      <c r="C564" t="s">
        <v>864</v>
      </c>
      <c r="D564" s="1">
        <v>45615</v>
      </c>
      <c r="E564" s="2">
        <v>0</v>
      </c>
      <c r="F564" s="2">
        <v>375</v>
      </c>
      <c r="G564" s="2">
        <v>23250.71</v>
      </c>
      <c r="H564" t="s">
        <v>340</v>
      </c>
    </row>
    <row r="565" spans="1:8" x14ac:dyDescent="0.3">
      <c r="A565" s="1">
        <v>45615</v>
      </c>
      <c r="B565" t="s">
        <v>865</v>
      </c>
      <c r="C565" t="s">
        <v>866</v>
      </c>
      <c r="D565" s="1">
        <v>45615</v>
      </c>
      <c r="E565" s="2">
        <v>0</v>
      </c>
      <c r="F565" s="2">
        <v>704</v>
      </c>
      <c r="G565" s="2">
        <v>23954.71</v>
      </c>
      <c r="H565" t="s">
        <v>340</v>
      </c>
    </row>
    <row r="566" spans="1:8" x14ac:dyDescent="0.3">
      <c r="A566" s="1">
        <v>45617</v>
      </c>
      <c r="B566" t="s">
        <v>867</v>
      </c>
      <c r="C566" t="s">
        <v>868</v>
      </c>
      <c r="D566" s="1">
        <v>45617</v>
      </c>
      <c r="E566" s="2">
        <v>0</v>
      </c>
      <c r="F566" s="2">
        <v>4778.92</v>
      </c>
      <c r="G566" s="2">
        <v>28733.63</v>
      </c>
      <c r="H566" t="s">
        <v>1310</v>
      </c>
    </row>
    <row r="567" spans="1:8" x14ac:dyDescent="0.3">
      <c r="A567" s="1">
        <v>45617</v>
      </c>
      <c r="B567" t="s">
        <v>82</v>
      </c>
      <c r="C567" t="s">
        <v>869</v>
      </c>
      <c r="D567" s="1">
        <v>45617</v>
      </c>
      <c r="E567" s="2">
        <v>725.16</v>
      </c>
      <c r="F567" s="2">
        <v>0</v>
      </c>
      <c r="G567" s="2">
        <v>28008.47</v>
      </c>
      <c r="H567" t="s">
        <v>337</v>
      </c>
    </row>
    <row r="568" spans="1:8" x14ac:dyDescent="0.3">
      <c r="A568" s="1">
        <v>45617</v>
      </c>
      <c r="B568" t="s">
        <v>870</v>
      </c>
      <c r="C568" t="s">
        <v>871</v>
      </c>
      <c r="D568" s="1">
        <v>45617</v>
      </c>
      <c r="E568" s="2">
        <v>0</v>
      </c>
      <c r="F568" s="2">
        <v>47</v>
      </c>
      <c r="G568" s="2">
        <v>28055.47</v>
      </c>
      <c r="H568" t="s">
        <v>340</v>
      </c>
    </row>
    <row r="569" spans="1:8" x14ac:dyDescent="0.3">
      <c r="A569" s="1">
        <v>45617</v>
      </c>
      <c r="B569" t="s">
        <v>872</v>
      </c>
      <c r="C569" t="s">
        <v>873</v>
      </c>
      <c r="D569" s="1">
        <v>45617</v>
      </c>
      <c r="E569" s="2">
        <v>0</v>
      </c>
      <c r="F569" s="2">
        <v>870</v>
      </c>
      <c r="G569" s="2">
        <v>28925.47</v>
      </c>
      <c r="H569" t="s">
        <v>340</v>
      </c>
    </row>
    <row r="570" spans="1:8" x14ac:dyDescent="0.3">
      <c r="A570" s="1">
        <v>45617</v>
      </c>
      <c r="B570" t="s">
        <v>874</v>
      </c>
      <c r="C570" t="s">
        <v>875</v>
      </c>
      <c r="D570" s="1">
        <v>45617</v>
      </c>
      <c r="E570" s="2">
        <v>0</v>
      </c>
      <c r="F570" s="2">
        <v>250</v>
      </c>
      <c r="G570" s="2">
        <v>29175.47</v>
      </c>
      <c r="H570" t="s">
        <v>340</v>
      </c>
    </row>
    <row r="571" spans="1:8" x14ac:dyDescent="0.3">
      <c r="A571" s="1">
        <v>45617</v>
      </c>
      <c r="B571" t="s">
        <v>82</v>
      </c>
      <c r="C571" t="s">
        <v>876</v>
      </c>
      <c r="D571" s="1">
        <v>45617</v>
      </c>
      <c r="E571" s="2">
        <v>8025.47</v>
      </c>
      <c r="F571" s="2">
        <v>0</v>
      </c>
      <c r="G571" s="2">
        <v>21150</v>
      </c>
      <c r="H571" t="s">
        <v>337</v>
      </c>
    </row>
    <row r="572" spans="1:8" x14ac:dyDescent="0.3">
      <c r="A572" s="1">
        <v>45618</v>
      </c>
      <c r="B572" t="s">
        <v>82</v>
      </c>
      <c r="C572" t="s">
        <v>877</v>
      </c>
      <c r="D572" s="1">
        <v>45618</v>
      </c>
      <c r="E572" s="2">
        <v>361.42</v>
      </c>
      <c r="F572" s="2">
        <v>0</v>
      </c>
      <c r="G572" s="2">
        <v>20788.580000000002</v>
      </c>
      <c r="H572" t="s">
        <v>337</v>
      </c>
    </row>
    <row r="573" spans="1:8" x14ac:dyDescent="0.3">
      <c r="A573" s="1">
        <v>45618</v>
      </c>
      <c r="B573" t="s">
        <v>878</v>
      </c>
      <c r="C573" t="s">
        <v>879</v>
      </c>
      <c r="D573" s="1">
        <v>45618</v>
      </c>
      <c r="E573" s="2">
        <v>0</v>
      </c>
      <c r="F573" s="2">
        <v>206.25</v>
      </c>
      <c r="G573" s="2">
        <v>20994.83</v>
      </c>
      <c r="H573" t="s">
        <v>340</v>
      </c>
    </row>
    <row r="574" spans="1:8" x14ac:dyDescent="0.3">
      <c r="A574" s="1">
        <v>45618</v>
      </c>
      <c r="B574" t="s">
        <v>880</v>
      </c>
      <c r="C574" t="s">
        <v>881</v>
      </c>
      <c r="D574" s="1">
        <v>45618</v>
      </c>
      <c r="E574" s="2">
        <v>15773</v>
      </c>
      <c r="F574" s="2">
        <v>0</v>
      </c>
      <c r="G574" s="2">
        <v>5221.83</v>
      </c>
      <c r="H574" t="s">
        <v>347</v>
      </c>
    </row>
    <row r="575" spans="1:8" x14ac:dyDescent="0.3">
      <c r="A575" s="1">
        <v>45621</v>
      </c>
      <c r="B575" t="s">
        <v>882</v>
      </c>
      <c r="C575" t="s">
        <v>883</v>
      </c>
      <c r="D575" s="1">
        <v>45621</v>
      </c>
      <c r="E575" s="2">
        <v>0</v>
      </c>
      <c r="F575" s="2">
        <v>16228.32</v>
      </c>
      <c r="G575" s="2">
        <v>21450.15</v>
      </c>
      <c r="H575" t="s">
        <v>1310</v>
      </c>
    </row>
    <row r="576" spans="1:8" x14ac:dyDescent="0.3">
      <c r="A576" s="1">
        <v>45621</v>
      </c>
      <c r="B576" t="s">
        <v>884</v>
      </c>
      <c r="C576" t="s">
        <v>885</v>
      </c>
      <c r="D576" s="1">
        <v>45621</v>
      </c>
      <c r="E576" s="2">
        <v>0</v>
      </c>
      <c r="F576" s="2">
        <v>54843.1</v>
      </c>
      <c r="G576" s="2">
        <v>76293.25</v>
      </c>
      <c r="H576" t="s">
        <v>1310</v>
      </c>
    </row>
    <row r="577" spans="1:8" x14ac:dyDescent="0.3">
      <c r="A577" s="1">
        <v>45621</v>
      </c>
      <c r="B577" t="s">
        <v>114</v>
      </c>
      <c r="C577" t="s">
        <v>886</v>
      </c>
      <c r="D577" s="1">
        <v>45621</v>
      </c>
      <c r="E577" s="2">
        <v>10000</v>
      </c>
      <c r="F577" s="2">
        <v>0</v>
      </c>
      <c r="G577" s="2">
        <v>66293.25</v>
      </c>
      <c r="H577" t="s">
        <v>342</v>
      </c>
    </row>
    <row r="578" spans="1:8" x14ac:dyDescent="0.3">
      <c r="A578" s="1">
        <v>45621</v>
      </c>
      <c r="B578" t="s">
        <v>887</v>
      </c>
      <c r="C578" t="s">
        <v>888</v>
      </c>
      <c r="D578" s="1">
        <v>45621</v>
      </c>
      <c r="E578" s="2">
        <v>0</v>
      </c>
      <c r="F578" s="2">
        <v>438.75</v>
      </c>
      <c r="G578" s="2">
        <v>66732</v>
      </c>
      <c r="H578" t="s">
        <v>340</v>
      </c>
    </row>
    <row r="579" spans="1:8" x14ac:dyDescent="0.3">
      <c r="A579" s="1">
        <v>45621</v>
      </c>
      <c r="B579" t="s">
        <v>82</v>
      </c>
      <c r="C579" t="s">
        <v>889</v>
      </c>
      <c r="D579" s="1">
        <v>45621</v>
      </c>
      <c r="E579" s="2">
        <v>1084.26</v>
      </c>
      <c r="F579" s="2">
        <v>0</v>
      </c>
      <c r="G579" s="2">
        <v>65647.740000000005</v>
      </c>
      <c r="H579" t="s">
        <v>337</v>
      </c>
    </row>
    <row r="580" spans="1:8" x14ac:dyDescent="0.3">
      <c r="A580" s="1">
        <v>45622</v>
      </c>
      <c r="B580" t="s">
        <v>890</v>
      </c>
      <c r="C580" t="s">
        <v>891</v>
      </c>
      <c r="D580" s="1">
        <v>45622</v>
      </c>
      <c r="E580" s="2">
        <v>0</v>
      </c>
      <c r="F580" s="2">
        <v>21888.959999999999</v>
      </c>
      <c r="G580" s="2">
        <v>87536.7</v>
      </c>
      <c r="H580" t="s">
        <v>1310</v>
      </c>
    </row>
    <row r="581" spans="1:8" x14ac:dyDescent="0.3">
      <c r="A581" s="1">
        <v>45622</v>
      </c>
      <c r="B581" t="s">
        <v>82</v>
      </c>
      <c r="C581" t="s">
        <v>892</v>
      </c>
      <c r="D581" s="1">
        <v>45622</v>
      </c>
      <c r="E581" s="2">
        <v>367.2</v>
      </c>
      <c r="F581" s="2">
        <v>0</v>
      </c>
      <c r="G581" s="2">
        <v>87169.5</v>
      </c>
      <c r="H581" t="s">
        <v>337</v>
      </c>
    </row>
    <row r="582" spans="1:8" x14ac:dyDescent="0.3">
      <c r="A582" s="1">
        <v>45622</v>
      </c>
      <c r="B582" t="s">
        <v>893</v>
      </c>
      <c r="C582" t="s">
        <v>894</v>
      </c>
      <c r="D582" s="1">
        <v>45622</v>
      </c>
      <c r="E582" s="2">
        <v>0</v>
      </c>
      <c r="F582" s="2">
        <v>240</v>
      </c>
      <c r="G582" s="2">
        <v>87409.5</v>
      </c>
      <c r="H582" t="s">
        <v>340</v>
      </c>
    </row>
    <row r="583" spans="1:8" x14ac:dyDescent="0.3">
      <c r="A583" s="1">
        <v>45623</v>
      </c>
      <c r="B583" t="s">
        <v>895</v>
      </c>
      <c r="C583" t="s">
        <v>896</v>
      </c>
      <c r="D583" s="1">
        <v>45623</v>
      </c>
      <c r="E583" s="2">
        <v>0</v>
      </c>
      <c r="F583" s="2">
        <v>31742.95</v>
      </c>
      <c r="G583" s="2">
        <v>119152.45</v>
      </c>
      <c r="H583" t="s">
        <v>1310</v>
      </c>
    </row>
    <row r="584" spans="1:8" x14ac:dyDescent="0.3">
      <c r="A584" s="1">
        <v>45623</v>
      </c>
      <c r="B584" t="s">
        <v>82</v>
      </c>
      <c r="C584" t="s">
        <v>897</v>
      </c>
      <c r="D584" s="1">
        <v>45623</v>
      </c>
      <c r="E584" s="2">
        <v>375</v>
      </c>
      <c r="F584" s="2">
        <v>0</v>
      </c>
      <c r="G584" s="2">
        <v>118777.45</v>
      </c>
      <c r="H584" t="s">
        <v>337</v>
      </c>
    </row>
    <row r="585" spans="1:8" x14ac:dyDescent="0.3">
      <c r="A585" s="1">
        <v>45624</v>
      </c>
      <c r="B585" t="s">
        <v>898</v>
      </c>
      <c r="C585" t="s">
        <v>899</v>
      </c>
      <c r="D585" s="1">
        <v>45624</v>
      </c>
      <c r="E585" s="2">
        <v>0</v>
      </c>
      <c r="F585" s="2">
        <v>7204.86</v>
      </c>
      <c r="G585" s="2">
        <v>125982.31</v>
      </c>
      <c r="H585" t="s">
        <v>1310</v>
      </c>
    </row>
    <row r="586" spans="1:8" x14ac:dyDescent="0.3">
      <c r="A586" s="1">
        <v>45624</v>
      </c>
      <c r="B586" t="s">
        <v>82</v>
      </c>
      <c r="C586" t="s">
        <v>900</v>
      </c>
      <c r="D586" s="1">
        <v>45624</v>
      </c>
      <c r="E586" s="2">
        <v>355.63</v>
      </c>
      <c r="F586" s="2">
        <v>0</v>
      </c>
      <c r="G586" s="2">
        <v>125626.68</v>
      </c>
      <c r="H586" t="s">
        <v>337</v>
      </c>
    </row>
    <row r="587" spans="1:8" x14ac:dyDescent="0.3">
      <c r="A587" s="1">
        <v>45624</v>
      </c>
      <c r="B587" t="s">
        <v>901</v>
      </c>
      <c r="C587" t="s">
        <v>902</v>
      </c>
      <c r="D587" s="1">
        <v>45624</v>
      </c>
      <c r="E587" s="2">
        <v>0</v>
      </c>
      <c r="F587" s="2">
        <v>84.57</v>
      </c>
      <c r="G587" s="2">
        <v>125711.25</v>
      </c>
      <c r="H587" t="s">
        <v>1312</v>
      </c>
    </row>
    <row r="588" spans="1:8" x14ac:dyDescent="0.3">
      <c r="A588" s="1">
        <v>45625</v>
      </c>
      <c r="B588" t="s">
        <v>82</v>
      </c>
      <c r="C588" t="s">
        <v>903</v>
      </c>
      <c r="D588" s="1">
        <v>45625</v>
      </c>
      <c r="E588" s="2">
        <v>3154.24</v>
      </c>
      <c r="F588" s="2">
        <v>0</v>
      </c>
      <c r="G588" s="2">
        <v>122557.01</v>
      </c>
      <c r="H588" t="s">
        <v>337</v>
      </c>
    </row>
    <row r="589" spans="1:8" x14ac:dyDescent="0.3">
      <c r="A589" s="1">
        <v>45625</v>
      </c>
      <c r="B589" t="s">
        <v>82</v>
      </c>
      <c r="C589" t="s">
        <v>904</v>
      </c>
      <c r="D589" s="1">
        <v>45625</v>
      </c>
      <c r="E589" s="2">
        <v>357.07</v>
      </c>
      <c r="F589" s="2">
        <v>0</v>
      </c>
      <c r="G589" s="2">
        <v>122199.94</v>
      </c>
      <c r="H589" t="s">
        <v>337</v>
      </c>
    </row>
    <row r="590" spans="1:8" x14ac:dyDescent="0.3">
      <c r="A590" s="1">
        <v>45626</v>
      </c>
      <c r="B590" t="s">
        <v>82</v>
      </c>
      <c r="C590" t="s">
        <v>905</v>
      </c>
      <c r="D590" s="1">
        <v>45626</v>
      </c>
      <c r="E590" s="2">
        <v>876.99</v>
      </c>
      <c r="F590" s="2">
        <v>0</v>
      </c>
      <c r="G590" s="2">
        <v>121322.95</v>
      </c>
      <c r="H590" t="s">
        <v>337</v>
      </c>
    </row>
    <row r="591" spans="1:8" x14ac:dyDescent="0.3">
      <c r="A591" s="1">
        <v>45627</v>
      </c>
      <c r="B591" t="s">
        <v>761</v>
      </c>
      <c r="C591" t="s">
        <v>906</v>
      </c>
      <c r="D591" s="1">
        <v>45627</v>
      </c>
      <c r="E591" s="2">
        <v>20000</v>
      </c>
      <c r="F591" s="2">
        <v>0</v>
      </c>
      <c r="G591" s="2">
        <v>101322.95</v>
      </c>
      <c r="H591" t="s">
        <v>50</v>
      </c>
    </row>
    <row r="592" spans="1:8" x14ac:dyDescent="0.3">
      <c r="A592" s="1">
        <v>45628</v>
      </c>
      <c r="B592" t="s">
        <v>82</v>
      </c>
      <c r="C592" t="s">
        <v>907</v>
      </c>
      <c r="D592" s="1">
        <v>45628</v>
      </c>
      <c r="E592" s="2">
        <v>1070.28</v>
      </c>
      <c r="F592" s="2">
        <v>0</v>
      </c>
      <c r="G592" s="2">
        <v>100252.67</v>
      </c>
      <c r="H592" t="s">
        <v>337</v>
      </c>
    </row>
    <row r="593" spans="1:8" x14ac:dyDescent="0.3">
      <c r="A593" s="1">
        <v>45629</v>
      </c>
      <c r="B593" t="s">
        <v>908</v>
      </c>
      <c r="C593" t="s">
        <v>909</v>
      </c>
      <c r="D593" s="1">
        <v>45629</v>
      </c>
      <c r="E593" s="2">
        <v>0</v>
      </c>
      <c r="F593" s="2">
        <v>6899.68</v>
      </c>
      <c r="G593" s="2">
        <v>107152.35</v>
      </c>
      <c r="H593" t="s">
        <v>1310</v>
      </c>
    </row>
    <row r="594" spans="1:8" x14ac:dyDescent="0.3">
      <c r="A594" s="1">
        <v>45629</v>
      </c>
      <c r="B594" t="s">
        <v>82</v>
      </c>
      <c r="C594" t="s">
        <v>910</v>
      </c>
      <c r="D594" s="1">
        <v>45629</v>
      </c>
      <c r="E594" s="2">
        <v>356.76</v>
      </c>
      <c r="F594" s="2">
        <v>0</v>
      </c>
      <c r="G594" s="2">
        <v>106795.59</v>
      </c>
      <c r="H594" t="s">
        <v>337</v>
      </c>
    </row>
    <row r="595" spans="1:8" x14ac:dyDescent="0.3">
      <c r="A595" s="1">
        <v>45629</v>
      </c>
      <c r="B595" t="s">
        <v>82</v>
      </c>
      <c r="C595" t="s">
        <v>911</v>
      </c>
      <c r="D595" s="1">
        <v>45629</v>
      </c>
      <c r="E595" s="2">
        <v>3144.23</v>
      </c>
      <c r="F595" s="2">
        <v>0</v>
      </c>
      <c r="G595" s="2">
        <v>103651.36</v>
      </c>
      <c r="H595" t="s">
        <v>337</v>
      </c>
    </row>
    <row r="596" spans="1:8" x14ac:dyDescent="0.3">
      <c r="A596" s="1">
        <v>45630</v>
      </c>
      <c r="B596" t="s">
        <v>912</v>
      </c>
      <c r="C596" t="s">
        <v>913</v>
      </c>
      <c r="D596" s="1">
        <v>45630</v>
      </c>
      <c r="E596" s="2">
        <v>0</v>
      </c>
      <c r="F596" s="2">
        <v>62818.16</v>
      </c>
      <c r="G596" s="2">
        <v>166469.51999999999</v>
      </c>
      <c r="H596" t="s">
        <v>1310</v>
      </c>
    </row>
    <row r="597" spans="1:8" x14ac:dyDescent="0.3">
      <c r="A597" s="1">
        <v>45630</v>
      </c>
      <c r="B597" t="s">
        <v>82</v>
      </c>
      <c r="C597" t="s">
        <v>914</v>
      </c>
      <c r="D597" s="1">
        <v>45630</v>
      </c>
      <c r="E597" s="2">
        <v>358.1</v>
      </c>
      <c r="F597" s="2">
        <v>0</v>
      </c>
      <c r="G597" s="2">
        <v>166111.42000000001</v>
      </c>
      <c r="H597" t="s">
        <v>337</v>
      </c>
    </row>
    <row r="598" spans="1:8" x14ac:dyDescent="0.3">
      <c r="A598" s="1">
        <v>45630</v>
      </c>
      <c r="B598" t="s">
        <v>915</v>
      </c>
      <c r="C598" t="s">
        <v>916</v>
      </c>
      <c r="D598" s="1">
        <v>45630</v>
      </c>
      <c r="E598" s="2">
        <v>0</v>
      </c>
      <c r="F598" s="2">
        <v>450</v>
      </c>
      <c r="G598" s="2">
        <v>166561.42000000001</v>
      </c>
      <c r="H598" t="s">
        <v>340</v>
      </c>
    </row>
    <row r="599" spans="1:8" x14ac:dyDescent="0.3">
      <c r="A599" s="1">
        <v>45630</v>
      </c>
      <c r="B599" t="s">
        <v>82</v>
      </c>
      <c r="C599" t="s">
        <v>917</v>
      </c>
      <c r="D599" s="1">
        <v>45630</v>
      </c>
      <c r="E599" s="2">
        <v>53239.43</v>
      </c>
      <c r="F599" s="2">
        <v>0</v>
      </c>
      <c r="G599" s="2">
        <v>113321.99</v>
      </c>
      <c r="H599" t="s">
        <v>337</v>
      </c>
    </row>
    <row r="600" spans="1:8" x14ac:dyDescent="0.3">
      <c r="A600" s="1">
        <v>45631</v>
      </c>
      <c r="B600" t="s">
        <v>82</v>
      </c>
      <c r="C600" t="s">
        <v>918</v>
      </c>
      <c r="D600" s="1">
        <v>45631</v>
      </c>
      <c r="E600" s="2">
        <v>339.13</v>
      </c>
      <c r="F600" s="2">
        <v>0</v>
      </c>
      <c r="G600" s="2">
        <v>112982.86</v>
      </c>
      <c r="H600" t="s">
        <v>337</v>
      </c>
    </row>
    <row r="601" spans="1:8" x14ac:dyDescent="0.3">
      <c r="A601" s="1">
        <v>45632</v>
      </c>
      <c r="B601" t="s">
        <v>919</v>
      </c>
      <c r="C601" t="s">
        <v>920</v>
      </c>
      <c r="D601" s="1">
        <v>45632</v>
      </c>
      <c r="E601" s="2">
        <v>0</v>
      </c>
      <c r="F601" s="2">
        <v>9868.4699999999993</v>
      </c>
      <c r="G601" s="2">
        <v>122851.33</v>
      </c>
      <c r="H601" t="s">
        <v>1310</v>
      </c>
    </row>
    <row r="602" spans="1:8" x14ac:dyDescent="0.3">
      <c r="A602" s="1">
        <v>45632</v>
      </c>
      <c r="B602" t="s">
        <v>82</v>
      </c>
      <c r="C602" t="s">
        <v>921</v>
      </c>
      <c r="D602" s="1">
        <v>45632</v>
      </c>
      <c r="E602" s="2">
        <v>392.31</v>
      </c>
      <c r="F602" s="2">
        <v>0</v>
      </c>
      <c r="G602" s="2">
        <v>122459.02</v>
      </c>
      <c r="H602" t="s">
        <v>337</v>
      </c>
    </row>
    <row r="603" spans="1:8" x14ac:dyDescent="0.3">
      <c r="A603" s="1">
        <v>45632</v>
      </c>
      <c r="B603" t="s">
        <v>84</v>
      </c>
      <c r="C603" t="s">
        <v>922</v>
      </c>
      <c r="D603" s="1">
        <v>45632</v>
      </c>
      <c r="E603" s="2">
        <v>0</v>
      </c>
      <c r="F603" s="2">
        <v>3335.15</v>
      </c>
      <c r="G603" s="2">
        <v>125794.17</v>
      </c>
      <c r="H603" t="s">
        <v>337</v>
      </c>
    </row>
    <row r="604" spans="1:8" x14ac:dyDescent="0.3">
      <c r="A604" s="1">
        <v>45633</v>
      </c>
      <c r="B604" t="s">
        <v>923</v>
      </c>
      <c r="C604" t="s">
        <v>924</v>
      </c>
      <c r="D604" s="1">
        <v>45633</v>
      </c>
      <c r="E604" s="2">
        <v>0</v>
      </c>
      <c r="F604" s="2">
        <v>34220</v>
      </c>
      <c r="G604" s="2">
        <v>160014.17000000001</v>
      </c>
      <c r="H604" t="s">
        <v>345</v>
      </c>
    </row>
    <row r="605" spans="1:8" x14ac:dyDescent="0.3">
      <c r="A605" s="1">
        <v>45635</v>
      </c>
      <c r="B605" t="s">
        <v>82</v>
      </c>
      <c r="C605" t="s">
        <v>925</v>
      </c>
      <c r="D605" s="1">
        <v>45635</v>
      </c>
      <c r="E605" s="2">
        <v>1191.03</v>
      </c>
      <c r="F605" s="2">
        <v>0</v>
      </c>
      <c r="G605" s="2">
        <v>158823.14000000001</v>
      </c>
      <c r="H605" t="s">
        <v>337</v>
      </c>
    </row>
    <row r="606" spans="1:8" x14ac:dyDescent="0.3">
      <c r="A606" s="1">
        <v>45636</v>
      </c>
      <c r="B606" t="s">
        <v>926</v>
      </c>
      <c r="C606" t="s">
        <v>927</v>
      </c>
      <c r="D606" s="1">
        <v>45636</v>
      </c>
      <c r="E606" s="2">
        <v>0</v>
      </c>
      <c r="F606" s="2">
        <v>41450.870000000003</v>
      </c>
      <c r="G606" s="2">
        <v>200274.01</v>
      </c>
      <c r="H606" t="s">
        <v>1310</v>
      </c>
    </row>
    <row r="607" spans="1:8" x14ac:dyDescent="0.3">
      <c r="A607" s="1">
        <v>45636</v>
      </c>
      <c r="B607" t="s">
        <v>82</v>
      </c>
      <c r="C607" t="s">
        <v>928</v>
      </c>
      <c r="D607" s="1">
        <v>45636</v>
      </c>
      <c r="E607" s="2">
        <v>397.01</v>
      </c>
      <c r="F607" s="2">
        <v>0</v>
      </c>
      <c r="G607" s="2">
        <v>199877</v>
      </c>
      <c r="H607" t="s">
        <v>337</v>
      </c>
    </row>
    <row r="608" spans="1:8" x14ac:dyDescent="0.3">
      <c r="A608" s="1">
        <v>45636</v>
      </c>
      <c r="B608" t="s">
        <v>82</v>
      </c>
      <c r="C608" t="s">
        <v>929</v>
      </c>
      <c r="D608" s="1">
        <v>45636</v>
      </c>
      <c r="E608" s="2">
        <v>11845.93</v>
      </c>
      <c r="F608" s="2">
        <v>0</v>
      </c>
      <c r="G608" s="2">
        <v>188031.07</v>
      </c>
      <c r="H608" t="s">
        <v>337</v>
      </c>
    </row>
    <row r="609" spans="1:8" x14ac:dyDescent="0.3">
      <c r="A609" s="1">
        <v>45636</v>
      </c>
      <c r="B609" t="s">
        <v>930</v>
      </c>
      <c r="C609" t="s">
        <v>931</v>
      </c>
      <c r="D609" s="1">
        <v>45636</v>
      </c>
      <c r="E609" s="2">
        <v>0</v>
      </c>
      <c r="F609" s="2">
        <v>15773</v>
      </c>
      <c r="G609" s="2">
        <v>203804.07</v>
      </c>
      <c r="H609" t="s">
        <v>345</v>
      </c>
    </row>
    <row r="610" spans="1:8" x14ac:dyDescent="0.3">
      <c r="A610" s="1">
        <v>45637</v>
      </c>
      <c r="B610" t="s">
        <v>932</v>
      </c>
      <c r="C610" t="s">
        <v>933</v>
      </c>
      <c r="D610" s="1">
        <v>45637</v>
      </c>
      <c r="E610" s="2">
        <v>0</v>
      </c>
      <c r="F610" s="2">
        <v>2195.46</v>
      </c>
      <c r="G610" s="2">
        <v>205999.53</v>
      </c>
      <c r="H610" t="s">
        <v>1310</v>
      </c>
    </row>
    <row r="611" spans="1:8" x14ac:dyDescent="0.3">
      <c r="A611" s="1">
        <v>45637</v>
      </c>
      <c r="B611" t="s">
        <v>82</v>
      </c>
      <c r="C611" t="s">
        <v>934</v>
      </c>
      <c r="D611" s="1">
        <v>45637</v>
      </c>
      <c r="E611" s="2">
        <v>380.71</v>
      </c>
      <c r="F611" s="2">
        <v>0</v>
      </c>
      <c r="G611" s="2">
        <v>205618.82</v>
      </c>
      <c r="H611" t="s">
        <v>337</v>
      </c>
    </row>
    <row r="612" spans="1:8" x14ac:dyDescent="0.3">
      <c r="A612" s="1">
        <v>45638</v>
      </c>
      <c r="B612" t="s">
        <v>935</v>
      </c>
      <c r="C612" t="s">
        <v>936</v>
      </c>
      <c r="D612" s="1">
        <v>45638</v>
      </c>
      <c r="E612" s="2">
        <v>0</v>
      </c>
      <c r="F612" s="2">
        <v>35515.74</v>
      </c>
      <c r="G612" s="2">
        <v>241134.56</v>
      </c>
      <c r="H612" t="s">
        <v>1310</v>
      </c>
    </row>
    <row r="613" spans="1:8" x14ac:dyDescent="0.3">
      <c r="A613" s="1">
        <v>45638</v>
      </c>
      <c r="B613" t="s">
        <v>82</v>
      </c>
      <c r="C613" t="s">
        <v>937</v>
      </c>
      <c r="D613" s="1">
        <v>45638</v>
      </c>
      <c r="E613" s="2">
        <v>381.49</v>
      </c>
      <c r="F613" s="2">
        <v>0</v>
      </c>
      <c r="G613" s="2">
        <v>240753.07</v>
      </c>
      <c r="H613" t="s">
        <v>337</v>
      </c>
    </row>
    <row r="614" spans="1:8" x14ac:dyDescent="0.3">
      <c r="A614" s="1">
        <v>45638</v>
      </c>
      <c r="B614" t="s">
        <v>82</v>
      </c>
      <c r="C614" t="s">
        <v>938</v>
      </c>
      <c r="D614" s="1">
        <v>45638</v>
      </c>
      <c r="E614" s="2">
        <v>28834.959999999999</v>
      </c>
      <c r="F614" s="2">
        <v>0</v>
      </c>
      <c r="G614" s="2">
        <v>211918.11</v>
      </c>
      <c r="H614" t="s">
        <v>337</v>
      </c>
    </row>
    <row r="615" spans="1:8" x14ac:dyDescent="0.3">
      <c r="A615" s="1">
        <v>45638</v>
      </c>
      <c r="B615" t="s">
        <v>82</v>
      </c>
      <c r="C615" t="s">
        <v>939</v>
      </c>
      <c r="D615" s="1">
        <v>45638</v>
      </c>
      <c r="E615" s="2">
        <v>102886.18</v>
      </c>
      <c r="F615" s="2">
        <v>0</v>
      </c>
      <c r="G615" s="2">
        <v>109031.93</v>
      </c>
      <c r="H615" t="s">
        <v>337</v>
      </c>
    </row>
    <row r="616" spans="1:8" x14ac:dyDescent="0.3">
      <c r="A616" s="1">
        <v>45639</v>
      </c>
      <c r="B616" t="s">
        <v>82</v>
      </c>
      <c r="C616" t="s">
        <v>940</v>
      </c>
      <c r="D616" s="1">
        <v>45639</v>
      </c>
      <c r="E616" s="2">
        <v>332.45</v>
      </c>
      <c r="F616" s="2">
        <v>0</v>
      </c>
      <c r="G616" s="2">
        <v>108699.48</v>
      </c>
      <c r="H616" t="s">
        <v>337</v>
      </c>
    </row>
    <row r="617" spans="1:8" x14ac:dyDescent="0.3">
      <c r="A617" s="1">
        <v>45639</v>
      </c>
      <c r="B617" t="s">
        <v>941</v>
      </c>
      <c r="C617" t="s">
        <v>98</v>
      </c>
      <c r="D617" s="1">
        <v>45639</v>
      </c>
      <c r="E617" s="2">
        <v>0</v>
      </c>
      <c r="F617" s="2">
        <v>20000</v>
      </c>
      <c r="G617" s="2">
        <v>128699.48</v>
      </c>
      <c r="H617" t="s">
        <v>1305</v>
      </c>
    </row>
    <row r="618" spans="1:8" x14ac:dyDescent="0.3">
      <c r="A618" s="1">
        <v>45639</v>
      </c>
      <c r="B618" t="s">
        <v>82</v>
      </c>
      <c r="C618" t="s">
        <v>942</v>
      </c>
      <c r="D618" s="1">
        <v>45639</v>
      </c>
      <c r="E618" s="2">
        <v>25530.01</v>
      </c>
      <c r="F618" s="2">
        <v>0</v>
      </c>
      <c r="G618" s="2">
        <v>103169.47</v>
      </c>
      <c r="H618" t="s">
        <v>337</v>
      </c>
    </row>
    <row r="619" spans="1:8" x14ac:dyDescent="0.3">
      <c r="A619" s="1">
        <v>45639</v>
      </c>
      <c r="B619" t="s">
        <v>82</v>
      </c>
      <c r="C619" t="s">
        <v>943</v>
      </c>
      <c r="D619" s="1">
        <v>45639</v>
      </c>
      <c r="E619" s="2">
        <v>3981.96</v>
      </c>
      <c r="F619" s="2">
        <v>0</v>
      </c>
      <c r="G619" s="2">
        <v>99187.51</v>
      </c>
      <c r="H619" t="s">
        <v>337</v>
      </c>
    </row>
    <row r="620" spans="1:8" x14ac:dyDescent="0.3">
      <c r="A620" s="1">
        <v>45642</v>
      </c>
      <c r="B620" t="s">
        <v>114</v>
      </c>
      <c r="C620" t="s">
        <v>944</v>
      </c>
      <c r="D620" s="1">
        <v>45642</v>
      </c>
      <c r="E620" s="2">
        <v>5000</v>
      </c>
      <c r="F620" s="2">
        <v>0</v>
      </c>
      <c r="G620" s="2">
        <v>94187.51</v>
      </c>
      <c r="H620" t="s">
        <v>341</v>
      </c>
    </row>
    <row r="621" spans="1:8" x14ac:dyDescent="0.3">
      <c r="A621" s="1">
        <v>45642</v>
      </c>
      <c r="B621" t="s">
        <v>82</v>
      </c>
      <c r="C621" t="s">
        <v>945</v>
      </c>
      <c r="D621" s="1">
        <v>45642</v>
      </c>
      <c r="E621" s="2">
        <v>1265.3399999999999</v>
      </c>
      <c r="F621" s="2">
        <v>0</v>
      </c>
      <c r="G621" s="2">
        <v>92922.17</v>
      </c>
      <c r="H621" t="s">
        <v>337</v>
      </c>
    </row>
    <row r="622" spans="1:8" x14ac:dyDescent="0.3">
      <c r="A622" s="1">
        <v>45642</v>
      </c>
      <c r="B622" t="s">
        <v>82</v>
      </c>
      <c r="C622" t="s">
        <v>946</v>
      </c>
      <c r="D622" s="1">
        <v>45642</v>
      </c>
      <c r="E622" s="2">
        <v>4528.87</v>
      </c>
      <c r="F622" s="2">
        <v>0</v>
      </c>
      <c r="G622" s="2">
        <v>88393.3</v>
      </c>
      <c r="H622" t="s">
        <v>337</v>
      </c>
    </row>
    <row r="623" spans="1:8" x14ac:dyDescent="0.3">
      <c r="A623" s="1">
        <v>45643</v>
      </c>
      <c r="B623" t="s">
        <v>82</v>
      </c>
      <c r="C623" t="s">
        <v>947</v>
      </c>
      <c r="D623" s="1">
        <v>45643</v>
      </c>
      <c r="E623" s="2">
        <v>420.17</v>
      </c>
      <c r="F623" s="2">
        <v>0</v>
      </c>
      <c r="G623" s="2">
        <v>87973.13</v>
      </c>
      <c r="H623" t="s">
        <v>337</v>
      </c>
    </row>
    <row r="624" spans="1:8" x14ac:dyDescent="0.3">
      <c r="A624" s="1">
        <v>45643</v>
      </c>
      <c r="B624" t="s">
        <v>948</v>
      </c>
      <c r="C624" t="s">
        <v>98</v>
      </c>
      <c r="D624" s="1">
        <v>45643</v>
      </c>
      <c r="E624" s="2">
        <v>318.60000000000002</v>
      </c>
      <c r="F624" s="2">
        <v>0</v>
      </c>
      <c r="G624" s="2">
        <v>87654.53</v>
      </c>
      <c r="H624" t="s">
        <v>343</v>
      </c>
    </row>
    <row r="625" spans="1:8" x14ac:dyDescent="0.3">
      <c r="A625" s="1">
        <v>45643</v>
      </c>
      <c r="B625" t="s">
        <v>82</v>
      </c>
      <c r="C625" t="s">
        <v>949</v>
      </c>
      <c r="D625" s="1">
        <v>45643</v>
      </c>
      <c r="E625" s="2">
        <v>26795.86</v>
      </c>
      <c r="F625" s="2">
        <v>0</v>
      </c>
      <c r="G625" s="2">
        <v>60858.67</v>
      </c>
      <c r="H625" t="s">
        <v>337</v>
      </c>
    </row>
    <row r="626" spans="1:8" x14ac:dyDescent="0.3">
      <c r="A626" s="1">
        <v>45644</v>
      </c>
      <c r="B626" t="s">
        <v>950</v>
      </c>
      <c r="C626" t="s">
        <v>951</v>
      </c>
      <c r="D626" s="1">
        <v>45644</v>
      </c>
      <c r="E626" s="2">
        <v>0</v>
      </c>
      <c r="F626" s="2">
        <v>30411.38</v>
      </c>
      <c r="G626" s="2">
        <v>91270.05</v>
      </c>
      <c r="H626" t="s">
        <v>1310</v>
      </c>
    </row>
    <row r="627" spans="1:8" x14ac:dyDescent="0.3">
      <c r="A627" s="1">
        <v>45644</v>
      </c>
      <c r="B627" t="s">
        <v>82</v>
      </c>
      <c r="C627" t="s">
        <v>952</v>
      </c>
      <c r="D627" s="1">
        <v>45644</v>
      </c>
      <c r="E627" s="2">
        <v>410.63</v>
      </c>
      <c r="F627" s="2">
        <v>0</v>
      </c>
      <c r="G627" s="2">
        <v>90859.42</v>
      </c>
      <c r="H627" t="s">
        <v>337</v>
      </c>
    </row>
    <row r="628" spans="1:8" x14ac:dyDescent="0.3">
      <c r="A628" s="1">
        <v>45644</v>
      </c>
      <c r="B628" t="s">
        <v>82</v>
      </c>
      <c r="C628" t="s">
        <v>953</v>
      </c>
      <c r="D628" s="1">
        <v>45644</v>
      </c>
      <c r="E628" s="2">
        <v>19885.93</v>
      </c>
      <c r="F628" s="2">
        <v>0</v>
      </c>
      <c r="G628" s="2">
        <v>70973.490000000005</v>
      </c>
      <c r="H628" t="s">
        <v>337</v>
      </c>
    </row>
    <row r="629" spans="1:8" x14ac:dyDescent="0.3">
      <c r="A629" s="1">
        <v>45645</v>
      </c>
      <c r="B629" t="s">
        <v>82</v>
      </c>
      <c r="C629" t="s">
        <v>954</v>
      </c>
      <c r="D629" s="1">
        <v>45645</v>
      </c>
      <c r="E629" s="2">
        <v>414.42</v>
      </c>
      <c r="F629" s="2">
        <v>0</v>
      </c>
      <c r="G629" s="2">
        <v>70559.070000000007</v>
      </c>
      <c r="H629" t="s">
        <v>337</v>
      </c>
    </row>
    <row r="630" spans="1:8" x14ac:dyDescent="0.3">
      <c r="A630" s="1">
        <v>45645</v>
      </c>
      <c r="B630" t="s">
        <v>955</v>
      </c>
      <c r="C630" t="s">
        <v>956</v>
      </c>
      <c r="D630" s="1">
        <v>45645</v>
      </c>
      <c r="E630" s="2">
        <v>0</v>
      </c>
      <c r="F630" s="2">
        <v>2738</v>
      </c>
      <c r="G630" s="2">
        <v>73297.070000000007</v>
      </c>
      <c r="H630" t="s">
        <v>345</v>
      </c>
    </row>
    <row r="631" spans="1:8" x14ac:dyDescent="0.3">
      <c r="A631" s="1">
        <v>45645</v>
      </c>
      <c r="B631" t="s">
        <v>82</v>
      </c>
      <c r="C631" t="s">
        <v>957</v>
      </c>
      <c r="D631" s="1">
        <v>45645</v>
      </c>
      <c r="E631" s="2">
        <v>18958.63</v>
      </c>
      <c r="F631" s="2">
        <v>0</v>
      </c>
      <c r="G631" s="2">
        <v>54338.44</v>
      </c>
      <c r="H631" t="s">
        <v>337</v>
      </c>
    </row>
    <row r="632" spans="1:8" x14ac:dyDescent="0.3">
      <c r="A632" s="1">
        <v>45646</v>
      </c>
      <c r="B632" t="s">
        <v>82</v>
      </c>
      <c r="C632" t="s">
        <v>958</v>
      </c>
      <c r="D632" s="1">
        <v>45646</v>
      </c>
      <c r="E632" s="2">
        <v>417.69</v>
      </c>
      <c r="F632" s="2">
        <v>0</v>
      </c>
      <c r="G632" s="2">
        <v>53920.75</v>
      </c>
      <c r="H632" t="s">
        <v>337</v>
      </c>
    </row>
    <row r="633" spans="1:8" x14ac:dyDescent="0.3">
      <c r="A633" s="1">
        <v>45646</v>
      </c>
      <c r="B633" t="s">
        <v>82</v>
      </c>
      <c r="C633" t="s">
        <v>959</v>
      </c>
      <c r="D633" s="1">
        <v>45646</v>
      </c>
      <c r="E633" s="2">
        <v>38644.959999999999</v>
      </c>
      <c r="F633" s="2">
        <v>0</v>
      </c>
      <c r="G633" s="2">
        <v>15275.79</v>
      </c>
      <c r="H633" t="s">
        <v>337</v>
      </c>
    </row>
    <row r="634" spans="1:8" x14ac:dyDescent="0.3">
      <c r="A634" s="1">
        <v>45649</v>
      </c>
      <c r="B634" t="s">
        <v>82</v>
      </c>
      <c r="C634" t="s">
        <v>960</v>
      </c>
      <c r="D634" s="1">
        <v>45649</v>
      </c>
      <c r="E634" s="2">
        <v>1263.93</v>
      </c>
      <c r="F634" s="2">
        <v>0</v>
      </c>
      <c r="G634" s="2">
        <v>14011.86</v>
      </c>
      <c r="H634" t="s">
        <v>337</v>
      </c>
    </row>
    <row r="635" spans="1:8" x14ac:dyDescent="0.3">
      <c r="A635" s="1">
        <v>45649</v>
      </c>
      <c r="B635" t="s">
        <v>82</v>
      </c>
      <c r="C635" t="s">
        <v>961</v>
      </c>
      <c r="D635" s="1">
        <v>45649</v>
      </c>
      <c r="E635" s="2">
        <v>11981.51</v>
      </c>
      <c r="F635" s="2">
        <v>0</v>
      </c>
      <c r="G635" s="2">
        <v>2030.35</v>
      </c>
      <c r="H635" t="s">
        <v>337</v>
      </c>
    </row>
    <row r="636" spans="1:8" x14ac:dyDescent="0.3">
      <c r="A636" s="1">
        <v>45650</v>
      </c>
      <c r="B636" t="s">
        <v>82</v>
      </c>
      <c r="C636" t="s">
        <v>962</v>
      </c>
      <c r="D636" s="1">
        <v>45650</v>
      </c>
      <c r="E636" s="2">
        <v>425.67</v>
      </c>
      <c r="F636" s="2">
        <v>0</v>
      </c>
      <c r="G636" s="2">
        <v>1604.68</v>
      </c>
      <c r="H636" t="s">
        <v>337</v>
      </c>
    </row>
    <row r="637" spans="1:8" x14ac:dyDescent="0.3">
      <c r="A637" s="1">
        <v>45651</v>
      </c>
      <c r="B637" t="s">
        <v>963</v>
      </c>
      <c r="C637" t="s">
        <v>964</v>
      </c>
      <c r="D637" s="1">
        <v>45651</v>
      </c>
      <c r="E637" s="2">
        <v>0</v>
      </c>
      <c r="F637" s="2">
        <v>20000</v>
      </c>
      <c r="G637" s="2">
        <v>21604.68</v>
      </c>
      <c r="H637" t="s">
        <v>1300</v>
      </c>
    </row>
    <row r="638" spans="1:8" x14ac:dyDescent="0.3">
      <c r="A638" s="1">
        <v>45651</v>
      </c>
      <c r="B638" t="s">
        <v>965</v>
      </c>
      <c r="C638" t="s">
        <v>966</v>
      </c>
      <c r="D638" s="1">
        <v>45651</v>
      </c>
      <c r="E638" s="2">
        <v>11832</v>
      </c>
      <c r="F638" s="2">
        <v>0</v>
      </c>
      <c r="G638" s="2">
        <v>9772.68</v>
      </c>
      <c r="H638" t="s">
        <v>347</v>
      </c>
    </row>
    <row r="639" spans="1:8" x14ac:dyDescent="0.3">
      <c r="A639" s="1">
        <v>45652</v>
      </c>
      <c r="B639" t="s">
        <v>967</v>
      </c>
      <c r="C639" t="s">
        <v>968</v>
      </c>
      <c r="D639" s="1">
        <v>45652</v>
      </c>
      <c r="E639" s="2">
        <v>0</v>
      </c>
      <c r="F639" s="2">
        <v>1057.24</v>
      </c>
      <c r="G639" s="2">
        <v>10829.92</v>
      </c>
      <c r="H639" t="s">
        <v>1310</v>
      </c>
    </row>
    <row r="640" spans="1:8" x14ac:dyDescent="0.3">
      <c r="A640" s="1">
        <v>45652</v>
      </c>
      <c r="B640" t="s">
        <v>969</v>
      </c>
      <c r="C640" t="s">
        <v>970</v>
      </c>
      <c r="D640" s="1">
        <v>45652</v>
      </c>
      <c r="E640" s="2">
        <v>10000</v>
      </c>
      <c r="F640" s="2">
        <v>0</v>
      </c>
      <c r="G640" s="2">
        <v>829.92</v>
      </c>
      <c r="H640" t="s">
        <v>342</v>
      </c>
    </row>
    <row r="641" spans="1:8" x14ac:dyDescent="0.3">
      <c r="A641" s="1">
        <v>45652</v>
      </c>
      <c r="B641" t="s">
        <v>82</v>
      </c>
      <c r="C641" t="s">
        <v>971</v>
      </c>
      <c r="D641" s="1">
        <v>45652</v>
      </c>
      <c r="E641" s="2">
        <v>829.92</v>
      </c>
      <c r="F641" s="2">
        <v>0</v>
      </c>
      <c r="G641" s="2">
        <v>0</v>
      </c>
      <c r="H641" t="s">
        <v>337</v>
      </c>
    </row>
    <row r="642" spans="1:8" x14ac:dyDescent="0.3">
      <c r="A642" s="1">
        <v>45656</v>
      </c>
      <c r="B642" t="s">
        <v>972</v>
      </c>
      <c r="C642" t="s">
        <v>973</v>
      </c>
      <c r="D642" s="1">
        <v>45656</v>
      </c>
      <c r="E642" s="2">
        <v>0</v>
      </c>
      <c r="F642" s="2">
        <v>84.57</v>
      </c>
      <c r="G642" s="2">
        <v>84.57</v>
      </c>
      <c r="H642" t="s">
        <v>340</v>
      </c>
    </row>
    <row r="643" spans="1:8" x14ac:dyDescent="0.3">
      <c r="A643" s="1">
        <v>45656</v>
      </c>
      <c r="B643" t="s">
        <v>82</v>
      </c>
      <c r="C643" t="s">
        <v>974</v>
      </c>
      <c r="D643" s="1">
        <v>45656</v>
      </c>
      <c r="E643" s="2">
        <v>84.57</v>
      </c>
      <c r="F643" s="2">
        <v>0</v>
      </c>
      <c r="G643" s="2">
        <v>0</v>
      </c>
      <c r="H643" t="s">
        <v>337</v>
      </c>
    </row>
    <row r="644" spans="1:8" x14ac:dyDescent="0.3">
      <c r="A644" s="1">
        <v>45657</v>
      </c>
      <c r="B644" t="s">
        <v>975</v>
      </c>
      <c r="C644" t="s">
        <v>976</v>
      </c>
      <c r="D644" s="1">
        <v>45657</v>
      </c>
      <c r="E644" s="2">
        <v>0</v>
      </c>
      <c r="F644" s="2">
        <v>24950.15</v>
      </c>
      <c r="G644" s="2">
        <v>24950.15</v>
      </c>
      <c r="H644" t="s">
        <v>1310</v>
      </c>
    </row>
    <row r="645" spans="1:8" x14ac:dyDescent="0.3">
      <c r="A645" s="1">
        <v>45657</v>
      </c>
      <c r="B645" t="s">
        <v>82</v>
      </c>
      <c r="C645" t="s">
        <v>977</v>
      </c>
      <c r="D645" s="1">
        <v>45657</v>
      </c>
      <c r="E645" s="2">
        <v>426.63</v>
      </c>
      <c r="F645" s="2">
        <v>0</v>
      </c>
      <c r="G645" s="2">
        <v>24523.52</v>
      </c>
      <c r="H645" t="s">
        <v>337</v>
      </c>
    </row>
    <row r="646" spans="1:8" x14ac:dyDescent="0.3">
      <c r="A646" s="1">
        <v>45657</v>
      </c>
      <c r="B646" t="s">
        <v>82</v>
      </c>
      <c r="C646" t="s">
        <v>978</v>
      </c>
      <c r="D646" s="1">
        <v>45657</v>
      </c>
      <c r="E646" s="2">
        <v>6300.62</v>
      </c>
      <c r="F646" s="2">
        <v>0</v>
      </c>
      <c r="G646" s="2">
        <v>18222.900000000001</v>
      </c>
      <c r="H646" t="s">
        <v>337</v>
      </c>
    </row>
    <row r="647" spans="1:8" x14ac:dyDescent="0.3">
      <c r="A647" s="1">
        <v>45658</v>
      </c>
      <c r="B647" t="s">
        <v>979</v>
      </c>
      <c r="C647" t="s">
        <v>98</v>
      </c>
      <c r="D647" s="1">
        <v>45657</v>
      </c>
      <c r="E647" s="2">
        <v>0</v>
      </c>
      <c r="F647" s="2">
        <v>534</v>
      </c>
      <c r="G647" s="2">
        <v>18756.900000000001</v>
      </c>
      <c r="H647" t="s">
        <v>344</v>
      </c>
    </row>
    <row r="648" spans="1:8" x14ac:dyDescent="0.3">
      <c r="A648" s="1">
        <v>45658</v>
      </c>
      <c r="B648" t="s">
        <v>82</v>
      </c>
      <c r="C648" t="s">
        <v>980</v>
      </c>
      <c r="D648" s="1">
        <v>45658</v>
      </c>
      <c r="E648" s="2">
        <v>419.42</v>
      </c>
      <c r="F648" s="2">
        <v>0</v>
      </c>
      <c r="G648" s="2">
        <v>18337.48</v>
      </c>
      <c r="H648" t="s">
        <v>337</v>
      </c>
    </row>
    <row r="649" spans="1:8" x14ac:dyDescent="0.3">
      <c r="A649" s="1">
        <v>45659</v>
      </c>
      <c r="B649" t="s">
        <v>981</v>
      </c>
      <c r="C649" t="s">
        <v>982</v>
      </c>
      <c r="D649" s="1">
        <v>45659</v>
      </c>
      <c r="E649" s="2">
        <v>0</v>
      </c>
      <c r="F649" s="2">
        <v>1992.67</v>
      </c>
      <c r="G649" s="2">
        <v>20330.150000000001</v>
      </c>
      <c r="H649" t="s">
        <v>1310</v>
      </c>
    </row>
    <row r="650" spans="1:8" x14ac:dyDescent="0.3">
      <c r="A650" s="1">
        <v>45659</v>
      </c>
      <c r="B650" t="s">
        <v>82</v>
      </c>
      <c r="C650" t="s">
        <v>983</v>
      </c>
      <c r="D650" s="1">
        <v>45659</v>
      </c>
      <c r="E650" s="2">
        <v>419.42</v>
      </c>
      <c r="F650" s="2">
        <v>0</v>
      </c>
      <c r="G650" s="2">
        <v>19910.73</v>
      </c>
      <c r="H650" t="s">
        <v>337</v>
      </c>
    </row>
    <row r="651" spans="1:8" x14ac:dyDescent="0.3">
      <c r="A651" s="1">
        <v>45659</v>
      </c>
      <c r="B651" t="s">
        <v>984</v>
      </c>
      <c r="C651" t="s">
        <v>985</v>
      </c>
      <c r="D651" s="1">
        <v>45659</v>
      </c>
      <c r="E651" s="2">
        <v>0</v>
      </c>
      <c r="F651" s="2">
        <v>100000</v>
      </c>
      <c r="G651" s="2">
        <v>119910.73</v>
      </c>
      <c r="H651" t="s">
        <v>1300</v>
      </c>
    </row>
    <row r="652" spans="1:8" x14ac:dyDescent="0.3">
      <c r="A652" s="1">
        <v>45660</v>
      </c>
      <c r="B652" t="s">
        <v>986</v>
      </c>
      <c r="C652" t="s">
        <v>987</v>
      </c>
      <c r="D652" s="1">
        <v>45660</v>
      </c>
      <c r="E652" s="2">
        <v>0</v>
      </c>
      <c r="F652" s="2">
        <v>20756.78</v>
      </c>
      <c r="G652" s="2">
        <v>140667.51</v>
      </c>
      <c r="H652" t="s">
        <v>1310</v>
      </c>
    </row>
    <row r="653" spans="1:8" x14ac:dyDescent="0.3">
      <c r="A653" s="1">
        <v>45660</v>
      </c>
      <c r="B653" t="s">
        <v>82</v>
      </c>
      <c r="C653" t="s">
        <v>988</v>
      </c>
      <c r="D653" s="1">
        <v>45660</v>
      </c>
      <c r="E653" s="2">
        <v>420.13</v>
      </c>
      <c r="F653" s="2">
        <v>0</v>
      </c>
      <c r="G653" s="2">
        <v>140247.38</v>
      </c>
      <c r="H653" t="s">
        <v>337</v>
      </c>
    </row>
    <row r="654" spans="1:8" x14ac:dyDescent="0.3">
      <c r="A654" s="1">
        <v>45660</v>
      </c>
      <c r="B654" t="s">
        <v>82</v>
      </c>
      <c r="C654" t="s">
        <v>989</v>
      </c>
      <c r="D654" s="1">
        <v>45660</v>
      </c>
      <c r="E654" s="2">
        <v>4805.21</v>
      </c>
      <c r="F654" s="2">
        <v>0</v>
      </c>
      <c r="G654" s="2">
        <v>135442.17000000001</v>
      </c>
      <c r="H654" t="s">
        <v>337</v>
      </c>
    </row>
    <row r="655" spans="1:8" x14ac:dyDescent="0.3">
      <c r="A655" s="1">
        <v>45661</v>
      </c>
      <c r="B655" t="s">
        <v>990</v>
      </c>
      <c r="C655" t="s">
        <v>991</v>
      </c>
      <c r="D655" s="1">
        <v>45661</v>
      </c>
      <c r="E655" s="2">
        <v>0</v>
      </c>
      <c r="F655" s="2">
        <v>11832</v>
      </c>
      <c r="G655" s="2">
        <v>147274.17000000001</v>
      </c>
      <c r="H655" t="s">
        <v>345</v>
      </c>
    </row>
    <row r="656" spans="1:8" x14ac:dyDescent="0.3">
      <c r="A656" s="1">
        <v>45663</v>
      </c>
      <c r="B656" t="s">
        <v>82</v>
      </c>
      <c r="C656" t="s">
        <v>992</v>
      </c>
      <c r="D656" s="1">
        <v>45663</v>
      </c>
      <c r="E656" s="2">
        <v>1238.55</v>
      </c>
      <c r="F656" s="2">
        <v>0</v>
      </c>
      <c r="G656" s="2">
        <v>146035.62</v>
      </c>
      <c r="H656" t="s">
        <v>337</v>
      </c>
    </row>
    <row r="657" spans="1:8" x14ac:dyDescent="0.3">
      <c r="A657" s="1">
        <v>45663</v>
      </c>
      <c r="B657" t="s">
        <v>993</v>
      </c>
      <c r="C657" t="s">
        <v>994</v>
      </c>
      <c r="D657" s="1">
        <v>45663</v>
      </c>
      <c r="E657" s="2">
        <v>50000</v>
      </c>
      <c r="F657" s="2">
        <v>0</v>
      </c>
      <c r="G657" s="2">
        <v>96035.62</v>
      </c>
      <c r="H657" t="s">
        <v>1306</v>
      </c>
    </row>
    <row r="658" spans="1:8" x14ac:dyDescent="0.3">
      <c r="A658" s="1">
        <v>45663</v>
      </c>
      <c r="B658" t="s">
        <v>82</v>
      </c>
      <c r="C658" t="s">
        <v>995</v>
      </c>
      <c r="D658" s="1">
        <v>45663</v>
      </c>
      <c r="E658" s="2">
        <v>28608.17</v>
      </c>
      <c r="F658" s="2">
        <v>0</v>
      </c>
      <c r="G658" s="2">
        <v>67427.45</v>
      </c>
      <c r="H658" t="s">
        <v>337</v>
      </c>
    </row>
    <row r="659" spans="1:8" x14ac:dyDescent="0.3">
      <c r="A659" s="1">
        <v>45664</v>
      </c>
      <c r="B659" t="s">
        <v>82</v>
      </c>
      <c r="C659" t="s">
        <v>996</v>
      </c>
      <c r="D659" s="1">
        <v>45664</v>
      </c>
      <c r="E659" s="2">
        <v>402.67</v>
      </c>
      <c r="F659" s="2">
        <v>0</v>
      </c>
      <c r="G659" s="2">
        <v>67024.78</v>
      </c>
      <c r="H659" t="s">
        <v>337</v>
      </c>
    </row>
    <row r="660" spans="1:8" x14ac:dyDescent="0.3">
      <c r="A660" s="1">
        <v>45664</v>
      </c>
      <c r="B660" t="s">
        <v>997</v>
      </c>
      <c r="C660" t="s">
        <v>998</v>
      </c>
      <c r="D660" s="1">
        <v>45664</v>
      </c>
      <c r="E660" s="2">
        <v>0</v>
      </c>
      <c r="F660" s="2">
        <v>34220</v>
      </c>
      <c r="G660" s="2">
        <v>101244.78</v>
      </c>
      <c r="H660" t="s">
        <v>345</v>
      </c>
    </row>
    <row r="661" spans="1:8" x14ac:dyDescent="0.3">
      <c r="A661" s="1">
        <v>45665</v>
      </c>
      <c r="B661" t="s">
        <v>999</v>
      </c>
      <c r="C661" t="s">
        <v>1000</v>
      </c>
      <c r="D661" s="1">
        <v>45665</v>
      </c>
      <c r="E661" s="2">
        <v>0</v>
      </c>
      <c r="F661" s="2">
        <v>9537.74</v>
      </c>
      <c r="G661" s="2">
        <v>110782.52</v>
      </c>
      <c r="H661" t="s">
        <v>1310</v>
      </c>
    </row>
    <row r="662" spans="1:8" x14ac:dyDescent="0.3">
      <c r="A662" s="1">
        <v>45665</v>
      </c>
      <c r="B662" t="s">
        <v>82</v>
      </c>
      <c r="C662" t="s">
        <v>1001</v>
      </c>
      <c r="D662" s="1">
        <v>45665</v>
      </c>
      <c r="E662" s="2">
        <v>402.67</v>
      </c>
      <c r="F662" s="2">
        <v>0</v>
      </c>
      <c r="G662" s="2">
        <v>110379.85</v>
      </c>
      <c r="H662" t="s">
        <v>337</v>
      </c>
    </row>
    <row r="663" spans="1:8" x14ac:dyDescent="0.3">
      <c r="A663" s="1">
        <v>45665</v>
      </c>
      <c r="B663" t="s">
        <v>82</v>
      </c>
      <c r="C663" t="s">
        <v>1002</v>
      </c>
      <c r="D663" s="1">
        <v>45665</v>
      </c>
      <c r="E663" s="2">
        <v>5884.13</v>
      </c>
      <c r="F663" s="2">
        <v>0</v>
      </c>
      <c r="G663" s="2">
        <v>104495.72</v>
      </c>
      <c r="H663" t="s">
        <v>337</v>
      </c>
    </row>
    <row r="664" spans="1:8" x14ac:dyDescent="0.3">
      <c r="A664" s="1">
        <v>45666</v>
      </c>
      <c r="B664" t="s">
        <v>82</v>
      </c>
      <c r="C664" t="s">
        <v>1003</v>
      </c>
      <c r="D664" s="1">
        <v>45666</v>
      </c>
      <c r="E664" s="2">
        <v>403.97</v>
      </c>
      <c r="F664" s="2">
        <v>0</v>
      </c>
      <c r="G664" s="2">
        <v>104091.75</v>
      </c>
      <c r="H664" t="s">
        <v>337</v>
      </c>
    </row>
    <row r="665" spans="1:8" x14ac:dyDescent="0.3">
      <c r="A665" s="1">
        <v>45666</v>
      </c>
      <c r="B665" t="s">
        <v>82</v>
      </c>
      <c r="C665" t="s">
        <v>1004</v>
      </c>
      <c r="D665" s="1">
        <v>45666</v>
      </c>
      <c r="E665" s="2">
        <v>8119.52</v>
      </c>
      <c r="F665" s="2">
        <v>0</v>
      </c>
      <c r="G665" s="2">
        <v>95972.23</v>
      </c>
      <c r="H665" t="s">
        <v>337</v>
      </c>
    </row>
    <row r="666" spans="1:8" x14ac:dyDescent="0.3">
      <c r="A666" s="1">
        <v>45667</v>
      </c>
      <c r="B666" t="s">
        <v>761</v>
      </c>
      <c r="C666" t="s">
        <v>1005</v>
      </c>
      <c r="D666" s="1">
        <v>45667</v>
      </c>
      <c r="E666" s="2">
        <v>20000</v>
      </c>
      <c r="F666" s="2">
        <v>0</v>
      </c>
      <c r="G666" s="2">
        <v>75972.23</v>
      </c>
      <c r="H666" t="s">
        <v>50</v>
      </c>
    </row>
    <row r="667" spans="1:8" x14ac:dyDescent="0.3">
      <c r="A667" s="1">
        <v>45667</v>
      </c>
      <c r="B667" t="s">
        <v>82</v>
      </c>
      <c r="C667" t="s">
        <v>1006</v>
      </c>
      <c r="D667" s="1">
        <v>45667</v>
      </c>
      <c r="E667" s="2">
        <v>401.07</v>
      </c>
      <c r="F667" s="2">
        <v>0</v>
      </c>
      <c r="G667" s="2">
        <v>75571.16</v>
      </c>
      <c r="H667" t="s">
        <v>337</v>
      </c>
    </row>
    <row r="668" spans="1:8" x14ac:dyDescent="0.3">
      <c r="A668" s="1">
        <v>45667</v>
      </c>
      <c r="B668" t="s">
        <v>82</v>
      </c>
      <c r="C668" t="s">
        <v>1007</v>
      </c>
      <c r="D668" s="1">
        <v>45667</v>
      </c>
      <c r="E668" s="2">
        <v>19082.759999999998</v>
      </c>
      <c r="F668" s="2">
        <v>0</v>
      </c>
      <c r="G668" s="2">
        <v>56488.4</v>
      </c>
      <c r="H668" t="s">
        <v>337</v>
      </c>
    </row>
    <row r="669" spans="1:8" x14ac:dyDescent="0.3">
      <c r="A669" s="1">
        <v>45670</v>
      </c>
      <c r="B669" t="s">
        <v>82</v>
      </c>
      <c r="C669" t="s">
        <v>1008</v>
      </c>
      <c r="D669" s="1">
        <v>45670</v>
      </c>
      <c r="E669" s="2">
        <v>1182.8399999999999</v>
      </c>
      <c r="F669" s="2">
        <v>0</v>
      </c>
      <c r="G669" s="2">
        <v>55305.56</v>
      </c>
      <c r="H669" t="s">
        <v>337</v>
      </c>
    </row>
    <row r="670" spans="1:8" x14ac:dyDescent="0.3">
      <c r="A670" s="1">
        <v>45670</v>
      </c>
      <c r="B670" t="s">
        <v>1009</v>
      </c>
      <c r="C670" t="s">
        <v>98</v>
      </c>
      <c r="D670" s="1">
        <v>45670</v>
      </c>
      <c r="E670" s="2">
        <v>672.6</v>
      </c>
      <c r="F670" s="2">
        <v>0</v>
      </c>
      <c r="G670" s="2">
        <v>54632.959999999999</v>
      </c>
      <c r="H670" t="s">
        <v>343</v>
      </c>
    </row>
    <row r="671" spans="1:8" x14ac:dyDescent="0.3">
      <c r="A671" s="1">
        <v>45670</v>
      </c>
      <c r="B671" t="s">
        <v>82</v>
      </c>
      <c r="C671" t="s">
        <v>1010</v>
      </c>
      <c r="D671" s="1">
        <v>45670</v>
      </c>
      <c r="E671" s="2">
        <v>34962.559999999998</v>
      </c>
      <c r="F671" s="2">
        <v>0</v>
      </c>
      <c r="G671" s="2">
        <v>19670.400000000001</v>
      </c>
      <c r="H671" t="s">
        <v>337</v>
      </c>
    </row>
    <row r="672" spans="1:8" x14ac:dyDescent="0.3">
      <c r="A672" s="1">
        <v>45671</v>
      </c>
      <c r="B672" t="s">
        <v>82</v>
      </c>
      <c r="C672" t="s">
        <v>1011</v>
      </c>
      <c r="D672" s="1">
        <v>45671</v>
      </c>
      <c r="E672" s="2">
        <v>381.83</v>
      </c>
      <c r="F672" s="2">
        <v>0</v>
      </c>
      <c r="G672" s="2">
        <v>19288.57</v>
      </c>
      <c r="H672" t="s">
        <v>337</v>
      </c>
    </row>
    <row r="673" spans="1:8" x14ac:dyDescent="0.3">
      <c r="A673" s="1">
        <v>45672</v>
      </c>
      <c r="B673" t="s">
        <v>1012</v>
      </c>
      <c r="C673" t="s">
        <v>1013</v>
      </c>
      <c r="D673" s="1">
        <v>45672</v>
      </c>
      <c r="E673" s="2">
        <v>0</v>
      </c>
      <c r="F673" s="2">
        <v>24711.87</v>
      </c>
      <c r="G673" s="2">
        <v>44000.44</v>
      </c>
      <c r="H673" t="s">
        <v>1310</v>
      </c>
    </row>
    <row r="674" spans="1:8" x14ac:dyDescent="0.3">
      <c r="A674" s="1">
        <v>45672</v>
      </c>
      <c r="B674" t="s">
        <v>1014</v>
      </c>
      <c r="C674" t="s">
        <v>1015</v>
      </c>
      <c r="D674" s="1">
        <v>45672</v>
      </c>
      <c r="E674" s="2">
        <v>5000</v>
      </c>
      <c r="F674" s="2">
        <v>0</v>
      </c>
      <c r="G674" s="2">
        <v>39000.44</v>
      </c>
      <c r="H674" t="s">
        <v>341</v>
      </c>
    </row>
    <row r="675" spans="1:8" x14ac:dyDescent="0.3">
      <c r="A675" s="1">
        <v>45672</v>
      </c>
      <c r="B675" t="s">
        <v>82</v>
      </c>
      <c r="C675" t="s">
        <v>1016</v>
      </c>
      <c r="D675" s="1">
        <v>45672</v>
      </c>
      <c r="E675" s="2">
        <v>381.83</v>
      </c>
      <c r="F675" s="2">
        <v>0</v>
      </c>
      <c r="G675" s="2">
        <v>38618.61</v>
      </c>
      <c r="H675" t="s">
        <v>337</v>
      </c>
    </row>
    <row r="676" spans="1:8" x14ac:dyDescent="0.3">
      <c r="A676" s="1">
        <v>45673</v>
      </c>
      <c r="B676" t="s">
        <v>1017</v>
      </c>
      <c r="C676" t="s">
        <v>1018</v>
      </c>
      <c r="D676" s="1">
        <v>45673</v>
      </c>
      <c r="E676" s="2">
        <v>0</v>
      </c>
      <c r="F676" s="2">
        <v>1280.3900000000001</v>
      </c>
      <c r="G676" s="2">
        <v>39899</v>
      </c>
      <c r="H676" t="s">
        <v>1310</v>
      </c>
    </row>
    <row r="677" spans="1:8" x14ac:dyDescent="0.3">
      <c r="A677" s="1">
        <v>45673</v>
      </c>
      <c r="B677" t="s">
        <v>82</v>
      </c>
      <c r="C677" t="s">
        <v>1019</v>
      </c>
      <c r="D677" s="1">
        <v>45673</v>
      </c>
      <c r="E677" s="2">
        <v>390.63</v>
      </c>
      <c r="F677" s="2">
        <v>0</v>
      </c>
      <c r="G677" s="2">
        <v>39508.370000000003</v>
      </c>
      <c r="H677" t="s">
        <v>337</v>
      </c>
    </row>
    <row r="678" spans="1:8" x14ac:dyDescent="0.3">
      <c r="A678" s="1">
        <v>45674</v>
      </c>
      <c r="B678" t="s">
        <v>1020</v>
      </c>
      <c r="C678" t="s">
        <v>1021</v>
      </c>
      <c r="D678" s="1">
        <v>45674</v>
      </c>
      <c r="E678" s="2">
        <v>0</v>
      </c>
      <c r="F678" s="2">
        <v>16238.56</v>
      </c>
      <c r="G678" s="2">
        <v>55746.93</v>
      </c>
      <c r="H678" t="s">
        <v>1310</v>
      </c>
    </row>
    <row r="679" spans="1:8" x14ac:dyDescent="0.3">
      <c r="A679" s="1">
        <v>45674</v>
      </c>
      <c r="B679" t="s">
        <v>82</v>
      </c>
      <c r="C679" t="s">
        <v>1022</v>
      </c>
      <c r="D679" s="1">
        <v>45674</v>
      </c>
      <c r="E679" s="2">
        <v>391.08</v>
      </c>
      <c r="F679" s="2">
        <v>0</v>
      </c>
      <c r="G679" s="2">
        <v>55355.85</v>
      </c>
      <c r="H679" t="s">
        <v>337</v>
      </c>
    </row>
    <row r="680" spans="1:8" x14ac:dyDescent="0.3">
      <c r="A680" s="1">
        <v>45677</v>
      </c>
      <c r="B680" t="s">
        <v>1023</v>
      </c>
      <c r="C680" t="s">
        <v>1024</v>
      </c>
      <c r="D680" s="1">
        <v>45677</v>
      </c>
      <c r="E680" s="2">
        <v>0</v>
      </c>
      <c r="F680" s="2">
        <v>1432.58</v>
      </c>
      <c r="G680" s="2">
        <v>56788.43</v>
      </c>
      <c r="H680" t="s">
        <v>1310</v>
      </c>
    </row>
    <row r="681" spans="1:8" x14ac:dyDescent="0.3">
      <c r="A681" s="1">
        <v>45677</v>
      </c>
      <c r="B681" t="s">
        <v>82</v>
      </c>
      <c r="C681" t="s">
        <v>1025</v>
      </c>
      <c r="D681" s="1">
        <v>45677</v>
      </c>
      <c r="E681" s="2">
        <v>1190.6099999999999</v>
      </c>
      <c r="F681" s="2">
        <v>0</v>
      </c>
      <c r="G681" s="2">
        <v>55597.82</v>
      </c>
      <c r="H681" t="s">
        <v>337</v>
      </c>
    </row>
    <row r="682" spans="1:8" x14ac:dyDescent="0.3">
      <c r="A682" s="1">
        <v>45678</v>
      </c>
      <c r="B682" t="s">
        <v>1026</v>
      </c>
      <c r="C682" t="s">
        <v>1027</v>
      </c>
      <c r="D682" s="1">
        <v>45678</v>
      </c>
      <c r="E682" s="2">
        <v>0</v>
      </c>
      <c r="F682" s="2">
        <v>1579.59</v>
      </c>
      <c r="G682" s="2">
        <v>57177.41</v>
      </c>
      <c r="H682" t="s">
        <v>1310</v>
      </c>
    </row>
    <row r="683" spans="1:8" x14ac:dyDescent="0.3">
      <c r="A683" s="1">
        <v>45678</v>
      </c>
      <c r="B683" t="s">
        <v>82</v>
      </c>
      <c r="C683" t="s">
        <v>1028</v>
      </c>
      <c r="D683" s="1">
        <v>45678</v>
      </c>
      <c r="E683" s="2">
        <v>397.38</v>
      </c>
      <c r="F683" s="2">
        <v>0</v>
      </c>
      <c r="G683" s="2">
        <v>56780.03</v>
      </c>
      <c r="H683" t="s">
        <v>337</v>
      </c>
    </row>
    <row r="684" spans="1:8" x14ac:dyDescent="0.3">
      <c r="A684" s="1">
        <v>45678</v>
      </c>
      <c r="B684" t="s">
        <v>1029</v>
      </c>
      <c r="C684" t="s">
        <v>1030</v>
      </c>
      <c r="D684" s="1">
        <v>45678</v>
      </c>
      <c r="E684" s="2">
        <v>0</v>
      </c>
      <c r="F684" s="2">
        <v>905.21</v>
      </c>
      <c r="G684" s="2">
        <v>57685.24</v>
      </c>
      <c r="H684" t="s">
        <v>340</v>
      </c>
    </row>
    <row r="685" spans="1:8" x14ac:dyDescent="0.3">
      <c r="A685" s="1">
        <v>45678</v>
      </c>
      <c r="B685" t="s">
        <v>82</v>
      </c>
      <c r="C685" t="s">
        <v>1031</v>
      </c>
      <c r="D685" s="1">
        <v>45678</v>
      </c>
      <c r="E685" s="2">
        <v>14686.8</v>
      </c>
      <c r="F685" s="2">
        <v>0</v>
      </c>
      <c r="G685" s="2">
        <v>42998.44</v>
      </c>
      <c r="H685" t="s">
        <v>337</v>
      </c>
    </row>
    <row r="686" spans="1:8" x14ac:dyDescent="0.3">
      <c r="A686" s="1">
        <v>45679</v>
      </c>
      <c r="B686" t="s">
        <v>82</v>
      </c>
      <c r="C686" t="s">
        <v>1032</v>
      </c>
      <c r="D686" s="1">
        <v>45679</v>
      </c>
      <c r="E686" s="2">
        <v>392.71</v>
      </c>
      <c r="F686" s="2">
        <v>0</v>
      </c>
      <c r="G686" s="2">
        <v>42605.73</v>
      </c>
      <c r="H686" t="s">
        <v>337</v>
      </c>
    </row>
    <row r="687" spans="1:8" x14ac:dyDescent="0.3">
      <c r="A687" s="1">
        <v>45679</v>
      </c>
      <c r="B687" t="s">
        <v>82</v>
      </c>
      <c r="C687" t="s">
        <v>1033</v>
      </c>
      <c r="D687" s="1">
        <v>45679</v>
      </c>
      <c r="E687" s="2">
        <v>4737.9399999999996</v>
      </c>
      <c r="F687" s="2">
        <v>0</v>
      </c>
      <c r="G687" s="2">
        <v>37867.79</v>
      </c>
      <c r="H687" t="s">
        <v>337</v>
      </c>
    </row>
    <row r="688" spans="1:8" x14ac:dyDescent="0.3">
      <c r="A688" s="1">
        <v>45680</v>
      </c>
      <c r="B688" t="s">
        <v>82</v>
      </c>
      <c r="C688" t="s">
        <v>1034</v>
      </c>
      <c r="D688" s="1">
        <v>45680</v>
      </c>
      <c r="E688" s="2">
        <v>391.02</v>
      </c>
      <c r="F688" s="2">
        <v>0</v>
      </c>
      <c r="G688" s="2">
        <v>37476.769999999997</v>
      </c>
      <c r="H688" t="s">
        <v>337</v>
      </c>
    </row>
    <row r="689" spans="1:8" x14ac:dyDescent="0.3">
      <c r="A689" s="1">
        <v>45681</v>
      </c>
      <c r="B689" t="s">
        <v>1035</v>
      </c>
      <c r="C689" t="s">
        <v>1036</v>
      </c>
      <c r="D689" s="1">
        <v>45681</v>
      </c>
      <c r="E689" s="2">
        <v>0</v>
      </c>
      <c r="F689" s="2">
        <v>17068.84</v>
      </c>
      <c r="G689" s="2">
        <v>54545.61</v>
      </c>
      <c r="H689" t="s">
        <v>1310</v>
      </c>
    </row>
    <row r="690" spans="1:8" x14ac:dyDescent="0.3">
      <c r="A690" s="1">
        <v>45681</v>
      </c>
      <c r="B690" t="s">
        <v>82</v>
      </c>
      <c r="C690" t="s">
        <v>1037</v>
      </c>
      <c r="D690" s="1">
        <v>45681</v>
      </c>
      <c r="E690" s="2">
        <v>391.02</v>
      </c>
      <c r="F690" s="2">
        <v>0</v>
      </c>
      <c r="G690" s="2">
        <v>54154.59</v>
      </c>
      <c r="H690" t="s">
        <v>337</v>
      </c>
    </row>
    <row r="691" spans="1:8" x14ac:dyDescent="0.3">
      <c r="A691" s="1">
        <v>45681</v>
      </c>
      <c r="B691" t="s">
        <v>1038</v>
      </c>
      <c r="C691" t="s">
        <v>1039</v>
      </c>
      <c r="D691" s="1">
        <v>45681</v>
      </c>
      <c r="E691" s="2">
        <v>20000</v>
      </c>
      <c r="F691" s="2">
        <v>0</v>
      </c>
      <c r="G691" s="2">
        <v>34154.589999999997</v>
      </c>
      <c r="H691" t="s">
        <v>1306</v>
      </c>
    </row>
    <row r="692" spans="1:8" x14ac:dyDescent="0.3">
      <c r="A692" s="1">
        <v>45681</v>
      </c>
      <c r="B692" t="s">
        <v>82</v>
      </c>
      <c r="C692" t="s">
        <v>1040</v>
      </c>
      <c r="D692" s="1">
        <v>45681</v>
      </c>
      <c r="E692" s="2">
        <v>7692.58</v>
      </c>
      <c r="F692" s="2">
        <v>0</v>
      </c>
      <c r="G692" s="2">
        <v>26462.01</v>
      </c>
      <c r="H692" t="s">
        <v>337</v>
      </c>
    </row>
    <row r="693" spans="1:8" x14ac:dyDescent="0.3">
      <c r="A693" s="1">
        <v>45681</v>
      </c>
      <c r="B693" t="s">
        <v>1041</v>
      </c>
      <c r="C693" t="s">
        <v>1042</v>
      </c>
      <c r="D693" s="1">
        <v>45681</v>
      </c>
      <c r="E693" s="2">
        <v>10164</v>
      </c>
      <c r="F693" s="2">
        <v>0</v>
      </c>
      <c r="G693" s="2">
        <v>16298.01</v>
      </c>
      <c r="H693" t="s">
        <v>347</v>
      </c>
    </row>
    <row r="694" spans="1:8" x14ac:dyDescent="0.3">
      <c r="A694" s="1">
        <v>45684</v>
      </c>
      <c r="B694" t="s">
        <v>1043</v>
      </c>
      <c r="C694" t="s">
        <v>1044</v>
      </c>
      <c r="D694" s="1">
        <v>45684</v>
      </c>
      <c r="E694" s="2">
        <v>10000</v>
      </c>
      <c r="F694" s="2">
        <v>0</v>
      </c>
      <c r="G694" s="2">
        <v>6298.01</v>
      </c>
      <c r="H694" t="s">
        <v>342</v>
      </c>
    </row>
    <row r="695" spans="1:8" x14ac:dyDescent="0.3">
      <c r="A695" s="1">
        <v>45684</v>
      </c>
      <c r="B695" t="s">
        <v>82</v>
      </c>
      <c r="C695" t="s">
        <v>1045</v>
      </c>
      <c r="D695" s="1">
        <v>45684</v>
      </c>
      <c r="E695" s="2">
        <v>1183.08</v>
      </c>
      <c r="F695" s="2">
        <v>0</v>
      </c>
      <c r="G695" s="2">
        <v>5114.93</v>
      </c>
      <c r="H695" t="s">
        <v>337</v>
      </c>
    </row>
    <row r="696" spans="1:8" x14ac:dyDescent="0.3">
      <c r="A696" s="1">
        <v>45684</v>
      </c>
      <c r="B696" t="s">
        <v>82</v>
      </c>
      <c r="C696" t="s">
        <v>1046</v>
      </c>
      <c r="D696" s="1">
        <v>45684</v>
      </c>
      <c r="E696" s="2">
        <v>5114.93</v>
      </c>
      <c r="F696" s="2">
        <v>0</v>
      </c>
      <c r="G696" s="2">
        <v>0</v>
      </c>
      <c r="H696" t="s">
        <v>337</v>
      </c>
    </row>
    <row r="697" spans="1:8" x14ac:dyDescent="0.3">
      <c r="A697" s="1">
        <v>45686</v>
      </c>
      <c r="B697" t="s">
        <v>1047</v>
      </c>
      <c r="C697" t="s">
        <v>1048</v>
      </c>
      <c r="D697" s="1">
        <v>45686</v>
      </c>
      <c r="E697" s="2">
        <v>0</v>
      </c>
      <c r="F697" s="2">
        <v>84.57</v>
      </c>
      <c r="G697" s="2">
        <v>84.57</v>
      </c>
      <c r="H697" t="s">
        <v>340</v>
      </c>
    </row>
    <row r="698" spans="1:8" x14ac:dyDescent="0.3">
      <c r="A698" s="1">
        <v>45686</v>
      </c>
      <c r="B698" t="s">
        <v>82</v>
      </c>
      <c r="C698" t="s">
        <v>1049</v>
      </c>
      <c r="D698" s="1">
        <v>45686</v>
      </c>
      <c r="E698" s="2">
        <v>84.57</v>
      </c>
      <c r="F698" s="2">
        <v>0</v>
      </c>
      <c r="G698" s="2">
        <v>0</v>
      </c>
      <c r="H698" t="s">
        <v>337</v>
      </c>
    </row>
    <row r="699" spans="1:8" x14ac:dyDescent="0.3">
      <c r="A699" s="1">
        <v>45687</v>
      </c>
      <c r="B699" t="s">
        <v>1050</v>
      </c>
      <c r="C699" t="s">
        <v>1051</v>
      </c>
      <c r="D699" s="1">
        <v>45687</v>
      </c>
      <c r="E699" s="2">
        <v>0</v>
      </c>
      <c r="F699" s="2">
        <v>28044.51</v>
      </c>
      <c r="G699" s="2">
        <v>28044.51</v>
      </c>
      <c r="H699" t="s">
        <v>1310</v>
      </c>
    </row>
    <row r="700" spans="1:8" x14ac:dyDescent="0.3">
      <c r="A700" s="1">
        <v>45687</v>
      </c>
      <c r="B700" t="s">
        <v>1052</v>
      </c>
      <c r="C700" t="s">
        <v>1053</v>
      </c>
      <c r="D700" s="1">
        <v>45687</v>
      </c>
      <c r="E700" s="2">
        <v>0</v>
      </c>
      <c r="F700" s="2">
        <v>20000</v>
      </c>
      <c r="G700" s="2">
        <v>48044.51</v>
      </c>
      <c r="H700" t="s">
        <v>1309</v>
      </c>
    </row>
    <row r="701" spans="1:8" x14ac:dyDescent="0.3">
      <c r="A701" s="1">
        <v>45687</v>
      </c>
      <c r="B701" t="s">
        <v>82</v>
      </c>
      <c r="C701" t="s">
        <v>1054</v>
      </c>
      <c r="D701" s="1">
        <v>45687</v>
      </c>
      <c r="E701" s="2">
        <v>392.82</v>
      </c>
      <c r="F701" s="2">
        <v>0</v>
      </c>
      <c r="G701" s="2">
        <v>47651.69</v>
      </c>
      <c r="H701" t="s">
        <v>337</v>
      </c>
    </row>
    <row r="702" spans="1:8" x14ac:dyDescent="0.3">
      <c r="A702" s="1">
        <v>45687</v>
      </c>
      <c r="B702" t="s">
        <v>82</v>
      </c>
      <c r="C702" t="s">
        <v>1055</v>
      </c>
      <c r="D702" s="1">
        <v>45687</v>
      </c>
      <c r="E702" s="2">
        <v>19819.29</v>
      </c>
      <c r="F702" s="2">
        <v>0</v>
      </c>
      <c r="G702" s="2">
        <v>27832.400000000001</v>
      </c>
      <c r="H702" t="s">
        <v>337</v>
      </c>
    </row>
    <row r="703" spans="1:8" x14ac:dyDescent="0.3">
      <c r="A703" s="1">
        <v>45687</v>
      </c>
      <c r="B703" t="s">
        <v>1056</v>
      </c>
      <c r="C703" t="s">
        <v>1057</v>
      </c>
      <c r="D703" s="1">
        <v>45687</v>
      </c>
      <c r="E703" s="2">
        <v>0</v>
      </c>
      <c r="F703" s="2">
        <v>2738</v>
      </c>
      <c r="G703" s="2">
        <v>30570.400000000001</v>
      </c>
      <c r="H703" t="s">
        <v>345</v>
      </c>
    </row>
    <row r="704" spans="1:8" x14ac:dyDescent="0.3">
      <c r="A704" s="1">
        <v>45687</v>
      </c>
      <c r="B704" t="s">
        <v>82</v>
      </c>
      <c r="C704" t="s">
        <v>1058</v>
      </c>
      <c r="D704" s="1">
        <v>45687</v>
      </c>
      <c r="E704" s="2">
        <v>3162.79</v>
      </c>
      <c r="F704" s="2">
        <v>0</v>
      </c>
      <c r="G704" s="2">
        <v>27407.61</v>
      </c>
      <c r="H704" t="s">
        <v>337</v>
      </c>
    </row>
    <row r="705" spans="1:8" x14ac:dyDescent="0.3">
      <c r="A705" s="1">
        <v>45688</v>
      </c>
      <c r="B705" t="s">
        <v>1059</v>
      </c>
      <c r="C705" t="s">
        <v>1060</v>
      </c>
      <c r="D705" s="1">
        <v>45688</v>
      </c>
      <c r="E705" s="2">
        <v>0</v>
      </c>
      <c r="F705" s="2">
        <v>5948.06</v>
      </c>
      <c r="G705" s="2">
        <v>33355.67</v>
      </c>
      <c r="H705" t="s">
        <v>1310</v>
      </c>
    </row>
    <row r="706" spans="1:8" x14ac:dyDescent="0.3">
      <c r="A706" s="1">
        <v>45688</v>
      </c>
      <c r="B706" t="s">
        <v>82</v>
      </c>
      <c r="C706" t="s">
        <v>1061</v>
      </c>
      <c r="D706" s="1">
        <v>45688</v>
      </c>
      <c r="E706" s="2">
        <v>366.51</v>
      </c>
      <c r="F706" s="2">
        <v>0</v>
      </c>
      <c r="G706" s="2">
        <v>32989.160000000003</v>
      </c>
      <c r="H706" t="s">
        <v>337</v>
      </c>
    </row>
    <row r="707" spans="1:8" x14ac:dyDescent="0.3">
      <c r="A707" s="1">
        <v>45691</v>
      </c>
      <c r="B707" t="s">
        <v>1062</v>
      </c>
      <c r="C707" t="s">
        <v>1063</v>
      </c>
      <c r="D707" s="1">
        <v>45691</v>
      </c>
      <c r="E707" s="2">
        <v>0</v>
      </c>
      <c r="F707" s="2">
        <v>105.23</v>
      </c>
      <c r="G707" s="2">
        <v>33094.39</v>
      </c>
      <c r="H707" t="s">
        <v>1310</v>
      </c>
    </row>
    <row r="708" spans="1:8" x14ac:dyDescent="0.3">
      <c r="A708" s="1">
        <v>45691</v>
      </c>
      <c r="B708" t="s">
        <v>1064</v>
      </c>
      <c r="C708" t="s">
        <v>1065</v>
      </c>
      <c r="D708" s="1">
        <v>45691</v>
      </c>
      <c r="E708" s="2">
        <v>0</v>
      </c>
      <c r="F708" s="2">
        <v>34295.839999999997</v>
      </c>
      <c r="G708" s="2">
        <v>67390.23</v>
      </c>
      <c r="H708" t="s">
        <v>1310</v>
      </c>
    </row>
    <row r="709" spans="1:8" x14ac:dyDescent="0.3">
      <c r="A709" s="1">
        <v>45691</v>
      </c>
      <c r="B709" t="s">
        <v>1066</v>
      </c>
      <c r="C709" t="s">
        <v>1067</v>
      </c>
      <c r="D709" s="1">
        <v>45691</v>
      </c>
      <c r="E709" s="2">
        <v>0</v>
      </c>
      <c r="F709" s="2">
        <v>3496</v>
      </c>
      <c r="G709" s="2">
        <v>70886.23</v>
      </c>
      <c r="H709" t="s">
        <v>340</v>
      </c>
    </row>
    <row r="710" spans="1:8" x14ac:dyDescent="0.3">
      <c r="A710" s="1">
        <v>45691</v>
      </c>
      <c r="B710" t="s">
        <v>82</v>
      </c>
      <c r="C710" t="s">
        <v>1068</v>
      </c>
      <c r="D710" s="1">
        <v>45691</v>
      </c>
      <c r="E710" s="2">
        <v>28353.38</v>
      </c>
      <c r="F710" s="2">
        <v>0</v>
      </c>
      <c r="G710" s="2">
        <v>42532.85</v>
      </c>
      <c r="H710" t="s">
        <v>337</v>
      </c>
    </row>
    <row r="711" spans="1:8" x14ac:dyDescent="0.3">
      <c r="A711" s="1">
        <v>45692</v>
      </c>
      <c r="B711" t="s">
        <v>1069</v>
      </c>
      <c r="C711" t="s">
        <v>1070</v>
      </c>
      <c r="D711" s="1">
        <v>45692</v>
      </c>
      <c r="E711" s="2">
        <v>0</v>
      </c>
      <c r="F711" s="2">
        <v>46286.58</v>
      </c>
      <c r="G711" s="2">
        <v>88819.43</v>
      </c>
      <c r="H711" t="s">
        <v>1310</v>
      </c>
    </row>
    <row r="712" spans="1:8" x14ac:dyDescent="0.3">
      <c r="A712" s="1">
        <v>45692</v>
      </c>
      <c r="B712" t="s">
        <v>82</v>
      </c>
      <c r="C712" t="s">
        <v>1071</v>
      </c>
      <c r="D712" s="1">
        <v>45692</v>
      </c>
      <c r="E712" s="2">
        <v>357.49</v>
      </c>
      <c r="F712" s="2">
        <v>0</v>
      </c>
      <c r="G712" s="2">
        <v>88461.94</v>
      </c>
      <c r="H712" t="s">
        <v>337</v>
      </c>
    </row>
    <row r="713" spans="1:8" x14ac:dyDescent="0.3">
      <c r="A713" s="1">
        <v>45692</v>
      </c>
      <c r="B713" t="s">
        <v>82</v>
      </c>
      <c r="C713" t="s">
        <v>1072</v>
      </c>
      <c r="D713" s="1">
        <v>45692</v>
      </c>
      <c r="E713" s="2">
        <v>7755.45</v>
      </c>
      <c r="F713" s="2">
        <v>0</v>
      </c>
      <c r="G713" s="2">
        <v>80706.490000000005</v>
      </c>
      <c r="H713" t="s">
        <v>337</v>
      </c>
    </row>
    <row r="714" spans="1:8" x14ac:dyDescent="0.3">
      <c r="A714" s="1">
        <v>45693</v>
      </c>
      <c r="B714" t="s">
        <v>82</v>
      </c>
      <c r="C714" t="s">
        <v>1073</v>
      </c>
      <c r="D714" s="1">
        <v>45693</v>
      </c>
      <c r="E714" s="2">
        <v>366.99</v>
      </c>
      <c r="F714" s="2">
        <v>0</v>
      </c>
      <c r="G714" s="2">
        <v>80339.5</v>
      </c>
      <c r="H714" t="s">
        <v>337</v>
      </c>
    </row>
    <row r="715" spans="1:8" x14ac:dyDescent="0.3">
      <c r="A715" s="1">
        <v>45693</v>
      </c>
      <c r="B715" t="s">
        <v>1074</v>
      </c>
      <c r="C715" t="s">
        <v>1075</v>
      </c>
      <c r="D715" s="1">
        <v>45693</v>
      </c>
      <c r="E715" s="2">
        <v>0</v>
      </c>
      <c r="F715" s="2">
        <v>10164</v>
      </c>
      <c r="G715" s="2">
        <v>90503.5</v>
      </c>
      <c r="H715" t="s">
        <v>345</v>
      </c>
    </row>
    <row r="716" spans="1:8" x14ac:dyDescent="0.3">
      <c r="A716" s="1">
        <v>45693</v>
      </c>
      <c r="B716" t="s">
        <v>82</v>
      </c>
      <c r="C716" t="s">
        <v>1076</v>
      </c>
      <c r="D716" s="1">
        <v>45693</v>
      </c>
      <c r="E716" s="2">
        <v>28518.15</v>
      </c>
      <c r="F716" s="2">
        <v>0</v>
      </c>
      <c r="G716" s="2">
        <v>61985.35</v>
      </c>
      <c r="H716" t="s">
        <v>337</v>
      </c>
    </row>
    <row r="717" spans="1:8" x14ac:dyDescent="0.3">
      <c r="A717" s="1">
        <v>45694</v>
      </c>
      <c r="B717" t="s">
        <v>1077</v>
      </c>
      <c r="C717" t="s">
        <v>1078</v>
      </c>
      <c r="D717" s="1">
        <v>45694</v>
      </c>
      <c r="E717" s="2">
        <v>0</v>
      </c>
      <c r="F717" s="2">
        <v>42371.199999999997</v>
      </c>
      <c r="G717" s="2">
        <v>104356.55</v>
      </c>
      <c r="H717" t="s">
        <v>1310</v>
      </c>
    </row>
    <row r="718" spans="1:8" x14ac:dyDescent="0.3">
      <c r="A718" s="1">
        <v>45694</v>
      </c>
      <c r="B718" t="s">
        <v>82</v>
      </c>
      <c r="C718" t="s">
        <v>1079</v>
      </c>
      <c r="D718" s="1">
        <v>45694</v>
      </c>
      <c r="E718" s="2">
        <v>379.21</v>
      </c>
      <c r="F718" s="2">
        <v>0</v>
      </c>
      <c r="G718" s="2">
        <v>103977.34</v>
      </c>
      <c r="H718" t="s">
        <v>337</v>
      </c>
    </row>
    <row r="719" spans="1:8" x14ac:dyDescent="0.3">
      <c r="A719" s="1">
        <v>45694</v>
      </c>
      <c r="B719" t="s">
        <v>82</v>
      </c>
      <c r="C719" t="s">
        <v>1080</v>
      </c>
      <c r="D719" s="1">
        <v>45694</v>
      </c>
      <c r="E719" s="2">
        <v>3322.57</v>
      </c>
      <c r="F719" s="2">
        <v>0</v>
      </c>
      <c r="G719" s="2">
        <v>100654.77</v>
      </c>
      <c r="H719" t="s">
        <v>337</v>
      </c>
    </row>
    <row r="720" spans="1:8" x14ac:dyDescent="0.3">
      <c r="A720" s="1">
        <v>45695</v>
      </c>
      <c r="B720" t="s">
        <v>82</v>
      </c>
      <c r="C720" t="s">
        <v>1081</v>
      </c>
      <c r="D720" s="1">
        <v>45695</v>
      </c>
      <c r="E720" s="2">
        <v>378.02</v>
      </c>
      <c r="F720" s="2">
        <v>0</v>
      </c>
      <c r="G720" s="2">
        <v>100276.75</v>
      </c>
      <c r="H720" t="s">
        <v>337</v>
      </c>
    </row>
    <row r="721" spans="1:8" x14ac:dyDescent="0.3">
      <c r="A721" s="1">
        <v>45695</v>
      </c>
      <c r="B721" t="s">
        <v>1082</v>
      </c>
      <c r="C721" t="s">
        <v>1083</v>
      </c>
      <c r="D721" s="1">
        <v>45695</v>
      </c>
      <c r="E721" s="2">
        <v>0</v>
      </c>
      <c r="F721" s="2">
        <v>34220</v>
      </c>
      <c r="G721" s="2">
        <v>134496.75</v>
      </c>
      <c r="H721" t="s">
        <v>345</v>
      </c>
    </row>
    <row r="722" spans="1:8" x14ac:dyDescent="0.3">
      <c r="A722" s="1">
        <v>45695</v>
      </c>
      <c r="B722" t="s">
        <v>82</v>
      </c>
      <c r="C722" t="s">
        <v>1084</v>
      </c>
      <c r="D722" s="1">
        <v>45695</v>
      </c>
      <c r="E722" s="2">
        <v>33071.58</v>
      </c>
      <c r="F722" s="2">
        <v>0</v>
      </c>
      <c r="G722" s="2">
        <v>101425.17</v>
      </c>
      <c r="H722" t="s">
        <v>337</v>
      </c>
    </row>
    <row r="723" spans="1:8" x14ac:dyDescent="0.3">
      <c r="A723" s="1">
        <v>45698</v>
      </c>
      <c r="B723" t="s">
        <v>1085</v>
      </c>
      <c r="C723" t="s">
        <v>1086</v>
      </c>
      <c r="D723" s="1">
        <v>45698</v>
      </c>
      <c r="E723" s="2">
        <v>0</v>
      </c>
      <c r="F723" s="2">
        <v>86601.53</v>
      </c>
      <c r="G723" s="2">
        <v>188026.7</v>
      </c>
      <c r="H723" t="s">
        <v>1310</v>
      </c>
    </row>
    <row r="724" spans="1:8" x14ac:dyDescent="0.3">
      <c r="A724" s="1">
        <v>45698</v>
      </c>
      <c r="B724" t="s">
        <v>82</v>
      </c>
      <c r="C724" t="s">
        <v>1087</v>
      </c>
      <c r="D724" s="1">
        <v>45698</v>
      </c>
      <c r="E724" s="2">
        <v>1098.72</v>
      </c>
      <c r="F724" s="2">
        <v>0</v>
      </c>
      <c r="G724" s="2">
        <v>186927.98</v>
      </c>
      <c r="H724" t="s">
        <v>337</v>
      </c>
    </row>
    <row r="725" spans="1:8" x14ac:dyDescent="0.3">
      <c r="A725" s="1">
        <v>45699</v>
      </c>
      <c r="B725" t="s">
        <v>82</v>
      </c>
      <c r="C725" t="s">
        <v>1088</v>
      </c>
      <c r="D725" s="1">
        <v>45699</v>
      </c>
      <c r="E725" s="2">
        <v>32793.15</v>
      </c>
      <c r="F725" s="2">
        <v>0</v>
      </c>
      <c r="G725" s="2">
        <v>154134.82999999999</v>
      </c>
      <c r="H725" t="s">
        <v>337</v>
      </c>
    </row>
    <row r="726" spans="1:8" x14ac:dyDescent="0.3">
      <c r="A726" s="1">
        <v>45699</v>
      </c>
      <c r="B726" t="s">
        <v>82</v>
      </c>
      <c r="C726" t="s">
        <v>1089</v>
      </c>
      <c r="D726" s="1">
        <v>45699</v>
      </c>
      <c r="E726" s="2">
        <v>378.42</v>
      </c>
      <c r="F726" s="2">
        <v>0</v>
      </c>
      <c r="G726" s="2">
        <v>153756.41</v>
      </c>
      <c r="H726" t="s">
        <v>337</v>
      </c>
    </row>
    <row r="727" spans="1:8" x14ac:dyDescent="0.3">
      <c r="A727" s="1">
        <v>45699</v>
      </c>
      <c r="B727" t="s">
        <v>82</v>
      </c>
      <c r="C727" t="s">
        <v>1090</v>
      </c>
      <c r="D727" s="1">
        <v>45699</v>
      </c>
      <c r="E727" s="2">
        <v>37144.79</v>
      </c>
      <c r="F727" s="2">
        <v>0</v>
      </c>
      <c r="G727" s="2">
        <v>116611.62</v>
      </c>
      <c r="H727" t="s">
        <v>337</v>
      </c>
    </row>
    <row r="728" spans="1:8" x14ac:dyDescent="0.3">
      <c r="A728" s="1">
        <v>45700</v>
      </c>
      <c r="B728" t="s">
        <v>82</v>
      </c>
      <c r="C728" t="s">
        <v>1091</v>
      </c>
      <c r="D728" s="1">
        <v>45700</v>
      </c>
      <c r="E728" s="2">
        <v>379.99</v>
      </c>
      <c r="F728" s="2">
        <v>0</v>
      </c>
      <c r="G728" s="2">
        <v>116231.63</v>
      </c>
      <c r="H728" t="s">
        <v>337</v>
      </c>
    </row>
    <row r="729" spans="1:8" x14ac:dyDescent="0.3">
      <c r="A729" s="1">
        <v>45700</v>
      </c>
      <c r="B729" t="s">
        <v>82</v>
      </c>
      <c r="C729" t="s">
        <v>1092</v>
      </c>
      <c r="D729" s="1">
        <v>45700</v>
      </c>
      <c r="E729" s="2">
        <v>43612.42</v>
      </c>
      <c r="F729" s="2">
        <v>0</v>
      </c>
      <c r="G729" s="2">
        <v>72619.210000000006</v>
      </c>
      <c r="H729" t="s">
        <v>337</v>
      </c>
    </row>
    <row r="730" spans="1:8" x14ac:dyDescent="0.3">
      <c r="A730" s="1">
        <v>45701</v>
      </c>
      <c r="B730" t="s">
        <v>82</v>
      </c>
      <c r="C730" t="s">
        <v>1093</v>
      </c>
      <c r="D730" s="1">
        <v>45701</v>
      </c>
      <c r="E730" s="2">
        <v>369.32</v>
      </c>
      <c r="F730" s="2">
        <v>0</v>
      </c>
      <c r="G730" s="2">
        <v>72249.89</v>
      </c>
      <c r="H730" t="s">
        <v>337</v>
      </c>
    </row>
    <row r="731" spans="1:8" x14ac:dyDescent="0.3">
      <c r="A731" s="1">
        <v>45701</v>
      </c>
      <c r="B731" t="s">
        <v>1094</v>
      </c>
      <c r="C731" t="s">
        <v>1095</v>
      </c>
      <c r="D731" s="1">
        <v>45701</v>
      </c>
      <c r="E731" s="2">
        <v>0</v>
      </c>
      <c r="F731" s="2">
        <v>627</v>
      </c>
      <c r="G731" s="2">
        <v>72876.89</v>
      </c>
      <c r="H731" t="s">
        <v>340</v>
      </c>
    </row>
    <row r="732" spans="1:8" x14ac:dyDescent="0.3">
      <c r="A732" s="1">
        <v>45701</v>
      </c>
      <c r="B732" t="s">
        <v>82</v>
      </c>
      <c r="C732" t="s">
        <v>1096</v>
      </c>
      <c r="D732" s="1">
        <v>45701</v>
      </c>
      <c r="E732" s="2">
        <v>3599.59</v>
      </c>
      <c r="F732" s="2">
        <v>0</v>
      </c>
      <c r="G732" s="2">
        <v>69277.3</v>
      </c>
      <c r="H732" t="s">
        <v>337</v>
      </c>
    </row>
    <row r="733" spans="1:8" x14ac:dyDescent="0.3">
      <c r="A733" s="1">
        <v>45702</v>
      </c>
      <c r="B733" t="s">
        <v>1097</v>
      </c>
      <c r="C733" t="s">
        <v>1098</v>
      </c>
      <c r="D733" s="1">
        <v>45702</v>
      </c>
      <c r="E733" s="2">
        <v>0</v>
      </c>
      <c r="F733" s="2">
        <v>210</v>
      </c>
      <c r="G733" s="2">
        <v>69487.3</v>
      </c>
      <c r="H733" t="s">
        <v>340</v>
      </c>
    </row>
    <row r="734" spans="1:8" x14ac:dyDescent="0.3">
      <c r="A734" s="1">
        <v>45702</v>
      </c>
      <c r="B734" t="s">
        <v>82</v>
      </c>
      <c r="C734" t="s">
        <v>1099</v>
      </c>
      <c r="D734" s="1">
        <v>45702</v>
      </c>
      <c r="E734" s="2">
        <v>402.64</v>
      </c>
      <c r="F734" s="2">
        <v>0</v>
      </c>
      <c r="G734" s="2">
        <v>69084.66</v>
      </c>
      <c r="H734" t="s">
        <v>337</v>
      </c>
    </row>
    <row r="735" spans="1:8" x14ac:dyDescent="0.3">
      <c r="A735" s="1">
        <v>45702</v>
      </c>
      <c r="B735" t="s">
        <v>1100</v>
      </c>
      <c r="C735" t="s">
        <v>98</v>
      </c>
      <c r="D735" s="1">
        <v>45702</v>
      </c>
      <c r="E735" s="2">
        <v>247.8</v>
      </c>
      <c r="F735" s="2">
        <v>0</v>
      </c>
      <c r="G735" s="2">
        <v>68836.86</v>
      </c>
      <c r="H735" t="s">
        <v>343</v>
      </c>
    </row>
    <row r="736" spans="1:8" x14ac:dyDescent="0.3">
      <c r="A736" s="1">
        <v>45702</v>
      </c>
      <c r="B736" t="s">
        <v>82</v>
      </c>
      <c r="C736" t="s">
        <v>1101</v>
      </c>
      <c r="D736" s="1">
        <v>45702</v>
      </c>
      <c r="E736" s="2">
        <v>21070.58</v>
      </c>
      <c r="F736" s="2">
        <v>0</v>
      </c>
      <c r="G736" s="2">
        <v>47766.28</v>
      </c>
      <c r="H736" t="s">
        <v>337</v>
      </c>
    </row>
    <row r="737" spans="1:8" x14ac:dyDescent="0.3">
      <c r="A737" s="1">
        <v>45703</v>
      </c>
      <c r="B737" t="s">
        <v>82</v>
      </c>
      <c r="C737" t="s">
        <v>1102</v>
      </c>
      <c r="D737" s="1">
        <v>45703</v>
      </c>
      <c r="E737" s="2">
        <v>5298.4</v>
      </c>
      <c r="F737" s="2">
        <v>0</v>
      </c>
      <c r="G737" s="2">
        <v>42467.88</v>
      </c>
      <c r="H737" t="s">
        <v>337</v>
      </c>
    </row>
    <row r="738" spans="1:8" x14ac:dyDescent="0.3">
      <c r="A738" s="1">
        <v>45705</v>
      </c>
      <c r="B738" t="s">
        <v>1103</v>
      </c>
      <c r="C738" t="s">
        <v>1104</v>
      </c>
      <c r="D738" s="1">
        <v>45705</v>
      </c>
      <c r="E738" s="2">
        <v>0</v>
      </c>
      <c r="F738" s="2">
        <v>834.62</v>
      </c>
      <c r="G738" s="2">
        <v>43302.5</v>
      </c>
      <c r="H738" t="s">
        <v>1310</v>
      </c>
    </row>
    <row r="739" spans="1:8" x14ac:dyDescent="0.3">
      <c r="A739" s="1">
        <v>45705</v>
      </c>
      <c r="B739" t="s">
        <v>1105</v>
      </c>
      <c r="C739" t="s">
        <v>1106</v>
      </c>
      <c r="D739" s="1">
        <v>45705</v>
      </c>
      <c r="E739" s="2">
        <v>0</v>
      </c>
      <c r="F739" s="2">
        <v>5298.4</v>
      </c>
      <c r="G739" s="2">
        <v>48600.9</v>
      </c>
      <c r="H739" t="s">
        <v>1310</v>
      </c>
    </row>
    <row r="740" spans="1:8" x14ac:dyDescent="0.3">
      <c r="A740" s="1">
        <v>45705</v>
      </c>
      <c r="B740" t="s">
        <v>1107</v>
      </c>
      <c r="C740" t="s">
        <v>1108</v>
      </c>
      <c r="D740" s="1">
        <v>45705</v>
      </c>
      <c r="E740" s="2">
        <v>5000</v>
      </c>
      <c r="F740" s="2">
        <v>0</v>
      </c>
      <c r="G740" s="2">
        <v>43600.9</v>
      </c>
      <c r="H740" t="s">
        <v>341</v>
      </c>
    </row>
    <row r="741" spans="1:8" x14ac:dyDescent="0.3">
      <c r="A741" s="1">
        <v>45705</v>
      </c>
      <c r="B741" t="s">
        <v>82</v>
      </c>
      <c r="C741" t="s">
        <v>1109</v>
      </c>
      <c r="D741" s="1">
        <v>45705</v>
      </c>
      <c r="E741" s="2">
        <v>1179.75</v>
      </c>
      <c r="F741" s="2">
        <v>0</v>
      </c>
      <c r="G741" s="2">
        <v>42421.15</v>
      </c>
      <c r="H741" t="s">
        <v>337</v>
      </c>
    </row>
    <row r="742" spans="1:8" x14ac:dyDescent="0.3">
      <c r="A742" s="1">
        <v>45705</v>
      </c>
      <c r="B742" t="s">
        <v>1110</v>
      </c>
      <c r="C742" t="s">
        <v>1111</v>
      </c>
      <c r="D742" s="1">
        <v>45705</v>
      </c>
      <c r="E742" s="2">
        <v>0</v>
      </c>
      <c r="F742" s="2">
        <v>475</v>
      </c>
      <c r="G742" s="2">
        <v>42896.15</v>
      </c>
      <c r="H742" t="s">
        <v>340</v>
      </c>
    </row>
    <row r="743" spans="1:8" x14ac:dyDescent="0.3">
      <c r="A743" s="1">
        <v>45705</v>
      </c>
      <c r="B743" t="s">
        <v>82</v>
      </c>
      <c r="C743" t="s">
        <v>1112</v>
      </c>
      <c r="D743" s="1">
        <v>45705</v>
      </c>
      <c r="E743" s="2">
        <v>17237.03</v>
      </c>
      <c r="F743" s="2">
        <v>0</v>
      </c>
      <c r="G743" s="2">
        <v>25659.119999999999</v>
      </c>
      <c r="H743" t="s">
        <v>337</v>
      </c>
    </row>
    <row r="744" spans="1:8" x14ac:dyDescent="0.3">
      <c r="A744" s="1">
        <v>45705</v>
      </c>
      <c r="B744" t="s">
        <v>82</v>
      </c>
      <c r="C744" t="s">
        <v>1113</v>
      </c>
      <c r="D744" s="1">
        <v>45705</v>
      </c>
      <c r="E744" s="2">
        <v>6502.29</v>
      </c>
      <c r="F744" s="2">
        <v>0</v>
      </c>
      <c r="G744" s="2">
        <v>19156.830000000002</v>
      </c>
      <c r="H744" t="s">
        <v>337</v>
      </c>
    </row>
    <row r="745" spans="1:8" x14ac:dyDescent="0.3">
      <c r="A745" s="1">
        <v>45706</v>
      </c>
      <c r="B745" t="s">
        <v>1114</v>
      </c>
      <c r="C745" t="s">
        <v>1115</v>
      </c>
      <c r="D745" s="1">
        <v>45706</v>
      </c>
      <c r="E745" s="2">
        <v>0</v>
      </c>
      <c r="F745" s="2">
        <v>40874.93</v>
      </c>
      <c r="G745" s="2">
        <v>60031.76</v>
      </c>
      <c r="H745" t="s">
        <v>1310</v>
      </c>
    </row>
    <row r="746" spans="1:8" x14ac:dyDescent="0.3">
      <c r="A746" s="1">
        <v>45706</v>
      </c>
      <c r="B746" t="s">
        <v>82</v>
      </c>
      <c r="C746" t="s">
        <v>1116</v>
      </c>
      <c r="D746" s="1">
        <v>45706</v>
      </c>
      <c r="E746" s="2">
        <v>386.68</v>
      </c>
      <c r="F746" s="2">
        <v>0</v>
      </c>
      <c r="G746" s="2">
        <v>59645.08</v>
      </c>
      <c r="H746" t="s">
        <v>337</v>
      </c>
    </row>
    <row r="747" spans="1:8" x14ac:dyDescent="0.3">
      <c r="A747" s="1">
        <v>45706</v>
      </c>
      <c r="B747" t="s">
        <v>1117</v>
      </c>
      <c r="C747" t="s">
        <v>1118</v>
      </c>
      <c r="D747" s="1">
        <v>45706</v>
      </c>
      <c r="E747" s="2">
        <v>0</v>
      </c>
      <c r="F747" s="2">
        <v>17</v>
      </c>
      <c r="G747" s="2">
        <v>59662.080000000002</v>
      </c>
      <c r="H747" t="s">
        <v>340</v>
      </c>
    </row>
    <row r="748" spans="1:8" x14ac:dyDescent="0.3">
      <c r="A748" s="1">
        <v>45706</v>
      </c>
      <c r="B748" t="s">
        <v>1119</v>
      </c>
      <c r="C748" t="s">
        <v>1120</v>
      </c>
      <c r="D748" s="1">
        <v>45706</v>
      </c>
      <c r="E748" s="2">
        <v>0</v>
      </c>
      <c r="F748" s="2">
        <v>525</v>
      </c>
      <c r="G748" s="2">
        <v>60187.08</v>
      </c>
      <c r="H748" t="s">
        <v>340</v>
      </c>
    </row>
    <row r="749" spans="1:8" x14ac:dyDescent="0.3">
      <c r="A749" s="1">
        <v>45706</v>
      </c>
      <c r="B749" t="s">
        <v>82</v>
      </c>
      <c r="C749" t="s">
        <v>1121</v>
      </c>
      <c r="D749" s="1">
        <v>45706</v>
      </c>
      <c r="E749" s="2">
        <v>10680.72</v>
      </c>
      <c r="F749" s="2">
        <v>0</v>
      </c>
      <c r="G749" s="2">
        <v>49506.36</v>
      </c>
      <c r="H749" t="s">
        <v>337</v>
      </c>
    </row>
    <row r="750" spans="1:8" x14ac:dyDescent="0.3">
      <c r="A750" s="1">
        <v>45706</v>
      </c>
      <c r="B750" t="s">
        <v>82</v>
      </c>
      <c r="C750" t="s">
        <v>1122</v>
      </c>
      <c r="D750" s="1">
        <v>45706</v>
      </c>
      <c r="E750" s="2">
        <v>32910.82</v>
      </c>
      <c r="F750" s="2">
        <v>0</v>
      </c>
      <c r="G750" s="2">
        <v>16595.54</v>
      </c>
      <c r="H750" t="s">
        <v>337</v>
      </c>
    </row>
    <row r="751" spans="1:8" x14ac:dyDescent="0.3">
      <c r="A751" s="1">
        <v>45707</v>
      </c>
      <c r="B751" t="s">
        <v>82</v>
      </c>
      <c r="C751" t="s">
        <v>1123</v>
      </c>
      <c r="D751" s="1">
        <v>45707</v>
      </c>
      <c r="E751" s="2">
        <v>397.02</v>
      </c>
      <c r="F751" s="2">
        <v>0</v>
      </c>
      <c r="G751" s="2">
        <v>16198.52</v>
      </c>
      <c r="H751" t="s">
        <v>337</v>
      </c>
    </row>
    <row r="752" spans="1:8" x14ac:dyDescent="0.3">
      <c r="A752" s="1">
        <v>45707</v>
      </c>
      <c r="B752" t="s">
        <v>82</v>
      </c>
      <c r="C752" t="s">
        <v>1124</v>
      </c>
      <c r="D752" s="1">
        <v>45707</v>
      </c>
      <c r="E752" s="2">
        <v>13065.24</v>
      </c>
      <c r="F752" s="2">
        <v>0</v>
      </c>
      <c r="G752" s="2">
        <v>3133.28</v>
      </c>
      <c r="H752" t="s">
        <v>337</v>
      </c>
    </row>
    <row r="753" spans="1:8" x14ac:dyDescent="0.3">
      <c r="A753" s="1">
        <v>45708</v>
      </c>
      <c r="B753" t="s">
        <v>1125</v>
      </c>
      <c r="C753" t="s">
        <v>1126</v>
      </c>
      <c r="D753" s="1">
        <v>45708</v>
      </c>
      <c r="E753" s="2">
        <v>0</v>
      </c>
      <c r="F753" s="2">
        <v>12303.96</v>
      </c>
      <c r="G753" s="2">
        <v>15437.24</v>
      </c>
      <c r="H753" t="s">
        <v>1310</v>
      </c>
    </row>
    <row r="754" spans="1:8" x14ac:dyDescent="0.3">
      <c r="A754" s="1">
        <v>45708</v>
      </c>
      <c r="B754" t="s">
        <v>1127</v>
      </c>
      <c r="C754" t="s">
        <v>1128</v>
      </c>
      <c r="D754" s="1">
        <v>45708</v>
      </c>
      <c r="E754" s="2">
        <v>0</v>
      </c>
      <c r="F754" s="2">
        <v>573.75</v>
      </c>
      <c r="G754" s="2">
        <v>16010.99</v>
      </c>
      <c r="H754" t="s">
        <v>340</v>
      </c>
    </row>
    <row r="755" spans="1:8" x14ac:dyDescent="0.3">
      <c r="A755" s="1">
        <v>45708</v>
      </c>
      <c r="B755" t="s">
        <v>82</v>
      </c>
      <c r="C755" t="s">
        <v>1129</v>
      </c>
      <c r="D755" s="1">
        <v>45708</v>
      </c>
      <c r="E755" s="2">
        <v>392.37</v>
      </c>
      <c r="F755" s="2">
        <v>0</v>
      </c>
      <c r="G755" s="2">
        <v>15618.62</v>
      </c>
      <c r="H755" t="s">
        <v>337</v>
      </c>
    </row>
    <row r="756" spans="1:8" x14ac:dyDescent="0.3">
      <c r="A756" s="1">
        <v>45708</v>
      </c>
      <c r="B756" t="s">
        <v>1130</v>
      </c>
      <c r="C756" t="s">
        <v>1131</v>
      </c>
      <c r="D756" s="1">
        <v>45708</v>
      </c>
      <c r="E756" s="2">
        <v>7632</v>
      </c>
      <c r="F756" s="2">
        <v>0</v>
      </c>
      <c r="G756" s="2">
        <v>7986.62</v>
      </c>
      <c r="H756" t="s">
        <v>347</v>
      </c>
    </row>
    <row r="757" spans="1:8" x14ac:dyDescent="0.3">
      <c r="A757" s="1">
        <v>45709</v>
      </c>
      <c r="B757" t="s">
        <v>1132</v>
      </c>
      <c r="C757" t="s">
        <v>1133</v>
      </c>
      <c r="D757" s="1">
        <v>45709</v>
      </c>
      <c r="E757" s="2">
        <v>0</v>
      </c>
      <c r="F757" s="2">
        <v>14833.79</v>
      </c>
      <c r="G757" s="2">
        <v>22820.41</v>
      </c>
      <c r="H757" t="s">
        <v>1310</v>
      </c>
    </row>
    <row r="758" spans="1:8" x14ac:dyDescent="0.3">
      <c r="A758" s="1">
        <v>45709</v>
      </c>
      <c r="B758" t="s">
        <v>1134</v>
      </c>
      <c r="C758" t="s">
        <v>1135</v>
      </c>
      <c r="D758" s="1">
        <v>45709</v>
      </c>
      <c r="E758" s="2">
        <v>0</v>
      </c>
      <c r="F758" s="2">
        <v>15852.28</v>
      </c>
      <c r="G758" s="2">
        <v>38672.69</v>
      </c>
      <c r="H758" t="s">
        <v>1310</v>
      </c>
    </row>
    <row r="759" spans="1:8" x14ac:dyDescent="0.3">
      <c r="A759" s="1">
        <v>45709</v>
      </c>
      <c r="B759" t="s">
        <v>82</v>
      </c>
      <c r="C759" t="s">
        <v>1136</v>
      </c>
      <c r="D759" s="1">
        <v>45709</v>
      </c>
      <c r="E759" s="2">
        <v>413.13</v>
      </c>
      <c r="F759" s="2">
        <v>0</v>
      </c>
      <c r="G759" s="2">
        <v>38259.56</v>
      </c>
      <c r="H759" t="s">
        <v>337</v>
      </c>
    </row>
    <row r="760" spans="1:8" x14ac:dyDescent="0.3">
      <c r="A760" s="1">
        <v>45709</v>
      </c>
      <c r="B760" t="s">
        <v>82</v>
      </c>
      <c r="C760" t="s">
        <v>1137</v>
      </c>
      <c r="D760" s="1">
        <v>45709</v>
      </c>
      <c r="E760" s="2">
        <v>591.59</v>
      </c>
      <c r="F760" s="2">
        <v>0</v>
      </c>
      <c r="G760" s="2">
        <v>37667.97</v>
      </c>
      <c r="H760" t="s">
        <v>337</v>
      </c>
    </row>
    <row r="761" spans="1:8" x14ac:dyDescent="0.3">
      <c r="A761" s="1">
        <v>45709</v>
      </c>
      <c r="B761" t="s">
        <v>82</v>
      </c>
      <c r="C761" t="s">
        <v>1138</v>
      </c>
      <c r="D761" s="1">
        <v>45709</v>
      </c>
      <c r="E761" s="2">
        <v>14592.03</v>
      </c>
      <c r="F761" s="2">
        <v>0</v>
      </c>
      <c r="G761" s="2">
        <v>23075.94</v>
      </c>
      <c r="H761" t="s">
        <v>337</v>
      </c>
    </row>
    <row r="762" spans="1:8" x14ac:dyDescent="0.3">
      <c r="A762" s="1">
        <v>45712</v>
      </c>
      <c r="B762" t="s">
        <v>82</v>
      </c>
      <c r="C762" t="s">
        <v>1139</v>
      </c>
      <c r="D762" s="1">
        <v>45712</v>
      </c>
      <c r="E762" s="2">
        <v>1240.1099999999999</v>
      </c>
      <c r="F762" s="2">
        <v>0</v>
      </c>
      <c r="G762" s="2">
        <v>21835.83</v>
      </c>
      <c r="H762" t="s">
        <v>337</v>
      </c>
    </row>
    <row r="763" spans="1:8" x14ac:dyDescent="0.3">
      <c r="A763" s="1">
        <v>45712</v>
      </c>
      <c r="B763" t="s">
        <v>1140</v>
      </c>
      <c r="C763" t="s">
        <v>1141</v>
      </c>
      <c r="D763" s="1">
        <v>45712</v>
      </c>
      <c r="E763" s="2">
        <v>0</v>
      </c>
      <c r="F763" s="2">
        <v>144</v>
      </c>
      <c r="G763" s="2">
        <v>21979.83</v>
      </c>
      <c r="H763" t="s">
        <v>340</v>
      </c>
    </row>
    <row r="764" spans="1:8" x14ac:dyDescent="0.3">
      <c r="A764" s="1">
        <v>45712</v>
      </c>
      <c r="B764" t="s">
        <v>82</v>
      </c>
      <c r="C764" t="s">
        <v>1142</v>
      </c>
      <c r="D764" s="1">
        <v>45712</v>
      </c>
      <c r="E764" s="2">
        <v>20231.34</v>
      </c>
      <c r="F764" s="2">
        <v>0</v>
      </c>
      <c r="G764" s="2">
        <v>1748.49</v>
      </c>
      <c r="H764" t="s">
        <v>337</v>
      </c>
    </row>
    <row r="765" spans="1:8" x14ac:dyDescent="0.3">
      <c r="A765" s="1">
        <v>45713</v>
      </c>
      <c r="B765" t="s">
        <v>1143</v>
      </c>
      <c r="C765" t="s">
        <v>1144</v>
      </c>
      <c r="D765" s="1">
        <v>45713</v>
      </c>
      <c r="E765" s="2">
        <v>10000</v>
      </c>
      <c r="F765" s="2">
        <v>0</v>
      </c>
      <c r="G765" s="2">
        <v>-8251.51</v>
      </c>
      <c r="H765" t="s">
        <v>1304</v>
      </c>
    </row>
    <row r="766" spans="1:8" x14ac:dyDescent="0.3">
      <c r="A766" s="1">
        <v>45713</v>
      </c>
      <c r="B766" t="s">
        <v>1143</v>
      </c>
      <c r="C766" t="s">
        <v>1144</v>
      </c>
      <c r="D766" s="1">
        <v>45713</v>
      </c>
      <c r="E766" s="2">
        <v>0</v>
      </c>
      <c r="F766" s="2">
        <v>10000</v>
      </c>
      <c r="G766" s="2">
        <v>1748.49</v>
      </c>
      <c r="H766" t="s">
        <v>1304</v>
      </c>
    </row>
    <row r="767" spans="1:8" x14ac:dyDescent="0.3">
      <c r="A767" s="1">
        <v>45713</v>
      </c>
      <c r="B767" t="s">
        <v>82</v>
      </c>
      <c r="C767" t="s">
        <v>1145</v>
      </c>
      <c r="D767" s="1">
        <v>45713</v>
      </c>
      <c r="E767" s="2">
        <v>411.36</v>
      </c>
      <c r="F767" s="2">
        <v>0</v>
      </c>
      <c r="G767" s="2">
        <v>1337.13</v>
      </c>
      <c r="H767" t="s">
        <v>337</v>
      </c>
    </row>
    <row r="768" spans="1:8" x14ac:dyDescent="0.3">
      <c r="A768" s="1">
        <v>45713</v>
      </c>
      <c r="B768" t="s">
        <v>1146</v>
      </c>
      <c r="C768" t="s">
        <v>1147</v>
      </c>
      <c r="D768" s="1">
        <v>45713</v>
      </c>
      <c r="E768" s="2">
        <v>0</v>
      </c>
      <c r="F768" s="2">
        <v>300</v>
      </c>
      <c r="G768" s="2">
        <v>1637.13</v>
      </c>
      <c r="H768" t="s">
        <v>340</v>
      </c>
    </row>
    <row r="769" spans="1:8" x14ac:dyDescent="0.3">
      <c r="A769" s="1">
        <v>45714</v>
      </c>
      <c r="B769" t="s">
        <v>82</v>
      </c>
      <c r="C769" t="s">
        <v>1148</v>
      </c>
      <c r="D769" s="1">
        <v>45714</v>
      </c>
      <c r="E769" s="2">
        <v>1637.13</v>
      </c>
      <c r="F769" s="2">
        <v>0</v>
      </c>
      <c r="G769" s="2">
        <v>0</v>
      </c>
      <c r="H769" t="s">
        <v>337</v>
      </c>
    </row>
    <row r="770" spans="1:8" x14ac:dyDescent="0.3">
      <c r="A770" s="1">
        <v>45716</v>
      </c>
      <c r="B770" t="s">
        <v>1149</v>
      </c>
      <c r="C770" t="s">
        <v>1150</v>
      </c>
      <c r="D770" s="1">
        <v>45716</v>
      </c>
      <c r="E770" s="2">
        <v>0</v>
      </c>
      <c r="F770" s="2">
        <v>5258.39</v>
      </c>
      <c r="G770" s="2">
        <v>5258.39</v>
      </c>
      <c r="H770" t="s">
        <v>1310</v>
      </c>
    </row>
    <row r="771" spans="1:8" x14ac:dyDescent="0.3">
      <c r="A771" s="1">
        <v>45716</v>
      </c>
      <c r="B771" t="s">
        <v>82</v>
      </c>
      <c r="C771" t="s">
        <v>1151</v>
      </c>
      <c r="D771" s="1">
        <v>45716</v>
      </c>
      <c r="E771" s="2">
        <v>411.07</v>
      </c>
      <c r="F771" s="2">
        <v>0</v>
      </c>
      <c r="G771" s="2">
        <v>4847.32</v>
      </c>
      <c r="H771" t="s">
        <v>337</v>
      </c>
    </row>
    <row r="772" spans="1:8" x14ac:dyDescent="0.3">
      <c r="A772" s="1">
        <v>45716</v>
      </c>
      <c r="B772" t="s">
        <v>1152</v>
      </c>
      <c r="C772" t="s">
        <v>1153</v>
      </c>
      <c r="D772" s="1">
        <v>45716</v>
      </c>
      <c r="E772" s="2">
        <v>0</v>
      </c>
      <c r="F772" s="2">
        <v>325</v>
      </c>
      <c r="G772" s="2">
        <v>5172.32</v>
      </c>
      <c r="H772" t="s">
        <v>340</v>
      </c>
    </row>
    <row r="773" spans="1:8" x14ac:dyDescent="0.3">
      <c r="A773" s="1">
        <v>45716</v>
      </c>
      <c r="B773" t="s">
        <v>1154</v>
      </c>
      <c r="C773" t="s">
        <v>1155</v>
      </c>
      <c r="D773" s="1">
        <v>45716</v>
      </c>
      <c r="E773" s="2">
        <v>0</v>
      </c>
      <c r="F773" s="2">
        <v>2738</v>
      </c>
      <c r="G773" s="2">
        <v>7910.32</v>
      </c>
      <c r="H773" t="s">
        <v>345</v>
      </c>
    </row>
    <row r="774" spans="1:8" x14ac:dyDescent="0.3">
      <c r="A774" s="1">
        <v>45716</v>
      </c>
      <c r="B774" t="s">
        <v>1156</v>
      </c>
      <c r="C774" t="s">
        <v>1157</v>
      </c>
      <c r="D774" s="1">
        <v>45716</v>
      </c>
      <c r="E774" s="2">
        <v>0</v>
      </c>
      <c r="F774" s="2">
        <v>84.57</v>
      </c>
      <c r="G774" s="2">
        <v>7994.89</v>
      </c>
      <c r="H774" t="s">
        <v>340</v>
      </c>
    </row>
    <row r="775" spans="1:8" x14ac:dyDescent="0.3">
      <c r="A775" s="1">
        <v>45716</v>
      </c>
      <c r="B775" t="s">
        <v>1158</v>
      </c>
      <c r="C775" t="s">
        <v>1159</v>
      </c>
      <c r="D775" s="1">
        <v>45716</v>
      </c>
      <c r="E775" s="2">
        <v>0</v>
      </c>
      <c r="F775" s="2">
        <v>7632</v>
      </c>
      <c r="G775" s="2">
        <v>15626.89</v>
      </c>
      <c r="H775" t="s">
        <v>345</v>
      </c>
    </row>
    <row r="776" spans="1:8" x14ac:dyDescent="0.3">
      <c r="A776" s="1">
        <v>45717</v>
      </c>
      <c r="B776" t="s">
        <v>82</v>
      </c>
      <c r="C776" t="s">
        <v>1160</v>
      </c>
      <c r="D776" s="1">
        <v>45717</v>
      </c>
      <c r="E776" s="2">
        <v>15626.89</v>
      </c>
      <c r="F776" s="2">
        <v>0</v>
      </c>
      <c r="G776" s="2">
        <v>0</v>
      </c>
      <c r="H776" t="s">
        <v>337</v>
      </c>
    </row>
    <row r="777" spans="1:8" x14ac:dyDescent="0.3">
      <c r="A777" s="1">
        <v>45717</v>
      </c>
      <c r="B777" t="s">
        <v>1161</v>
      </c>
      <c r="C777" t="s">
        <v>1162</v>
      </c>
      <c r="D777" s="1">
        <v>45717</v>
      </c>
      <c r="E777" s="2">
        <v>0</v>
      </c>
      <c r="F777" s="2">
        <v>950</v>
      </c>
      <c r="G777" s="2">
        <v>950</v>
      </c>
      <c r="H777" t="s">
        <v>340</v>
      </c>
    </row>
    <row r="778" spans="1:8" x14ac:dyDescent="0.3">
      <c r="A778" s="1">
        <v>45718</v>
      </c>
      <c r="B778" t="s">
        <v>577</v>
      </c>
      <c r="C778" t="s">
        <v>1163</v>
      </c>
      <c r="D778" s="1">
        <v>45718</v>
      </c>
      <c r="E778" s="2">
        <v>0</v>
      </c>
      <c r="F778" s="2">
        <v>25000</v>
      </c>
      <c r="G778" s="2">
        <v>25950</v>
      </c>
      <c r="H778" t="s">
        <v>1300</v>
      </c>
    </row>
    <row r="779" spans="1:8" x14ac:dyDescent="0.3">
      <c r="A779" s="1">
        <v>45719</v>
      </c>
      <c r="B779" t="s">
        <v>82</v>
      </c>
      <c r="C779" t="s">
        <v>1164</v>
      </c>
      <c r="D779" s="1">
        <v>45719</v>
      </c>
      <c r="E779" s="2">
        <v>18225.8</v>
      </c>
      <c r="F779" s="2">
        <v>0</v>
      </c>
      <c r="G779" s="2">
        <v>7724.2</v>
      </c>
      <c r="H779" t="s">
        <v>337</v>
      </c>
    </row>
    <row r="780" spans="1:8" x14ac:dyDescent="0.3">
      <c r="A780" s="1">
        <v>45719</v>
      </c>
      <c r="B780" t="s">
        <v>1165</v>
      </c>
      <c r="C780" t="s">
        <v>1166</v>
      </c>
      <c r="D780" s="1">
        <v>45719</v>
      </c>
      <c r="E780" s="2">
        <v>0</v>
      </c>
      <c r="F780" s="2">
        <v>180</v>
      </c>
      <c r="G780" s="2">
        <v>7904.2</v>
      </c>
      <c r="H780" t="s">
        <v>340</v>
      </c>
    </row>
    <row r="781" spans="1:8" x14ac:dyDescent="0.3">
      <c r="A781" s="1">
        <v>45719</v>
      </c>
      <c r="B781" t="s">
        <v>82</v>
      </c>
      <c r="C781" t="s">
        <v>1167</v>
      </c>
      <c r="D781" s="1">
        <v>45719</v>
      </c>
      <c r="E781" s="2">
        <v>1190.49</v>
      </c>
      <c r="F781" s="2">
        <v>0</v>
      </c>
      <c r="G781" s="2">
        <v>6713.71</v>
      </c>
      <c r="H781" t="s">
        <v>337</v>
      </c>
    </row>
    <row r="782" spans="1:8" x14ac:dyDescent="0.3">
      <c r="A782" s="1">
        <v>45719</v>
      </c>
      <c r="B782" t="s">
        <v>82</v>
      </c>
      <c r="C782" t="s">
        <v>1168</v>
      </c>
      <c r="D782" s="1">
        <v>45719</v>
      </c>
      <c r="E782" s="2">
        <v>6444.18</v>
      </c>
      <c r="F782" s="2">
        <v>0</v>
      </c>
      <c r="G782" s="2">
        <v>269.52999999999997</v>
      </c>
      <c r="H782" t="s">
        <v>337</v>
      </c>
    </row>
    <row r="783" spans="1:8" x14ac:dyDescent="0.3">
      <c r="A783" s="1">
        <v>45720</v>
      </c>
      <c r="B783" t="s">
        <v>82</v>
      </c>
      <c r="C783" t="s">
        <v>1169</v>
      </c>
      <c r="D783" s="1">
        <v>45720</v>
      </c>
      <c r="E783" s="2">
        <v>269.52999999999997</v>
      </c>
      <c r="F783" s="2">
        <v>0</v>
      </c>
      <c r="G783" s="2">
        <v>0</v>
      </c>
      <c r="H783" t="s">
        <v>337</v>
      </c>
    </row>
    <row r="784" spans="1:8" x14ac:dyDescent="0.3">
      <c r="A784" s="1">
        <v>45721</v>
      </c>
      <c r="B784" t="s">
        <v>1170</v>
      </c>
      <c r="C784" t="s">
        <v>1171</v>
      </c>
      <c r="D784" s="1">
        <v>45721</v>
      </c>
      <c r="E784" s="2">
        <v>0</v>
      </c>
      <c r="F784" s="2">
        <v>27222.37</v>
      </c>
      <c r="G784" s="2">
        <v>27222.37</v>
      </c>
      <c r="H784" t="s">
        <v>1310</v>
      </c>
    </row>
    <row r="785" spans="1:8" x14ac:dyDescent="0.3">
      <c r="A785" s="1">
        <v>45721</v>
      </c>
      <c r="B785" t="s">
        <v>82</v>
      </c>
      <c r="C785" t="s">
        <v>1172</v>
      </c>
      <c r="D785" s="1">
        <v>45721</v>
      </c>
      <c r="E785" s="2">
        <v>388.08</v>
      </c>
      <c r="F785" s="2">
        <v>0</v>
      </c>
      <c r="G785" s="2">
        <v>26834.29</v>
      </c>
      <c r="H785" t="s">
        <v>337</v>
      </c>
    </row>
    <row r="786" spans="1:8" x14ac:dyDescent="0.3">
      <c r="A786" s="1">
        <v>45722</v>
      </c>
      <c r="B786" t="s">
        <v>1173</v>
      </c>
      <c r="C786" t="s">
        <v>1174</v>
      </c>
      <c r="D786" s="1">
        <v>45722</v>
      </c>
      <c r="E786" s="2">
        <v>0</v>
      </c>
      <c r="F786" s="2">
        <v>30246.560000000001</v>
      </c>
      <c r="G786" s="2">
        <v>57080.85</v>
      </c>
      <c r="H786" t="s">
        <v>1310</v>
      </c>
    </row>
    <row r="787" spans="1:8" x14ac:dyDescent="0.3">
      <c r="A787" s="1">
        <v>45722</v>
      </c>
      <c r="B787" t="s">
        <v>82</v>
      </c>
      <c r="C787" t="s">
        <v>1175</v>
      </c>
      <c r="D787" s="1">
        <v>45722</v>
      </c>
      <c r="E787" s="2">
        <v>367.7</v>
      </c>
      <c r="F787" s="2">
        <v>0</v>
      </c>
      <c r="G787" s="2">
        <v>56713.15</v>
      </c>
      <c r="H787" t="s">
        <v>337</v>
      </c>
    </row>
    <row r="788" spans="1:8" x14ac:dyDescent="0.3">
      <c r="A788" s="1">
        <v>45723</v>
      </c>
      <c r="B788" t="s">
        <v>1176</v>
      </c>
      <c r="C788" t="s">
        <v>1177</v>
      </c>
      <c r="D788" s="1">
        <v>45723</v>
      </c>
      <c r="E788" s="2">
        <v>0</v>
      </c>
      <c r="F788" s="2">
        <v>14134.77</v>
      </c>
      <c r="G788" s="2">
        <v>70847.92</v>
      </c>
      <c r="H788" t="s">
        <v>1310</v>
      </c>
    </row>
    <row r="789" spans="1:8" x14ac:dyDescent="0.3">
      <c r="A789" s="1">
        <v>45723</v>
      </c>
      <c r="B789" t="s">
        <v>82</v>
      </c>
      <c r="C789" t="s">
        <v>1178</v>
      </c>
      <c r="D789" s="1">
        <v>45723</v>
      </c>
      <c r="E789" s="2">
        <v>378.47</v>
      </c>
      <c r="F789" s="2">
        <v>0</v>
      </c>
      <c r="G789" s="2">
        <v>70469.45</v>
      </c>
      <c r="H789" t="s">
        <v>337</v>
      </c>
    </row>
    <row r="790" spans="1:8" x14ac:dyDescent="0.3">
      <c r="A790" s="1">
        <v>45723</v>
      </c>
      <c r="B790" t="s">
        <v>82</v>
      </c>
      <c r="C790" t="s">
        <v>1179</v>
      </c>
      <c r="D790" s="1">
        <v>45723</v>
      </c>
      <c r="E790" s="2">
        <v>25484.58</v>
      </c>
      <c r="F790" s="2">
        <v>0</v>
      </c>
      <c r="G790" s="2">
        <v>44984.87</v>
      </c>
      <c r="H790" t="s">
        <v>337</v>
      </c>
    </row>
    <row r="791" spans="1:8" x14ac:dyDescent="0.3">
      <c r="A791" s="1">
        <v>45724</v>
      </c>
      <c r="B791" t="s">
        <v>1180</v>
      </c>
      <c r="C791" t="s">
        <v>1181</v>
      </c>
      <c r="D791" s="1">
        <v>45725</v>
      </c>
      <c r="E791" s="2">
        <v>0</v>
      </c>
      <c r="F791" s="2">
        <v>34220</v>
      </c>
      <c r="G791" s="2">
        <v>79204.87</v>
      </c>
      <c r="H791" t="s">
        <v>345</v>
      </c>
    </row>
    <row r="792" spans="1:8" x14ac:dyDescent="0.3">
      <c r="A792" s="1">
        <v>45726</v>
      </c>
      <c r="B792" t="s">
        <v>1182</v>
      </c>
      <c r="C792" t="s">
        <v>1183</v>
      </c>
      <c r="D792" s="1">
        <v>45726</v>
      </c>
      <c r="E792" s="2">
        <v>531</v>
      </c>
      <c r="F792" s="2">
        <v>0</v>
      </c>
      <c r="G792" s="2">
        <v>78673.87</v>
      </c>
      <c r="H792" t="s">
        <v>47</v>
      </c>
    </row>
    <row r="793" spans="1:8" x14ac:dyDescent="0.3">
      <c r="A793" s="1">
        <v>45726</v>
      </c>
      <c r="B793" t="s">
        <v>82</v>
      </c>
      <c r="C793" t="s">
        <v>1184</v>
      </c>
      <c r="D793" s="1">
        <v>45726</v>
      </c>
      <c r="E793" s="2">
        <v>1123.29</v>
      </c>
      <c r="F793" s="2">
        <v>0</v>
      </c>
      <c r="G793" s="2">
        <v>77550.58</v>
      </c>
      <c r="H793" t="s">
        <v>337</v>
      </c>
    </row>
    <row r="794" spans="1:8" x14ac:dyDescent="0.3">
      <c r="A794" s="1">
        <v>45726</v>
      </c>
      <c r="B794" t="s">
        <v>1185</v>
      </c>
      <c r="C794" t="s">
        <v>1186</v>
      </c>
      <c r="D794" s="1">
        <v>45726</v>
      </c>
      <c r="E794" s="2">
        <v>30000</v>
      </c>
      <c r="F794" s="2">
        <v>0</v>
      </c>
      <c r="G794" s="2">
        <v>47550.58</v>
      </c>
      <c r="H794" t="s">
        <v>51</v>
      </c>
    </row>
    <row r="795" spans="1:8" x14ac:dyDescent="0.3">
      <c r="A795" s="1">
        <v>45726</v>
      </c>
      <c r="B795" t="s">
        <v>82</v>
      </c>
      <c r="C795" t="s">
        <v>1187</v>
      </c>
      <c r="D795" s="1">
        <v>45726</v>
      </c>
      <c r="E795" s="2">
        <v>15384.37</v>
      </c>
      <c r="F795" s="2">
        <v>0</v>
      </c>
      <c r="G795" s="2">
        <v>32166.21</v>
      </c>
      <c r="H795" t="s">
        <v>337</v>
      </c>
    </row>
    <row r="796" spans="1:8" x14ac:dyDescent="0.3">
      <c r="A796" s="1">
        <v>45727</v>
      </c>
      <c r="B796" t="s">
        <v>82</v>
      </c>
      <c r="C796" t="s">
        <v>1188</v>
      </c>
      <c r="D796" s="1">
        <v>45727</v>
      </c>
      <c r="E796" s="2">
        <v>368.95</v>
      </c>
      <c r="F796" s="2">
        <v>0</v>
      </c>
      <c r="G796" s="2">
        <v>31797.26</v>
      </c>
      <c r="H796" t="s">
        <v>337</v>
      </c>
    </row>
    <row r="797" spans="1:8" x14ac:dyDescent="0.3">
      <c r="A797" s="1">
        <v>45727</v>
      </c>
      <c r="B797" t="s">
        <v>82</v>
      </c>
      <c r="C797" t="s">
        <v>1189</v>
      </c>
      <c r="D797" s="1">
        <v>45727</v>
      </c>
      <c r="E797" s="2">
        <v>12503.5</v>
      </c>
      <c r="F797" s="2">
        <v>0</v>
      </c>
      <c r="G797" s="2">
        <v>19293.759999999998</v>
      </c>
      <c r="H797" t="s">
        <v>337</v>
      </c>
    </row>
    <row r="798" spans="1:8" x14ac:dyDescent="0.3">
      <c r="A798" s="1">
        <v>45728</v>
      </c>
      <c r="B798" t="s">
        <v>82</v>
      </c>
      <c r="C798" t="s">
        <v>1190</v>
      </c>
      <c r="D798" s="1">
        <v>45728</v>
      </c>
      <c r="E798" s="2">
        <v>364.5</v>
      </c>
      <c r="F798" s="2">
        <v>0</v>
      </c>
      <c r="G798" s="2">
        <v>18929.259999999998</v>
      </c>
      <c r="H798" t="s">
        <v>337</v>
      </c>
    </row>
    <row r="799" spans="1:8" x14ac:dyDescent="0.3">
      <c r="A799" s="1">
        <v>45728</v>
      </c>
      <c r="B799" t="s">
        <v>82</v>
      </c>
      <c r="C799" t="s">
        <v>1191</v>
      </c>
      <c r="D799" s="1">
        <v>45728</v>
      </c>
      <c r="E799" s="2">
        <v>9109.33</v>
      </c>
      <c r="F799" s="2">
        <v>0</v>
      </c>
      <c r="G799" s="2">
        <v>9819.93</v>
      </c>
      <c r="H799" t="s">
        <v>337</v>
      </c>
    </row>
    <row r="800" spans="1:8" x14ac:dyDescent="0.3">
      <c r="A800" s="1">
        <v>45729</v>
      </c>
      <c r="B800" t="s">
        <v>82</v>
      </c>
      <c r="C800" t="s">
        <v>1192</v>
      </c>
      <c r="D800" s="1">
        <v>45729</v>
      </c>
      <c r="E800" s="2">
        <v>361.26</v>
      </c>
      <c r="F800" s="2">
        <v>0</v>
      </c>
      <c r="G800" s="2">
        <v>9458.67</v>
      </c>
      <c r="H800" t="s">
        <v>337</v>
      </c>
    </row>
    <row r="801" spans="1:8" x14ac:dyDescent="0.3">
      <c r="A801" s="1">
        <v>45731</v>
      </c>
      <c r="B801" t="s">
        <v>1193</v>
      </c>
      <c r="C801" t="s">
        <v>98</v>
      </c>
      <c r="D801" s="1">
        <v>45731</v>
      </c>
      <c r="E801" s="2">
        <v>861.4</v>
      </c>
      <c r="F801" s="2">
        <v>0</v>
      </c>
      <c r="G801" s="2">
        <v>8597.27</v>
      </c>
      <c r="H801" t="s">
        <v>343</v>
      </c>
    </row>
    <row r="802" spans="1:8" x14ac:dyDescent="0.3">
      <c r="A802" s="1">
        <v>45733</v>
      </c>
      <c r="B802" t="s">
        <v>1194</v>
      </c>
      <c r="C802" t="s">
        <v>1195</v>
      </c>
      <c r="D802" s="1">
        <v>45733</v>
      </c>
      <c r="E802" s="2">
        <v>0</v>
      </c>
      <c r="F802" s="2">
        <v>5950.61</v>
      </c>
      <c r="G802" s="2">
        <v>14547.88</v>
      </c>
      <c r="H802" t="s">
        <v>1310</v>
      </c>
    </row>
    <row r="803" spans="1:8" x14ac:dyDescent="0.3">
      <c r="A803" s="1">
        <v>45733</v>
      </c>
      <c r="B803" t="s">
        <v>1196</v>
      </c>
      <c r="C803" t="s">
        <v>1197</v>
      </c>
      <c r="D803" s="1">
        <v>45733</v>
      </c>
      <c r="E803" s="2">
        <v>5000</v>
      </c>
      <c r="F803" s="2">
        <v>0</v>
      </c>
      <c r="G803" s="2">
        <v>9547.8799999999992</v>
      </c>
      <c r="H803" t="s">
        <v>341</v>
      </c>
    </row>
    <row r="804" spans="1:8" x14ac:dyDescent="0.3">
      <c r="A804" s="1">
        <v>45733</v>
      </c>
      <c r="B804" t="s">
        <v>82</v>
      </c>
      <c r="C804" t="s">
        <v>1198</v>
      </c>
      <c r="D804" s="1">
        <v>45733</v>
      </c>
      <c r="E804" s="2">
        <v>1445.04</v>
      </c>
      <c r="F804" s="2">
        <v>0</v>
      </c>
      <c r="G804" s="2">
        <v>8102.84</v>
      </c>
      <c r="H804" t="s">
        <v>337</v>
      </c>
    </row>
    <row r="805" spans="1:8" x14ac:dyDescent="0.3">
      <c r="A805" s="1">
        <v>45734</v>
      </c>
      <c r="B805" t="s">
        <v>1199</v>
      </c>
      <c r="C805" t="s">
        <v>1200</v>
      </c>
      <c r="D805" s="1">
        <v>45734</v>
      </c>
      <c r="E805" s="2">
        <v>0</v>
      </c>
      <c r="F805" s="2">
        <v>1118.28</v>
      </c>
      <c r="G805" s="2">
        <v>9221.1200000000008</v>
      </c>
      <c r="H805" t="s">
        <v>1310</v>
      </c>
    </row>
    <row r="806" spans="1:8" x14ac:dyDescent="0.3">
      <c r="A806" s="1">
        <v>45734</v>
      </c>
      <c r="B806" t="s">
        <v>82</v>
      </c>
      <c r="C806" t="s">
        <v>1201</v>
      </c>
      <c r="D806" s="1">
        <v>45734</v>
      </c>
      <c r="E806" s="2">
        <v>351.67</v>
      </c>
      <c r="F806" s="2">
        <v>0</v>
      </c>
      <c r="G806" s="2">
        <v>8869.4500000000007</v>
      </c>
      <c r="H806" t="s">
        <v>337</v>
      </c>
    </row>
    <row r="807" spans="1:8" x14ac:dyDescent="0.3">
      <c r="A807" s="1">
        <v>45734</v>
      </c>
      <c r="B807" t="s">
        <v>82</v>
      </c>
      <c r="C807" t="s">
        <v>1202</v>
      </c>
      <c r="D807" s="1">
        <v>45734</v>
      </c>
      <c r="E807" s="2">
        <v>7670.71</v>
      </c>
      <c r="F807" s="2">
        <v>0</v>
      </c>
      <c r="G807" s="2">
        <v>1198.74</v>
      </c>
      <c r="H807" t="s">
        <v>337</v>
      </c>
    </row>
    <row r="808" spans="1:8" x14ac:dyDescent="0.3">
      <c r="A808" s="1">
        <v>45735</v>
      </c>
      <c r="B808" t="s">
        <v>82</v>
      </c>
      <c r="C808" t="s">
        <v>1203</v>
      </c>
      <c r="D808" s="1">
        <v>45735</v>
      </c>
      <c r="E808" s="2">
        <v>349.34</v>
      </c>
      <c r="F808" s="2">
        <v>0</v>
      </c>
      <c r="G808" s="2">
        <v>849.4</v>
      </c>
      <c r="H808" t="s">
        <v>337</v>
      </c>
    </row>
    <row r="809" spans="1:8" x14ac:dyDescent="0.3">
      <c r="A809" s="1">
        <v>45736</v>
      </c>
      <c r="B809" t="s">
        <v>1204</v>
      </c>
      <c r="C809" t="s">
        <v>1205</v>
      </c>
      <c r="D809" s="1">
        <v>45736</v>
      </c>
      <c r="E809" s="2">
        <v>0</v>
      </c>
      <c r="F809" s="2">
        <v>15924.95</v>
      </c>
      <c r="G809" s="2">
        <v>16774.349999999999</v>
      </c>
      <c r="H809" t="s">
        <v>1310</v>
      </c>
    </row>
    <row r="810" spans="1:8" x14ac:dyDescent="0.3">
      <c r="A810" s="1">
        <v>45736</v>
      </c>
      <c r="B810" t="s">
        <v>577</v>
      </c>
      <c r="C810" t="s">
        <v>1206</v>
      </c>
      <c r="D810" s="1">
        <v>45736</v>
      </c>
      <c r="E810" s="2">
        <v>0</v>
      </c>
      <c r="F810" s="2">
        <v>75000</v>
      </c>
      <c r="G810" s="2">
        <v>91774.35</v>
      </c>
      <c r="H810" t="s">
        <v>1300</v>
      </c>
    </row>
    <row r="811" spans="1:8" x14ac:dyDescent="0.3">
      <c r="A811" s="1">
        <v>45736</v>
      </c>
      <c r="B811" t="s">
        <v>82</v>
      </c>
      <c r="C811" t="s">
        <v>1207</v>
      </c>
      <c r="D811" s="1">
        <v>45736</v>
      </c>
      <c r="E811" s="2">
        <v>377.93</v>
      </c>
      <c r="F811" s="2">
        <v>0</v>
      </c>
      <c r="G811" s="2">
        <v>91396.42</v>
      </c>
      <c r="H811" t="s">
        <v>337</v>
      </c>
    </row>
    <row r="812" spans="1:8" x14ac:dyDescent="0.3">
      <c r="A812" s="1">
        <v>45736</v>
      </c>
      <c r="B812" t="s">
        <v>82</v>
      </c>
      <c r="C812" t="s">
        <v>1208</v>
      </c>
      <c r="D812" s="1">
        <v>45736</v>
      </c>
      <c r="E812" s="2">
        <v>16460.12</v>
      </c>
      <c r="F812" s="2">
        <v>0</v>
      </c>
      <c r="G812" s="2">
        <v>74936.3</v>
      </c>
      <c r="H812" t="s">
        <v>337</v>
      </c>
    </row>
    <row r="813" spans="1:8" x14ac:dyDescent="0.3">
      <c r="A813" s="1">
        <v>45736</v>
      </c>
      <c r="B813" t="s">
        <v>1209</v>
      </c>
      <c r="C813" t="s">
        <v>1210</v>
      </c>
      <c r="D813" s="1">
        <v>45736</v>
      </c>
      <c r="E813" s="2">
        <v>0</v>
      </c>
      <c r="F813" s="2">
        <v>1</v>
      </c>
      <c r="G813" s="2">
        <v>74937.3</v>
      </c>
      <c r="H813" t="s">
        <v>1308</v>
      </c>
    </row>
    <row r="814" spans="1:8" x14ac:dyDescent="0.3">
      <c r="A814" s="1">
        <v>45737</v>
      </c>
      <c r="B814" t="s">
        <v>82</v>
      </c>
      <c r="C814" t="s">
        <v>1211</v>
      </c>
      <c r="D814" s="1">
        <v>45737</v>
      </c>
      <c r="E814" s="2">
        <v>54024.08</v>
      </c>
      <c r="F814" s="2">
        <v>0</v>
      </c>
      <c r="G814" s="2">
        <v>20913.22</v>
      </c>
      <c r="H814" t="s">
        <v>337</v>
      </c>
    </row>
    <row r="815" spans="1:8" x14ac:dyDescent="0.3">
      <c r="A815" s="1">
        <v>45737</v>
      </c>
      <c r="B815" t="s">
        <v>82</v>
      </c>
      <c r="C815" t="s">
        <v>1212</v>
      </c>
      <c r="D815" s="1">
        <v>45737</v>
      </c>
      <c r="E815" s="2">
        <v>20913.22</v>
      </c>
      <c r="F815" s="2">
        <v>0</v>
      </c>
      <c r="G815" s="2">
        <v>0</v>
      </c>
      <c r="H815" t="s">
        <v>337</v>
      </c>
    </row>
    <row r="816" spans="1:8" x14ac:dyDescent="0.3">
      <c r="A816" s="1">
        <v>45737</v>
      </c>
      <c r="B816" t="s">
        <v>84</v>
      </c>
      <c r="C816" t="s">
        <v>1213</v>
      </c>
      <c r="D816" s="1">
        <v>45737</v>
      </c>
      <c r="E816" s="2">
        <v>0</v>
      </c>
      <c r="F816" s="2">
        <v>18737.64</v>
      </c>
      <c r="G816" s="2">
        <v>18737.64</v>
      </c>
      <c r="H816" t="s">
        <v>337</v>
      </c>
    </row>
    <row r="817" spans="1:8" x14ac:dyDescent="0.3">
      <c r="A817" s="1">
        <v>45738</v>
      </c>
      <c r="B817" t="s">
        <v>1214</v>
      </c>
      <c r="C817" t="s">
        <v>1215</v>
      </c>
      <c r="D817" s="1">
        <v>45738</v>
      </c>
      <c r="E817" s="2">
        <v>2732</v>
      </c>
      <c r="F817" s="2">
        <v>0</v>
      </c>
      <c r="G817" s="2">
        <v>16005.64</v>
      </c>
      <c r="H817" t="s">
        <v>347</v>
      </c>
    </row>
    <row r="818" spans="1:8" x14ac:dyDescent="0.3">
      <c r="A818" s="1">
        <v>45740</v>
      </c>
      <c r="B818" t="s">
        <v>82</v>
      </c>
      <c r="C818" t="s">
        <v>1216</v>
      </c>
      <c r="D818" s="1">
        <v>45740</v>
      </c>
      <c r="E818" s="2">
        <v>1278.96</v>
      </c>
      <c r="F818" s="2">
        <v>0</v>
      </c>
      <c r="G818" s="2">
        <v>14726.68</v>
      </c>
      <c r="H818" t="s">
        <v>337</v>
      </c>
    </row>
    <row r="819" spans="1:8" x14ac:dyDescent="0.3">
      <c r="A819" s="1">
        <v>45741</v>
      </c>
      <c r="B819" t="s">
        <v>1217</v>
      </c>
      <c r="C819" t="s">
        <v>1218</v>
      </c>
      <c r="D819" s="1">
        <v>45741</v>
      </c>
      <c r="E819" s="2">
        <v>0</v>
      </c>
      <c r="F819" s="2">
        <v>27412.47</v>
      </c>
      <c r="G819" s="2">
        <v>42139.15</v>
      </c>
      <c r="H819" t="s">
        <v>1310</v>
      </c>
    </row>
    <row r="820" spans="1:8" x14ac:dyDescent="0.3">
      <c r="A820" s="1">
        <v>45741</v>
      </c>
      <c r="B820" t="s">
        <v>1219</v>
      </c>
      <c r="C820" t="s">
        <v>1220</v>
      </c>
      <c r="D820" s="1">
        <v>45741</v>
      </c>
      <c r="E820" s="2">
        <v>10000</v>
      </c>
      <c r="F820" s="2">
        <v>0</v>
      </c>
      <c r="G820" s="2">
        <v>32139.15</v>
      </c>
      <c r="H820" t="s">
        <v>342</v>
      </c>
    </row>
    <row r="821" spans="1:8" x14ac:dyDescent="0.3">
      <c r="A821" s="1">
        <v>45741</v>
      </c>
      <c r="B821" t="s">
        <v>82</v>
      </c>
      <c r="C821" t="s">
        <v>1221</v>
      </c>
      <c r="D821" s="1">
        <v>45741</v>
      </c>
      <c r="E821" s="2">
        <v>437.86</v>
      </c>
      <c r="F821" s="2">
        <v>0</v>
      </c>
      <c r="G821" s="2">
        <v>31701.29</v>
      </c>
      <c r="H821" t="s">
        <v>337</v>
      </c>
    </row>
    <row r="822" spans="1:8" x14ac:dyDescent="0.3">
      <c r="A822" s="1">
        <v>45741</v>
      </c>
      <c r="B822" t="s">
        <v>82</v>
      </c>
      <c r="C822" t="s">
        <v>1222</v>
      </c>
      <c r="D822" s="1">
        <v>45741</v>
      </c>
      <c r="E822" s="2">
        <v>5764.56</v>
      </c>
      <c r="F822" s="2">
        <v>0</v>
      </c>
      <c r="G822" s="2">
        <v>25936.73</v>
      </c>
      <c r="H822" t="s">
        <v>337</v>
      </c>
    </row>
    <row r="823" spans="1:8" x14ac:dyDescent="0.3">
      <c r="A823" s="1">
        <v>45742</v>
      </c>
      <c r="B823" t="s">
        <v>1223</v>
      </c>
      <c r="C823" t="s">
        <v>1224</v>
      </c>
      <c r="D823" s="1">
        <v>45742</v>
      </c>
      <c r="E823" s="2">
        <v>0</v>
      </c>
      <c r="F823" s="2">
        <v>911.1</v>
      </c>
      <c r="G823" s="2">
        <v>26847.83</v>
      </c>
      <c r="H823" t="s">
        <v>1310</v>
      </c>
    </row>
    <row r="824" spans="1:8" x14ac:dyDescent="0.3">
      <c r="A824" s="1">
        <v>45742</v>
      </c>
      <c r="B824" t="s">
        <v>1225</v>
      </c>
      <c r="C824" t="s">
        <v>1226</v>
      </c>
      <c r="D824" s="1">
        <v>45742</v>
      </c>
      <c r="E824" s="2">
        <v>0</v>
      </c>
      <c r="F824" s="2">
        <v>17430.400000000001</v>
      </c>
      <c r="G824" s="2">
        <v>44278.23</v>
      </c>
      <c r="H824" t="s">
        <v>1310</v>
      </c>
    </row>
    <row r="825" spans="1:8" x14ac:dyDescent="0.3">
      <c r="A825" s="1">
        <v>45742</v>
      </c>
      <c r="B825" t="s">
        <v>82</v>
      </c>
      <c r="C825" t="s">
        <v>1227</v>
      </c>
      <c r="D825" s="1">
        <v>45742</v>
      </c>
      <c r="E825" s="2">
        <v>433.89</v>
      </c>
      <c r="F825" s="2">
        <v>0</v>
      </c>
      <c r="G825" s="2">
        <v>43844.34</v>
      </c>
      <c r="H825" t="s">
        <v>337</v>
      </c>
    </row>
    <row r="826" spans="1:8" x14ac:dyDescent="0.3">
      <c r="A826" s="1">
        <v>45742</v>
      </c>
      <c r="B826" t="s">
        <v>82</v>
      </c>
      <c r="C826" t="s">
        <v>1228</v>
      </c>
      <c r="D826" s="1">
        <v>45742</v>
      </c>
      <c r="E826" s="2">
        <v>8577.92</v>
      </c>
      <c r="F826" s="2">
        <v>0</v>
      </c>
      <c r="G826" s="2">
        <v>35266.42</v>
      </c>
      <c r="H826" t="s">
        <v>337</v>
      </c>
    </row>
    <row r="827" spans="1:8" x14ac:dyDescent="0.3">
      <c r="A827" s="1">
        <v>45743</v>
      </c>
      <c r="B827" t="s">
        <v>82</v>
      </c>
      <c r="C827" t="s">
        <v>1229</v>
      </c>
      <c r="D827" s="1">
        <v>45743</v>
      </c>
      <c r="E827" s="2">
        <v>426.77</v>
      </c>
      <c r="F827" s="2">
        <v>0</v>
      </c>
      <c r="G827" s="2">
        <v>34839.65</v>
      </c>
      <c r="H827" t="s">
        <v>337</v>
      </c>
    </row>
    <row r="828" spans="1:8" x14ac:dyDescent="0.3">
      <c r="A828" s="1">
        <v>45743</v>
      </c>
      <c r="B828" t="s">
        <v>1230</v>
      </c>
      <c r="C828" t="s">
        <v>1231</v>
      </c>
      <c r="D828" s="1">
        <v>45743</v>
      </c>
      <c r="E828" s="2">
        <v>0</v>
      </c>
      <c r="F828" s="2">
        <v>240</v>
      </c>
      <c r="G828" s="2">
        <v>35079.65</v>
      </c>
      <c r="H828" t="s">
        <v>340</v>
      </c>
    </row>
    <row r="829" spans="1:8" x14ac:dyDescent="0.3">
      <c r="A829" s="1">
        <v>45743</v>
      </c>
      <c r="B829" t="s">
        <v>82</v>
      </c>
      <c r="C829" t="s">
        <v>1232</v>
      </c>
      <c r="D829" s="1">
        <v>45743</v>
      </c>
      <c r="E829" s="2">
        <v>1302.6099999999999</v>
      </c>
      <c r="F829" s="2">
        <v>0</v>
      </c>
      <c r="G829" s="2">
        <v>33777.040000000001</v>
      </c>
      <c r="H829" t="s">
        <v>337</v>
      </c>
    </row>
    <row r="830" spans="1:8" x14ac:dyDescent="0.3">
      <c r="A830" s="1">
        <v>45744</v>
      </c>
      <c r="B830" t="s">
        <v>1233</v>
      </c>
      <c r="C830" t="s">
        <v>1234</v>
      </c>
      <c r="D830" s="1">
        <v>45744</v>
      </c>
      <c r="E830" s="2">
        <v>0</v>
      </c>
      <c r="F830" s="2">
        <v>32508.09</v>
      </c>
      <c r="G830" s="2">
        <v>66285.13</v>
      </c>
      <c r="H830" t="s">
        <v>1310</v>
      </c>
    </row>
    <row r="831" spans="1:8" x14ac:dyDescent="0.3">
      <c r="A831" s="1">
        <v>45744</v>
      </c>
      <c r="B831" t="s">
        <v>1235</v>
      </c>
      <c r="C831" t="s">
        <v>1236</v>
      </c>
      <c r="D831" s="1">
        <v>45744</v>
      </c>
      <c r="E831" s="2">
        <v>0</v>
      </c>
      <c r="F831" s="2">
        <v>4065</v>
      </c>
      <c r="G831" s="2">
        <v>70350.13</v>
      </c>
      <c r="H831" t="s">
        <v>340</v>
      </c>
    </row>
    <row r="832" spans="1:8" x14ac:dyDescent="0.3">
      <c r="A832" s="1">
        <v>45744</v>
      </c>
      <c r="B832" t="s">
        <v>82</v>
      </c>
      <c r="C832" t="s">
        <v>1237</v>
      </c>
      <c r="D832" s="1">
        <v>45744</v>
      </c>
      <c r="E832" s="2">
        <v>426.31</v>
      </c>
      <c r="F832" s="2">
        <v>0</v>
      </c>
      <c r="G832" s="2">
        <v>69923.820000000007</v>
      </c>
      <c r="H832" t="s">
        <v>337</v>
      </c>
    </row>
    <row r="833" spans="1:8" x14ac:dyDescent="0.3">
      <c r="A833" s="1">
        <v>45744</v>
      </c>
      <c r="B833" t="s">
        <v>1238</v>
      </c>
      <c r="C833" t="s">
        <v>1239</v>
      </c>
      <c r="D833" s="1">
        <v>45744</v>
      </c>
      <c r="E833" s="2">
        <v>0</v>
      </c>
      <c r="F833" s="2">
        <v>84.57</v>
      </c>
      <c r="G833" s="2">
        <v>70008.39</v>
      </c>
      <c r="H833" t="s">
        <v>340</v>
      </c>
    </row>
    <row r="834" spans="1:8" x14ac:dyDescent="0.3">
      <c r="A834" s="1">
        <v>45744</v>
      </c>
      <c r="B834" t="s">
        <v>82</v>
      </c>
      <c r="C834" t="s">
        <v>1240</v>
      </c>
      <c r="D834" s="1">
        <v>45744</v>
      </c>
      <c r="E834" s="2">
        <v>6570.74</v>
      </c>
      <c r="F834" s="2">
        <v>0</v>
      </c>
      <c r="G834" s="2">
        <v>63437.65</v>
      </c>
      <c r="H834" t="s">
        <v>337</v>
      </c>
    </row>
    <row r="835" spans="1:8" x14ac:dyDescent="0.3">
      <c r="A835" s="1">
        <v>45745</v>
      </c>
      <c r="B835" t="s">
        <v>1241</v>
      </c>
      <c r="C835" t="s">
        <v>1242</v>
      </c>
      <c r="D835" s="1">
        <v>45745</v>
      </c>
      <c r="E835" s="2">
        <v>295</v>
      </c>
      <c r="F835" s="2">
        <v>0</v>
      </c>
      <c r="G835" s="2">
        <v>63142.65</v>
      </c>
      <c r="H835" t="s">
        <v>47</v>
      </c>
    </row>
    <row r="836" spans="1:8" x14ac:dyDescent="0.3">
      <c r="F836" s="8"/>
    </row>
  </sheetData>
  <autoFilter ref="A20:H835" xr:uid="{1BB785BF-EBED-414D-8C96-3AFF6FDA8AB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6F0F-B065-496E-9BFD-C4249AE64363}">
  <dimension ref="A1:S933"/>
  <sheetViews>
    <sheetView tabSelected="1" workbookViewId="0">
      <selection activeCell="I4" sqref="I4"/>
    </sheetView>
  </sheetViews>
  <sheetFormatPr defaultRowHeight="14.4" x14ac:dyDescent="0.3"/>
  <cols>
    <col min="1" max="1" width="10.33203125" bestFit="1" customWidth="1"/>
    <col min="2" max="2" width="47.88671875" bestFit="1" customWidth="1"/>
    <col min="3" max="3" width="3.77734375" bestFit="1" customWidth="1"/>
    <col min="4" max="4" width="12.33203125" bestFit="1" customWidth="1"/>
    <col min="5" max="5" width="13.109375" bestFit="1" customWidth="1"/>
    <col min="6" max="6" width="13.77734375" bestFit="1" customWidth="1"/>
    <col min="7" max="8" width="13.77734375" customWidth="1"/>
    <col min="9" max="9" width="12.5546875" bestFit="1" customWidth="1"/>
    <col min="10" max="10" width="12.5546875" customWidth="1"/>
    <col min="11" max="11" width="9.77734375" bestFit="1" customWidth="1"/>
    <col min="12" max="12" width="9.88671875" bestFit="1" customWidth="1"/>
  </cols>
  <sheetData>
    <row r="1" spans="1:13" x14ac:dyDescent="0.3">
      <c r="D1" s="8">
        <f>D2-D3</f>
        <v>-6580309.589999998</v>
      </c>
      <c r="E1" s="8">
        <f>E2-E3</f>
        <v>-6710236.0600000015</v>
      </c>
    </row>
    <row r="2" spans="1:13" x14ac:dyDescent="0.3">
      <c r="A2" s="7" t="s">
        <v>1338</v>
      </c>
      <c r="D2">
        <v>414867.92</v>
      </c>
      <c r="E2">
        <v>312301.87</v>
      </c>
    </row>
    <row r="3" spans="1:13" x14ac:dyDescent="0.3">
      <c r="A3" s="7" t="s">
        <v>1317</v>
      </c>
      <c r="D3" s="14">
        <f>SUBTOTAL(9,D5:D1048576)</f>
        <v>6995177.5099999979</v>
      </c>
      <c r="E3" s="14">
        <f>SUBTOTAL(9,E5:E1048576)</f>
        <v>7022537.9300000016</v>
      </c>
      <c r="F3">
        <f>D3-E3</f>
        <v>-27360.420000003651</v>
      </c>
    </row>
    <row r="4" spans="1:13" x14ac:dyDescent="0.3">
      <c r="A4" s="6" t="s">
        <v>1318</v>
      </c>
      <c r="B4" s="5" t="s">
        <v>1319</v>
      </c>
      <c r="C4" s="6" t="s">
        <v>1320</v>
      </c>
      <c r="D4" s="6" t="s">
        <v>20</v>
      </c>
      <c r="E4" s="5" t="s">
        <v>21</v>
      </c>
      <c r="F4" s="6" t="s">
        <v>1279</v>
      </c>
      <c r="G4" s="6" t="s">
        <v>45</v>
      </c>
      <c r="H4" s="6" t="s">
        <v>1334</v>
      </c>
      <c r="I4" s="3" t="s">
        <v>45</v>
      </c>
      <c r="J4" s="3"/>
      <c r="K4" s="6" t="s">
        <v>1321</v>
      </c>
      <c r="L4">
        <f>SUBTOTAL(9,L5:L929)</f>
        <v>457590</v>
      </c>
      <c r="M4">
        <f>SUBTOTAL(9,M5:M929)</f>
        <v>45758</v>
      </c>
    </row>
    <row r="5" spans="1:13" x14ac:dyDescent="0.3">
      <c r="A5" s="1">
        <v>45383</v>
      </c>
      <c r="B5" t="s">
        <v>82</v>
      </c>
      <c r="C5" t="s">
        <v>83</v>
      </c>
      <c r="D5" s="2">
        <v>1672</v>
      </c>
      <c r="E5" s="2">
        <v>0</v>
      </c>
      <c r="F5" s="2">
        <v>31564</v>
      </c>
      <c r="G5" s="2" t="str">
        <f t="shared" ref="G5:G68" si="0">TEXT(A5,"DD")&amp;"-"&amp;TEXT(A5,"MM")&amp;"-"&amp;TEXT(A5,"YYYY")&amp;" "&amp;B5</f>
        <v>01-04-2024 NET PI TO HSL SEC A/C 523686-00602340029434</v>
      </c>
      <c r="H5" s="2" t="s">
        <v>1335</v>
      </c>
      <c r="I5" t="s">
        <v>337</v>
      </c>
      <c r="K5" t="s">
        <v>1322</v>
      </c>
    </row>
    <row r="6" spans="1:13" x14ac:dyDescent="0.3">
      <c r="A6" s="1">
        <v>45384</v>
      </c>
      <c r="B6" t="s">
        <v>84</v>
      </c>
      <c r="C6" t="s">
        <v>85</v>
      </c>
      <c r="D6" s="2">
        <v>0</v>
      </c>
      <c r="E6" s="2">
        <v>16753.39</v>
      </c>
      <c r="F6" s="2">
        <v>48317.39</v>
      </c>
      <c r="G6" s="2" t="str">
        <f t="shared" si="0"/>
        <v>02-04-2024 NET PO FROM HSL A/C 523686-50200085415108</v>
      </c>
      <c r="H6" s="2" t="s">
        <v>1335</v>
      </c>
      <c r="I6" t="s">
        <v>337</v>
      </c>
      <c r="K6" t="s">
        <v>1322</v>
      </c>
    </row>
    <row r="7" spans="1:13" x14ac:dyDescent="0.3">
      <c r="A7" s="1">
        <v>45384</v>
      </c>
      <c r="B7" t="s">
        <v>84</v>
      </c>
      <c r="C7" t="s">
        <v>86</v>
      </c>
      <c r="D7" s="2">
        <v>0</v>
      </c>
      <c r="E7" s="2">
        <v>97641.5</v>
      </c>
      <c r="F7" s="2">
        <v>145958.89000000001</v>
      </c>
      <c r="G7" s="2" t="str">
        <f t="shared" si="0"/>
        <v>02-04-2024 NET PO FROM HSL A/C 523686-50200085415108</v>
      </c>
      <c r="H7" s="2" t="s">
        <v>1335</v>
      </c>
      <c r="I7" t="s">
        <v>337</v>
      </c>
      <c r="K7" t="s">
        <v>1322</v>
      </c>
    </row>
    <row r="8" spans="1:13" x14ac:dyDescent="0.3">
      <c r="A8" s="1">
        <v>45384</v>
      </c>
      <c r="B8" t="s">
        <v>82</v>
      </c>
      <c r="C8" t="s">
        <v>87</v>
      </c>
      <c r="D8" s="2">
        <v>418</v>
      </c>
      <c r="E8" s="2">
        <v>0</v>
      </c>
      <c r="F8" s="2">
        <v>145540.89000000001</v>
      </c>
      <c r="G8" s="2" t="str">
        <f t="shared" si="0"/>
        <v>02-04-2024 NET PI TO HSL SEC A/C 523686-00602340029434</v>
      </c>
      <c r="H8" s="2" t="s">
        <v>1335</v>
      </c>
      <c r="I8" t="s">
        <v>337</v>
      </c>
      <c r="K8" t="s">
        <v>1322</v>
      </c>
    </row>
    <row r="9" spans="1:13" x14ac:dyDescent="0.3">
      <c r="A9" s="1">
        <v>45384</v>
      </c>
      <c r="B9" t="s">
        <v>82</v>
      </c>
      <c r="C9" t="s">
        <v>88</v>
      </c>
      <c r="D9" s="2">
        <v>103098.99</v>
      </c>
      <c r="E9" s="2">
        <v>0</v>
      </c>
      <c r="F9" s="2">
        <v>42441.9</v>
      </c>
      <c r="G9" s="2" t="str">
        <f t="shared" si="0"/>
        <v>02-04-2024 NET PI TO HSL SEC A/C 523686-00602340029434</v>
      </c>
      <c r="H9" s="2" t="s">
        <v>1335</v>
      </c>
      <c r="I9" t="s">
        <v>337</v>
      </c>
      <c r="K9" t="s">
        <v>1322</v>
      </c>
    </row>
    <row r="10" spans="1:13" x14ac:dyDescent="0.3">
      <c r="A10" s="1">
        <v>45385</v>
      </c>
      <c r="B10" t="s">
        <v>84</v>
      </c>
      <c r="C10" t="s">
        <v>89</v>
      </c>
      <c r="D10" s="2">
        <v>0</v>
      </c>
      <c r="E10" s="2">
        <v>1514.95</v>
      </c>
      <c r="F10" s="2">
        <v>43956.85</v>
      </c>
      <c r="G10" s="2" t="str">
        <f t="shared" si="0"/>
        <v>03-04-2024 NET PO FROM HSL A/C 523686-50200085415108</v>
      </c>
      <c r="H10" s="2" t="s">
        <v>1335</v>
      </c>
      <c r="I10" t="s">
        <v>337</v>
      </c>
      <c r="K10" t="s">
        <v>1322</v>
      </c>
    </row>
    <row r="11" spans="1:13" x14ac:dyDescent="0.3">
      <c r="A11" s="1">
        <v>45385</v>
      </c>
      <c r="B11" t="s">
        <v>82</v>
      </c>
      <c r="C11" t="s">
        <v>90</v>
      </c>
      <c r="D11" s="2">
        <v>379.22</v>
      </c>
      <c r="E11" s="2">
        <v>0</v>
      </c>
      <c r="F11" s="2">
        <v>43577.63</v>
      </c>
      <c r="G11" s="2" t="str">
        <f t="shared" si="0"/>
        <v>03-04-2024 NET PI TO HSL SEC A/C 523686-00602340029434</v>
      </c>
      <c r="H11" s="2" t="s">
        <v>1335</v>
      </c>
      <c r="I11" t="s">
        <v>337</v>
      </c>
      <c r="K11" t="s">
        <v>1322</v>
      </c>
    </row>
    <row r="12" spans="1:13" x14ac:dyDescent="0.3">
      <c r="A12" s="1">
        <v>45386</v>
      </c>
      <c r="B12" t="s">
        <v>84</v>
      </c>
      <c r="C12" t="s">
        <v>91</v>
      </c>
      <c r="D12" s="2">
        <v>0</v>
      </c>
      <c r="E12" s="2">
        <v>6701.42</v>
      </c>
      <c r="F12" s="2">
        <v>50279.05</v>
      </c>
      <c r="G12" s="2" t="str">
        <f t="shared" si="0"/>
        <v>04-04-2024 NET PO FROM HSL A/C 523686-50200085415108</v>
      </c>
      <c r="H12" s="2" t="s">
        <v>1335</v>
      </c>
      <c r="I12" t="s">
        <v>337</v>
      </c>
      <c r="K12" t="s">
        <v>1322</v>
      </c>
    </row>
    <row r="13" spans="1:13" x14ac:dyDescent="0.3">
      <c r="A13" s="1">
        <v>45386</v>
      </c>
      <c r="B13" t="s">
        <v>92</v>
      </c>
      <c r="C13" t="s">
        <v>93</v>
      </c>
      <c r="D13" s="2">
        <v>0</v>
      </c>
      <c r="E13" s="2">
        <v>30000</v>
      </c>
      <c r="F13" s="2">
        <v>80279.05</v>
      </c>
      <c r="G13" s="2" t="str">
        <f t="shared" si="0"/>
        <v>04-04-2024 50100128155413-TPT-TO MUMMY-AAYUSH KUMAR GUPTA</v>
      </c>
      <c r="H13" s="2" t="s">
        <v>1335</v>
      </c>
      <c r="I13" t="s">
        <v>338</v>
      </c>
      <c r="K13" t="s">
        <v>1322</v>
      </c>
    </row>
    <row r="14" spans="1:13" x14ac:dyDescent="0.3">
      <c r="A14" s="1">
        <v>45386</v>
      </c>
      <c r="B14" t="s">
        <v>82</v>
      </c>
      <c r="C14" t="s">
        <v>94</v>
      </c>
      <c r="D14" s="2">
        <v>425.81</v>
      </c>
      <c r="E14" s="2">
        <v>0</v>
      </c>
      <c r="F14" s="2">
        <v>79853.240000000005</v>
      </c>
      <c r="G14" s="2" t="str">
        <f t="shared" si="0"/>
        <v>04-04-2024 NET PI TO HSL SEC A/C 523686-00602340029434</v>
      </c>
      <c r="H14" s="2" t="s">
        <v>1335</v>
      </c>
      <c r="I14" t="s">
        <v>337</v>
      </c>
      <c r="K14" t="s">
        <v>1322</v>
      </c>
    </row>
    <row r="15" spans="1:13" x14ac:dyDescent="0.3">
      <c r="A15" s="1">
        <v>45386</v>
      </c>
      <c r="B15" t="s">
        <v>82</v>
      </c>
      <c r="C15" t="s">
        <v>95</v>
      </c>
      <c r="D15" s="2">
        <v>72828.22</v>
      </c>
      <c r="E15" s="2">
        <v>0</v>
      </c>
      <c r="F15" s="2">
        <v>7025.02</v>
      </c>
      <c r="G15" s="2" t="str">
        <f t="shared" si="0"/>
        <v>04-04-2024 NET PI TO HSL SEC A/C 523686-00602340029434</v>
      </c>
      <c r="H15" s="2" t="s">
        <v>1335</v>
      </c>
      <c r="I15" t="s">
        <v>337</v>
      </c>
      <c r="K15" t="s">
        <v>1322</v>
      </c>
    </row>
    <row r="16" spans="1:13" x14ac:dyDescent="0.3">
      <c r="A16" s="1">
        <v>45387</v>
      </c>
      <c r="B16" t="s">
        <v>82</v>
      </c>
      <c r="C16" t="s">
        <v>96</v>
      </c>
      <c r="D16" s="2">
        <v>402.46</v>
      </c>
      <c r="E16" s="2">
        <v>0</v>
      </c>
      <c r="F16" s="2">
        <v>6622.56</v>
      </c>
      <c r="G16" s="2" t="str">
        <f t="shared" si="0"/>
        <v>05-04-2024 NET PI TO HSL SEC A/C 523686-00602340029434</v>
      </c>
      <c r="H16" s="2" t="s">
        <v>1335</v>
      </c>
      <c r="I16" t="s">
        <v>337</v>
      </c>
      <c r="K16" t="s">
        <v>1322</v>
      </c>
    </row>
    <row r="17" spans="1:13" x14ac:dyDescent="0.3">
      <c r="A17" s="1">
        <v>45387</v>
      </c>
      <c r="B17" t="s">
        <v>97</v>
      </c>
      <c r="C17" t="s">
        <v>98</v>
      </c>
      <c r="D17" s="2">
        <v>1270.6199999999999</v>
      </c>
      <c r="E17" s="2">
        <v>0</v>
      </c>
      <c r="F17" s="2">
        <v>5351.94</v>
      </c>
      <c r="G17" s="2" t="str">
        <f t="shared" si="0"/>
        <v>05-04-2024 DEPOSITORY CHARGES MAR24 - 41060499</v>
      </c>
      <c r="H17" s="2" t="s">
        <v>1335</v>
      </c>
      <c r="I17" t="s">
        <v>343</v>
      </c>
      <c r="K17" t="s">
        <v>1322</v>
      </c>
    </row>
    <row r="18" spans="1:13" x14ac:dyDescent="0.3">
      <c r="A18" s="1">
        <v>45387</v>
      </c>
      <c r="B18" t="s">
        <v>84</v>
      </c>
      <c r="C18" t="s">
        <v>99</v>
      </c>
      <c r="D18" s="2">
        <v>0</v>
      </c>
      <c r="E18" s="2">
        <v>42585.27</v>
      </c>
      <c r="F18" s="2">
        <v>47937.21</v>
      </c>
      <c r="G18" s="2" t="str">
        <f t="shared" si="0"/>
        <v>05-04-2024 NET PO FROM HSL A/C 523686-50200085415108</v>
      </c>
      <c r="H18" s="2" t="s">
        <v>1335</v>
      </c>
      <c r="I18" t="s">
        <v>337</v>
      </c>
      <c r="K18" t="s">
        <v>1322</v>
      </c>
    </row>
    <row r="19" spans="1:13" x14ac:dyDescent="0.3">
      <c r="A19" s="1">
        <v>45388</v>
      </c>
      <c r="B19" t="s">
        <v>24</v>
      </c>
      <c r="C19" t="s">
        <v>23</v>
      </c>
      <c r="D19" s="2">
        <v>30</v>
      </c>
      <c r="E19" s="2">
        <v>0</v>
      </c>
      <c r="F19" s="2">
        <v>9444.6200000000008</v>
      </c>
      <c r="G19" s="2" t="str">
        <f t="shared" si="0"/>
        <v>06-04-2024 UPI/P2M/409717050341/SHIVBHOLA VEGETABLE E/veg/Yes Bank Ltd</v>
      </c>
      <c r="H19" s="2" t="s">
        <v>1335</v>
      </c>
      <c r="I19" t="s">
        <v>48</v>
      </c>
      <c r="J19" s="4"/>
      <c r="K19" t="s">
        <v>1323</v>
      </c>
    </row>
    <row r="20" spans="1:13" x14ac:dyDescent="0.3">
      <c r="A20" s="1">
        <v>45388</v>
      </c>
      <c r="B20" t="s">
        <v>97</v>
      </c>
      <c r="C20" t="s">
        <v>98</v>
      </c>
      <c r="D20" s="2">
        <v>239.78</v>
      </c>
      <c r="E20" s="2">
        <v>0</v>
      </c>
      <c r="F20" s="2">
        <v>47697.43</v>
      </c>
      <c r="G20" s="2" t="str">
        <f t="shared" si="0"/>
        <v>06-04-2024 DEPOSITORY CHARGES MAR24 - 41060499</v>
      </c>
      <c r="H20" s="2" t="s">
        <v>1335</v>
      </c>
      <c r="I20" t="s">
        <v>343</v>
      </c>
      <c r="K20" t="s">
        <v>1322</v>
      </c>
    </row>
    <row r="21" spans="1:13" x14ac:dyDescent="0.3">
      <c r="A21" s="1">
        <v>45390</v>
      </c>
      <c r="B21" t="s">
        <v>84</v>
      </c>
      <c r="C21" t="s">
        <v>100</v>
      </c>
      <c r="D21" s="2">
        <v>0</v>
      </c>
      <c r="E21" s="2">
        <v>6712.4</v>
      </c>
      <c r="F21" s="2">
        <v>54409.83</v>
      </c>
      <c r="G21" s="2" t="str">
        <f t="shared" si="0"/>
        <v>08-04-2024 NET PO FROM HSL A/C 523686-50200085415108</v>
      </c>
      <c r="H21" s="2" t="s">
        <v>1335</v>
      </c>
      <c r="I21" t="s">
        <v>337</v>
      </c>
      <c r="K21" t="s">
        <v>1322</v>
      </c>
    </row>
    <row r="22" spans="1:13" x14ac:dyDescent="0.3">
      <c r="A22" s="1">
        <v>45390</v>
      </c>
      <c r="B22" t="s">
        <v>84</v>
      </c>
      <c r="C22" t="s">
        <v>101</v>
      </c>
      <c r="D22" s="2">
        <v>0</v>
      </c>
      <c r="E22" s="2">
        <v>25926.77</v>
      </c>
      <c r="F22" s="2">
        <v>80336.600000000006</v>
      </c>
      <c r="G22" s="2" t="str">
        <f t="shared" si="0"/>
        <v>08-04-2024 NET PO FROM HSL A/C 523686-50200085415108</v>
      </c>
      <c r="H22" s="2" t="s">
        <v>1335</v>
      </c>
      <c r="I22" t="s">
        <v>337</v>
      </c>
      <c r="K22" t="s">
        <v>1322</v>
      </c>
    </row>
    <row r="23" spans="1:13" x14ac:dyDescent="0.3">
      <c r="A23" s="1">
        <v>45390</v>
      </c>
      <c r="B23" t="s">
        <v>82</v>
      </c>
      <c r="C23" t="s">
        <v>102</v>
      </c>
      <c r="D23" s="2">
        <v>1477.11</v>
      </c>
      <c r="E23" s="2">
        <v>0</v>
      </c>
      <c r="F23" s="2">
        <v>78859.490000000005</v>
      </c>
      <c r="G23" s="2" t="str">
        <f t="shared" si="0"/>
        <v>08-04-2024 NET PI TO HSL SEC A/C 523686-00602340029434</v>
      </c>
      <c r="H23" s="2" t="s">
        <v>1335</v>
      </c>
      <c r="I23" t="s">
        <v>337</v>
      </c>
      <c r="K23" t="s">
        <v>1322</v>
      </c>
    </row>
    <row r="24" spans="1:13" x14ac:dyDescent="0.3">
      <c r="A24" s="1">
        <v>45390</v>
      </c>
      <c r="B24" t="s">
        <v>82</v>
      </c>
      <c r="C24" t="s">
        <v>103</v>
      </c>
      <c r="D24" s="2">
        <v>47223.12</v>
      </c>
      <c r="E24" s="2">
        <v>0</v>
      </c>
      <c r="F24" s="2">
        <v>31636.37</v>
      </c>
      <c r="G24" s="2" t="str">
        <f t="shared" si="0"/>
        <v>08-04-2024 NET PI TO HSL SEC A/C 523686-00602340029434</v>
      </c>
      <c r="H24" s="2" t="s">
        <v>1335</v>
      </c>
      <c r="I24" t="s">
        <v>337</v>
      </c>
      <c r="K24" t="s">
        <v>1322</v>
      </c>
    </row>
    <row r="25" spans="1:13" x14ac:dyDescent="0.3">
      <c r="A25" s="1">
        <v>45390</v>
      </c>
      <c r="B25" t="s">
        <v>104</v>
      </c>
      <c r="C25" t="s">
        <v>105</v>
      </c>
      <c r="D25" s="2">
        <v>0</v>
      </c>
      <c r="E25" s="2">
        <v>32137</v>
      </c>
      <c r="F25" s="2">
        <v>63773.37</v>
      </c>
      <c r="G25" s="2" t="str">
        <f t="shared" si="0"/>
        <v>08-04-2024 NEFT CR-SBIN0004266-SBI GENERAL INSURANCE CO LTDSBI GEN-SUNITA GUPTA 0000000002717756-SBIN424099209370</v>
      </c>
      <c r="H25" s="2" t="s">
        <v>1335</v>
      </c>
      <c r="I25" t="s">
        <v>1331</v>
      </c>
      <c r="J25" t="s">
        <v>1327</v>
      </c>
      <c r="K25" t="s">
        <v>1322</v>
      </c>
      <c r="L25" s="11">
        <f>ROUND(E25/0.9,0)</f>
        <v>35708</v>
      </c>
      <c r="M25" s="11">
        <f>L25-E25</f>
        <v>3571</v>
      </c>
    </row>
    <row r="26" spans="1:13" x14ac:dyDescent="0.3">
      <c r="A26" s="1">
        <v>45391</v>
      </c>
      <c r="B26" t="s">
        <v>82</v>
      </c>
      <c r="C26" t="s">
        <v>106</v>
      </c>
      <c r="D26" s="2">
        <v>22012.34</v>
      </c>
      <c r="E26" s="2">
        <v>0</v>
      </c>
      <c r="F26" s="2">
        <v>41761.03</v>
      </c>
      <c r="G26" s="2" t="str">
        <f t="shared" si="0"/>
        <v>09-04-2024 NET PI TO HSL SEC A/C 523686-00602340029434</v>
      </c>
      <c r="H26" s="2" t="s">
        <v>1335</v>
      </c>
      <c r="I26" t="s">
        <v>337</v>
      </c>
      <c r="K26" t="s">
        <v>1322</v>
      </c>
    </row>
    <row r="27" spans="1:13" x14ac:dyDescent="0.3">
      <c r="A27" s="1">
        <v>45392</v>
      </c>
      <c r="B27" t="s">
        <v>84</v>
      </c>
      <c r="C27" t="s">
        <v>107</v>
      </c>
      <c r="D27" s="2">
        <v>0</v>
      </c>
      <c r="E27" s="2">
        <v>11463.88</v>
      </c>
      <c r="F27" s="2">
        <v>53224.91</v>
      </c>
      <c r="G27" s="2" t="str">
        <f t="shared" si="0"/>
        <v>10-04-2024 NET PO FROM HSL A/C 523686-50200085415108</v>
      </c>
      <c r="H27" s="2" t="s">
        <v>1335</v>
      </c>
      <c r="I27" t="s">
        <v>337</v>
      </c>
      <c r="K27" t="s">
        <v>1322</v>
      </c>
    </row>
    <row r="28" spans="1:13" x14ac:dyDescent="0.3">
      <c r="A28" s="1">
        <v>45392</v>
      </c>
      <c r="B28" t="s">
        <v>82</v>
      </c>
      <c r="C28" t="s">
        <v>108</v>
      </c>
      <c r="D28" s="2">
        <v>437.52</v>
      </c>
      <c r="E28" s="2">
        <v>0</v>
      </c>
      <c r="F28" s="2">
        <v>52787.39</v>
      </c>
      <c r="G28" s="2" t="str">
        <f t="shared" si="0"/>
        <v>10-04-2024 NET PI TO HSL SEC A/C 523686-00602340029434</v>
      </c>
      <c r="H28" s="2" t="s">
        <v>1335</v>
      </c>
      <c r="I28" t="s">
        <v>337</v>
      </c>
      <c r="K28" t="s">
        <v>1322</v>
      </c>
    </row>
    <row r="29" spans="1:13" x14ac:dyDescent="0.3">
      <c r="A29" s="1">
        <v>45392</v>
      </c>
      <c r="B29" t="s">
        <v>82</v>
      </c>
      <c r="C29" t="s">
        <v>109</v>
      </c>
      <c r="D29" s="2">
        <v>4688.18</v>
      </c>
      <c r="E29" s="2">
        <v>0</v>
      </c>
      <c r="F29" s="2">
        <v>48099.21</v>
      </c>
      <c r="G29" s="2" t="str">
        <f t="shared" si="0"/>
        <v>10-04-2024 NET PI TO HSL SEC A/C 523686-00602340029434</v>
      </c>
      <c r="H29" s="2" t="s">
        <v>1335</v>
      </c>
      <c r="I29" t="s">
        <v>337</v>
      </c>
      <c r="K29" t="s">
        <v>1322</v>
      </c>
    </row>
    <row r="30" spans="1:13" x14ac:dyDescent="0.3">
      <c r="A30" s="1">
        <v>45394</v>
      </c>
      <c r="B30" t="s">
        <v>84</v>
      </c>
      <c r="C30" t="s">
        <v>110</v>
      </c>
      <c r="D30" s="2">
        <v>0</v>
      </c>
      <c r="E30" s="2">
        <v>4970.09</v>
      </c>
      <c r="F30" s="2">
        <v>53069.3</v>
      </c>
      <c r="G30" s="2" t="str">
        <f t="shared" si="0"/>
        <v>12-04-2024 NET PO FROM HSL A/C 523686-50200085415108</v>
      </c>
      <c r="H30" s="2" t="s">
        <v>1335</v>
      </c>
      <c r="I30" t="s">
        <v>337</v>
      </c>
      <c r="K30" t="s">
        <v>1322</v>
      </c>
    </row>
    <row r="31" spans="1:13" x14ac:dyDescent="0.3">
      <c r="A31" s="1">
        <v>45394</v>
      </c>
      <c r="B31" t="s">
        <v>84</v>
      </c>
      <c r="C31" t="s">
        <v>111</v>
      </c>
      <c r="D31" s="2">
        <v>0</v>
      </c>
      <c r="E31" s="2">
        <v>30503.75</v>
      </c>
      <c r="F31" s="2">
        <v>83573.05</v>
      </c>
      <c r="G31" s="2" t="str">
        <f t="shared" si="0"/>
        <v>12-04-2024 NET PO FROM HSL A/C 523686-50200085415108</v>
      </c>
      <c r="H31" s="2" t="s">
        <v>1335</v>
      </c>
      <c r="I31" t="s">
        <v>337</v>
      </c>
      <c r="K31" t="s">
        <v>1322</v>
      </c>
    </row>
    <row r="32" spans="1:13" x14ac:dyDescent="0.3">
      <c r="A32" s="1">
        <v>45394</v>
      </c>
      <c r="B32" t="s">
        <v>82</v>
      </c>
      <c r="C32" t="s">
        <v>112</v>
      </c>
      <c r="D32" s="2">
        <v>939.76</v>
      </c>
      <c r="E32" s="2">
        <v>0</v>
      </c>
      <c r="F32" s="2">
        <v>82633.289999999994</v>
      </c>
      <c r="G32" s="2" t="str">
        <f t="shared" si="0"/>
        <v>12-04-2024 NET PI TO HSL SEC A/C 523686-00602340029434</v>
      </c>
      <c r="H32" s="2" t="s">
        <v>1335</v>
      </c>
      <c r="I32" t="s">
        <v>337</v>
      </c>
      <c r="K32" t="s">
        <v>1322</v>
      </c>
    </row>
    <row r="33" spans="1:11" x14ac:dyDescent="0.3">
      <c r="A33" s="1">
        <v>45395</v>
      </c>
      <c r="B33" t="s">
        <v>25</v>
      </c>
      <c r="C33" t="s">
        <v>23</v>
      </c>
      <c r="D33" s="2">
        <v>1000</v>
      </c>
      <c r="E33" s="2">
        <v>0</v>
      </c>
      <c r="F33" s="2">
        <v>8444.6200000000008</v>
      </c>
      <c r="G33" s="2" t="str">
        <f t="shared" si="0"/>
        <v>13-04-2024 UPI/P2A/447025620282/DEEPIKA UMESH MUNDADA/kitty/State Bank Of India</v>
      </c>
      <c r="H33" s="2" t="s">
        <v>1335</v>
      </c>
      <c r="I33" t="s">
        <v>49</v>
      </c>
      <c r="K33" t="s">
        <v>1323</v>
      </c>
    </row>
    <row r="34" spans="1:11" x14ac:dyDescent="0.3">
      <c r="A34" s="1">
        <v>45397</v>
      </c>
      <c r="B34" t="s">
        <v>84</v>
      </c>
      <c r="C34" t="s">
        <v>113</v>
      </c>
      <c r="D34" s="2">
        <v>0</v>
      </c>
      <c r="E34" s="2">
        <v>29255.99</v>
      </c>
      <c r="F34" s="2">
        <v>111889.28</v>
      </c>
      <c r="G34" s="2" t="str">
        <f t="shared" si="0"/>
        <v>15-04-2024 NET PO FROM HSL A/C 523686-50200085415108</v>
      </c>
      <c r="H34" s="2" t="s">
        <v>1335</v>
      </c>
      <c r="I34" t="s">
        <v>337</v>
      </c>
      <c r="K34" t="s">
        <v>1322</v>
      </c>
    </row>
    <row r="35" spans="1:11" x14ac:dyDescent="0.3">
      <c r="A35" s="1">
        <v>45397</v>
      </c>
      <c r="B35" t="s">
        <v>114</v>
      </c>
      <c r="C35" t="s">
        <v>115</v>
      </c>
      <c r="D35" s="2">
        <v>5000</v>
      </c>
      <c r="E35" s="2">
        <v>0</v>
      </c>
      <c r="F35" s="2">
        <v>106889.28</v>
      </c>
      <c r="G35" s="2" t="str">
        <f t="shared" si="0"/>
        <v>15-04-2024 ACH D- INDIAN CLEARING CORP-P25847643X05</v>
      </c>
      <c r="H35" s="2" t="s">
        <v>1335</v>
      </c>
      <c r="I35" t="s">
        <v>341</v>
      </c>
      <c r="K35" t="s">
        <v>1322</v>
      </c>
    </row>
    <row r="36" spans="1:11" x14ac:dyDescent="0.3">
      <c r="A36" s="1">
        <v>45397</v>
      </c>
      <c r="B36" t="s">
        <v>82</v>
      </c>
      <c r="C36" t="s">
        <v>116</v>
      </c>
      <c r="D36" s="2">
        <v>1254.81</v>
      </c>
      <c r="E36" s="2">
        <v>0</v>
      </c>
      <c r="F36" s="2">
        <v>105634.47</v>
      </c>
      <c r="G36" s="2" t="str">
        <f t="shared" si="0"/>
        <v>15-04-2024 NET PI TO HSL SEC A/C 523686-00602340029434</v>
      </c>
      <c r="H36" s="2" t="s">
        <v>1335</v>
      </c>
      <c r="I36" t="s">
        <v>337</v>
      </c>
      <c r="K36" t="s">
        <v>1322</v>
      </c>
    </row>
    <row r="37" spans="1:11" x14ac:dyDescent="0.3">
      <c r="A37" s="1">
        <v>45398</v>
      </c>
      <c r="B37" t="s">
        <v>84</v>
      </c>
      <c r="C37" t="s">
        <v>117</v>
      </c>
      <c r="D37" s="2">
        <v>0</v>
      </c>
      <c r="E37" s="2">
        <v>29141.48</v>
      </c>
      <c r="F37" s="2">
        <v>134775.95000000001</v>
      </c>
      <c r="G37" s="2" t="str">
        <f t="shared" si="0"/>
        <v>16-04-2024 NET PO FROM HSL A/C 523686-50200085415108</v>
      </c>
      <c r="H37" s="2" t="s">
        <v>1335</v>
      </c>
      <c r="I37" t="s">
        <v>337</v>
      </c>
      <c r="K37" t="s">
        <v>1322</v>
      </c>
    </row>
    <row r="38" spans="1:11" x14ac:dyDescent="0.3">
      <c r="A38" s="1">
        <v>45398</v>
      </c>
      <c r="B38" t="s">
        <v>82</v>
      </c>
      <c r="C38" t="s">
        <v>118</v>
      </c>
      <c r="D38" s="2">
        <v>400.81</v>
      </c>
      <c r="E38" s="2">
        <v>0</v>
      </c>
      <c r="F38" s="2">
        <v>134375.14000000001</v>
      </c>
      <c r="G38" s="2" t="str">
        <f t="shared" si="0"/>
        <v>16-04-2024 NET PI TO HSL SEC A/C 523686-00602340029434</v>
      </c>
      <c r="H38" s="2" t="s">
        <v>1335</v>
      </c>
      <c r="I38" t="s">
        <v>337</v>
      </c>
      <c r="K38" t="s">
        <v>1322</v>
      </c>
    </row>
    <row r="39" spans="1:11" x14ac:dyDescent="0.3">
      <c r="A39" s="1">
        <v>45398</v>
      </c>
      <c r="B39" t="s">
        <v>119</v>
      </c>
      <c r="C39" t="s">
        <v>120</v>
      </c>
      <c r="D39" s="2">
        <v>10000</v>
      </c>
      <c r="E39" s="2">
        <v>0</v>
      </c>
      <c r="F39" s="2">
        <v>124375.14</v>
      </c>
      <c r="G39" s="2" t="str">
        <f t="shared" si="0"/>
        <v>16-04-2024 YHDF2301816719/BILLDKINDIANCLEARING</v>
      </c>
      <c r="H39" s="2" t="s">
        <v>1335</v>
      </c>
      <c r="I39" t="s">
        <v>1325</v>
      </c>
      <c r="K39" t="s">
        <v>1322</v>
      </c>
    </row>
    <row r="40" spans="1:11" x14ac:dyDescent="0.3">
      <c r="A40" s="1">
        <v>45398</v>
      </c>
      <c r="B40" t="s">
        <v>82</v>
      </c>
      <c r="C40" t="s">
        <v>121</v>
      </c>
      <c r="D40" s="2">
        <v>32991.42</v>
      </c>
      <c r="E40" s="2">
        <v>0</v>
      </c>
      <c r="F40" s="2">
        <v>91383.72</v>
      </c>
      <c r="G40" s="2" t="str">
        <f t="shared" si="0"/>
        <v>16-04-2024 NET PI TO HSL SEC A/C 523686-00602340029434</v>
      </c>
      <c r="H40" s="2" t="s">
        <v>1335</v>
      </c>
      <c r="I40" t="s">
        <v>337</v>
      </c>
      <c r="K40" t="s">
        <v>1322</v>
      </c>
    </row>
    <row r="41" spans="1:11" x14ac:dyDescent="0.3">
      <c r="A41" s="1">
        <v>45400</v>
      </c>
      <c r="B41" t="s">
        <v>84</v>
      </c>
      <c r="C41" t="s">
        <v>122</v>
      </c>
      <c r="D41" s="2">
        <v>0</v>
      </c>
      <c r="E41" s="2">
        <v>10255.18</v>
      </c>
      <c r="F41" s="2">
        <v>101638.9</v>
      </c>
      <c r="G41" s="2" t="str">
        <f t="shared" si="0"/>
        <v>18-04-2024 NET PO FROM HSL A/C 523686-50200085415108</v>
      </c>
      <c r="H41" s="2" t="s">
        <v>1335</v>
      </c>
      <c r="I41" t="s">
        <v>337</v>
      </c>
      <c r="K41" t="s">
        <v>1322</v>
      </c>
    </row>
    <row r="42" spans="1:11" x14ac:dyDescent="0.3">
      <c r="A42" s="1">
        <v>45400</v>
      </c>
      <c r="B42" t="s">
        <v>82</v>
      </c>
      <c r="C42" t="s">
        <v>123</v>
      </c>
      <c r="D42" s="2">
        <v>731.06</v>
      </c>
      <c r="E42" s="2">
        <v>0</v>
      </c>
      <c r="F42" s="2">
        <v>100907.84</v>
      </c>
      <c r="G42" s="2" t="str">
        <f t="shared" si="0"/>
        <v>18-04-2024 NET PI TO HSL SEC A/C 523686-00602340029434</v>
      </c>
      <c r="H42" s="2" t="s">
        <v>1335</v>
      </c>
      <c r="I42" t="s">
        <v>337</v>
      </c>
      <c r="K42" t="s">
        <v>1322</v>
      </c>
    </row>
    <row r="43" spans="1:11" x14ac:dyDescent="0.3">
      <c r="A43" s="1">
        <v>45400</v>
      </c>
      <c r="B43" t="s">
        <v>82</v>
      </c>
      <c r="C43" t="s">
        <v>124</v>
      </c>
      <c r="D43" s="2">
        <v>20472.73</v>
      </c>
      <c r="E43" s="2">
        <v>0</v>
      </c>
      <c r="F43" s="2">
        <v>80435.11</v>
      </c>
      <c r="G43" s="2" t="str">
        <f t="shared" si="0"/>
        <v>18-04-2024 NET PI TO HSL SEC A/C 523686-00602340029434</v>
      </c>
      <c r="H43" s="2" t="s">
        <v>1335</v>
      </c>
      <c r="I43" t="s">
        <v>337</v>
      </c>
      <c r="K43" t="s">
        <v>1322</v>
      </c>
    </row>
    <row r="44" spans="1:11" x14ac:dyDescent="0.3">
      <c r="A44" s="1">
        <v>45401</v>
      </c>
      <c r="B44" t="s">
        <v>82</v>
      </c>
      <c r="C44" t="s">
        <v>125</v>
      </c>
      <c r="D44" s="2">
        <v>401.53</v>
      </c>
      <c r="E44" s="2">
        <v>0</v>
      </c>
      <c r="F44" s="2">
        <v>80033.58</v>
      </c>
      <c r="G44" s="2" t="str">
        <f t="shared" si="0"/>
        <v>19-04-2024 NET PI TO HSL SEC A/C 523686-00602340029434</v>
      </c>
      <c r="H44" s="2" t="s">
        <v>1335</v>
      </c>
      <c r="I44" t="s">
        <v>337</v>
      </c>
      <c r="K44" t="s">
        <v>1322</v>
      </c>
    </row>
    <row r="45" spans="1:11" x14ac:dyDescent="0.3">
      <c r="A45" s="1">
        <v>45401</v>
      </c>
      <c r="B45" t="s">
        <v>82</v>
      </c>
      <c r="C45" t="s">
        <v>126</v>
      </c>
      <c r="D45" s="2">
        <v>26524.15</v>
      </c>
      <c r="E45" s="2">
        <v>0</v>
      </c>
      <c r="F45" s="2">
        <v>53509.43</v>
      </c>
      <c r="G45" s="2" t="str">
        <f t="shared" si="0"/>
        <v>19-04-2024 NET PI TO HSL SEC A/C 523686-00602340029434</v>
      </c>
      <c r="H45" s="2" t="s">
        <v>1335</v>
      </c>
      <c r="I45" t="s">
        <v>337</v>
      </c>
      <c r="K45" t="s">
        <v>1322</v>
      </c>
    </row>
    <row r="46" spans="1:11" x14ac:dyDescent="0.3">
      <c r="A46" s="1">
        <v>45404</v>
      </c>
      <c r="B46" t="s">
        <v>82</v>
      </c>
      <c r="C46" t="s">
        <v>127</v>
      </c>
      <c r="D46" s="2">
        <v>1243.71</v>
      </c>
      <c r="E46" s="2">
        <v>0</v>
      </c>
      <c r="F46" s="2">
        <v>52265.72</v>
      </c>
      <c r="G46" s="2" t="str">
        <f t="shared" si="0"/>
        <v>22-04-2024 NET PI TO HSL SEC A/C 523686-00602340029434</v>
      </c>
      <c r="H46" s="2" t="s">
        <v>1335</v>
      </c>
      <c r="I46" t="s">
        <v>337</v>
      </c>
      <c r="K46" t="s">
        <v>1322</v>
      </c>
    </row>
    <row r="47" spans="1:11" x14ac:dyDescent="0.3">
      <c r="A47" s="1">
        <v>45405</v>
      </c>
      <c r="B47" t="s">
        <v>26</v>
      </c>
      <c r="C47" t="s">
        <v>23</v>
      </c>
      <c r="D47" s="2">
        <v>390</v>
      </c>
      <c r="E47" s="2">
        <v>0</v>
      </c>
      <c r="F47" s="2">
        <v>8054.62</v>
      </c>
      <c r="G47" s="2" t="str">
        <f t="shared" si="0"/>
        <v>23-04-2024 UPI/P2A/448073432191/BHARTI RATAN DEVNANI /tiffin/Union Bank of India</v>
      </c>
      <c r="H47" s="2" t="s">
        <v>1335</v>
      </c>
      <c r="I47" t="s">
        <v>48</v>
      </c>
      <c r="K47" t="s">
        <v>1323</v>
      </c>
    </row>
    <row r="48" spans="1:11" x14ac:dyDescent="0.3">
      <c r="A48" s="1">
        <v>45405</v>
      </c>
      <c r="B48" t="s">
        <v>84</v>
      </c>
      <c r="C48" t="s">
        <v>128</v>
      </c>
      <c r="D48" s="2">
        <v>0</v>
      </c>
      <c r="E48" s="2">
        <v>89361.65</v>
      </c>
      <c r="F48" s="2">
        <v>141627.37</v>
      </c>
      <c r="G48" s="2" t="str">
        <f t="shared" si="0"/>
        <v>23-04-2024 NET PO FROM HSL A/C 523686-50200085415108</v>
      </c>
      <c r="H48" s="2" t="s">
        <v>1335</v>
      </c>
      <c r="I48" t="s">
        <v>337</v>
      </c>
      <c r="K48" t="s">
        <v>1322</v>
      </c>
    </row>
    <row r="49" spans="1:11" x14ac:dyDescent="0.3">
      <c r="A49" s="1">
        <v>45405</v>
      </c>
      <c r="B49" t="s">
        <v>84</v>
      </c>
      <c r="C49" t="s">
        <v>129</v>
      </c>
      <c r="D49" s="2">
        <v>0</v>
      </c>
      <c r="E49" s="2">
        <v>19918.93</v>
      </c>
      <c r="F49" s="2">
        <v>161546.29999999999</v>
      </c>
      <c r="G49" s="2" t="str">
        <f t="shared" si="0"/>
        <v>23-04-2024 NET PO FROM HSL A/C 523686-50200085415108</v>
      </c>
      <c r="H49" s="2" t="s">
        <v>1335</v>
      </c>
      <c r="I49" t="s">
        <v>337</v>
      </c>
      <c r="K49" t="s">
        <v>1322</v>
      </c>
    </row>
    <row r="50" spans="1:11" x14ac:dyDescent="0.3">
      <c r="A50" s="1">
        <v>45405</v>
      </c>
      <c r="B50" t="s">
        <v>82</v>
      </c>
      <c r="C50" t="s">
        <v>130</v>
      </c>
      <c r="D50" s="2">
        <v>425.91</v>
      </c>
      <c r="E50" s="2">
        <v>0</v>
      </c>
      <c r="F50" s="2">
        <v>161120.39000000001</v>
      </c>
      <c r="G50" s="2" t="str">
        <f t="shared" si="0"/>
        <v>23-04-2024 NET PI TO HSL SEC A/C 523686-00602340029434</v>
      </c>
      <c r="H50" s="2" t="s">
        <v>1335</v>
      </c>
      <c r="I50" t="s">
        <v>337</v>
      </c>
      <c r="K50" t="s">
        <v>1322</v>
      </c>
    </row>
    <row r="51" spans="1:11" x14ac:dyDescent="0.3">
      <c r="A51" s="1">
        <v>45405</v>
      </c>
      <c r="B51" t="s">
        <v>131</v>
      </c>
      <c r="C51" t="s">
        <v>132</v>
      </c>
      <c r="D51" s="2">
        <v>100000</v>
      </c>
      <c r="E51" s="2">
        <v>0</v>
      </c>
      <c r="F51" s="2">
        <v>61120.39</v>
      </c>
      <c r="G51" s="2" t="str">
        <f t="shared" si="0"/>
        <v>23-04-2024 01671000085930-TPT-MONEY RETURNED FROM SUNITA TO AKG-AJAY KUMAR GUPTA</v>
      </c>
      <c r="H51" s="2" t="s">
        <v>1335</v>
      </c>
      <c r="I51" t="s">
        <v>52</v>
      </c>
      <c r="K51" t="s">
        <v>1322</v>
      </c>
    </row>
    <row r="52" spans="1:11" x14ac:dyDescent="0.3">
      <c r="A52" s="1">
        <v>45406</v>
      </c>
      <c r="B52" t="s">
        <v>27</v>
      </c>
      <c r="C52" t="s">
        <v>23</v>
      </c>
      <c r="D52" s="2">
        <v>150</v>
      </c>
      <c r="E52" s="2">
        <v>0</v>
      </c>
      <c r="F52" s="2">
        <v>7904.62</v>
      </c>
      <c r="G52" s="2" t="str">
        <f t="shared" si="0"/>
        <v>24-04-2024 UPI/P2M/448166340115/KUNAL EAKNATH MAKUNE /milk/Yes Bank Ltd</v>
      </c>
      <c r="H52" s="2" t="s">
        <v>1335</v>
      </c>
      <c r="I52" t="s">
        <v>48</v>
      </c>
      <c r="K52" t="s">
        <v>1323</v>
      </c>
    </row>
    <row r="53" spans="1:11" x14ac:dyDescent="0.3">
      <c r="A53" s="1">
        <v>45406</v>
      </c>
      <c r="B53" t="s">
        <v>84</v>
      </c>
      <c r="C53" t="s">
        <v>133</v>
      </c>
      <c r="D53" s="2">
        <v>0</v>
      </c>
      <c r="E53" s="2">
        <v>15099.63</v>
      </c>
      <c r="F53" s="2">
        <v>76220.02</v>
      </c>
      <c r="G53" s="2" t="str">
        <f t="shared" si="0"/>
        <v>24-04-2024 NET PO FROM HSL A/C 523686-50200085415108</v>
      </c>
      <c r="H53" s="2" t="s">
        <v>1335</v>
      </c>
      <c r="I53" t="s">
        <v>337</v>
      </c>
      <c r="K53" t="s">
        <v>1322</v>
      </c>
    </row>
    <row r="54" spans="1:11" x14ac:dyDescent="0.3">
      <c r="A54" s="1">
        <v>45406</v>
      </c>
      <c r="B54" t="s">
        <v>82</v>
      </c>
      <c r="C54" t="s">
        <v>134</v>
      </c>
      <c r="D54" s="2">
        <v>376.18</v>
      </c>
      <c r="E54" s="2">
        <v>0</v>
      </c>
      <c r="F54" s="2">
        <v>75843.839999999997</v>
      </c>
      <c r="G54" s="2" t="str">
        <f t="shared" si="0"/>
        <v>24-04-2024 NET PI TO HSL SEC A/C 523686-00602340029434</v>
      </c>
      <c r="H54" s="2" t="s">
        <v>1335</v>
      </c>
      <c r="I54" t="s">
        <v>337</v>
      </c>
      <c r="K54" t="s">
        <v>1322</v>
      </c>
    </row>
    <row r="55" spans="1:11" x14ac:dyDescent="0.3">
      <c r="A55" s="1">
        <v>45406</v>
      </c>
      <c r="B55" t="s">
        <v>135</v>
      </c>
      <c r="C55" t="s">
        <v>136</v>
      </c>
      <c r="D55" s="2">
        <v>18664</v>
      </c>
      <c r="E55" s="2">
        <v>0</v>
      </c>
      <c r="F55" s="2">
        <v>57179.839999999997</v>
      </c>
      <c r="G55" s="2" t="str">
        <f t="shared" si="0"/>
        <v>24-04-2024 YHDF2309213912/BILLDKTHECALCUTTAELE</v>
      </c>
      <c r="H55" s="2" t="s">
        <v>1335</v>
      </c>
      <c r="I55" t="s">
        <v>1326</v>
      </c>
      <c r="K55" t="s">
        <v>1322</v>
      </c>
    </row>
    <row r="56" spans="1:11" x14ac:dyDescent="0.3">
      <c r="A56" s="1">
        <v>45407</v>
      </c>
      <c r="B56" t="s">
        <v>84</v>
      </c>
      <c r="C56" t="s">
        <v>137</v>
      </c>
      <c r="D56" s="2">
        <v>0</v>
      </c>
      <c r="E56" s="2">
        <v>42290.74</v>
      </c>
      <c r="F56" s="2">
        <v>99470.58</v>
      </c>
      <c r="G56" s="2" t="str">
        <f t="shared" si="0"/>
        <v>25-04-2024 NET PO FROM HSL A/C 523686-50200085415108</v>
      </c>
      <c r="H56" s="2" t="s">
        <v>1335</v>
      </c>
      <c r="I56" t="s">
        <v>337</v>
      </c>
      <c r="K56" t="s">
        <v>1322</v>
      </c>
    </row>
    <row r="57" spans="1:11" x14ac:dyDescent="0.3">
      <c r="A57" s="1">
        <v>45407</v>
      </c>
      <c r="B57" t="s">
        <v>84</v>
      </c>
      <c r="C57" t="s">
        <v>138</v>
      </c>
      <c r="D57" s="2">
        <v>0</v>
      </c>
      <c r="E57" s="2">
        <v>74786.990000000005</v>
      </c>
      <c r="F57" s="2">
        <v>174257.57</v>
      </c>
      <c r="G57" s="2" t="str">
        <f t="shared" si="0"/>
        <v>25-04-2024 NET PO FROM HSL A/C 523686-50200085415108</v>
      </c>
      <c r="H57" s="2" t="s">
        <v>1335</v>
      </c>
      <c r="I57" t="s">
        <v>337</v>
      </c>
      <c r="K57" t="s">
        <v>1322</v>
      </c>
    </row>
    <row r="58" spans="1:11" x14ac:dyDescent="0.3">
      <c r="A58" s="1">
        <v>45407</v>
      </c>
      <c r="B58" t="s">
        <v>114</v>
      </c>
      <c r="C58" t="s">
        <v>139</v>
      </c>
      <c r="D58" s="2">
        <v>10000</v>
      </c>
      <c r="E58" s="2">
        <v>0</v>
      </c>
      <c r="F58" s="2">
        <v>164257.57</v>
      </c>
      <c r="G58" s="2" t="str">
        <f t="shared" si="0"/>
        <v>25-04-2024 ACH D- INDIAN CLEARING CORP-P25847643X05</v>
      </c>
      <c r="H58" s="2" t="s">
        <v>1335</v>
      </c>
      <c r="I58" t="s">
        <v>342</v>
      </c>
      <c r="K58" t="s">
        <v>1322</v>
      </c>
    </row>
    <row r="59" spans="1:11" x14ac:dyDescent="0.3">
      <c r="A59" s="1">
        <v>45407</v>
      </c>
      <c r="B59" t="s">
        <v>82</v>
      </c>
      <c r="C59" t="s">
        <v>140</v>
      </c>
      <c r="D59" s="2">
        <v>374.11</v>
      </c>
      <c r="E59" s="2">
        <v>0</v>
      </c>
      <c r="F59" s="2">
        <v>163883.46</v>
      </c>
      <c r="G59" s="2" t="str">
        <f t="shared" si="0"/>
        <v>25-04-2024 NET PI TO HSL SEC A/C 523686-00602340029434</v>
      </c>
      <c r="H59" s="2" t="s">
        <v>1335</v>
      </c>
      <c r="I59" t="s">
        <v>337</v>
      </c>
      <c r="K59" t="s">
        <v>1322</v>
      </c>
    </row>
    <row r="60" spans="1:11" x14ac:dyDescent="0.3">
      <c r="A60" s="1">
        <v>45407</v>
      </c>
      <c r="B60" t="s">
        <v>141</v>
      </c>
      <c r="C60" t="s">
        <v>142</v>
      </c>
      <c r="D60" s="2">
        <v>0</v>
      </c>
      <c r="E60" s="2">
        <v>84.57</v>
      </c>
      <c r="F60" s="2">
        <v>163968.03</v>
      </c>
      <c r="G60" s="2" t="str">
        <f t="shared" si="0"/>
        <v>25-04-2024 NEFT CR-UTIB0000004-AXIS MUTUAL FUND DIVIDEND A/C-SUNITA GUPTA-AXISCN0597839178</v>
      </c>
      <c r="H60" s="2" t="s">
        <v>1335</v>
      </c>
      <c r="I60" t="s">
        <v>346</v>
      </c>
      <c r="K60" t="s">
        <v>1322</v>
      </c>
    </row>
    <row r="61" spans="1:11" x14ac:dyDescent="0.3">
      <c r="A61" s="1">
        <v>45407</v>
      </c>
      <c r="B61" t="s">
        <v>82</v>
      </c>
      <c r="C61" t="s">
        <v>143</v>
      </c>
      <c r="D61" s="2">
        <v>83979.75</v>
      </c>
      <c r="E61" s="2">
        <v>0</v>
      </c>
      <c r="F61" s="2">
        <v>79988.28</v>
      </c>
      <c r="G61" s="2" t="str">
        <f t="shared" si="0"/>
        <v>25-04-2024 NET PI TO HSL SEC A/C 523686-00602340029434</v>
      </c>
      <c r="H61" s="2" t="s">
        <v>1335</v>
      </c>
      <c r="I61" t="s">
        <v>337</v>
      </c>
      <c r="K61" t="s">
        <v>1322</v>
      </c>
    </row>
    <row r="62" spans="1:11" x14ac:dyDescent="0.3">
      <c r="A62" s="1">
        <v>45408</v>
      </c>
      <c r="B62" t="s">
        <v>28</v>
      </c>
      <c r="C62" t="s">
        <v>23</v>
      </c>
      <c r="D62" s="2">
        <v>0</v>
      </c>
      <c r="E62" s="2">
        <v>4251.5</v>
      </c>
      <c r="F62" s="2">
        <v>12156.12</v>
      </c>
      <c r="G62" s="2" t="str">
        <f t="shared" si="0"/>
        <v>26-04-2024 NEFT/YESB41177892573/ZERODHA BROKING LTD-DSCNB A//YES BANK/YESB0000001</v>
      </c>
      <c r="H62" s="2" t="s">
        <v>1335</v>
      </c>
      <c r="I62" t="s">
        <v>46</v>
      </c>
      <c r="K62" t="s">
        <v>1323</v>
      </c>
    </row>
    <row r="63" spans="1:11" x14ac:dyDescent="0.3">
      <c r="A63" s="1">
        <v>45408</v>
      </c>
      <c r="B63" t="s">
        <v>84</v>
      </c>
      <c r="C63" t="s">
        <v>144</v>
      </c>
      <c r="D63" s="2">
        <v>0</v>
      </c>
      <c r="E63" s="2">
        <v>1478.14</v>
      </c>
      <c r="F63" s="2">
        <v>81466.42</v>
      </c>
      <c r="G63" s="2" t="str">
        <f t="shared" si="0"/>
        <v>26-04-2024 NET PO FROM HSL A/C 523686-50200085415108</v>
      </c>
      <c r="H63" s="2" t="s">
        <v>1335</v>
      </c>
      <c r="I63" t="s">
        <v>337</v>
      </c>
      <c r="K63" t="s">
        <v>1322</v>
      </c>
    </row>
    <row r="64" spans="1:11" x14ac:dyDescent="0.3">
      <c r="A64" s="1">
        <v>45408</v>
      </c>
      <c r="B64" t="s">
        <v>84</v>
      </c>
      <c r="C64" t="s">
        <v>145</v>
      </c>
      <c r="D64" s="2">
        <v>0</v>
      </c>
      <c r="E64" s="2">
        <v>19816.62</v>
      </c>
      <c r="F64" s="2">
        <v>101283.04</v>
      </c>
      <c r="G64" s="2" t="str">
        <f t="shared" si="0"/>
        <v>26-04-2024 NET PO FROM HSL A/C 523686-50200085415108</v>
      </c>
      <c r="H64" s="2" t="s">
        <v>1335</v>
      </c>
      <c r="I64" t="s">
        <v>337</v>
      </c>
      <c r="K64" t="s">
        <v>1322</v>
      </c>
    </row>
    <row r="65" spans="1:11" x14ac:dyDescent="0.3">
      <c r="A65" s="1">
        <v>45408</v>
      </c>
      <c r="B65" t="s">
        <v>82</v>
      </c>
      <c r="C65" t="s">
        <v>146</v>
      </c>
      <c r="D65" s="2">
        <v>308.18</v>
      </c>
      <c r="E65" s="2">
        <v>0</v>
      </c>
      <c r="F65" s="2">
        <v>100974.86</v>
      </c>
      <c r="G65" s="2" t="str">
        <f t="shared" si="0"/>
        <v>26-04-2024 NET PI TO HSL SEC A/C 523686-00602340029434</v>
      </c>
      <c r="H65" s="2" t="s">
        <v>1335</v>
      </c>
      <c r="I65" t="s">
        <v>337</v>
      </c>
      <c r="K65" t="s">
        <v>1322</v>
      </c>
    </row>
    <row r="66" spans="1:11" x14ac:dyDescent="0.3">
      <c r="A66" s="1">
        <v>45408</v>
      </c>
      <c r="B66" t="s">
        <v>82</v>
      </c>
      <c r="C66" t="s">
        <v>147</v>
      </c>
      <c r="D66" s="2">
        <v>41835.78</v>
      </c>
      <c r="E66" s="2">
        <v>0</v>
      </c>
      <c r="F66" s="2">
        <v>59139.08</v>
      </c>
      <c r="G66" s="2" t="str">
        <f t="shared" si="0"/>
        <v>26-04-2024 NET PI TO HSL SEC A/C 523686-00602340029434</v>
      </c>
      <c r="H66" s="2" t="s">
        <v>1335</v>
      </c>
      <c r="I66" t="s">
        <v>337</v>
      </c>
      <c r="K66" t="s">
        <v>1322</v>
      </c>
    </row>
    <row r="67" spans="1:11" x14ac:dyDescent="0.3">
      <c r="A67" s="1">
        <v>45411</v>
      </c>
      <c r="B67" t="s">
        <v>84</v>
      </c>
      <c r="C67" t="s">
        <v>148</v>
      </c>
      <c r="D67" s="2">
        <v>0</v>
      </c>
      <c r="E67" s="2">
        <v>1181.1400000000001</v>
      </c>
      <c r="F67" s="2">
        <v>60320.22</v>
      </c>
      <c r="G67" s="2" t="str">
        <f t="shared" si="0"/>
        <v>29-04-2024 NET PO FROM HSL A/C 523686-50200085415108</v>
      </c>
      <c r="H67" s="2" t="s">
        <v>1335</v>
      </c>
      <c r="I67" t="s">
        <v>337</v>
      </c>
      <c r="K67" t="s">
        <v>1322</v>
      </c>
    </row>
    <row r="68" spans="1:11" x14ac:dyDescent="0.3">
      <c r="A68" s="1">
        <v>45411</v>
      </c>
      <c r="B68" t="s">
        <v>82</v>
      </c>
      <c r="C68" t="s">
        <v>149</v>
      </c>
      <c r="D68" s="2">
        <v>854.79</v>
      </c>
      <c r="E68" s="2">
        <v>0</v>
      </c>
      <c r="F68" s="2">
        <v>59465.43</v>
      </c>
      <c r="G68" s="2" t="str">
        <f t="shared" si="0"/>
        <v>29-04-2024 NET PI TO HSL SEC A/C 523686-00602340029434</v>
      </c>
      <c r="H68" s="2" t="s">
        <v>1335</v>
      </c>
      <c r="I68" t="s">
        <v>337</v>
      </c>
      <c r="K68" t="s">
        <v>1322</v>
      </c>
    </row>
    <row r="69" spans="1:11" x14ac:dyDescent="0.3">
      <c r="A69" s="1">
        <v>45411</v>
      </c>
      <c r="B69" t="s">
        <v>82</v>
      </c>
      <c r="C69" t="s">
        <v>150</v>
      </c>
      <c r="D69" s="2">
        <v>55580.94</v>
      </c>
      <c r="E69" s="2">
        <v>0</v>
      </c>
      <c r="F69" s="2">
        <v>3884.49</v>
      </c>
      <c r="G69" s="2" t="str">
        <f t="shared" ref="G69:G132" si="1">TEXT(A69,"DD")&amp;"-"&amp;TEXT(A69,"MM")&amp;"-"&amp;TEXT(A69,"YYYY")&amp;" "&amp;B69</f>
        <v>29-04-2024 NET PI TO HSL SEC A/C 523686-00602340029434</v>
      </c>
      <c r="H69" s="2" t="s">
        <v>1335</v>
      </c>
      <c r="I69" t="s">
        <v>337</v>
      </c>
      <c r="K69" t="s">
        <v>1322</v>
      </c>
    </row>
    <row r="70" spans="1:11" x14ac:dyDescent="0.3">
      <c r="A70" s="1">
        <v>45412</v>
      </c>
      <c r="B70" t="s">
        <v>84</v>
      </c>
      <c r="C70" t="s">
        <v>151</v>
      </c>
      <c r="D70" s="2">
        <v>0</v>
      </c>
      <c r="E70" s="2">
        <v>2567.0300000000002</v>
      </c>
      <c r="F70" s="2">
        <v>6451.52</v>
      </c>
      <c r="G70" s="2" t="str">
        <f t="shared" si="1"/>
        <v>30-04-2024 NET PO FROM HSL A/C 523686-50200085415108</v>
      </c>
      <c r="H70" s="2" t="s">
        <v>1335</v>
      </c>
      <c r="I70" t="s">
        <v>337</v>
      </c>
      <c r="K70" t="s">
        <v>1322</v>
      </c>
    </row>
    <row r="71" spans="1:11" x14ac:dyDescent="0.3">
      <c r="A71" s="1">
        <v>45412</v>
      </c>
      <c r="B71" t="s">
        <v>84</v>
      </c>
      <c r="C71" t="s">
        <v>152</v>
      </c>
      <c r="D71" s="2">
        <v>0</v>
      </c>
      <c r="E71" s="2">
        <v>59028.57</v>
      </c>
      <c r="F71" s="2">
        <v>65480.09</v>
      </c>
      <c r="G71" s="2" t="str">
        <f t="shared" si="1"/>
        <v>30-04-2024 NET PO FROM HSL A/C 523686-50200085415108</v>
      </c>
      <c r="H71" s="2" t="s">
        <v>1335</v>
      </c>
      <c r="I71" t="s">
        <v>337</v>
      </c>
      <c r="K71" t="s">
        <v>1322</v>
      </c>
    </row>
    <row r="72" spans="1:11" x14ac:dyDescent="0.3">
      <c r="A72" s="1">
        <v>45412</v>
      </c>
      <c r="B72" t="s">
        <v>82</v>
      </c>
      <c r="C72" t="s">
        <v>153</v>
      </c>
      <c r="D72" s="2">
        <v>248.41</v>
      </c>
      <c r="E72" s="2">
        <v>0</v>
      </c>
      <c r="F72" s="2">
        <v>65231.68</v>
      </c>
      <c r="G72" s="2" t="str">
        <f t="shared" si="1"/>
        <v>30-04-2024 NET PI TO HSL SEC A/C 523686-00602340029434</v>
      </c>
      <c r="H72" s="2" t="s">
        <v>1335</v>
      </c>
      <c r="I72" t="s">
        <v>337</v>
      </c>
      <c r="K72" t="s">
        <v>1322</v>
      </c>
    </row>
    <row r="73" spans="1:11" x14ac:dyDescent="0.3">
      <c r="A73" s="1">
        <v>45412</v>
      </c>
      <c r="B73" t="s">
        <v>82</v>
      </c>
      <c r="C73" t="s">
        <v>154</v>
      </c>
      <c r="D73" s="2">
        <v>381.8</v>
      </c>
      <c r="E73" s="2">
        <v>0</v>
      </c>
      <c r="F73" s="2">
        <v>64849.88</v>
      </c>
      <c r="G73" s="2" t="str">
        <f t="shared" si="1"/>
        <v>30-04-2024 NET PI TO HSL SEC A/C 523686-00602340029434</v>
      </c>
      <c r="H73" s="2" t="s">
        <v>1335</v>
      </c>
      <c r="I73" t="s">
        <v>337</v>
      </c>
      <c r="K73" t="s">
        <v>1322</v>
      </c>
    </row>
    <row r="74" spans="1:11" x14ac:dyDescent="0.3">
      <c r="A74" s="1">
        <v>45414</v>
      </c>
      <c r="B74" t="s">
        <v>84</v>
      </c>
      <c r="C74" t="s">
        <v>155</v>
      </c>
      <c r="D74" s="2">
        <v>0</v>
      </c>
      <c r="E74" s="2">
        <v>13096.51</v>
      </c>
      <c r="F74" s="2">
        <v>77946.39</v>
      </c>
      <c r="G74" s="2" t="str">
        <f t="shared" si="1"/>
        <v>02-05-2024 NET PO FROM HSL A/C 523686-50200085415108</v>
      </c>
      <c r="H74" s="2" t="s">
        <v>1335</v>
      </c>
      <c r="I74" t="s">
        <v>337</v>
      </c>
      <c r="K74" t="s">
        <v>1322</v>
      </c>
    </row>
    <row r="75" spans="1:11" x14ac:dyDescent="0.3">
      <c r="A75" s="1">
        <v>45414</v>
      </c>
      <c r="B75" t="s">
        <v>84</v>
      </c>
      <c r="C75" t="s">
        <v>156</v>
      </c>
      <c r="D75" s="2">
        <v>0</v>
      </c>
      <c r="E75" s="2">
        <v>29905.83</v>
      </c>
      <c r="F75" s="2">
        <v>107852.22</v>
      </c>
      <c r="G75" s="2" t="str">
        <f t="shared" si="1"/>
        <v>02-05-2024 NET PO FROM HSL A/C 523686-50200085415108</v>
      </c>
      <c r="H75" s="2" t="s">
        <v>1335</v>
      </c>
      <c r="I75" t="s">
        <v>337</v>
      </c>
      <c r="K75" t="s">
        <v>1322</v>
      </c>
    </row>
    <row r="76" spans="1:11" x14ac:dyDescent="0.3">
      <c r="A76" s="1">
        <v>45414</v>
      </c>
      <c r="B76" t="s">
        <v>82</v>
      </c>
      <c r="C76" t="s">
        <v>157</v>
      </c>
      <c r="D76" s="2">
        <v>540.82000000000005</v>
      </c>
      <c r="E76" s="2">
        <v>0</v>
      </c>
      <c r="F76" s="2">
        <v>107311.4</v>
      </c>
      <c r="G76" s="2" t="str">
        <f t="shared" si="1"/>
        <v>02-05-2024 NET PI TO HSL SEC A/C 523686-00602340029434</v>
      </c>
      <c r="H76" s="2" t="s">
        <v>1335</v>
      </c>
      <c r="I76" t="s">
        <v>337</v>
      </c>
      <c r="K76" t="s">
        <v>1322</v>
      </c>
    </row>
    <row r="77" spans="1:11" x14ac:dyDescent="0.3">
      <c r="A77" s="1">
        <v>45415</v>
      </c>
      <c r="B77" t="s">
        <v>29</v>
      </c>
      <c r="C77" t="s">
        <v>23</v>
      </c>
      <c r="D77" s="2">
        <v>2000</v>
      </c>
      <c r="E77" s="2">
        <v>0</v>
      </c>
      <c r="F77" s="2">
        <v>10156.120000000001</v>
      </c>
      <c r="G77" s="2" t="str">
        <f t="shared" si="1"/>
        <v>03-05-2024 ATM-CASH-AXIS/BPRH265601/1296/030524/NASHIK</v>
      </c>
      <c r="H77" s="2" t="s">
        <v>1335</v>
      </c>
      <c r="I77" t="s">
        <v>50</v>
      </c>
      <c r="K77" t="s">
        <v>1323</v>
      </c>
    </row>
    <row r="78" spans="1:11" x14ac:dyDescent="0.3">
      <c r="A78" s="1">
        <v>45415</v>
      </c>
      <c r="B78" t="s">
        <v>84</v>
      </c>
      <c r="C78" t="s">
        <v>158</v>
      </c>
      <c r="D78" s="2">
        <v>0</v>
      </c>
      <c r="E78" s="2">
        <v>1350.04</v>
      </c>
      <c r="F78" s="2">
        <v>108661.44</v>
      </c>
      <c r="G78" s="2" t="str">
        <f t="shared" si="1"/>
        <v>03-05-2024 NET PO FROM HSL A/C 523686-50200085415108</v>
      </c>
      <c r="H78" s="2" t="s">
        <v>1335</v>
      </c>
      <c r="I78" t="s">
        <v>337</v>
      </c>
      <c r="K78" t="s">
        <v>1322</v>
      </c>
    </row>
    <row r="79" spans="1:11" x14ac:dyDescent="0.3">
      <c r="A79" s="1">
        <v>45415</v>
      </c>
      <c r="B79" t="s">
        <v>84</v>
      </c>
      <c r="C79" t="s">
        <v>159</v>
      </c>
      <c r="D79" s="2">
        <v>0</v>
      </c>
      <c r="E79" s="2">
        <v>31409.53</v>
      </c>
      <c r="F79" s="2">
        <v>140070.97</v>
      </c>
      <c r="G79" s="2" t="str">
        <f t="shared" si="1"/>
        <v>03-05-2024 NET PO FROM HSL A/C 523686-50200085415108</v>
      </c>
      <c r="H79" s="2" t="s">
        <v>1335</v>
      </c>
      <c r="I79" t="s">
        <v>337</v>
      </c>
      <c r="K79" t="s">
        <v>1322</v>
      </c>
    </row>
    <row r="80" spans="1:11" x14ac:dyDescent="0.3">
      <c r="A80" s="1">
        <v>45415</v>
      </c>
      <c r="B80" t="s">
        <v>160</v>
      </c>
      <c r="C80" t="s">
        <v>161</v>
      </c>
      <c r="D80" s="2">
        <v>295</v>
      </c>
      <c r="E80" s="2">
        <v>0</v>
      </c>
      <c r="F80" s="2">
        <v>139775.97</v>
      </c>
      <c r="G80" s="2" t="str">
        <f t="shared" si="1"/>
        <v>03-05-2024 ISAQMC-JAN-MAR24-323600 260424-MIR2512490180092</v>
      </c>
      <c r="H80" s="2" t="s">
        <v>1335</v>
      </c>
      <c r="I80" t="s">
        <v>47</v>
      </c>
      <c r="K80" t="s">
        <v>1322</v>
      </c>
    </row>
    <row r="81" spans="1:11" x14ac:dyDescent="0.3">
      <c r="A81" s="1">
        <v>45415</v>
      </c>
      <c r="B81" t="s">
        <v>82</v>
      </c>
      <c r="C81" t="s">
        <v>162</v>
      </c>
      <c r="D81" s="2">
        <v>210.54</v>
      </c>
      <c r="E81" s="2">
        <v>0</v>
      </c>
      <c r="F81" s="2">
        <v>139565.43</v>
      </c>
      <c r="G81" s="2" t="str">
        <f t="shared" si="1"/>
        <v>03-05-2024 NET PI TO HSL SEC A/C 523686-00602340029434</v>
      </c>
      <c r="H81" s="2" t="s">
        <v>1335</v>
      </c>
      <c r="I81" t="s">
        <v>337</v>
      </c>
      <c r="K81" t="s">
        <v>1322</v>
      </c>
    </row>
    <row r="82" spans="1:11" x14ac:dyDescent="0.3">
      <c r="A82" s="1">
        <v>45415</v>
      </c>
      <c r="B82" t="s">
        <v>82</v>
      </c>
      <c r="C82" t="s">
        <v>163</v>
      </c>
      <c r="D82" s="2">
        <v>10104.280000000001</v>
      </c>
      <c r="E82" s="2">
        <v>0</v>
      </c>
      <c r="F82" s="2">
        <v>129461.15</v>
      </c>
      <c r="G82" s="2" t="str">
        <f t="shared" si="1"/>
        <v>03-05-2024 NET PI TO HSL SEC A/C 523686-00602340029434</v>
      </c>
      <c r="H82" s="2" t="s">
        <v>1335</v>
      </c>
      <c r="I82" t="s">
        <v>337</v>
      </c>
      <c r="K82" t="s">
        <v>1322</v>
      </c>
    </row>
    <row r="83" spans="1:11" x14ac:dyDescent="0.3">
      <c r="A83" s="1">
        <v>45415</v>
      </c>
      <c r="B83" t="s">
        <v>82</v>
      </c>
      <c r="C83" t="s">
        <v>164</v>
      </c>
      <c r="D83" s="2">
        <v>56293.41</v>
      </c>
      <c r="E83" s="2">
        <v>0</v>
      </c>
      <c r="F83" s="2">
        <v>73167.740000000005</v>
      </c>
      <c r="G83" s="2" t="str">
        <f t="shared" si="1"/>
        <v>03-05-2024 NET PI TO HSL SEC A/C 523686-00602340029434</v>
      </c>
      <c r="H83" s="2" t="s">
        <v>1335</v>
      </c>
      <c r="I83" t="s">
        <v>337</v>
      </c>
      <c r="K83" t="s">
        <v>1322</v>
      </c>
    </row>
    <row r="84" spans="1:11" x14ac:dyDescent="0.3">
      <c r="A84" s="9">
        <v>45415</v>
      </c>
      <c r="B84" t="s">
        <v>1280</v>
      </c>
      <c r="D84" s="2">
        <v>2000</v>
      </c>
      <c r="E84" s="2">
        <v>0</v>
      </c>
      <c r="F84" s="2">
        <v>24120.7</v>
      </c>
      <c r="G84" s="2" t="str">
        <f t="shared" si="1"/>
        <v>03-05-2024    ATM WDL-ATM CASH 3233  SBI SHIVAJI NAGAR ATM NASHIK--</v>
      </c>
      <c r="H84" s="2" t="s">
        <v>1335</v>
      </c>
      <c r="I84" t="s">
        <v>50</v>
      </c>
      <c r="K84" t="s">
        <v>1324</v>
      </c>
    </row>
    <row r="85" spans="1:11" x14ac:dyDescent="0.3">
      <c r="A85" s="1">
        <v>45418</v>
      </c>
      <c r="B85" t="s">
        <v>84</v>
      </c>
      <c r="C85" t="s">
        <v>165</v>
      </c>
      <c r="D85" s="2">
        <v>0</v>
      </c>
      <c r="E85" s="2">
        <v>4235.46</v>
      </c>
      <c r="F85" s="2">
        <v>77403.199999999997</v>
      </c>
      <c r="G85" s="2" t="str">
        <f t="shared" si="1"/>
        <v>06-05-2024 NET PO FROM HSL A/C 523686-50200085415108</v>
      </c>
      <c r="H85" s="2" t="s">
        <v>1335</v>
      </c>
      <c r="I85" t="s">
        <v>337</v>
      </c>
      <c r="K85" t="s">
        <v>1322</v>
      </c>
    </row>
    <row r="86" spans="1:11" x14ac:dyDescent="0.3">
      <c r="A86" s="1">
        <v>45418</v>
      </c>
      <c r="B86" t="s">
        <v>82</v>
      </c>
      <c r="C86" t="s">
        <v>166</v>
      </c>
      <c r="D86" s="2">
        <v>572.91</v>
      </c>
      <c r="E86" s="2">
        <v>0</v>
      </c>
      <c r="F86" s="2">
        <v>76830.289999999994</v>
      </c>
      <c r="G86" s="2" t="str">
        <f t="shared" si="1"/>
        <v>06-05-2024 NET PI TO HSL SEC A/C 523686-00602340029434</v>
      </c>
      <c r="H86" s="2" t="s">
        <v>1335</v>
      </c>
      <c r="I86" t="s">
        <v>337</v>
      </c>
      <c r="K86" t="s">
        <v>1322</v>
      </c>
    </row>
    <row r="87" spans="1:11" x14ac:dyDescent="0.3">
      <c r="A87" s="1">
        <v>45419</v>
      </c>
      <c r="B87" t="s">
        <v>84</v>
      </c>
      <c r="C87" t="s">
        <v>167</v>
      </c>
      <c r="D87" s="2">
        <v>0</v>
      </c>
      <c r="E87" s="2">
        <v>28704.57</v>
      </c>
      <c r="F87" s="2">
        <v>105534.86</v>
      </c>
      <c r="G87" s="2" t="str">
        <f t="shared" si="1"/>
        <v>07-05-2024 NET PO FROM HSL A/C 523686-50200085415108</v>
      </c>
      <c r="H87" s="2" t="s">
        <v>1335</v>
      </c>
      <c r="I87" t="s">
        <v>337</v>
      </c>
      <c r="K87" t="s">
        <v>1322</v>
      </c>
    </row>
    <row r="88" spans="1:11" x14ac:dyDescent="0.3">
      <c r="A88" s="1">
        <v>45419</v>
      </c>
      <c r="B88" t="s">
        <v>82</v>
      </c>
      <c r="C88" t="s">
        <v>168</v>
      </c>
      <c r="D88" s="2">
        <v>244.98</v>
      </c>
      <c r="E88" s="2">
        <v>0</v>
      </c>
      <c r="F88" s="2">
        <v>105289.88</v>
      </c>
      <c r="G88" s="2" t="str">
        <f t="shared" si="1"/>
        <v>07-05-2024 NET PI TO HSL SEC A/C 523686-00602340029434</v>
      </c>
      <c r="H88" s="2" t="s">
        <v>1335</v>
      </c>
      <c r="I88" t="s">
        <v>337</v>
      </c>
      <c r="K88" t="s">
        <v>1322</v>
      </c>
    </row>
    <row r="89" spans="1:11" x14ac:dyDescent="0.3">
      <c r="A89" s="1">
        <v>45419</v>
      </c>
      <c r="B89" t="s">
        <v>82</v>
      </c>
      <c r="C89" t="s">
        <v>169</v>
      </c>
      <c r="D89" s="2">
        <v>25590.3</v>
      </c>
      <c r="E89" s="2">
        <v>0</v>
      </c>
      <c r="F89" s="2">
        <v>79699.58</v>
      </c>
      <c r="G89" s="2" t="str">
        <f t="shared" si="1"/>
        <v>07-05-2024 NET PI TO HSL SEC A/C 523686-00602340029434</v>
      </c>
      <c r="H89" s="2" t="s">
        <v>1335</v>
      </c>
      <c r="I89" t="s">
        <v>337</v>
      </c>
      <c r="K89" t="s">
        <v>1322</v>
      </c>
    </row>
    <row r="90" spans="1:11" x14ac:dyDescent="0.3">
      <c r="A90" s="1">
        <v>45419</v>
      </c>
      <c r="B90" t="s">
        <v>82</v>
      </c>
      <c r="C90" t="s">
        <v>170</v>
      </c>
      <c r="D90" s="2">
        <v>414.01</v>
      </c>
      <c r="E90" s="2">
        <v>0</v>
      </c>
      <c r="F90" s="2">
        <v>79285.570000000007</v>
      </c>
      <c r="G90" s="2" t="str">
        <f t="shared" si="1"/>
        <v>07-05-2024 NET PI TO HSL SEC A/C 523686-00602340029434</v>
      </c>
      <c r="H90" s="2" t="s">
        <v>1335</v>
      </c>
      <c r="I90" t="s">
        <v>337</v>
      </c>
      <c r="K90" t="s">
        <v>1322</v>
      </c>
    </row>
    <row r="91" spans="1:11" x14ac:dyDescent="0.3">
      <c r="A91" s="1">
        <v>45420</v>
      </c>
      <c r="B91" t="s">
        <v>30</v>
      </c>
      <c r="C91" t="s">
        <v>23</v>
      </c>
      <c r="D91" s="2">
        <v>0</v>
      </c>
      <c r="E91" s="2">
        <v>50000</v>
      </c>
      <c r="F91" s="2">
        <v>60156.12</v>
      </c>
      <c r="G91" s="2" t="str">
        <f t="shared" si="1"/>
        <v>08-05-2024 NEFT/N129243028299413/SUNITA GUPTA/HDFC BANK/Transfer from HDFC</v>
      </c>
      <c r="H91" s="2" t="s">
        <v>1335</v>
      </c>
      <c r="I91" t="s">
        <v>51</v>
      </c>
      <c r="K91" t="s">
        <v>1323</v>
      </c>
    </row>
    <row r="92" spans="1:11" x14ac:dyDescent="0.3">
      <c r="A92" s="1">
        <v>45420</v>
      </c>
      <c r="B92" t="s">
        <v>31</v>
      </c>
      <c r="C92" t="s">
        <v>23</v>
      </c>
      <c r="D92" s="2">
        <v>50000</v>
      </c>
      <c r="E92" s="2">
        <v>0</v>
      </c>
      <c r="F92" s="2">
        <v>10156.120000000001</v>
      </c>
      <c r="G92" s="2" t="str">
        <f t="shared" si="1"/>
        <v>08-05-2024 UPI/P2M/412955259759/Zerodha Broking Ltd  /001847/HDFC BANK LTD</v>
      </c>
      <c r="H92" s="2" t="s">
        <v>1335</v>
      </c>
      <c r="I92" t="s">
        <v>46</v>
      </c>
      <c r="K92" t="s">
        <v>1323</v>
      </c>
    </row>
    <row r="93" spans="1:11" x14ac:dyDescent="0.3">
      <c r="A93" s="1">
        <v>45420</v>
      </c>
      <c r="B93" t="s">
        <v>84</v>
      </c>
      <c r="C93" t="s">
        <v>171</v>
      </c>
      <c r="D93" s="2">
        <v>0</v>
      </c>
      <c r="E93" s="2">
        <v>100255.34</v>
      </c>
      <c r="F93" s="2">
        <v>179540.91</v>
      </c>
      <c r="G93" s="2" t="str">
        <f t="shared" si="1"/>
        <v>08-05-2024 NET PO FROM HSL A/C 523686-50200085415108</v>
      </c>
      <c r="H93" s="2" t="s">
        <v>1335</v>
      </c>
      <c r="I93" t="s">
        <v>337</v>
      </c>
      <c r="K93" t="s">
        <v>1322</v>
      </c>
    </row>
    <row r="94" spans="1:11" x14ac:dyDescent="0.3">
      <c r="A94" s="1">
        <v>45420</v>
      </c>
      <c r="B94" t="s">
        <v>82</v>
      </c>
      <c r="C94" t="s">
        <v>172</v>
      </c>
      <c r="D94" s="2">
        <v>217.06</v>
      </c>
      <c r="E94" s="2">
        <v>0</v>
      </c>
      <c r="F94" s="2">
        <v>179323.85</v>
      </c>
      <c r="G94" s="2" t="str">
        <f t="shared" si="1"/>
        <v>08-05-2024 NET PI TO HSL SEC A/C 523686-00602340029434</v>
      </c>
      <c r="H94" s="2" t="s">
        <v>1335</v>
      </c>
      <c r="I94" t="s">
        <v>337</v>
      </c>
      <c r="K94" t="s">
        <v>1322</v>
      </c>
    </row>
    <row r="95" spans="1:11" x14ac:dyDescent="0.3">
      <c r="A95" s="1">
        <v>45420</v>
      </c>
      <c r="B95" t="s">
        <v>173</v>
      </c>
      <c r="C95" t="s">
        <v>174</v>
      </c>
      <c r="D95" s="2">
        <v>50000</v>
      </c>
      <c r="E95" s="2">
        <v>0</v>
      </c>
      <c r="F95" s="2">
        <v>129323.85</v>
      </c>
      <c r="G95" s="2" t="str">
        <f t="shared" si="1"/>
        <v>08-05-2024 NEFT DR-UTIB0002656-SUNITA GUPTA-NETBANK, MUM-N129243028299413-TRANSFER FROM HDFC</v>
      </c>
      <c r="H95" s="2" t="s">
        <v>1335</v>
      </c>
      <c r="I95" t="s">
        <v>51</v>
      </c>
      <c r="K95" t="s">
        <v>1322</v>
      </c>
    </row>
    <row r="96" spans="1:11" x14ac:dyDescent="0.3">
      <c r="A96" s="1">
        <v>45421</v>
      </c>
      <c r="B96" t="s">
        <v>84</v>
      </c>
      <c r="C96" t="s">
        <v>175</v>
      </c>
      <c r="D96" s="2">
        <v>0</v>
      </c>
      <c r="E96" s="2">
        <v>4156.8100000000004</v>
      </c>
      <c r="F96" s="2">
        <v>133480.66</v>
      </c>
      <c r="G96" s="2" t="str">
        <f t="shared" si="1"/>
        <v>09-05-2024 NET PO FROM HSL A/C 523686-50200085415108</v>
      </c>
      <c r="H96" s="2" t="s">
        <v>1335</v>
      </c>
      <c r="I96" t="s">
        <v>337</v>
      </c>
      <c r="K96" t="s">
        <v>1322</v>
      </c>
    </row>
    <row r="97" spans="1:13" x14ac:dyDescent="0.3">
      <c r="A97" s="1">
        <v>45421</v>
      </c>
      <c r="B97" t="s">
        <v>176</v>
      </c>
      <c r="C97" t="s">
        <v>177</v>
      </c>
      <c r="D97" s="2">
        <v>0</v>
      </c>
      <c r="E97" s="2">
        <v>29757</v>
      </c>
      <c r="F97" s="2">
        <v>163237.66</v>
      </c>
      <c r="G97" s="2" t="str">
        <f t="shared" si="1"/>
        <v>09-05-2024 NEFT CR-SBIN0004266-SBI GENERAL INSURANCE CO LTDSBI GEN-SUNITA GUPTA 0000000002717756-SBIN224130649205</v>
      </c>
      <c r="H97" s="2" t="s">
        <v>1335</v>
      </c>
      <c r="I97" t="s">
        <v>345</v>
      </c>
      <c r="J97" t="s">
        <v>1327</v>
      </c>
      <c r="K97" t="s">
        <v>1322</v>
      </c>
      <c r="L97" s="11">
        <f>ROUND(E97/0.9,0)</f>
        <v>33063</v>
      </c>
      <c r="M97" s="11">
        <f>L97-E97</f>
        <v>3306</v>
      </c>
    </row>
    <row r="98" spans="1:13" x14ac:dyDescent="0.3">
      <c r="A98" s="1">
        <v>45421</v>
      </c>
      <c r="B98" t="s">
        <v>82</v>
      </c>
      <c r="C98" t="s">
        <v>178</v>
      </c>
      <c r="D98" s="2">
        <v>240.29</v>
      </c>
      <c r="E98" s="2">
        <v>0</v>
      </c>
      <c r="F98" s="2">
        <v>162997.37</v>
      </c>
      <c r="G98" s="2" t="str">
        <f t="shared" si="1"/>
        <v>09-05-2024 NET PI TO HSL SEC A/C 523686-00602340029434</v>
      </c>
      <c r="H98" s="2" t="s">
        <v>1335</v>
      </c>
      <c r="I98" t="s">
        <v>337</v>
      </c>
      <c r="K98" t="s">
        <v>1322</v>
      </c>
    </row>
    <row r="99" spans="1:13" x14ac:dyDescent="0.3">
      <c r="A99" s="1">
        <v>45421</v>
      </c>
      <c r="B99" t="s">
        <v>179</v>
      </c>
      <c r="C99" t="s">
        <v>98</v>
      </c>
      <c r="D99" s="2">
        <v>4177.2</v>
      </c>
      <c r="E99" s="2">
        <v>0</v>
      </c>
      <c r="F99" s="2">
        <v>158820.17000000001</v>
      </c>
      <c r="G99" s="2" t="str">
        <f t="shared" si="1"/>
        <v>09-05-2024 DEPOSITORY CHARGES APR24 - 41060499</v>
      </c>
      <c r="H99" s="2" t="s">
        <v>1335</v>
      </c>
      <c r="I99" t="s">
        <v>343</v>
      </c>
      <c r="K99" t="s">
        <v>1322</v>
      </c>
    </row>
    <row r="100" spans="1:13" x14ac:dyDescent="0.3">
      <c r="A100" s="1">
        <v>45421</v>
      </c>
      <c r="B100" t="s">
        <v>180</v>
      </c>
      <c r="C100" t="s">
        <v>181</v>
      </c>
      <c r="D100" s="2">
        <v>25000</v>
      </c>
      <c r="E100" s="2">
        <v>0</v>
      </c>
      <c r="F100" s="2">
        <v>133820.17000000001</v>
      </c>
      <c r="G100" s="2" t="str">
        <f t="shared" si="1"/>
        <v>09-05-2024 50100542230922-TPT-TRANSFER FROM MUMMY TO ARCHIT-ARCHIT GUPTA</v>
      </c>
      <c r="H100" s="2" t="s">
        <v>1335</v>
      </c>
      <c r="I100" t="s">
        <v>339</v>
      </c>
      <c r="K100" t="s">
        <v>1322</v>
      </c>
    </row>
    <row r="101" spans="1:13" x14ac:dyDescent="0.3">
      <c r="A101" s="1">
        <v>45421</v>
      </c>
      <c r="B101" t="s">
        <v>182</v>
      </c>
      <c r="C101" t="s">
        <v>183</v>
      </c>
      <c r="D101" s="2">
        <v>25000</v>
      </c>
      <c r="E101" s="2">
        <v>0</v>
      </c>
      <c r="F101" s="2">
        <v>108820.17</v>
      </c>
      <c r="G101" s="2" t="str">
        <f t="shared" si="1"/>
        <v>09-05-2024 01671000085930-TPT-MNY RETURNED FROM SUNITA TO AKG-AJAY KUMAR GUPTA</v>
      </c>
      <c r="H101" s="2" t="s">
        <v>1335</v>
      </c>
      <c r="I101" t="s">
        <v>52</v>
      </c>
      <c r="K101" t="s">
        <v>1322</v>
      </c>
    </row>
    <row r="102" spans="1:13" x14ac:dyDescent="0.3">
      <c r="A102" s="1">
        <v>45421</v>
      </c>
      <c r="B102" t="s">
        <v>82</v>
      </c>
      <c r="C102" t="s">
        <v>184</v>
      </c>
      <c r="D102" s="2">
        <v>31074.79</v>
      </c>
      <c r="E102" s="2">
        <v>0</v>
      </c>
      <c r="F102" s="2">
        <v>77745.38</v>
      </c>
      <c r="G102" s="2" t="str">
        <f t="shared" si="1"/>
        <v>09-05-2024 NET PI TO HSL SEC A/C 523686-00602340029434</v>
      </c>
      <c r="H102" s="2" t="s">
        <v>1335</v>
      </c>
      <c r="I102" t="s">
        <v>337</v>
      </c>
      <c r="K102" t="s">
        <v>1322</v>
      </c>
    </row>
    <row r="103" spans="1:13" x14ac:dyDescent="0.3">
      <c r="A103" s="1">
        <v>45422</v>
      </c>
      <c r="B103" t="s">
        <v>32</v>
      </c>
      <c r="C103" t="s">
        <v>23</v>
      </c>
      <c r="D103" s="2">
        <v>1320</v>
      </c>
      <c r="E103" s="2">
        <v>0</v>
      </c>
      <c r="F103" s="2">
        <v>8836.1200000000008</v>
      </c>
      <c r="G103" s="2" t="str">
        <f t="shared" si="1"/>
        <v>10-05-2024 UPI/P2M/413124576623/PREMJI TRADERS       /UPI/Yes Bank Ltd</v>
      </c>
      <c r="H103" s="2" t="s">
        <v>1335</v>
      </c>
      <c r="I103" t="s">
        <v>48</v>
      </c>
      <c r="K103" t="s">
        <v>1323</v>
      </c>
    </row>
    <row r="104" spans="1:13" x14ac:dyDescent="0.3">
      <c r="A104" s="1">
        <v>45422</v>
      </c>
      <c r="B104" t="s">
        <v>84</v>
      </c>
      <c r="C104" t="s">
        <v>185</v>
      </c>
      <c r="D104" s="2">
        <v>0</v>
      </c>
      <c r="E104" s="2">
        <v>349.85</v>
      </c>
      <c r="F104" s="2">
        <v>78095.23</v>
      </c>
      <c r="G104" s="2" t="str">
        <f t="shared" si="1"/>
        <v>10-05-2024 NET PO FROM HSL A/C 523686-50200085415108</v>
      </c>
      <c r="H104" s="2" t="s">
        <v>1335</v>
      </c>
      <c r="I104" t="s">
        <v>337</v>
      </c>
      <c r="K104" t="s">
        <v>1322</v>
      </c>
    </row>
    <row r="105" spans="1:13" x14ac:dyDescent="0.3">
      <c r="A105" s="1">
        <v>45422</v>
      </c>
      <c r="B105" t="s">
        <v>84</v>
      </c>
      <c r="C105" t="s">
        <v>186</v>
      </c>
      <c r="D105" s="2">
        <v>0</v>
      </c>
      <c r="E105" s="2">
        <v>61550.5</v>
      </c>
      <c r="F105" s="2">
        <v>139645.73000000001</v>
      </c>
      <c r="G105" s="2" t="str">
        <f t="shared" si="1"/>
        <v>10-05-2024 NET PO FROM HSL A/C 523686-50200085415108</v>
      </c>
      <c r="H105" s="2" t="s">
        <v>1335</v>
      </c>
      <c r="I105" t="s">
        <v>337</v>
      </c>
      <c r="K105" t="s">
        <v>1322</v>
      </c>
    </row>
    <row r="106" spans="1:13" x14ac:dyDescent="0.3">
      <c r="A106" s="1">
        <v>45422</v>
      </c>
      <c r="B106" t="s">
        <v>187</v>
      </c>
      <c r="C106" t="s">
        <v>188</v>
      </c>
      <c r="D106" s="2">
        <v>0</v>
      </c>
      <c r="E106" s="2">
        <v>18664</v>
      </c>
      <c r="F106" s="2">
        <v>158309.73000000001</v>
      </c>
      <c r="G106" s="2" t="str">
        <f t="shared" si="1"/>
        <v>10-05-2024 NEFT CR-SBIN0004266-SBI GENERAL INSURANCE CO LTDSBI GEN-SUNITA GUPTA 0000000002717756-SBIN324131864994</v>
      </c>
      <c r="H106" s="2" t="s">
        <v>1335</v>
      </c>
      <c r="I106" t="s">
        <v>1326</v>
      </c>
      <c r="K106" t="s">
        <v>1322</v>
      </c>
    </row>
    <row r="107" spans="1:13" x14ac:dyDescent="0.3">
      <c r="A107" s="1">
        <v>45422</v>
      </c>
      <c r="B107" t="s">
        <v>82</v>
      </c>
      <c r="C107" t="s">
        <v>189</v>
      </c>
      <c r="D107" s="2">
        <v>230.71</v>
      </c>
      <c r="E107" s="2">
        <v>0</v>
      </c>
      <c r="F107" s="2">
        <v>158079.01999999999</v>
      </c>
      <c r="G107" s="2" t="str">
        <f t="shared" si="1"/>
        <v>10-05-2024 NET PI TO HSL SEC A/C 523686-00602340029434</v>
      </c>
      <c r="H107" s="2" t="s">
        <v>1335</v>
      </c>
      <c r="I107" t="s">
        <v>337</v>
      </c>
      <c r="K107" t="s">
        <v>1322</v>
      </c>
    </row>
    <row r="108" spans="1:13" x14ac:dyDescent="0.3">
      <c r="A108" s="1">
        <v>45422</v>
      </c>
      <c r="B108" t="s">
        <v>82</v>
      </c>
      <c r="C108" t="s">
        <v>190</v>
      </c>
      <c r="D108" s="2">
        <v>6380.74</v>
      </c>
      <c r="E108" s="2">
        <v>0</v>
      </c>
      <c r="F108" s="2">
        <v>151698.28</v>
      </c>
      <c r="G108" s="2" t="str">
        <f t="shared" si="1"/>
        <v>10-05-2024 NET PI TO HSL SEC A/C 523686-00602340029434</v>
      </c>
      <c r="H108" s="2" t="s">
        <v>1335</v>
      </c>
      <c r="I108" t="s">
        <v>337</v>
      </c>
      <c r="K108" t="s">
        <v>1322</v>
      </c>
    </row>
    <row r="109" spans="1:13" x14ac:dyDescent="0.3">
      <c r="A109" s="1">
        <v>45422</v>
      </c>
      <c r="B109" t="s">
        <v>82</v>
      </c>
      <c r="C109" t="s">
        <v>191</v>
      </c>
      <c r="D109" s="2">
        <v>12572.1</v>
      </c>
      <c r="E109" s="2">
        <v>0</v>
      </c>
      <c r="F109" s="2">
        <v>139126.18</v>
      </c>
      <c r="G109" s="2" t="str">
        <f t="shared" si="1"/>
        <v>10-05-2024 NET PI TO HSL SEC A/C 523686-00602340029434</v>
      </c>
      <c r="H109" s="2" t="s">
        <v>1335</v>
      </c>
      <c r="I109" t="s">
        <v>337</v>
      </c>
      <c r="K109" t="s">
        <v>1322</v>
      </c>
    </row>
    <row r="110" spans="1:13" x14ac:dyDescent="0.3">
      <c r="A110" s="1">
        <v>45425</v>
      </c>
      <c r="B110" t="s">
        <v>82</v>
      </c>
      <c r="C110" t="s">
        <v>192</v>
      </c>
      <c r="D110" s="2">
        <v>759.6</v>
      </c>
      <c r="E110" s="2">
        <v>0</v>
      </c>
      <c r="F110" s="2">
        <v>138366.57999999999</v>
      </c>
      <c r="G110" s="2" t="str">
        <f t="shared" si="1"/>
        <v>13-05-2024 NET PI TO HSL SEC A/C 523686-00602340029434</v>
      </c>
      <c r="H110" s="2" t="s">
        <v>1335</v>
      </c>
      <c r="I110" t="s">
        <v>337</v>
      </c>
      <c r="K110" t="s">
        <v>1322</v>
      </c>
    </row>
    <row r="111" spans="1:13" x14ac:dyDescent="0.3">
      <c r="A111" s="1">
        <v>45425</v>
      </c>
      <c r="B111" t="s">
        <v>82</v>
      </c>
      <c r="C111" t="s">
        <v>193</v>
      </c>
      <c r="D111" s="2">
        <v>920.99</v>
      </c>
      <c r="E111" s="2">
        <v>0</v>
      </c>
      <c r="F111" s="2">
        <v>137445.59</v>
      </c>
      <c r="G111" s="2" t="str">
        <f t="shared" si="1"/>
        <v>13-05-2024 NET PI TO HSL SEC A/C 523686-00602340029434</v>
      </c>
      <c r="H111" s="2" t="s">
        <v>1335</v>
      </c>
      <c r="I111" t="s">
        <v>337</v>
      </c>
      <c r="K111" t="s">
        <v>1322</v>
      </c>
    </row>
    <row r="112" spans="1:13" x14ac:dyDescent="0.3">
      <c r="A112" s="1">
        <v>45426</v>
      </c>
      <c r="B112" t="s">
        <v>84</v>
      </c>
      <c r="C112" t="s">
        <v>194</v>
      </c>
      <c r="D112" s="2">
        <v>0</v>
      </c>
      <c r="E112" s="2">
        <v>2084.4</v>
      </c>
      <c r="F112" s="2">
        <v>139529.99</v>
      </c>
      <c r="G112" s="2" t="str">
        <f t="shared" si="1"/>
        <v>14-05-2024 NET PO FROM HSL A/C 523686-50200085415108</v>
      </c>
      <c r="H112" s="2" t="s">
        <v>1335</v>
      </c>
      <c r="I112" t="s">
        <v>337</v>
      </c>
      <c r="K112" t="s">
        <v>1322</v>
      </c>
    </row>
    <row r="113" spans="1:13" x14ac:dyDescent="0.3">
      <c r="A113" s="1">
        <v>45426</v>
      </c>
      <c r="B113" t="s">
        <v>82</v>
      </c>
      <c r="C113" t="s">
        <v>195</v>
      </c>
      <c r="D113" s="2">
        <v>272.35000000000002</v>
      </c>
      <c r="E113" s="2">
        <v>0</v>
      </c>
      <c r="F113" s="2">
        <v>139257.64000000001</v>
      </c>
      <c r="G113" s="2" t="str">
        <f t="shared" si="1"/>
        <v>14-05-2024 NET PI TO HSL SEC A/C 523686-00602340029434</v>
      </c>
      <c r="H113" s="2" t="s">
        <v>1335</v>
      </c>
      <c r="I113" t="s">
        <v>337</v>
      </c>
      <c r="K113" t="s">
        <v>1322</v>
      </c>
    </row>
    <row r="114" spans="1:13" x14ac:dyDescent="0.3">
      <c r="A114" s="1">
        <v>45427</v>
      </c>
      <c r="B114" t="s">
        <v>33</v>
      </c>
      <c r="C114" t="s">
        <v>23</v>
      </c>
      <c r="D114" s="2">
        <v>0</v>
      </c>
      <c r="E114" s="2">
        <v>100000</v>
      </c>
      <c r="F114" s="2">
        <v>108836.12</v>
      </c>
      <c r="G114" s="2" t="str">
        <f t="shared" si="1"/>
        <v>15-05-2024 NEFT/N136243040620640/SUNITA GUPTA/HDFC BANK/frm HDFC to Axis</v>
      </c>
      <c r="H114" s="2" t="s">
        <v>1335</v>
      </c>
      <c r="I114" t="s">
        <v>51</v>
      </c>
      <c r="K114" t="s">
        <v>1323</v>
      </c>
    </row>
    <row r="115" spans="1:13" x14ac:dyDescent="0.3">
      <c r="A115" s="1">
        <v>45427</v>
      </c>
      <c r="B115" t="s">
        <v>34</v>
      </c>
      <c r="C115" t="s">
        <v>23</v>
      </c>
      <c r="D115" s="2">
        <v>40000</v>
      </c>
      <c r="E115" s="2">
        <v>0</v>
      </c>
      <c r="F115" s="2">
        <v>68836.12</v>
      </c>
      <c r="G115" s="2" t="str">
        <f t="shared" si="1"/>
        <v>15-05-2024 INB/IFT/Ajay Kumar Gupta/TPARTY TRANSFER</v>
      </c>
      <c r="H115" s="2" t="s">
        <v>1335</v>
      </c>
      <c r="I115" t="s">
        <v>52</v>
      </c>
      <c r="K115" t="s">
        <v>1323</v>
      </c>
    </row>
    <row r="116" spans="1:13" x14ac:dyDescent="0.3">
      <c r="A116" s="1">
        <v>45427</v>
      </c>
      <c r="B116" t="s">
        <v>84</v>
      </c>
      <c r="C116" t="s">
        <v>196</v>
      </c>
      <c r="D116" s="2">
        <v>0</v>
      </c>
      <c r="E116" s="2">
        <v>10981.68</v>
      </c>
      <c r="F116" s="2">
        <v>150239.32</v>
      </c>
      <c r="G116" s="2" t="str">
        <f t="shared" si="1"/>
        <v>15-05-2024 NET PO FROM HSL A/C 523686-50200085415108</v>
      </c>
      <c r="H116" s="2" t="s">
        <v>1335</v>
      </c>
      <c r="I116" t="s">
        <v>337</v>
      </c>
      <c r="K116" t="s">
        <v>1322</v>
      </c>
    </row>
    <row r="117" spans="1:13" x14ac:dyDescent="0.3">
      <c r="A117" s="1">
        <v>45427</v>
      </c>
      <c r="B117" t="s">
        <v>84</v>
      </c>
      <c r="C117" t="s">
        <v>197</v>
      </c>
      <c r="D117" s="2">
        <v>0</v>
      </c>
      <c r="E117" s="2">
        <v>134185.19</v>
      </c>
      <c r="F117" s="2">
        <v>284424.51</v>
      </c>
      <c r="G117" s="2" t="str">
        <f t="shared" si="1"/>
        <v>15-05-2024 NET PO FROM HSL A/C 523686-50200085415108</v>
      </c>
      <c r="H117" s="2" t="s">
        <v>1335</v>
      </c>
      <c r="I117" t="s">
        <v>337</v>
      </c>
      <c r="K117" t="s">
        <v>1322</v>
      </c>
    </row>
    <row r="118" spans="1:13" x14ac:dyDescent="0.3">
      <c r="A118" s="1">
        <v>45427</v>
      </c>
      <c r="B118" t="s">
        <v>114</v>
      </c>
      <c r="C118" t="s">
        <v>198</v>
      </c>
      <c r="D118" s="2">
        <v>5000</v>
      </c>
      <c r="E118" s="2">
        <v>0</v>
      </c>
      <c r="F118" s="2">
        <v>279424.51</v>
      </c>
      <c r="G118" s="2" t="str">
        <f t="shared" si="1"/>
        <v>15-05-2024 ACH D- INDIAN CLEARING CORP-P25847643X05</v>
      </c>
      <c r="H118" s="2" t="s">
        <v>1335</v>
      </c>
      <c r="I118" t="s">
        <v>341</v>
      </c>
      <c r="K118" t="s">
        <v>1322</v>
      </c>
    </row>
    <row r="119" spans="1:13" x14ac:dyDescent="0.3">
      <c r="A119" s="1">
        <v>45427</v>
      </c>
      <c r="B119" t="s">
        <v>82</v>
      </c>
      <c r="C119" t="s">
        <v>199</v>
      </c>
      <c r="D119" s="2">
        <v>272.35000000000002</v>
      </c>
      <c r="E119" s="2">
        <v>0</v>
      </c>
      <c r="F119" s="2">
        <v>279152.15999999997</v>
      </c>
      <c r="G119" s="2" t="str">
        <f t="shared" si="1"/>
        <v>15-05-2024 NET PI TO HSL SEC A/C 523686-00602340029434</v>
      </c>
      <c r="H119" s="2" t="s">
        <v>1335</v>
      </c>
      <c r="I119" t="s">
        <v>337</v>
      </c>
      <c r="K119" t="s">
        <v>1322</v>
      </c>
    </row>
    <row r="120" spans="1:13" x14ac:dyDescent="0.3">
      <c r="A120" s="1">
        <v>45427</v>
      </c>
      <c r="B120" t="s">
        <v>200</v>
      </c>
      <c r="C120" t="s">
        <v>201</v>
      </c>
      <c r="D120" s="2">
        <v>100000</v>
      </c>
      <c r="E120" s="2">
        <v>0</v>
      </c>
      <c r="F120" s="2">
        <v>179152.16</v>
      </c>
      <c r="G120" s="2" t="str">
        <f t="shared" si="1"/>
        <v>15-05-2024 NEFT DR-UTIB0002656-SUNITA GUPTA-NETBANK, MUM-N136243040620640-FRM HDFC TO AXIS</v>
      </c>
      <c r="H120" s="2" t="s">
        <v>1335</v>
      </c>
      <c r="I120" t="s">
        <v>51</v>
      </c>
      <c r="K120" t="s">
        <v>1322</v>
      </c>
    </row>
    <row r="121" spans="1:13" x14ac:dyDescent="0.3">
      <c r="A121" s="1">
        <v>45428</v>
      </c>
      <c r="B121" t="s">
        <v>84</v>
      </c>
      <c r="C121" t="s">
        <v>202</v>
      </c>
      <c r="D121" s="2">
        <v>0</v>
      </c>
      <c r="E121" s="2">
        <v>6827.3</v>
      </c>
      <c r="F121" s="2">
        <v>185979.46</v>
      </c>
      <c r="G121" s="2" t="str">
        <f t="shared" si="1"/>
        <v>16-05-2024 NET PO FROM HSL A/C 523686-50200085415108</v>
      </c>
      <c r="H121" s="2" t="s">
        <v>1335</v>
      </c>
      <c r="I121" t="s">
        <v>337</v>
      </c>
      <c r="K121" t="s">
        <v>1322</v>
      </c>
    </row>
    <row r="122" spans="1:13" x14ac:dyDescent="0.3">
      <c r="A122" s="1">
        <v>45428</v>
      </c>
      <c r="B122" t="s">
        <v>82</v>
      </c>
      <c r="C122" t="s">
        <v>203</v>
      </c>
      <c r="D122" s="2">
        <v>262.77</v>
      </c>
      <c r="E122" s="2">
        <v>0</v>
      </c>
      <c r="F122" s="2">
        <v>185716.69</v>
      </c>
      <c r="G122" s="2" t="str">
        <f t="shared" si="1"/>
        <v>16-05-2024 NET PI TO HSL SEC A/C 523686-00602340029434</v>
      </c>
      <c r="H122" s="2" t="s">
        <v>1335</v>
      </c>
      <c r="I122" t="s">
        <v>337</v>
      </c>
      <c r="K122" t="s">
        <v>1322</v>
      </c>
    </row>
    <row r="123" spans="1:13" x14ac:dyDescent="0.3">
      <c r="A123" s="1">
        <v>45428</v>
      </c>
      <c r="B123" t="s">
        <v>204</v>
      </c>
      <c r="C123" t="s">
        <v>205</v>
      </c>
      <c r="D123" s="2">
        <v>0</v>
      </c>
      <c r="E123" s="2">
        <v>2380</v>
      </c>
      <c r="F123" s="2">
        <v>188096.69</v>
      </c>
      <c r="G123" s="2" t="str">
        <f t="shared" si="1"/>
        <v>16-05-2024 NEFT CR-SBIN0004266-SBI GENERAL INSURANCE CO LTDSBI GEN-SUNITA GUPTA 0000000002717756-SBIN324137943121</v>
      </c>
      <c r="H123" s="2" t="s">
        <v>1335</v>
      </c>
      <c r="I123" t="s">
        <v>345</v>
      </c>
      <c r="J123" t="s">
        <v>1327</v>
      </c>
      <c r="K123" t="s">
        <v>1322</v>
      </c>
      <c r="L123" s="11">
        <v>2645</v>
      </c>
      <c r="M123" s="11">
        <f>L123-E123</f>
        <v>265</v>
      </c>
    </row>
    <row r="124" spans="1:13" x14ac:dyDescent="0.3">
      <c r="A124" s="1">
        <v>45428</v>
      </c>
      <c r="B124" t="s">
        <v>206</v>
      </c>
      <c r="C124" t="s">
        <v>207</v>
      </c>
      <c r="D124" s="2">
        <v>0</v>
      </c>
      <c r="E124" s="14">
        <v>6480</v>
      </c>
      <c r="F124" s="2">
        <v>194576.69</v>
      </c>
      <c r="G124" s="2" t="str">
        <f t="shared" si="1"/>
        <v>16-05-2024 ACH C- ORACLEFINANCIALSER-00000000000000</v>
      </c>
      <c r="H124" s="2" t="s">
        <v>1335</v>
      </c>
      <c r="I124" t="s">
        <v>340</v>
      </c>
      <c r="K124" t="s">
        <v>1322</v>
      </c>
    </row>
    <row r="125" spans="1:13" x14ac:dyDescent="0.3">
      <c r="A125" s="1">
        <v>45428</v>
      </c>
      <c r="B125" t="s">
        <v>82</v>
      </c>
      <c r="C125" t="s">
        <v>208</v>
      </c>
      <c r="D125" s="2">
        <v>81859.92</v>
      </c>
      <c r="E125" s="2">
        <v>0</v>
      </c>
      <c r="F125" s="2">
        <v>112716.77</v>
      </c>
      <c r="G125" s="2" t="str">
        <f t="shared" si="1"/>
        <v>16-05-2024 NET PI TO HSL SEC A/C 523686-00602340029434</v>
      </c>
      <c r="H125" s="2" t="s">
        <v>1335</v>
      </c>
      <c r="I125" t="s">
        <v>337</v>
      </c>
      <c r="K125" t="s">
        <v>1322</v>
      </c>
    </row>
    <row r="126" spans="1:13" x14ac:dyDescent="0.3">
      <c r="A126" s="1">
        <v>45429</v>
      </c>
      <c r="B126" t="s">
        <v>84</v>
      </c>
      <c r="C126" t="s">
        <v>209</v>
      </c>
      <c r="D126" s="2">
        <v>0</v>
      </c>
      <c r="E126" s="2">
        <v>3449.38</v>
      </c>
      <c r="F126" s="2">
        <v>116166.15</v>
      </c>
      <c r="G126" s="2" t="str">
        <f t="shared" si="1"/>
        <v>17-05-2024 NET PO FROM HSL A/C 523686-50200085415108</v>
      </c>
      <c r="H126" s="2" t="s">
        <v>1335</v>
      </c>
      <c r="I126" t="s">
        <v>337</v>
      </c>
      <c r="K126" t="s">
        <v>1322</v>
      </c>
    </row>
    <row r="127" spans="1:13" x14ac:dyDescent="0.3">
      <c r="A127" s="1">
        <v>45429</v>
      </c>
      <c r="B127" t="s">
        <v>84</v>
      </c>
      <c r="C127" t="s">
        <v>210</v>
      </c>
      <c r="D127" s="2">
        <v>0</v>
      </c>
      <c r="E127" s="2">
        <v>42829.41</v>
      </c>
      <c r="F127" s="2">
        <v>158995.56</v>
      </c>
      <c r="G127" s="2" t="str">
        <f t="shared" si="1"/>
        <v>17-05-2024 NET PO FROM HSL A/C 523686-50200085415108</v>
      </c>
      <c r="H127" s="2" t="s">
        <v>1335</v>
      </c>
      <c r="I127" t="s">
        <v>337</v>
      </c>
      <c r="K127" t="s">
        <v>1322</v>
      </c>
    </row>
    <row r="128" spans="1:13" x14ac:dyDescent="0.3">
      <c r="A128" s="1">
        <v>45429</v>
      </c>
      <c r="B128" t="s">
        <v>82</v>
      </c>
      <c r="C128" t="s">
        <v>211</v>
      </c>
      <c r="D128" s="2">
        <v>232.55</v>
      </c>
      <c r="E128" s="2">
        <v>0</v>
      </c>
      <c r="F128" s="2">
        <v>158763.01</v>
      </c>
      <c r="G128" s="2" t="str">
        <f t="shared" si="1"/>
        <v>17-05-2024 NET PI TO HSL SEC A/C 523686-00602340029434</v>
      </c>
      <c r="H128" s="2" t="s">
        <v>1335</v>
      </c>
      <c r="I128" t="s">
        <v>337</v>
      </c>
      <c r="K128" t="s">
        <v>1322</v>
      </c>
    </row>
    <row r="129" spans="1:11" x14ac:dyDescent="0.3">
      <c r="A129" s="1">
        <v>45429</v>
      </c>
      <c r="B129" t="s">
        <v>82</v>
      </c>
      <c r="C129" t="s">
        <v>212</v>
      </c>
      <c r="D129" s="2">
        <v>9417.32</v>
      </c>
      <c r="E129" s="2">
        <v>0</v>
      </c>
      <c r="F129" s="2">
        <v>149345.69</v>
      </c>
      <c r="G129" s="2" t="str">
        <f t="shared" si="1"/>
        <v>17-05-2024 NET PI TO HSL SEC A/C 523686-00602340029434</v>
      </c>
      <c r="H129" s="2" t="s">
        <v>1335</v>
      </c>
      <c r="I129" t="s">
        <v>337</v>
      </c>
      <c r="K129" t="s">
        <v>1322</v>
      </c>
    </row>
    <row r="130" spans="1:11" x14ac:dyDescent="0.3">
      <c r="A130" s="1">
        <v>45430</v>
      </c>
      <c r="B130" t="s">
        <v>82</v>
      </c>
      <c r="C130" t="s">
        <v>213</v>
      </c>
      <c r="D130" s="2">
        <v>291.08999999999997</v>
      </c>
      <c r="E130" s="2">
        <v>0</v>
      </c>
      <c r="F130" s="2">
        <v>149054.6</v>
      </c>
      <c r="G130" s="2" t="str">
        <f t="shared" si="1"/>
        <v>18-05-2024 NET PI TO HSL SEC A/C 523686-00602340029434</v>
      </c>
      <c r="H130" s="2" t="s">
        <v>1335</v>
      </c>
      <c r="I130" t="s">
        <v>337</v>
      </c>
      <c r="K130" t="s">
        <v>1322</v>
      </c>
    </row>
    <row r="131" spans="1:11" x14ac:dyDescent="0.3">
      <c r="A131" s="1">
        <v>45433</v>
      </c>
      <c r="B131" t="s">
        <v>84</v>
      </c>
      <c r="C131" t="s">
        <v>214</v>
      </c>
      <c r="D131" s="2">
        <v>0</v>
      </c>
      <c r="E131" s="2">
        <v>2558.71</v>
      </c>
      <c r="F131" s="2">
        <v>151613.31</v>
      </c>
      <c r="G131" s="2" t="str">
        <f t="shared" si="1"/>
        <v>21-05-2024 NET PO FROM HSL A/C 523686-50200085415108</v>
      </c>
      <c r="H131" s="2" t="s">
        <v>1335</v>
      </c>
      <c r="I131" t="s">
        <v>337</v>
      </c>
      <c r="K131" t="s">
        <v>1322</v>
      </c>
    </row>
    <row r="132" spans="1:11" x14ac:dyDescent="0.3">
      <c r="A132" s="1">
        <v>45433</v>
      </c>
      <c r="B132" t="s">
        <v>84</v>
      </c>
      <c r="C132" t="s">
        <v>215</v>
      </c>
      <c r="D132" s="2">
        <v>0</v>
      </c>
      <c r="E132" s="2">
        <v>23334.720000000001</v>
      </c>
      <c r="F132" s="2">
        <v>174948.03</v>
      </c>
      <c r="G132" s="2" t="str">
        <f t="shared" si="1"/>
        <v>21-05-2024 NET PO FROM HSL A/C 523686-50200085415108</v>
      </c>
      <c r="H132" s="2" t="s">
        <v>1335</v>
      </c>
      <c r="I132" t="s">
        <v>337</v>
      </c>
      <c r="K132" t="s">
        <v>1322</v>
      </c>
    </row>
    <row r="133" spans="1:11" x14ac:dyDescent="0.3">
      <c r="A133" s="1">
        <v>45433</v>
      </c>
      <c r="B133" t="s">
        <v>82</v>
      </c>
      <c r="C133" t="s">
        <v>216</v>
      </c>
      <c r="D133" s="2">
        <v>873.27</v>
      </c>
      <c r="E133" s="2">
        <v>0</v>
      </c>
      <c r="F133" s="2">
        <v>174074.76</v>
      </c>
      <c r="G133" s="2" t="str">
        <f t="shared" ref="G133:G196" si="2">TEXT(A133,"DD")&amp;"-"&amp;TEXT(A133,"MM")&amp;"-"&amp;TEXT(A133,"YYYY")&amp;" "&amp;B133</f>
        <v>21-05-2024 NET PI TO HSL SEC A/C 523686-00602340029434</v>
      </c>
      <c r="H133" s="2" t="s">
        <v>1335</v>
      </c>
      <c r="I133" t="s">
        <v>337</v>
      </c>
      <c r="K133" t="s">
        <v>1322</v>
      </c>
    </row>
    <row r="134" spans="1:11" x14ac:dyDescent="0.3">
      <c r="A134" s="1">
        <v>45433</v>
      </c>
      <c r="B134" t="s">
        <v>82</v>
      </c>
      <c r="C134" t="s">
        <v>217</v>
      </c>
      <c r="D134" s="2">
        <v>45536.34</v>
      </c>
      <c r="E134" s="2">
        <v>0</v>
      </c>
      <c r="F134" s="2">
        <v>128538.42</v>
      </c>
      <c r="G134" s="2" t="str">
        <f t="shared" si="2"/>
        <v>21-05-2024 NET PI TO HSL SEC A/C 523686-00602340029434</v>
      </c>
      <c r="H134" s="2" t="s">
        <v>1335</v>
      </c>
      <c r="I134" t="s">
        <v>337</v>
      </c>
      <c r="K134" t="s">
        <v>1322</v>
      </c>
    </row>
    <row r="135" spans="1:11" x14ac:dyDescent="0.3">
      <c r="A135" s="1">
        <v>45434</v>
      </c>
      <c r="B135" t="s">
        <v>84</v>
      </c>
      <c r="C135" t="s">
        <v>218</v>
      </c>
      <c r="D135" s="2">
        <v>0</v>
      </c>
      <c r="E135" s="2">
        <v>3073.48</v>
      </c>
      <c r="F135" s="2">
        <v>131611.9</v>
      </c>
      <c r="G135" s="2" t="str">
        <f t="shared" si="2"/>
        <v>22-05-2024 NET PO FROM HSL A/C 523686-50200085415108</v>
      </c>
      <c r="H135" s="2" t="s">
        <v>1335</v>
      </c>
      <c r="I135" t="s">
        <v>337</v>
      </c>
      <c r="K135" t="s">
        <v>1322</v>
      </c>
    </row>
    <row r="136" spans="1:11" x14ac:dyDescent="0.3">
      <c r="A136" s="1">
        <v>45434</v>
      </c>
      <c r="B136" t="s">
        <v>82</v>
      </c>
      <c r="C136" t="s">
        <v>219</v>
      </c>
      <c r="D136" s="2">
        <v>289.36</v>
      </c>
      <c r="E136" s="2">
        <v>0</v>
      </c>
      <c r="F136" s="2">
        <v>131322.54</v>
      </c>
      <c r="G136" s="2" t="str">
        <f t="shared" si="2"/>
        <v>22-05-2024 NET PI TO HSL SEC A/C 523686-00602340029434</v>
      </c>
      <c r="H136" s="2" t="s">
        <v>1335</v>
      </c>
      <c r="I136" t="s">
        <v>337</v>
      </c>
      <c r="K136" t="s">
        <v>1322</v>
      </c>
    </row>
    <row r="137" spans="1:11" x14ac:dyDescent="0.3">
      <c r="A137" s="1">
        <v>45434</v>
      </c>
      <c r="B137" t="s">
        <v>82</v>
      </c>
      <c r="C137" t="s">
        <v>220</v>
      </c>
      <c r="D137" s="2">
        <v>93700.02</v>
      </c>
      <c r="E137" s="2">
        <v>0</v>
      </c>
      <c r="F137" s="2">
        <v>37622.519999999997</v>
      </c>
      <c r="G137" s="2" t="str">
        <f t="shared" si="2"/>
        <v>22-05-2024 NET PI TO HSL SEC A/C 523686-00602340029434</v>
      </c>
      <c r="H137" s="2" t="s">
        <v>1335</v>
      </c>
      <c r="I137" t="s">
        <v>337</v>
      </c>
      <c r="K137" t="s">
        <v>1322</v>
      </c>
    </row>
    <row r="138" spans="1:11" x14ac:dyDescent="0.3">
      <c r="A138" s="1">
        <v>45435</v>
      </c>
      <c r="B138" t="s">
        <v>221</v>
      </c>
      <c r="C138" t="s">
        <v>222</v>
      </c>
      <c r="D138" s="2">
        <v>17.7</v>
      </c>
      <c r="E138" s="2">
        <v>0</v>
      </c>
      <c r="F138" s="2">
        <v>37604.82</v>
      </c>
      <c r="G138" s="2" t="str">
        <f t="shared" si="2"/>
        <v>23-05-2024 JANMAR24 INSTAALERTCHG 75 SMS 140524-MIR2514339549285</v>
      </c>
      <c r="H138" s="2" t="s">
        <v>1335</v>
      </c>
      <c r="I138" t="s">
        <v>47</v>
      </c>
      <c r="K138" t="s">
        <v>1322</v>
      </c>
    </row>
    <row r="139" spans="1:11" x14ac:dyDescent="0.3">
      <c r="A139" s="1">
        <v>45435</v>
      </c>
      <c r="B139" t="s">
        <v>82</v>
      </c>
      <c r="C139" t="s">
        <v>223</v>
      </c>
      <c r="D139" s="2">
        <v>313.62</v>
      </c>
      <c r="E139" s="2">
        <v>0</v>
      </c>
      <c r="F139" s="2">
        <v>37291.199999999997</v>
      </c>
      <c r="G139" s="2" t="str">
        <f t="shared" si="2"/>
        <v>23-05-2024 NET PI TO HSL SEC A/C 523686-00602340029434</v>
      </c>
      <c r="H139" s="2" t="s">
        <v>1335</v>
      </c>
      <c r="I139" t="s">
        <v>337</v>
      </c>
      <c r="K139" t="s">
        <v>1322</v>
      </c>
    </row>
    <row r="140" spans="1:11" x14ac:dyDescent="0.3">
      <c r="A140" s="1">
        <v>45436</v>
      </c>
      <c r="B140" t="s">
        <v>34</v>
      </c>
      <c r="C140" t="s">
        <v>23</v>
      </c>
      <c r="D140" s="2">
        <v>30000</v>
      </c>
      <c r="E140" s="2">
        <v>0</v>
      </c>
      <c r="F140" s="2">
        <v>38836.120000000003</v>
      </c>
      <c r="G140" s="2" t="str">
        <f t="shared" si="2"/>
        <v>24-05-2024 INB/IFT/Ajay Kumar Gupta/TPARTY TRANSFER</v>
      </c>
      <c r="H140" s="2" t="s">
        <v>1335</v>
      </c>
      <c r="I140" t="s">
        <v>52</v>
      </c>
      <c r="K140" t="s">
        <v>1323</v>
      </c>
    </row>
    <row r="141" spans="1:11" x14ac:dyDescent="0.3">
      <c r="A141" s="1">
        <v>45436</v>
      </c>
      <c r="B141" t="s">
        <v>84</v>
      </c>
      <c r="C141" t="s">
        <v>224</v>
      </c>
      <c r="D141" s="2">
        <v>0</v>
      </c>
      <c r="E141" s="2">
        <v>31015.360000000001</v>
      </c>
      <c r="F141" s="2">
        <v>68306.559999999998</v>
      </c>
      <c r="G141" s="2" t="str">
        <f t="shared" si="2"/>
        <v>24-05-2024 NET PO FROM HSL A/C 523686-50200085415108</v>
      </c>
      <c r="H141" s="2" t="s">
        <v>1335</v>
      </c>
      <c r="I141" t="s">
        <v>337</v>
      </c>
      <c r="K141" t="s">
        <v>1322</v>
      </c>
    </row>
    <row r="142" spans="1:11" x14ac:dyDescent="0.3">
      <c r="A142" s="1">
        <v>45436</v>
      </c>
      <c r="B142" t="s">
        <v>84</v>
      </c>
      <c r="C142" t="s">
        <v>225</v>
      </c>
      <c r="D142" s="2">
        <v>0</v>
      </c>
      <c r="E142" s="2">
        <v>35498.65</v>
      </c>
      <c r="F142" s="2">
        <v>103805.21</v>
      </c>
      <c r="G142" s="2" t="str">
        <f t="shared" si="2"/>
        <v>24-05-2024 NET PO FROM HSL A/C 523686-50200085415108</v>
      </c>
      <c r="H142" s="2" t="s">
        <v>1335</v>
      </c>
      <c r="I142" t="s">
        <v>337</v>
      </c>
      <c r="K142" t="s">
        <v>1322</v>
      </c>
    </row>
    <row r="143" spans="1:11" x14ac:dyDescent="0.3">
      <c r="A143" s="1">
        <v>45436</v>
      </c>
      <c r="B143" t="s">
        <v>82</v>
      </c>
      <c r="C143" t="s">
        <v>226</v>
      </c>
      <c r="D143" s="2">
        <v>313.62</v>
      </c>
      <c r="E143" s="2">
        <v>0</v>
      </c>
      <c r="F143" s="2">
        <v>103491.59</v>
      </c>
      <c r="G143" s="2" t="str">
        <f t="shared" si="2"/>
        <v>24-05-2024 NET PI TO HSL SEC A/C 523686-00602340029434</v>
      </c>
      <c r="H143" s="2" t="s">
        <v>1335</v>
      </c>
      <c r="I143" t="s">
        <v>337</v>
      </c>
      <c r="K143" t="s">
        <v>1322</v>
      </c>
    </row>
    <row r="144" spans="1:11" x14ac:dyDescent="0.3">
      <c r="A144" s="1">
        <v>45436</v>
      </c>
      <c r="B144" t="s">
        <v>227</v>
      </c>
      <c r="C144" t="s">
        <v>228</v>
      </c>
      <c r="D144" s="2">
        <v>0</v>
      </c>
      <c r="E144" s="14">
        <v>2223</v>
      </c>
      <c r="F144" s="2">
        <v>105714.59</v>
      </c>
      <c r="G144" s="2" t="str">
        <f t="shared" si="2"/>
        <v>24-05-2024 ACH C- SANOFI INDIA DIV PMT-71PR24051801</v>
      </c>
      <c r="H144" s="2" t="s">
        <v>1335</v>
      </c>
      <c r="I144" t="s">
        <v>340</v>
      </c>
      <c r="K144" t="s">
        <v>1322</v>
      </c>
    </row>
    <row r="145" spans="1:11" x14ac:dyDescent="0.3">
      <c r="A145" s="1">
        <v>45436</v>
      </c>
      <c r="B145" t="s">
        <v>229</v>
      </c>
      <c r="C145" t="s">
        <v>230</v>
      </c>
      <c r="D145" s="2">
        <v>0</v>
      </c>
      <c r="E145" s="14">
        <v>418</v>
      </c>
      <c r="F145" s="2">
        <v>106132.59</v>
      </c>
      <c r="G145" s="2" t="str">
        <f t="shared" si="2"/>
        <v>24-05-2024 ACH C- COFORGE LTD-129002</v>
      </c>
      <c r="H145" s="2" t="s">
        <v>1335</v>
      </c>
      <c r="I145" t="s">
        <v>340</v>
      </c>
      <c r="K145" t="s">
        <v>1322</v>
      </c>
    </row>
    <row r="146" spans="1:11" x14ac:dyDescent="0.3">
      <c r="A146" s="1">
        <v>45436</v>
      </c>
      <c r="B146" t="s">
        <v>231</v>
      </c>
      <c r="C146" t="s">
        <v>232</v>
      </c>
      <c r="D146" s="2">
        <v>0</v>
      </c>
      <c r="E146" s="2">
        <v>84.57</v>
      </c>
      <c r="F146" s="2">
        <v>106217.16</v>
      </c>
      <c r="G146" s="2" t="str">
        <f t="shared" si="2"/>
        <v>24-05-2024 NEFT CR-UTIB0000004-AXIS MUTUAL FUND DIVIDEND A/C-SUNITA GUPTA-AXISCN0629722256</v>
      </c>
      <c r="H146" s="2" t="s">
        <v>1335</v>
      </c>
      <c r="I146" t="s">
        <v>346</v>
      </c>
      <c r="K146" t="s">
        <v>1322</v>
      </c>
    </row>
    <row r="147" spans="1:11" x14ac:dyDescent="0.3">
      <c r="A147" s="1">
        <v>45437</v>
      </c>
      <c r="B147" t="s">
        <v>82</v>
      </c>
      <c r="C147" t="s">
        <v>233</v>
      </c>
      <c r="D147" s="2">
        <v>47642.67</v>
      </c>
      <c r="E147" s="2">
        <v>0</v>
      </c>
      <c r="F147" s="2">
        <v>58574.49</v>
      </c>
      <c r="G147" s="2" t="str">
        <f t="shared" si="2"/>
        <v>25-05-2024 NET PI TO HSL SEC A/C 523686-00602340029434</v>
      </c>
      <c r="H147" s="2" t="s">
        <v>1335</v>
      </c>
      <c r="I147" t="s">
        <v>337</v>
      </c>
      <c r="K147" t="s">
        <v>1322</v>
      </c>
    </row>
    <row r="148" spans="1:11" x14ac:dyDescent="0.3">
      <c r="A148" s="1">
        <v>45437</v>
      </c>
      <c r="B148" t="s">
        <v>234</v>
      </c>
      <c r="C148" t="s">
        <v>235</v>
      </c>
      <c r="D148" s="2">
        <v>21011</v>
      </c>
      <c r="E148" s="2">
        <v>0</v>
      </c>
      <c r="F148" s="2">
        <v>37563.49</v>
      </c>
      <c r="G148" s="2" t="str">
        <f t="shared" si="2"/>
        <v>25-05-2024 YHDF2336954200/BILLDKTHECALCUTTAELE</v>
      </c>
      <c r="H148" s="2" t="s">
        <v>1335</v>
      </c>
      <c r="I148" t="s">
        <v>1326</v>
      </c>
      <c r="K148" t="s">
        <v>1322</v>
      </c>
    </row>
    <row r="149" spans="1:11" x14ac:dyDescent="0.3">
      <c r="A149" s="1">
        <v>45439</v>
      </c>
      <c r="B149" t="s">
        <v>114</v>
      </c>
      <c r="C149" t="s">
        <v>236</v>
      </c>
      <c r="D149" s="2">
        <v>10000</v>
      </c>
      <c r="E149" s="2">
        <v>0</v>
      </c>
      <c r="F149" s="2">
        <v>27563.49</v>
      </c>
      <c r="G149" s="2" t="str">
        <f t="shared" si="2"/>
        <v>27-05-2024 ACH D- INDIAN CLEARING CORP-P25847643X05</v>
      </c>
      <c r="H149" s="2" t="s">
        <v>1335</v>
      </c>
      <c r="I149" t="s">
        <v>342</v>
      </c>
      <c r="K149" t="s">
        <v>1322</v>
      </c>
    </row>
    <row r="150" spans="1:11" x14ac:dyDescent="0.3">
      <c r="A150" s="1">
        <v>45439</v>
      </c>
      <c r="B150" t="s">
        <v>82</v>
      </c>
      <c r="C150" t="s">
        <v>237</v>
      </c>
      <c r="D150" s="2">
        <v>1076.0999999999999</v>
      </c>
      <c r="E150" s="2">
        <v>0</v>
      </c>
      <c r="F150" s="2">
        <v>26487.39</v>
      </c>
      <c r="G150" s="2" t="str">
        <f t="shared" si="2"/>
        <v>27-05-2024 NET PI TO HSL SEC A/C 523686-00602340029434</v>
      </c>
      <c r="H150" s="2" t="s">
        <v>1335</v>
      </c>
      <c r="I150" t="s">
        <v>337</v>
      </c>
      <c r="K150" t="s">
        <v>1322</v>
      </c>
    </row>
    <row r="151" spans="1:11" x14ac:dyDescent="0.3">
      <c r="A151" s="1">
        <v>45440</v>
      </c>
      <c r="B151" t="s">
        <v>84</v>
      </c>
      <c r="C151" t="s">
        <v>238</v>
      </c>
      <c r="D151" s="2">
        <v>0</v>
      </c>
      <c r="E151" s="2">
        <v>4569.7700000000004</v>
      </c>
      <c r="F151" s="2">
        <v>31057.16</v>
      </c>
      <c r="G151" s="2" t="str">
        <f t="shared" si="2"/>
        <v>28-05-2024 NET PO FROM HSL A/C 523686-50200085415108</v>
      </c>
      <c r="H151" s="2" t="s">
        <v>1335</v>
      </c>
      <c r="I151" t="s">
        <v>337</v>
      </c>
      <c r="K151" t="s">
        <v>1322</v>
      </c>
    </row>
    <row r="152" spans="1:11" x14ac:dyDescent="0.3">
      <c r="A152" s="1">
        <v>45440</v>
      </c>
      <c r="B152" t="s">
        <v>84</v>
      </c>
      <c r="C152" t="s">
        <v>239</v>
      </c>
      <c r="D152" s="2">
        <v>0</v>
      </c>
      <c r="E152" s="2">
        <v>29701.18</v>
      </c>
      <c r="F152" s="2">
        <v>60758.34</v>
      </c>
      <c r="G152" s="2" t="str">
        <f t="shared" si="2"/>
        <v>28-05-2024 NET PO FROM HSL A/C 523686-50200085415108</v>
      </c>
      <c r="H152" s="2" t="s">
        <v>1335</v>
      </c>
      <c r="I152" t="s">
        <v>337</v>
      </c>
      <c r="K152" t="s">
        <v>1322</v>
      </c>
    </row>
    <row r="153" spans="1:11" x14ac:dyDescent="0.3">
      <c r="A153" s="1">
        <v>45440</v>
      </c>
      <c r="B153" t="s">
        <v>82</v>
      </c>
      <c r="C153" t="s">
        <v>240</v>
      </c>
      <c r="D153" s="2">
        <v>398.19</v>
      </c>
      <c r="E153" s="2">
        <v>0</v>
      </c>
      <c r="F153" s="2">
        <v>60360.15</v>
      </c>
      <c r="G153" s="2" t="str">
        <f t="shared" si="2"/>
        <v>28-05-2024 NET PI TO HSL SEC A/C 523686-00602340029434</v>
      </c>
      <c r="H153" s="2" t="s">
        <v>1335</v>
      </c>
      <c r="I153" t="s">
        <v>337</v>
      </c>
      <c r="K153" t="s">
        <v>1322</v>
      </c>
    </row>
    <row r="154" spans="1:11" x14ac:dyDescent="0.3">
      <c r="A154" s="1">
        <v>45440</v>
      </c>
      <c r="B154" t="s">
        <v>82</v>
      </c>
      <c r="C154" t="s">
        <v>241</v>
      </c>
      <c r="D154" s="2">
        <v>9647.7800000000007</v>
      </c>
      <c r="E154" s="2">
        <v>0</v>
      </c>
      <c r="F154" s="2">
        <v>50712.37</v>
      </c>
      <c r="G154" s="2" t="str">
        <f t="shared" si="2"/>
        <v>28-05-2024 NET PI TO HSL SEC A/C 523686-00602340029434</v>
      </c>
      <c r="H154" s="2" t="s">
        <v>1335</v>
      </c>
      <c r="I154" t="s">
        <v>337</v>
      </c>
      <c r="K154" t="s">
        <v>1322</v>
      </c>
    </row>
    <row r="155" spans="1:11" x14ac:dyDescent="0.3">
      <c r="A155" s="1">
        <v>45441</v>
      </c>
      <c r="B155" t="s">
        <v>84</v>
      </c>
      <c r="C155" t="s">
        <v>242</v>
      </c>
      <c r="D155" s="2">
        <v>0</v>
      </c>
      <c r="E155" s="2">
        <v>31189.97</v>
      </c>
      <c r="F155" s="2">
        <v>81902.34</v>
      </c>
      <c r="G155" s="2" t="str">
        <f t="shared" si="2"/>
        <v>29-05-2024 NET PO FROM HSL A/C 523686-50200085415108</v>
      </c>
      <c r="H155" s="2" t="s">
        <v>1335</v>
      </c>
      <c r="I155" t="s">
        <v>337</v>
      </c>
      <c r="K155" t="s">
        <v>1322</v>
      </c>
    </row>
    <row r="156" spans="1:11" x14ac:dyDescent="0.3">
      <c r="A156" s="1">
        <v>45441</v>
      </c>
      <c r="B156" t="s">
        <v>82</v>
      </c>
      <c r="C156" t="s">
        <v>243</v>
      </c>
      <c r="D156" s="2">
        <v>392.56</v>
      </c>
      <c r="E156" s="2">
        <v>0</v>
      </c>
      <c r="F156" s="2">
        <v>81509.78</v>
      </c>
      <c r="G156" s="2" t="str">
        <f t="shared" si="2"/>
        <v>29-05-2024 NET PI TO HSL SEC A/C 523686-00602340029434</v>
      </c>
      <c r="H156" s="2" t="s">
        <v>1335</v>
      </c>
      <c r="I156" t="s">
        <v>337</v>
      </c>
      <c r="K156" t="s">
        <v>1322</v>
      </c>
    </row>
    <row r="157" spans="1:11" x14ac:dyDescent="0.3">
      <c r="A157" s="1">
        <v>45441</v>
      </c>
      <c r="B157" t="s">
        <v>244</v>
      </c>
      <c r="C157" t="s">
        <v>245</v>
      </c>
      <c r="D157" s="2">
        <v>30000</v>
      </c>
      <c r="E157" s="2">
        <v>0</v>
      </c>
      <c r="F157" s="2">
        <v>51509.78</v>
      </c>
      <c r="G157" s="2" t="str">
        <f t="shared" si="2"/>
        <v>29-05-2024 50100542230922-TPT-BORROW BY ARCHIT-ARCHIT GUPTA</v>
      </c>
      <c r="H157" s="2" t="s">
        <v>1335</v>
      </c>
      <c r="I157" t="s">
        <v>339</v>
      </c>
      <c r="K157" t="s">
        <v>1322</v>
      </c>
    </row>
    <row r="158" spans="1:11" x14ac:dyDescent="0.3">
      <c r="A158" s="1">
        <v>45442</v>
      </c>
      <c r="B158" t="s">
        <v>84</v>
      </c>
      <c r="C158" t="s">
        <v>246</v>
      </c>
      <c r="D158" s="2">
        <v>0</v>
      </c>
      <c r="E158" s="2">
        <v>17962.099999999999</v>
      </c>
      <c r="F158" s="2">
        <v>69471.88</v>
      </c>
      <c r="G158" s="2" t="str">
        <f t="shared" si="2"/>
        <v>30-05-2024 NET PO FROM HSL A/C 523686-50200085415108</v>
      </c>
      <c r="H158" s="2" t="s">
        <v>1335</v>
      </c>
      <c r="I158" t="s">
        <v>337</v>
      </c>
      <c r="K158" t="s">
        <v>1322</v>
      </c>
    </row>
    <row r="159" spans="1:11" x14ac:dyDescent="0.3">
      <c r="A159" s="1">
        <v>45442</v>
      </c>
      <c r="B159" t="s">
        <v>82</v>
      </c>
      <c r="C159" t="s">
        <v>247</v>
      </c>
      <c r="D159" s="2">
        <v>392.56</v>
      </c>
      <c r="E159" s="2">
        <v>0</v>
      </c>
      <c r="F159" s="2">
        <v>69079.320000000007</v>
      </c>
      <c r="G159" s="2" t="str">
        <f t="shared" si="2"/>
        <v>30-05-2024 NET PI TO HSL SEC A/C 523686-00602340029434</v>
      </c>
      <c r="H159" s="2" t="s">
        <v>1335</v>
      </c>
      <c r="I159" t="s">
        <v>337</v>
      </c>
      <c r="K159" t="s">
        <v>1322</v>
      </c>
    </row>
    <row r="160" spans="1:11" x14ac:dyDescent="0.3">
      <c r="A160" s="1">
        <v>45442</v>
      </c>
      <c r="B160" t="s">
        <v>82</v>
      </c>
      <c r="C160" t="s">
        <v>248</v>
      </c>
      <c r="D160" s="2">
        <v>18904.07</v>
      </c>
      <c r="E160" s="2">
        <v>0</v>
      </c>
      <c r="F160" s="2">
        <v>50175.25</v>
      </c>
      <c r="G160" s="2" t="str">
        <f t="shared" si="2"/>
        <v>30-05-2024 NET PI TO HSL SEC A/C 523686-00602340029434</v>
      </c>
      <c r="H160" s="2" t="s">
        <v>1335</v>
      </c>
      <c r="I160" t="s">
        <v>337</v>
      </c>
      <c r="K160" t="s">
        <v>1322</v>
      </c>
    </row>
    <row r="161" spans="1:11" x14ac:dyDescent="0.3">
      <c r="A161" s="1">
        <v>45443</v>
      </c>
      <c r="B161" t="s">
        <v>82</v>
      </c>
      <c r="C161" t="s">
        <v>249</v>
      </c>
      <c r="D161" s="2">
        <v>380.68</v>
      </c>
      <c r="E161" s="2">
        <v>0</v>
      </c>
      <c r="F161" s="2">
        <v>49794.57</v>
      </c>
      <c r="G161" s="2" t="str">
        <f t="shared" si="2"/>
        <v>31-05-2024 NET PI TO HSL SEC A/C 523686-00602340029434</v>
      </c>
      <c r="H161" s="2" t="s">
        <v>1335</v>
      </c>
      <c r="I161" t="s">
        <v>337</v>
      </c>
      <c r="K161" t="s">
        <v>1322</v>
      </c>
    </row>
    <row r="162" spans="1:11" x14ac:dyDescent="0.3">
      <c r="A162" s="1">
        <v>45443</v>
      </c>
      <c r="B162" t="s">
        <v>82</v>
      </c>
      <c r="C162" t="s">
        <v>250</v>
      </c>
      <c r="D162" s="2">
        <v>39887.86</v>
      </c>
      <c r="E162" s="2">
        <v>0</v>
      </c>
      <c r="F162" s="2">
        <v>9906.7099999999991</v>
      </c>
      <c r="G162" s="2" t="str">
        <f t="shared" si="2"/>
        <v>31-05-2024 NET PI TO HSL SEC A/C 523686-00602340029434</v>
      </c>
      <c r="H162" s="2" t="s">
        <v>1335</v>
      </c>
      <c r="I162" t="s">
        <v>337</v>
      </c>
      <c r="K162" t="s">
        <v>1322</v>
      </c>
    </row>
    <row r="163" spans="1:11" x14ac:dyDescent="0.3">
      <c r="A163" s="1">
        <v>45446</v>
      </c>
      <c r="B163" t="s">
        <v>84</v>
      </c>
      <c r="C163" t="s">
        <v>251</v>
      </c>
      <c r="D163" s="2">
        <v>0</v>
      </c>
      <c r="E163" s="2">
        <v>19286.45</v>
      </c>
      <c r="F163" s="2">
        <v>29193.16</v>
      </c>
      <c r="G163" s="2" t="str">
        <f t="shared" si="2"/>
        <v>03-06-2024 NET PO FROM HSL A/C 523686-50200085415108</v>
      </c>
      <c r="H163" s="2" t="s">
        <v>1335</v>
      </c>
      <c r="I163" t="s">
        <v>337</v>
      </c>
      <c r="K163" t="s">
        <v>1322</v>
      </c>
    </row>
    <row r="164" spans="1:11" x14ac:dyDescent="0.3">
      <c r="A164" s="1">
        <v>45446</v>
      </c>
      <c r="B164" t="s">
        <v>82</v>
      </c>
      <c r="C164" t="s">
        <v>252</v>
      </c>
      <c r="D164" s="2">
        <v>1158.51</v>
      </c>
      <c r="E164" s="2">
        <v>0</v>
      </c>
      <c r="F164" s="2">
        <v>28034.65</v>
      </c>
      <c r="G164" s="2" t="str">
        <f t="shared" si="2"/>
        <v>03-06-2024 NET PI TO HSL SEC A/C 523686-00602340029434</v>
      </c>
      <c r="H164" s="2" t="s">
        <v>1335</v>
      </c>
      <c r="I164" t="s">
        <v>337</v>
      </c>
      <c r="K164" t="s">
        <v>1322</v>
      </c>
    </row>
    <row r="165" spans="1:11" x14ac:dyDescent="0.3">
      <c r="A165" s="1">
        <v>45447</v>
      </c>
      <c r="B165" t="s">
        <v>84</v>
      </c>
      <c r="C165" t="s">
        <v>253</v>
      </c>
      <c r="D165" s="2">
        <v>0</v>
      </c>
      <c r="E165" s="2">
        <v>1329.76</v>
      </c>
      <c r="F165" s="2">
        <v>29364.41</v>
      </c>
      <c r="G165" s="2" t="str">
        <f t="shared" si="2"/>
        <v>04-06-2024 NET PO FROM HSL A/C 523686-50200085415108</v>
      </c>
      <c r="H165" s="2" t="s">
        <v>1335</v>
      </c>
      <c r="I165" t="s">
        <v>337</v>
      </c>
      <c r="K165" t="s">
        <v>1322</v>
      </c>
    </row>
    <row r="166" spans="1:11" x14ac:dyDescent="0.3">
      <c r="A166" s="1">
        <v>45447</v>
      </c>
      <c r="B166" t="s">
        <v>82</v>
      </c>
      <c r="C166" t="s">
        <v>254</v>
      </c>
      <c r="D166" s="2">
        <v>380.63</v>
      </c>
      <c r="E166" s="2">
        <v>0</v>
      </c>
      <c r="F166" s="2">
        <v>28983.78</v>
      </c>
      <c r="G166" s="2" t="str">
        <f t="shared" si="2"/>
        <v>04-06-2024 NET PI TO HSL SEC A/C 523686-00602340029434</v>
      </c>
      <c r="H166" s="2" t="s">
        <v>1335</v>
      </c>
      <c r="I166" t="s">
        <v>337</v>
      </c>
      <c r="K166" t="s">
        <v>1322</v>
      </c>
    </row>
    <row r="167" spans="1:11" x14ac:dyDescent="0.3">
      <c r="A167" s="1">
        <v>45447</v>
      </c>
      <c r="B167" t="s">
        <v>255</v>
      </c>
      <c r="C167" t="s">
        <v>256</v>
      </c>
      <c r="D167" s="2">
        <v>0</v>
      </c>
      <c r="E167" s="2">
        <v>448</v>
      </c>
      <c r="F167" s="2">
        <v>29431.78</v>
      </c>
      <c r="G167" s="2" t="str">
        <f t="shared" si="2"/>
        <v>04-06-2024 ACH C- TCSFINDIV040624-885329</v>
      </c>
      <c r="H167" s="2" t="s">
        <v>1335</v>
      </c>
      <c r="I167" t="s">
        <v>340</v>
      </c>
      <c r="K167" t="s">
        <v>1322</v>
      </c>
    </row>
    <row r="168" spans="1:11" x14ac:dyDescent="0.3">
      <c r="A168" s="1">
        <v>45447</v>
      </c>
      <c r="B168" t="s">
        <v>82</v>
      </c>
      <c r="C168" t="s">
        <v>257</v>
      </c>
      <c r="D168" s="2">
        <v>29431.78</v>
      </c>
      <c r="E168" s="2">
        <v>0</v>
      </c>
      <c r="F168" s="2">
        <v>0</v>
      </c>
      <c r="G168" s="2" t="str">
        <f t="shared" si="2"/>
        <v>04-06-2024 NET PI TO HSL SEC A/C 523686-00602340029434</v>
      </c>
      <c r="H168" s="2" t="s">
        <v>1335</v>
      </c>
      <c r="I168" t="s">
        <v>337</v>
      </c>
      <c r="K168" t="s">
        <v>1322</v>
      </c>
    </row>
    <row r="169" spans="1:11" x14ac:dyDescent="0.3">
      <c r="A169" s="1">
        <v>45448</v>
      </c>
      <c r="B169" t="s">
        <v>258</v>
      </c>
      <c r="C169" t="s">
        <v>259</v>
      </c>
      <c r="D169" s="2">
        <v>0</v>
      </c>
      <c r="E169" s="2">
        <v>20000</v>
      </c>
      <c r="F169" s="2">
        <v>20000</v>
      </c>
      <c r="G169" s="2" t="str">
        <f t="shared" si="2"/>
        <v>05-06-2024 UPI-AJAY KUMAR GUPTA-AJAYGUPTANEL@YBL-HDFC0000167-415752435538-PAYMENT FROM PHONE</v>
      </c>
      <c r="H169" s="2" t="s">
        <v>1335</v>
      </c>
      <c r="I169" t="s">
        <v>52</v>
      </c>
      <c r="K169" t="s">
        <v>1322</v>
      </c>
    </row>
    <row r="170" spans="1:11" x14ac:dyDescent="0.3">
      <c r="A170" s="1">
        <v>45448</v>
      </c>
      <c r="B170" t="s">
        <v>82</v>
      </c>
      <c r="C170" t="s">
        <v>260</v>
      </c>
      <c r="D170" s="2">
        <v>20000</v>
      </c>
      <c r="E170" s="2">
        <v>0</v>
      </c>
      <c r="F170" s="2">
        <v>0</v>
      </c>
      <c r="G170" s="2" t="str">
        <f t="shared" si="2"/>
        <v>05-06-2024 NET PI TO HSL SEC A/C 523686-00602340029434</v>
      </c>
      <c r="H170" s="2" t="s">
        <v>1335</v>
      </c>
      <c r="I170" t="s">
        <v>337</v>
      </c>
      <c r="K170" t="s">
        <v>1322</v>
      </c>
    </row>
    <row r="171" spans="1:11" x14ac:dyDescent="0.3">
      <c r="A171" s="1">
        <v>45448</v>
      </c>
      <c r="B171" t="s">
        <v>261</v>
      </c>
      <c r="C171" t="s">
        <v>262</v>
      </c>
      <c r="D171" s="2">
        <v>0</v>
      </c>
      <c r="E171" s="2">
        <v>2123.5</v>
      </c>
      <c r="F171" s="2">
        <v>2123.5</v>
      </c>
      <c r="G171" s="2" t="str">
        <f t="shared" si="2"/>
        <v>05-06-2024 ACH C- STATE BANK OF INDIA-2175022</v>
      </c>
      <c r="H171" s="2" t="s">
        <v>1335</v>
      </c>
      <c r="I171" t="s">
        <v>340</v>
      </c>
      <c r="K171" t="s">
        <v>1322</v>
      </c>
    </row>
    <row r="172" spans="1:11" x14ac:dyDescent="0.3">
      <c r="A172" s="1">
        <v>45448</v>
      </c>
      <c r="B172" t="s">
        <v>263</v>
      </c>
      <c r="C172" t="s">
        <v>264</v>
      </c>
      <c r="D172" s="2">
        <v>0</v>
      </c>
      <c r="E172" s="2">
        <v>21011</v>
      </c>
      <c r="F172" s="2">
        <v>23134.5</v>
      </c>
      <c r="G172" s="2" t="str">
        <f t="shared" si="2"/>
        <v>05-06-2024 NEFT CR-SBIN0004266-SBI GENERAL INSURANCE CO LTDSBI GEN-SUNITA GUPTA 0000000002717756-SBIN224157215153</v>
      </c>
      <c r="H172" s="2" t="s">
        <v>1335</v>
      </c>
      <c r="I172" t="s">
        <v>1326</v>
      </c>
      <c r="K172" t="s">
        <v>1322</v>
      </c>
    </row>
    <row r="173" spans="1:11" x14ac:dyDescent="0.3">
      <c r="A173" s="1">
        <v>45448</v>
      </c>
      <c r="B173" t="s">
        <v>82</v>
      </c>
      <c r="C173" t="s">
        <v>265</v>
      </c>
      <c r="D173" s="2">
        <v>23134.5</v>
      </c>
      <c r="E173" s="2">
        <v>0</v>
      </c>
      <c r="F173" s="2">
        <v>0</v>
      </c>
      <c r="G173" s="2" t="str">
        <f t="shared" si="2"/>
        <v>05-06-2024 NET PI TO HSL SEC A/C 523686-00602340029434</v>
      </c>
      <c r="H173" s="2" t="s">
        <v>1335</v>
      </c>
      <c r="I173" t="s">
        <v>337</v>
      </c>
      <c r="K173" t="s">
        <v>1322</v>
      </c>
    </row>
    <row r="174" spans="1:11" x14ac:dyDescent="0.3">
      <c r="A174" s="1">
        <v>45449</v>
      </c>
      <c r="B174" t="s">
        <v>84</v>
      </c>
      <c r="C174" t="s">
        <v>266</v>
      </c>
      <c r="D174" s="2">
        <v>0</v>
      </c>
      <c r="E174" s="2">
        <v>20604.39</v>
      </c>
      <c r="F174" s="2">
        <v>20604.39</v>
      </c>
      <c r="G174" s="2" t="str">
        <f t="shared" si="2"/>
        <v>06-06-2024 NET PO FROM HSL A/C 523686-50200085415108</v>
      </c>
      <c r="H174" s="2" t="s">
        <v>1335</v>
      </c>
      <c r="I174" t="s">
        <v>337</v>
      </c>
      <c r="K174" t="s">
        <v>1322</v>
      </c>
    </row>
    <row r="175" spans="1:11" x14ac:dyDescent="0.3">
      <c r="A175" s="1">
        <v>45449</v>
      </c>
      <c r="B175" t="s">
        <v>82</v>
      </c>
      <c r="C175" t="s">
        <v>267</v>
      </c>
      <c r="D175" s="2">
        <v>374.73</v>
      </c>
      <c r="E175" s="2">
        <v>0</v>
      </c>
      <c r="F175" s="2">
        <v>20229.66</v>
      </c>
      <c r="G175" s="2" t="str">
        <f t="shared" si="2"/>
        <v>06-06-2024 NET PI TO HSL SEC A/C 523686-00602340029434</v>
      </c>
      <c r="H175" s="2" t="s">
        <v>1335</v>
      </c>
      <c r="I175" t="s">
        <v>337</v>
      </c>
      <c r="K175" t="s">
        <v>1322</v>
      </c>
    </row>
    <row r="176" spans="1:11" x14ac:dyDescent="0.3">
      <c r="A176" s="1">
        <v>45450</v>
      </c>
      <c r="B176" t="s">
        <v>84</v>
      </c>
      <c r="C176" t="s">
        <v>268</v>
      </c>
      <c r="D176" s="2">
        <v>0</v>
      </c>
      <c r="E176" s="2">
        <v>16550.740000000002</v>
      </c>
      <c r="F176" s="2">
        <v>36780.400000000001</v>
      </c>
      <c r="G176" s="2" t="str">
        <f t="shared" si="2"/>
        <v>07-06-2024 NET PO FROM HSL A/C 523686-50200085415108</v>
      </c>
      <c r="H176" s="2" t="s">
        <v>1335</v>
      </c>
      <c r="I176" t="s">
        <v>337</v>
      </c>
      <c r="K176" t="s">
        <v>1322</v>
      </c>
    </row>
    <row r="177" spans="1:13" x14ac:dyDescent="0.3">
      <c r="A177" s="1">
        <v>45450</v>
      </c>
      <c r="B177" t="s">
        <v>82</v>
      </c>
      <c r="C177" t="s">
        <v>269</v>
      </c>
      <c r="D177" s="2">
        <v>374.73</v>
      </c>
      <c r="E177" s="2">
        <v>0</v>
      </c>
      <c r="F177" s="2">
        <v>36405.67</v>
      </c>
      <c r="G177" s="2" t="str">
        <f t="shared" si="2"/>
        <v>07-06-2024 NET PI TO HSL SEC A/C 523686-00602340029434</v>
      </c>
      <c r="H177" s="2" t="s">
        <v>1335</v>
      </c>
      <c r="I177" t="s">
        <v>337</v>
      </c>
      <c r="K177" t="s">
        <v>1322</v>
      </c>
    </row>
    <row r="178" spans="1:13" x14ac:dyDescent="0.3">
      <c r="A178" s="1">
        <v>45450</v>
      </c>
      <c r="B178" t="s">
        <v>84</v>
      </c>
      <c r="C178" t="s">
        <v>270</v>
      </c>
      <c r="D178" s="2">
        <v>0</v>
      </c>
      <c r="E178" s="2">
        <v>6997.46</v>
      </c>
      <c r="F178" s="2">
        <v>43403.13</v>
      </c>
      <c r="G178" s="2" t="str">
        <f t="shared" si="2"/>
        <v>07-06-2024 NET PO FROM HSL A/C 523686-50200085415108</v>
      </c>
      <c r="H178" s="2" t="s">
        <v>1335</v>
      </c>
      <c r="I178" t="s">
        <v>337</v>
      </c>
      <c r="K178" t="s">
        <v>1322</v>
      </c>
    </row>
    <row r="179" spans="1:13" x14ac:dyDescent="0.3">
      <c r="A179" s="1">
        <v>45451</v>
      </c>
      <c r="B179" t="s">
        <v>35</v>
      </c>
      <c r="C179" t="s">
        <v>23</v>
      </c>
      <c r="D179" s="2">
        <v>0</v>
      </c>
      <c r="E179" s="2">
        <v>7726.63</v>
      </c>
      <c r="F179" s="2">
        <v>46562.75</v>
      </c>
      <c r="G179" s="2" t="str">
        <f t="shared" si="2"/>
        <v>08-06-2024 NEFT/YESEB41601792243/ZERODHA BROKING LTD- FOR ZER/YES BANK/12067726cc9f47dca08914 Zerodh</v>
      </c>
      <c r="H179" s="2" t="s">
        <v>1335</v>
      </c>
      <c r="I179" t="s">
        <v>46</v>
      </c>
      <c r="K179" t="s">
        <v>1323</v>
      </c>
    </row>
    <row r="180" spans="1:13" x14ac:dyDescent="0.3">
      <c r="A180" s="1">
        <v>45452</v>
      </c>
      <c r="B180" t="s">
        <v>271</v>
      </c>
      <c r="C180" t="s">
        <v>272</v>
      </c>
      <c r="D180" s="2">
        <v>20000</v>
      </c>
      <c r="E180" s="2">
        <v>0</v>
      </c>
      <c r="F180" s="2">
        <v>23403.13</v>
      </c>
      <c r="G180" s="2" t="str">
        <f t="shared" si="2"/>
        <v>09-06-2024 01671000085930-TPT-MNY RTRN FROM SUNITA TO AKG-AJAY KUMAR GUPTA</v>
      </c>
      <c r="H180" s="2" t="s">
        <v>1335</v>
      </c>
      <c r="I180" t="s">
        <v>52</v>
      </c>
      <c r="K180" t="s">
        <v>1322</v>
      </c>
    </row>
    <row r="181" spans="1:13" x14ac:dyDescent="0.3">
      <c r="A181" s="1">
        <v>45453</v>
      </c>
      <c r="B181" t="s">
        <v>36</v>
      </c>
      <c r="C181" t="s">
        <v>23</v>
      </c>
      <c r="D181" s="2">
        <v>108</v>
      </c>
      <c r="E181" s="2">
        <v>0</v>
      </c>
      <c r="F181" s="2">
        <v>46454.75</v>
      </c>
      <c r="G181" s="2" t="str">
        <f t="shared" si="2"/>
        <v>10-06-2024 GST @18% on MAB Charge</v>
      </c>
      <c r="H181" s="2" t="s">
        <v>1335</v>
      </c>
      <c r="I181" t="s">
        <v>47</v>
      </c>
      <c r="K181" t="s">
        <v>1323</v>
      </c>
    </row>
    <row r="182" spans="1:13" x14ac:dyDescent="0.3">
      <c r="A182" s="1">
        <v>45453</v>
      </c>
      <c r="B182" t="s">
        <v>37</v>
      </c>
      <c r="C182" t="s">
        <v>23</v>
      </c>
      <c r="D182" s="2">
        <v>600</v>
      </c>
      <c r="E182" s="2">
        <v>0</v>
      </c>
      <c r="F182" s="2">
        <v>45854.75</v>
      </c>
      <c r="G182" s="2" t="str">
        <f t="shared" si="2"/>
        <v>10-06-2024 Non-Maint Avg bal chgs Apr2024</v>
      </c>
      <c r="H182" s="2" t="s">
        <v>1335</v>
      </c>
      <c r="I182" t="s">
        <v>47</v>
      </c>
      <c r="K182" t="s">
        <v>1323</v>
      </c>
    </row>
    <row r="183" spans="1:13" x14ac:dyDescent="0.3">
      <c r="A183" s="1">
        <v>45453</v>
      </c>
      <c r="B183" t="s">
        <v>84</v>
      </c>
      <c r="C183" t="s">
        <v>273</v>
      </c>
      <c r="D183" s="2">
        <v>0</v>
      </c>
      <c r="E183" s="2">
        <v>56230.07</v>
      </c>
      <c r="F183" s="2">
        <v>79633.2</v>
      </c>
      <c r="G183" s="2" t="str">
        <f t="shared" si="2"/>
        <v>10-06-2024 NET PO FROM HSL A/C 523686-50200085415108</v>
      </c>
      <c r="H183" s="2" t="s">
        <v>1335</v>
      </c>
      <c r="I183" t="s">
        <v>337</v>
      </c>
      <c r="K183" t="s">
        <v>1322</v>
      </c>
    </row>
    <row r="184" spans="1:13" x14ac:dyDescent="0.3">
      <c r="A184" s="1">
        <v>45453</v>
      </c>
      <c r="B184" t="s">
        <v>82</v>
      </c>
      <c r="C184" t="s">
        <v>274</v>
      </c>
      <c r="D184" s="2">
        <v>1149.33</v>
      </c>
      <c r="E184" s="2">
        <v>0</v>
      </c>
      <c r="F184" s="2">
        <v>78483.87</v>
      </c>
      <c r="G184" s="2" t="str">
        <f t="shared" si="2"/>
        <v>10-06-2024 NET PI TO HSL SEC A/C 523686-00602340029434</v>
      </c>
      <c r="H184" s="2" t="s">
        <v>1335</v>
      </c>
      <c r="I184" t="s">
        <v>337</v>
      </c>
      <c r="K184" t="s">
        <v>1322</v>
      </c>
    </row>
    <row r="185" spans="1:13" x14ac:dyDescent="0.3">
      <c r="A185" s="1">
        <v>45453</v>
      </c>
      <c r="B185" t="s">
        <v>275</v>
      </c>
      <c r="C185" t="s">
        <v>276</v>
      </c>
      <c r="D185" s="2">
        <v>0</v>
      </c>
      <c r="E185" s="2">
        <v>29757</v>
      </c>
      <c r="F185" s="2">
        <v>108240.87</v>
      </c>
      <c r="G185" s="2" t="str">
        <f t="shared" si="2"/>
        <v>10-06-2024 NEFT CR-SBIN0004266-SBI GENERAL INSURANCE CO LTDSBI GEN-SUNITA GUPTA 0000000002717756-SBIN124162902146</v>
      </c>
      <c r="H185" s="2" t="s">
        <v>1335</v>
      </c>
      <c r="I185" t="s">
        <v>345</v>
      </c>
      <c r="J185" t="s">
        <v>1327</v>
      </c>
      <c r="K185" t="s">
        <v>1322</v>
      </c>
      <c r="L185" s="11">
        <f>ROUND(E185/0.9,0)</f>
        <v>33063</v>
      </c>
      <c r="M185" s="11">
        <f>L185-E185</f>
        <v>3306</v>
      </c>
    </row>
    <row r="186" spans="1:13" x14ac:dyDescent="0.3">
      <c r="A186" s="1">
        <v>45453</v>
      </c>
      <c r="B186" t="s">
        <v>82</v>
      </c>
      <c r="C186" t="s">
        <v>277</v>
      </c>
      <c r="D186" s="2">
        <v>35676.160000000003</v>
      </c>
      <c r="E186" s="2">
        <v>0</v>
      </c>
      <c r="F186" s="2">
        <v>72564.710000000006</v>
      </c>
      <c r="G186" s="2" t="str">
        <f t="shared" si="2"/>
        <v>10-06-2024 NET PI TO HSL SEC A/C 523686-00602340029434</v>
      </c>
      <c r="H186" s="2" t="s">
        <v>1335</v>
      </c>
      <c r="I186" t="s">
        <v>337</v>
      </c>
      <c r="K186" t="s">
        <v>1322</v>
      </c>
    </row>
    <row r="187" spans="1:13" x14ac:dyDescent="0.3">
      <c r="A187" s="1">
        <v>45454</v>
      </c>
      <c r="B187" t="s">
        <v>84</v>
      </c>
      <c r="C187" t="s">
        <v>278</v>
      </c>
      <c r="D187" s="2">
        <v>0</v>
      </c>
      <c r="E187" s="2">
        <v>17608.23</v>
      </c>
      <c r="F187" s="2">
        <v>90172.94</v>
      </c>
      <c r="G187" s="2" t="str">
        <f t="shared" si="2"/>
        <v>11-06-2024 NET PO FROM HSL A/C 523686-50200085415108</v>
      </c>
      <c r="H187" s="2" t="s">
        <v>1335</v>
      </c>
      <c r="I187" t="s">
        <v>337</v>
      </c>
      <c r="K187" t="s">
        <v>1322</v>
      </c>
    </row>
    <row r="188" spans="1:13" x14ac:dyDescent="0.3">
      <c r="A188" s="1">
        <v>45454</v>
      </c>
      <c r="B188" t="s">
        <v>82</v>
      </c>
      <c r="C188" t="s">
        <v>279</v>
      </c>
      <c r="D188" s="2">
        <v>370.41</v>
      </c>
      <c r="E188" s="2">
        <v>0</v>
      </c>
      <c r="F188" s="2">
        <v>89802.53</v>
      </c>
      <c r="G188" s="2" t="str">
        <f t="shared" si="2"/>
        <v>11-06-2024 NET PI TO HSL SEC A/C 523686-00602340029434</v>
      </c>
      <c r="H188" s="2" t="s">
        <v>1335</v>
      </c>
      <c r="I188" t="s">
        <v>337</v>
      </c>
      <c r="K188" t="s">
        <v>1322</v>
      </c>
    </row>
    <row r="189" spans="1:13" x14ac:dyDescent="0.3">
      <c r="A189" s="1">
        <v>45454</v>
      </c>
      <c r="B189" t="s">
        <v>82</v>
      </c>
      <c r="C189" t="s">
        <v>280</v>
      </c>
      <c r="D189" s="2">
        <v>61786.82</v>
      </c>
      <c r="E189" s="2">
        <v>0</v>
      </c>
      <c r="F189" s="2">
        <v>28015.71</v>
      </c>
      <c r="G189" s="2" t="str">
        <f t="shared" si="2"/>
        <v>11-06-2024 NET PI TO HSL SEC A/C 523686-00602340029434</v>
      </c>
      <c r="H189" s="2" t="s">
        <v>1335</v>
      </c>
      <c r="I189" t="s">
        <v>337</v>
      </c>
      <c r="K189" t="s">
        <v>1322</v>
      </c>
    </row>
    <row r="190" spans="1:13" x14ac:dyDescent="0.3">
      <c r="A190" s="1">
        <v>45455</v>
      </c>
      <c r="B190" t="s">
        <v>82</v>
      </c>
      <c r="C190" t="s">
        <v>281</v>
      </c>
      <c r="D190" s="2">
        <v>387.2</v>
      </c>
      <c r="E190" s="2">
        <v>0</v>
      </c>
      <c r="F190" s="2">
        <v>27628.51</v>
      </c>
      <c r="G190" s="2" t="str">
        <f t="shared" si="2"/>
        <v>12-06-2024 NET PI TO HSL SEC A/C 523686-00602340029434</v>
      </c>
      <c r="H190" s="2" t="s">
        <v>1335</v>
      </c>
      <c r="I190" t="s">
        <v>337</v>
      </c>
      <c r="K190" t="s">
        <v>1322</v>
      </c>
    </row>
    <row r="191" spans="1:13" x14ac:dyDescent="0.3">
      <c r="A191" s="1">
        <v>45456</v>
      </c>
      <c r="B191" t="s">
        <v>84</v>
      </c>
      <c r="C191" t="s">
        <v>282</v>
      </c>
      <c r="D191" s="2">
        <v>0</v>
      </c>
      <c r="E191" s="2">
        <v>60155.519999999997</v>
      </c>
      <c r="F191" s="2">
        <v>87784.03</v>
      </c>
      <c r="G191" s="2" t="str">
        <f t="shared" si="2"/>
        <v>13-06-2024 NET PO FROM HSL A/C 523686-50200085415108</v>
      </c>
      <c r="H191" s="2" t="s">
        <v>1335</v>
      </c>
      <c r="I191" t="s">
        <v>337</v>
      </c>
      <c r="K191" t="s">
        <v>1322</v>
      </c>
    </row>
    <row r="192" spans="1:13" x14ac:dyDescent="0.3">
      <c r="A192" s="1">
        <v>45456</v>
      </c>
      <c r="B192" t="s">
        <v>84</v>
      </c>
      <c r="C192" t="s">
        <v>283</v>
      </c>
      <c r="D192" s="2">
        <v>0</v>
      </c>
      <c r="E192" s="2">
        <v>48812.56</v>
      </c>
      <c r="F192" s="2">
        <v>136596.59</v>
      </c>
      <c r="G192" s="2" t="str">
        <f t="shared" si="2"/>
        <v>13-06-2024 NET PO FROM HSL A/C 523686-50200085415108</v>
      </c>
      <c r="H192" s="2" t="s">
        <v>1335</v>
      </c>
      <c r="I192" t="s">
        <v>337</v>
      </c>
      <c r="K192" t="s">
        <v>1322</v>
      </c>
    </row>
    <row r="193" spans="1:13" x14ac:dyDescent="0.3">
      <c r="A193" s="1">
        <v>45456</v>
      </c>
      <c r="B193" t="s">
        <v>284</v>
      </c>
      <c r="C193" t="s">
        <v>285</v>
      </c>
      <c r="D193" s="2">
        <v>50000</v>
      </c>
      <c r="E193" s="2">
        <v>0</v>
      </c>
      <c r="F193" s="2">
        <v>86596.59</v>
      </c>
      <c r="G193" s="2" t="str">
        <f t="shared" si="2"/>
        <v>13-06-2024 50100542230922-TPT-TRANS FROM SUNITA TO ARCHIT-ARCHIT GUPTA</v>
      </c>
      <c r="H193" s="2" t="s">
        <v>1335</v>
      </c>
      <c r="I193" t="s">
        <v>339</v>
      </c>
      <c r="K193" t="s">
        <v>1322</v>
      </c>
    </row>
    <row r="194" spans="1:13" x14ac:dyDescent="0.3">
      <c r="A194" s="1">
        <v>45456</v>
      </c>
      <c r="B194" t="s">
        <v>286</v>
      </c>
      <c r="C194" t="s">
        <v>287</v>
      </c>
      <c r="D194" s="2">
        <v>50000</v>
      </c>
      <c r="E194" s="2">
        <v>0</v>
      </c>
      <c r="F194" s="2">
        <v>36596.589999999997</v>
      </c>
      <c r="G194" s="2" t="str">
        <f t="shared" si="2"/>
        <v>13-06-2024 YHDF2352323582/BILLDKINDIANCLEARING</v>
      </c>
      <c r="H194" s="2" t="s">
        <v>1335</v>
      </c>
      <c r="I194" t="s">
        <v>1325</v>
      </c>
      <c r="K194" t="s">
        <v>1322</v>
      </c>
    </row>
    <row r="195" spans="1:13" x14ac:dyDescent="0.3">
      <c r="A195" s="1">
        <v>45456</v>
      </c>
      <c r="B195" t="s">
        <v>82</v>
      </c>
      <c r="C195" t="s">
        <v>288</v>
      </c>
      <c r="D195" s="2">
        <v>433.51</v>
      </c>
      <c r="E195" s="2">
        <v>0</v>
      </c>
      <c r="F195" s="2">
        <v>36163.08</v>
      </c>
      <c r="G195" s="2" t="str">
        <f t="shared" si="2"/>
        <v>13-06-2024 NET PI TO HSL SEC A/C 523686-00602340029434</v>
      </c>
      <c r="H195" s="2" t="s">
        <v>1335</v>
      </c>
      <c r="I195" t="s">
        <v>337</v>
      </c>
      <c r="K195" t="s">
        <v>1322</v>
      </c>
    </row>
    <row r="196" spans="1:13" x14ac:dyDescent="0.3">
      <c r="A196" s="1">
        <v>45456</v>
      </c>
      <c r="B196" t="s">
        <v>289</v>
      </c>
      <c r="C196" t="s">
        <v>290</v>
      </c>
      <c r="D196" s="2">
        <v>0</v>
      </c>
      <c r="E196" s="2">
        <v>2380</v>
      </c>
      <c r="F196" s="2">
        <v>38543.08</v>
      </c>
      <c r="G196" s="2" t="str">
        <f t="shared" si="2"/>
        <v>13-06-2024 NEFT CR-SBIN0004266-SBI GENERAL INSURANCE CO LTDSBI GEN-SUNITA GUPTA 0000000002717756-SBIN524165752954</v>
      </c>
      <c r="H196" s="2" t="s">
        <v>1335</v>
      </c>
      <c r="I196" t="s">
        <v>345</v>
      </c>
      <c r="J196" t="s">
        <v>1327</v>
      </c>
      <c r="K196" t="s">
        <v>1322</v>
      </c>
      <c r="L196" s="11">
        <v>2645</v>
      </c>
      <c r="M196" s="11">
        <f>L196-E196</f>
        <v>265</v>
      </c>
    </row>
    <row r="197" spans="1:13" x14ac:dyDescent="0.3">
      <c r="A197" s="1">
        <v>45456</v>
      </c>
      <c r="B197" t="s">
        <v>82</v>
      </c>
      <c r="C197" t="s">
        <v>291</v>
      </c>
      <c r="D197" s="2">
        <v>26388.21</v>
      </c>
      <c r="E197" s="2">
        <v>0</v>
      </c>
      <c r="F197" s="2">
        <v>12154.87</v>
      </c>
      <c r="G197" s="2" t="str">
        <f t="shared" ref="G197:G260" si="3">TEXT(A197,"DD")&amp;"-"&amp;TEXT(A197,"MM")&amp;"-"&amp;TEXT(A197,"YYYY")&amp;" "&amp;B197</f>
        <v>13-06-2024 NET PI TO HSL SEC A/C 523686-00602340029434</v>
      </c>
      <c r="H197" s="2" t="s">
        <v>1335</v>
      </c>
      <c r="I197" t="s">
        <v>337</v>
      </c>
      <c r="K197" t="s">
        <v>1322</v>
      </c>
    </row>
    <row r="198" spans="1:13" x14ac:dyDescent="0.3">
      <c r="A198" s="1">
        <v>45457</v>
      </c>
      <c r="B198" t="s">
        <v>82</v>
      </c>
      <c r="C198" t="s">
        <v>292</v>
      </c>
      <c r="D198" s="2">
        <v>395.45</v>
      </c>
      <c r="E198" s="2">
        <v>0</v>
      </c>
      <c r="F198" s="2">
        <v>11759.42</v>
      </c>
      <c r="G198" s="2" t="str">
        <f t="shared" si="3"/>
        <v>14-06-2024 NET PI TO HSL SEC A/C 523686-00602340029434</v>
      </c>
      <c r="H198" s="2" t="s">
        <v>1335</v>
      </c>
      <c r="I198" t="s">
        <v>337</v>
      </c>
      <c r="K198" t="s">
        <v>1322</v>
      </c>
    </row>
    <row r="199" spans="1:13" x14ac:dyDescent="0.3">
      <c r="A199" s="1">
        <v>45461</v>
      </c>
      <c r="B199" t="s">
        <v>84</v>
      </c>
      <c r="C199" t="s">
        <v>293</v>
      </c>
      <c r="D199" s="2">
        <v>0</v>
      </c>
      <c r="E199" s="2">
        <v>42936.66</v>
      </c>
      <c r="F199" s="2">
        <v>54696.08</v>
      </c>
      <c r="G199" s="2" t="str">
        <f t="shared" si="3"/>
        <v>18-06-2024 NET PO FROM HSL A/C 523686-50200085415108</v>
      </c>
      <c r="H199" s="2" t="s">
        <v>1335</v>
      </c>
      <c r="I199" t="s">
        <v>337</v>
      </c>
      <c r="K199" t="s">
        <v>1322</v>
      </c>
    </row>
    <row r="200" spans="1:13" x14ac:dyDescent="0.3">
      <c r="A200" s="1">
        <v>45461</v>
      </c>
      <c r="B200" t="s">
        <v>114</v>
      </c>
      <c r="C200" t="s">
        <v>294</v>
      </c>
      <c r="D200" s="2">
        <v>5000</v>
      </c>
      <c r="E200" s="2">
        <v>0</v>
      </c>
      <c r="F200" s="2">
        <v>49696.08</v>
      </c>
      <c r="G200" s="2" t="str">
        <f t="shared" si="3"/>
        <v>18-06-2024 ACH D- INDIAN CLEARING CORP-P25847643X05</v>
      </c>
      <c r="H200" s="2" t="s">
        <v>1335</v>
      </c>
      <c r="I200" t="s">
        <v>341</v>
      </c>
      <c r="K200" t="s">
        <v>1322</v>
      </c>
    </row>
    <row r="201" spans="1:13" x14ac:dyDescent="0.3">
      <c r="A201" s="1">
        <v>45461</v>
      </c>
      <c r="B201" t="s">
        <v>295</v>
      </c>
      <c r="C201" t="s">
        <v>98</v>
      </c>
      <c r="D201" s="2">
        <v>2871.57</v>
      </c>
      <c r="E201" s="2">
        <v>0</v>
      </c>
      <c r="F201" s="2">
        <v>46824.51</v>
      </c>
      <c r="G201" s="2" t="str">
        <f t="shared" si="3"/>
        <v>18-06-2024 DEPOSITORY CHARGES MAY24 - 41060499</v>
      </c>
      <c r="H201" s="2" t="s">
        <v>1335</v>
      </c>
      <c r="I201" t="s">
        <v>343</v>
      </c>
      <c r="K201" t="s">
        <v>1322</v>
      </c>
    </row>
    <row r="202" spans="1:13" x14ac:dyDescent="0.3">
      <c r="A202" s="1">
        <v>45461</v>
      </c>
      <c r="B202" t="s">
        <v>82</v>
      </c>
      <c r="C202" t="s">
        <v>296</v>
      </c>
      <c r="D202" s="2">
        <v>1677.96</v>
      </c>
      <c r="E202" s="2">
        <v>0</v>
      </c>
      <c r="F202" s="2">
        <v>45146.55</v>
      </c>
      <c r="G202" s="2" t="str">
        <f t="shared" si="3"/>
        <v>18-06-2024 NET PI TO HSL SEC A/C 523686-00602340029434</v>
      </c>
      <c r="H202" s="2" t="s">
        <v>1335</v>
      </c>
      <c r="I202" t="s">
        <v>337</v>
      </c>
      <c r="K202" t="s">
        <v>1322</v>
      </c>
    </row>
    <row r="203" spans="1:13" x14ac:dyDescent="0.3">
      <c r="A203" s="1">
        <v>45462</v>
      </c>
      <c r="B203" t="s">
        <v>84</v>
      </c>
      <c r="C203" t="s">
        <v>297</v>
      </c>
      <c r="D203" s="2">
        <v>0</v>
      </c>
      <c r="E203" s="2">
        <v>56690.36</v>
      </c>
      <c r="F203" s="2">
        <v>101836.91</v>
      </c>
      <c r="G203" s="2" t="str">
        <f t="shared" si="3"/>
        <v>19-06-2024 NET PO FROM HSL A/C 523686-50200085415108</v>
      </c>
      <c r="H203" s="2" t="s">
        <v>1335</v>
      </c>
      <c r="I203" t="s">
        <v>337</v>
      </c>
      <c r="K203" t="s">
        <v>1322</v>
      </c>
    </row>
    <row r="204" spans="1:13" x14ac:dyDescent="0.3">
      <c r="A204" s="1">
        <v>45462</v>
      </c>
      <c r="B204" t="s">
        <v>84</v>
      </c>
      <c r="C204" t="s">
        <v>298</v>
      </c>
      <c r="D204" s="2">
        <v>0</v>
      </c>
      <c r="E204" s="2">
        <v>48063.89</v>
      </c>
      <c r="F204" s="2">
        <v>149900.79999999999</v>
      </c>
      <c r="G204" s="2" t="str">
        <f t="shared" si="3"/>
        <v>19-06-2024 NET PO FROM HSL A/C 523686-50200085415108</v>
      </c>
      <c r="H204" s="2" t="s">
        <v>1335</v>
      </c>
      <c r="I204" t="s">
        <v>337</v>
      </c>
      <c r="K204" t="s">
        <v>1322</v>
      </c>
    </row>
    <row r="205" spans="1:13" x14ac:dyDescent="0.3">
      <c r="A205" s="1">
        <v>45462</v>
      </c>
      <c r="B205" t="s">
        <v>82</v>
      </c>
      <c r="C205" t="s">
        <v>299</v>
      </c>
      <c r="D205" s="2">
        <v>401.3</v>
      </c>
      <c r="E205" s="2">
        <v>0</v>
      </c>
      <c r="F205" s="2">
        <v>149499.5</v>
      </c>
      <c r="G205" s="2" t="str">
        <f t="shared" si="3"/>
        <v>19-06-2024 NET PI TO HSL SEC A/C 523686-00602340029434</v>
      </c>
      <c r="H205" s="2" t="s">
        <v>1335</v>
      </c>
      <c r="I205" t="s">
        <v>337</v>
      </c>
      <c r="K205" t="s">
        <v>1322</v>
      </c>
    </row>
    <row r="206" spans="1:13" x14ac:dyDescent="0.3">
      <c r="A206" s="1">
        <v>45462</v>
      </c>
      <c r="B206" t="s">
        <v>82</v>
      </c>
      <c r="C206" t="s">
        <v>300</v>
      </c>
      <c r="D206" s="2">
        <v>3814.25</v>
      </c>
      <c r="E206" s="2">
        <v>0</v>
      </c>
      <c r="F206" s="2">
        <v>145685.25</v>
      </c>
      <c r="G206" s="2" t="str">
        <f t="shared" si="3"/>
        <v>19-06-2024 NET PI TO HSL SEC A/C 523686-00602340029434</v>
      </c>
      <c r="H206" s="2" t="s">
        <v>1335</v>
      </c>
      <c r="I206" t="s">
        <v>337</v>
      </c>
      <c r="K206" t="s">
        <v>1322</v>
      </c>
    </row>
    <row r="207" spans="1:13" x14ac:dyDescent="0.3">
      <c r="A207" s="1">
        <v>45463</v>
      </c>
      <c r="B207" t="s">
        <v>82</v>
      </c>
      <c r="C207" t="s">
        <v>301</v>
      </c>
      <c r="D207" s="2">
        <v>387.58</v>
      </c>
      <c r="E207" s="2">
        <v>0</v>
      </c>
      <c r="F207" s="2">
        <v>145297.67000000001</v>
      </c>
      <c r="G207" s="2" t="str">
        <f t="shared" si="3"/>
        <v>20-06-2024 NET PI TO HSL SEC A/C 523686-00602340029434</v>
      </c>
      <c r="H207" s="2" t="s">
        <v>1335</v>
      </c>
      <c r="I207" t="s">
        <v>337</v>
      </c>
      <c r="K207" t="s">
        <v>1322</v>
      </c>
    </row>
    <row r="208" spans="1:13" x14ac:dyDescent="0.3">
      <c r="A208" s="1">
        <v>45464</v>
      </c>
      <c r="B208" t="s">
        <v>38</v>
      </c>
      <c r="C208" t="s">
        <v>23</v>
      </c>
      <c r="D208" s="2">
        <v>25000</v>
      </c>
      <c r="E208" s="2">
        <v>0</v>
      </c>
      <c r="F208" s="2">
        <v>20854.75</v>
      </c>
      <c r="G208" s="2" t="str">
        <f t="shared" si="3"/>
        <v>21-06-2024 UPI/P2M/417362340012/ZERODHA BROKING LIMIT/244473/ICICI Bank</v>
      </c>
      <c r="H208" s="2" t="s">
        <v>1335</v>
      </c>
      <c r="I208" t="s">
        <v>46</v>
      </c>
      <c r="K208" t="s">
        <v>1323</v>
      </c>
    </row>
    <row r="209" spans="1:11" x14ac:dyDescent="0.3">
      <c r="A209" s="1">
        <v>45464</v>
      </c>
      <c r="B209" t="s">
        <v>84</v>
      </c>
      <c r="C209" t="s">
        <v>302</v>
      </c>
      <c r="D209" s="2">
        <v>0</v>
      </c>
      <c r="E209" s="2">
        <v>28677.57</v>
      </c>
      <c r="F209" s="2">
        <v>173975.24</v>
      </c>
      <c r="G209" s="2" t="str">
        <f t="shared" si="3"/>
        <v>21-06-2024 NET PO FROM HSL A/C 523686-50200085415108</v>
      </c>
      <c r="H209" s="2" t="s">
        <v>1335</v>
      </c>
      <c r="I209" t="s">
        <v>337</v>
      </c>
      <c r="K209" t="s">
        <v>1322</v>
      </c>
    </row>
    <row r="210" spans="1:11" x14ac:dyDescent="0.3">
      <c r="A210" s="1">
        <v>45464</v>
      </c>
      <c r="B210" t="s">
        <v>84</v>
      </c>
      <c r="C210" t="s">
        <v>303</v>
      </c>
      <c r="D210" s="2">
        <v>0</v>
      </c>
      <c r="E210" s="2">
        <v>39997.5</v>
      </c>
      <c r="F210" s="2">
        <v>213972.74</v>
      </c>
      <c r="G210" s="2" t="str">
        <f t="shared" si="3"/>
        <v>21-06-2024 NET PO FROM HSL A/C 523686-50200085415108</v>
      </c>
      <c r="H210" s="2" t="s">
        <v>1335</v>
      </c>
      <c r="I210" t="s">
        <v>337</v>
      </c>
      <c r="K210" t="s">
        <v>1322</v>
      </c>
    </row>
    <row r="211" spans="1:11" x14ac:dyDescent="0.3">
      <c r="A211" s="1">
        <v>45464</v>
      </c>
      <c r="B211" t="s">
        <v>82</v>
      </c>
      <c r="C211" t="s">
        <v>304</v>
      </c>
      <c r="D211" s="2">
        <v>387.58</v>
      </c>
      <c r="E211" s="2">
        <v>0</v>
      </c>
      <c r="F211" s="2">
        <v>213585.16</v>
      </c>
      <c r="G211" s="2" t="str">
        <f t="shared" si="3"/>
        <v>21-06-2024 NET PI TO HSL SEC A/C 523686-00602340029434</v>
      </c>
      <c r="H211" s="2" t="s">
        <v>1335</v>
      </c>
      <c r="I211" t="s">
        <v>337</v>
      </c>
      <c r="K211" t="s">
        <v>1322</v>
      </c>
    </row>
    <row r="212" spans="1:11" x14ac:dyDescent="0.3">
      <c r="A212" s="1">
        <v>45464</v>
      </c>
      <c r="B212" t="s">
        <v>305</v>
      </c>
      <c r="C212" t="s">
        <v>306</v>
      </c>
      <c r="D212" s="2">
        <v>31329</v>
      </c>
      <c r="E212" s="2">
        <v>0</v>
      </c>
      <c r="F212" s="2">
        <v>182256.16</v>
      </c>
      <c r="G212" s="2" t="str">
        <f t="shared" si="3"/>
        <v>21-06-2024 YHDF2359276422/BILLDKTHECALCUTTAELE</v>
      </c>
      <c r="H212" s="2" t="s">
        <v>1335</v>
      </c>
      <c r="I212" t="s">
        <v>1326</v>
      </c>
      <c r="K212" t="s">
        <v>1322</v>
      </c>
    </row>
    <row r="213" spans="1:11" x14ac:dyDescent="0.3">
      <c r="A213" s="1">
        <v>45465</v>
      </c>
      <c r="B213" t="s">
        <v>39</v>
      </c>
      <c r="C213" t="s">
        <v>23</v>
      </c>
      <c r="D213" s="2">
        <v>1000</v>
      </c>
      <c r="E213" s="2">
        <v>0</v>
      </c>
      <c r="F213" s="2">
        <v>19854.75</v>
      </c>
      <c r="G213" s="2" t="str">
        <f t="shared" si="3"/>
        <v>22-06-2024 UPI/P2A/454025238186/PRERANA MANOJ CHANDAK/kitty/Axis Bank Ltd.</v>
      </c>
      <c r="H213" s="2" t="s">
        <v>1335</v>
      </c>
      <c r="I213" t="s">
        <v>49</v>
      </c>
      <c r="K213" t="s">
        <v>1323</v>
      </c>
    </row>
    <row r="214" spans="1:11" x14ac:dyDescent="0.3">
      <c r="A214" s="1">
        <v>45467</v>
      </c>
      <c r="B214" t="s">
        <v>40</v>
      </c>
      <c r="C214" t="s">
        <v>23</v>
      </c>
      <c r="D214" s="2">
        <v>0</v>
      </c>
      <c r="E214" s="2">
        <v>50000</v>
      </c>
      <c r="F214" s="2">
        <v>69854.75</v>
      </c>
      <c r="G214" s="2" t="str">
        <f t="shared" si="3"/>
        <v>24-06-2024 NEFT/N176243108305610/SUNITA GUPTA/HDFC BANK/Trf frm Sunita HDF</v>
      </c>
      <c r="H214" s="2" t="s">
        <v>1335</v>
      </c>
      <c r="I214" t="s">
        <v>51</v>
      </c>
      <c r="K214" t="s">
        <v>1323</v>
      </c>
    </row>
    <row r="215" spans="1:11" x14ac:dyDescent="0.3">
      <c r="A215" s="1">
        <v>45467</v>
      </c>
      <c r="B215" t="s">
        <v>41</v>
      </c>
      <c r="C215" t="s">
        <v>23</v>
      </c>
      <c r="D215" s="2">
        <v>30000</v>
      </c>
      <c r="E215" s="2">
        <v>0</v>
      </c>
      <c r="F215" s="2">
        <v>39854.75</v>
      </c>
      <c r="G215" s="2" t="str">
        <f t="shared" si="3"/>
        <v>24-06-2024 UPI/P2M/417673461227/ZERODHA BROKING LIMIT/922743/ICICI Bank</v>
      </c>
      <c r="H215" s="2" t="s">
        <v>1335</v>
      </c>
      <c r="I215" t="s">
        <v>46</v>
      </c>
      <c r="K215" t="s">
        <v>1323</v>
      </c>
    </row>
    <row r="216" spans="1:11" x14ac:dyDescent="0.3">
      <c r="A216" s="1">
        <v>45467</v>
      </c>
      <c r="B216" t="s">
        <v>42</v>
      </c>
      <c r="C216" t="s">
        <v>23</v>
      </c>
      <c r="D216" s="2">
        <v>30000</v>
      </c>
      <c r="E216" s="2">
        <v>0</v>
      </c>
      <c r="F216" s="2">
        <v>9854.75</v>
      </c>
      <c r="G216" s="2" t="str">
        <f t="shared" si="3"/>
        <v>24-06-2024 UPI/P2M/417673480863/ZERODHA BROKING LIMIT/102002/ICICI Bank</v>
      </c>
      <c r="H216" s="2" t="s">
        <v>1335</v>
      </c>
      <c r="I216" t="s">
        <v>46</v>
      </c>
      <c r="K216" t="s">
        <v>1323</v>
      </c>
    </row>
    <row r="217" spans="1:11" x14ac:dyDescent="0.3">
      <c r="A217" s="1">
        <v>45467</v>
      </c>
      <c r="B217" t="s">
        <v>43</v>
      </c>
      <c r="C217" t="s">
        <v>23</v>
      </c>
      <c r="D217" s="2">
        <v>0</v>
      </c>
      <c r="E217" s="2">
        <v>25000</v>
      </c>
      <c r="F217" s="2">
        <v>34854.75</v>
      </c>
      <c r="G217" s="2" t="str">
        <f t="shared" si="3"/>
        <v>24-06-2024 NEFT/N176243109164220/SUNITA GUPTA/HDFC BANK/tfr frm Axis 2 hfc</v>
      </c>
      <c r="H217" s="2" t="s">
        <v>1335</v>
      </c>
      <c r="I217" t="s">
        <v>51</v>
      </c>
      <c r="K217" t="s">
        <v>1323</v>
      </c>
    </row>
    <row r="218" spans="1:11" x14ac:dyDescent="0.3">
      <c r="A218" s="1">
        <v>45467</v>
      </c>
      <c r="B218" t="s">
        <v>84</v>
      </c>
      <c r="C218" t="s">
        <v>307</v>
      </c>
      <c r="D218" s="2">
        <v>0</v>
      </c>
      <c r="E218" s="2">
        <v>19521.12</v>
      </c>
      <c r="F218" s="2">
        <v>201777.28</v>
      </c>
      <c r="G218" s="2" t="str">
        <f t="shared" si="3"/>
        <v>24-06-2024 NET PO FROM HSL A/C 523686-50200085415108</v>
      </c>
      <c r="H218" s="2" t="s">
        <v>1335</v>
      </c>
      <c r="I218" t="s">
        <v>337</v>
      </c>
      <c r="K218" t="s">
        <v>1322</v>
      </c>
    </row>
    <row r="219" spans="1:11" x14ac:dyDescent="0.3">
      <c r="A219" s="1">
        <v>45467</v>
      </c>
      <c r="B219" t="s">
        <v>84</v>
      </c>
      <c r="C219" t="s">
        <v>308</v>
      </c>
      <c r="D219" s="2">
        <v>0</v>
      </c>
      <c r="E219" s="2">
        <v>25173.360000000001</v>
      </c>
      <c r="F219" s="2">
        <v>226950.64</v>
      </c>
      <c r="G219" s="2" t="str">
        <f t="shared" si="3"/>
        <v>24-06-2024 NET PO FROM HSL A/C 523686-50200085415108</v>
      </c>
      <c r="H219" s="2" t="s">
        <v>1335</v>
      </c>
      <c r="I219" t="s">
        <v>337</v>
      </c>
      <c r="K219" t="s">
        <v>1322</v>
      </c>
    </row>
    <row r="220" spans="1:11" x14ac:dyDescent="0.3">
      <c r="A220" s="1">
        <v>45467</v>
      </c>
      <c r="B220" t="s">
        <v>309</v>
      </c>
      <c r="C220" t="s">
        <v>310</v>
      </c>
      <c r="D220" s="2">
        <v>50000</v>
      </c>
      <c r="E220" s="2">
        <v>0</v>
      </c>
      <c r="F220" s="2">
        <v>176950.64</v>
      </c>
      <c r="G220" s="2" t="str">
        <f t="shared" si="3"/>
        <v>24-06-2024 NEFT DR-UTIB0002656-SUNITA GUPTA-NETBANK, MUM-N176243108305610-TRF FRM SUNITA HDF</v>
      </c>
      <c r="H220" s="2" t="s">
        <v>1335</v>
      </c>
      <c r="I220" t="s">
        <v>51</v>
      </c>
      <c r="K220" t="s">
        <v>1322</v>
      </c>
    </row>
    <row r="221" spans="1:11" x14ac:dyDescent="0.3">
      <c r="A221" s="1">
        <v>45467</v>
      </c>
      <c r="B221" t="s">
        <v>82</v>
      </c>
      <c r="C221" t="s">
        <v>311</v>
      </c>
      <c r="D221" s="2">
        <v>1135.23</v>
      </c>
      <c r="E221" s="2">
        <v>0</v>
      </c>
      <c r="F221" s="2">
        <v>175815.41</v>
      </c>
      <c r="G221" s="2" t="str">
        <f t="shared" si="3"/>
        <v>24-06-2024 NET PI TO HSL SEC A/C 523686-00602340029434</v>
      </c>
      <c r="H221" s="2" t="s">
        <v>1335</v>
      </c>
      <c r="I221" t="s">
        <v>337</v>
      </c>
      <c r="K221" t="s">
        <v>1322</v>
      </c>
    </row>
    <row r="222" spans="1:11" x14ac:dyDescent="0.3">
      <c r="A222" s="1">
        <v>45467</v>
      </c>
      <c r="B222" t="s">
        <v>312</v>
      </c>
      <c r="C222" t="s">
        <v>313</v>
      </c>
      <c r="D222" s="2">
        <v>25000</v>
      </c>
      <c r="E222" s="2">
        <v>0</v>
      </c>
      <c r="F222" s="2">
        <v>150815.41</v>
      </c>
      <c r="G222" s="2" t="str">
        <f t="shared" si="3"/>
        <v>24-06-2024 NEFT DR-UTIB0002656-SUNITA GUPTA-NETBANK, MUM-N176243109164220-TFR FRM AXIS 2 HFC</v>
      </c>
      <c r="H222" s="2" t="s">
        <v>1335</v>
      </c>
      <c r="I222" t="s">
        <v>51</v>
      </c>
      <c r="K222" t="s">
        <v>1322</v>
      </c>
    </row>
    <row r="223" spans="1:11" x14ac:dyDescent="0.3">
      <c r="A223" s="1">
        <v>45468</v>
      </c>
      <c r="B223" t="s">
        <v>84</v>
      </c>
      <c r="C223" t="s">
        <v>314</v>
      </c>
      <c r="D223" s="2">
        <v>0</v>
      </c>
      <c r="E223" s="2">
        <v>34583.15</v>
      </c>
      <c r="F223" s="2">
        <v>185398.56</v>
      </c>
      <c r="G223" s="2" t="str">
        <f t="shared" si="3"/>
        <v>25-06-2024 NET PO FROM HSL A/C 523686-50200085415108</v>
      </c>
      <c r="H223" s="2" t="s">
        <v>1335</v>
      </c>
      <c r="I223" t="s">
        <v>337</v>
      </c>
      <c r="K223" t="s">
        <v>1322</v>
      </c>
    </row>
    <row r="224" spans="1:11" x14ac:dyDescent="0.3">
      <c r="A224" s="1">
        <v>45468</v>
      </c>
      <c r="B224" t="s">
        <v>84</v>
      </c>
      <c r="C224" t="s">
        <v>315</v>
      </c>
      <c r="D224" s="2">
        <v>0</v>
      </c>
      <c r="E224" s="2">
        <v>86730.8</v>
      </c>
      <c r="F224" s="2">
        <v>272129.36</v>
      </c>
      <c r="G224" s="2" t="str">
        <f t="shared" si="3"/>
        <v>25-06-2024 NET PO FROM HSL A/C 523686-50200085415108</v>
      </c>
      <c r="H224" s="2" t="s">
        <v>1335</v>
      </c>
      <c r="I224" t="s">
        <v>337</v>
      </c>
      <c r="K224" t="s">
        <v>1322</v>
      </c>
    </row>
    <row r="225" spans="1:11" x14ac:dyDescent="0.3">
      <c r="A225" s="1">
        <v>45468</v>
      </c>
      <c r="B225" t="s">
        <v>114</v>
      </c>
      <c r="C225" t="s">
        <v>316</v>
      </c>
      <c r="D225" s="2">
        <v>10000</v>
      </c>
      <c r="E225" s="2">
        <v>0</v>
      </c>
      <c r="F225" s="2">
        <v>262129.36</v>
      </c>
      <c r="G225" s="2" t="str">
        <f t="shared" si="3"/>
        <v>25-06-2024 ACH D- INDIAN CLEARING CORP-P25847643X05</v>
      </c>
      <c r="H225" s="2" t="s">
        <v>1335</v>
      </c>
      <c r="I225" t="s">
        <v>342</v>
      </c>
      <c r="K225" t="s">
        <v>1322</v>
      </c>
    </row>
    <row r="226" spans="1:11" x14ac:dyDescent="0.3">
      <c r="A226" s="1">
        <v>45468</v>
      </c>
      <c r="B226" t="s">
        <v>317</v>
      </c>
      <c r="C226" t="s">
        <v>318</v>
      </c>
      <c r="D226" s="2">
        <v>150000</v>
      </c>
      <c r="E226" s="2">
        <v>0</v>
      </c>
      <c r="F226" s="2">
        <v>112129.36</v>
      </c>
      <c r="G226" s="2" t="str">
        <f t="shared" si="3"/>
        <v>25-06-2024 01671000085930-TPT-MARRIAGE EXPENSES FROM SUNITA-AJAY KUMAR GUPTA</v>
      </c>
      <c r="H226" s="2" t="s">
        <v>1335</v>
      </c>
      <c r="I226" t="s">
        <v>52</v>
      </c>
      <c r="K226" t="s">
        <v>1322</v>
      </c>
    </row>
    <row r="227" spans="1:11" x14ac:dyDescent="0.3">
      <c r="A227" s="1">
        <v>45468</v>
      </c>
      <c r="B227" t="s">
        <v>82</v>
      </c>
      <c r="C227" t="s">
        <v>319</v>
      </c>
      <c r="D227" s="2">
        <v>370.62</v>
      </c>
      <c r="E227" s="2">
        <v>0</v>
      </c>
      <c r="F227" s="2">
        <v>111758.74</v>
      </c>
      <c r="G227" s="2" t="str">
        <f t="shared" si="3"/>
        <v>25-06-2024 NET PI TO HSL SEC A/C 523686-00602340029434</v>
      </c>
      <c r="H227" s="2" t="s">
        <v>1335</v>
      </c>
      <c r="I227" t="s">
        <v>337</v>
      </c>
      <c r="K227" t="s">
        <v>1322</v>
      </c>
    </row>
    <row r="228" spans="1:11" x14ac:dyDescent="0.3">
      <c r="A228" s="1">
        <v>45468</v>
      </c>
      <c r="B228" t="s">
        <v>320</v>
      </c>
      <c r="C228" t="s">
        <v>321</v>
      </c>
      <c r="D228" s="2">
        <v>0</v>
      </c>
      <c r="E228" s="2">
        <v>720</v>
      </c>
      <c r="F228" s="2">
        <v>112478.74</v>
      </c>
      <c r="G228" s="2" t="str">
        <f t="shared" si="3"/>
        <v>25-06-2024 ACH C- HINDUSTANUNILEVERL-00000000000030</v>
      </c>
      <c r="H228" s="2" t="s">
        <v>1335</v>
      </c>
      <c r="I228" t="s">
        <v>340</v>
      </c>
      <c r="K228" t="s">
        <v>1322</v>
      </c>
    </row>
    <row r="229" spans="1:11" x14ac:dyDescent="0.3">
      <c r="A229" s="1">
        <v>45468</v>
      </c>
      <c r="B229" t="s">
        <v>322</v>
      </c>
      <c r="C229" t="s">
        <v>323</v>
      </c>
      <c r="D229" s="2">
        <v>0</v>
      </c>
      <c r="E229" s="2">
        <v>50</v>
      </c>
      <c r="F229" s="2">
        <v>112528.74</v>
      </c>
      <c r="G229" s="2" t="str">
        <f t="shared" si="3"/>
        <v>25-06-2024 ACH C- HIMADRI SPECIALITY C-NIN300476410</v>
      </c>
      <c r="H229" s="2" t="s">
        <v>1335</v>
      </c>
      <c r="I229" t="s">
        <v>340</v>
      </c>
      <c r="K229" t="s">
        <v>1322</v>
      </c>
    </row>
    <row r="230" spans="1:11" x14ac:dyDescent="0.3">
      <c r="A230" s="1">
        <v>45468</v>
      </c>
      <c r="B230" t="s">
        <v>82</v>
      </c>
      <c r="C230" t="s">
        <v>324</v>
      </c>
      <c r="D230" s="2">
        <v>31517.3</v>
      </c>
      <c r="E230" s="2">
        <v>0</v>
      </c>
      <c r="F230" s="2">
        <v>81011.44</v>
      </c>
      <c r="G230" s="2" t="str">
        <f t="shared" si="3"/>
        <v>25-06-2024 NET PI TO HSL SEC A/C 523686-00602340029434</v>
      </c>
      <c r="H230" s="2" t="s">
        <v>1335</v>
      </c>
      <c r="I230" t="s">
        <v>337</v>
      </c>
      <c r="K230" t="s">
        <v>1322</v>
      </c>
    </row>
    <row r="231" spans="1:11" x14ac:dyDescent="0.3">
      <c r="A231" s="9">
        <v>45468</v>
      </c>
      <c r="B231" t="s">
        <v>1281</v>
      </c>
      <c r="D231" s="2">
        <v>0</v>
      </c>
      <c r="E231" s="2">
        <v>169</v>
      </c>
      <c r="F231" s="2">
        <v>24289.7</v>
      </c>
      <c r="G231" s="2" t="str">
        <f t="shared" si="3"/>
        <v>25-06-2024    CREDIT INTEREST---</v>
      </c>
      <c r="H231" s="2" t="s">
        <v>1335</v>
      </c>
      <c r="I231" t="s">
        <v>344</v>
      </c>
      <c r="K231" t="s">
        <v>1324</v>
      </c>
    </row>
    <row r="232" spans="1:11" x14ac:dyDescent="0.3">
      <c r="A232" s="1">
        <v>45469</v>
      </c>
      <c r="B232" t="s">
        <v>84</v>
      </c>
      <c r="C232" t="s">
        <v>325</v>
      </c>
      <c r="D232" s="2">
        <v>0</v>
      </c>
      <c r="E232" s="2">
        <v>7425.28</v>
      </c>
      <c r="F232" s="2">
        <v>88436.72</v>
      </c>
      <c r="G232" s="2" t="str">
        <f t="shared" si="3"/>
        <v>26-06-2024 NET PO FROM HSL A/C 523686-50200085415108</v>
      </c>
      <c r="H232" s="2" t="s">
        <v>1335</v>
      </c>
      <c r="I232" t="s">
        <v>337</v>
      </c>
      <c r="K232" t="s">
        <v>1322</v>
      </c>
    </row>
    <row r="233" spans="1:11" x14ac:dyDescent="0.3">
      <c r="A233" s="1">
        <v>45469</v>
      </c>
      <c r="B233" t="s">
        <v>84</v>
      </c>
      <c r="C233" t="s">
        <v>326</v>
      </c>
      <c r="D233" s="2">
        <v>0</v>
      </c>
      <c r="E233" s="2">
        <v>50389.77</v>
      </c>
      <c r="F233" s="2">
        <v>138826.49</v>
      </c>
      <c r="G233" s="2" t="str">
        <f t="shared" si="3"/>
        <v>26-06-2024 NET PO FROM HSL A/C 523686-50200085415108</v>
      </c>
      <c r="H233" s="2" t="s">
        <v>1335</v>
      </c>
      <c r="I233" t="s">
        <v>337</v>
      </c>
      <c r="K233" t="s">
        <v>1322</v>
      </c>
    </row>
    <row r="234" spans="1:11" x14ac:dyDescent="0.3">
      <c r="A234" s="1">
        <v>45469</v>
      </c>
      <c r="B234" t="s">
        <v>82</v>
      </c>
      <c r="C234" t="s">
        <v>327</v>
      </c>
      <c r="D234" s="2">
        <v>340.57</v>
      </c>
      <c r="E234" s="2">
        <v>0</v>
      </c>
      <c r="F234" s="2">
        <v>138485.92000000001</v>
      </c>
      <c r="G234" s="2" t="str">
        <f t="shared" si="3"/>
        <v>26-06-2024 NET PI TO HSL SEC A/C 523686-00602340029434</v>
      </c>
      <c r="H234" s="2" t="s">
        <v>1335</v>
      </c>
      <c r="I234" t="s">
        <v>337</v>
      </c>
      <c r="K234" t="s">
        <v>1322</v>
      </c>
    </row>
    <row r="235" spans="1:11" x14ac:dyDescent="0.3">
      <c r="A235" s="1">
        <v>45469</v>
      </c>
      <c r="B235" t="s">
        <v>82</v>
      </c>
      <c r="C235" t="s">
        <v>328</v>
      </c>
      <c r="D235" s="2">
        <v>5260.5</v>
      </c>
      <c r="E235" s="2">
        <v>0</v>
      </c>
      <c r="F235" s="2">
        <v>133225.42000000001</v>
      </c>
      <c r="G235" s="2" t="str">
        <f t="shared" si="3"/>
        <v>26-06-2024 NET PI TO HSL SEC A/C 523686-00602340029434</v>
      </c>
      <c r="H235" s="2" t="s">
        <v>1335</v>
      </c>
      <c r="I235" t="s">
        <v>337</v>
      </c>
      <c r="K235" t="s">
        <v>1322</v>
      </c>
    </row>
    <row r="236" spans="1:11" x14ac:dyDescent="0.3">
      <c r="A236" s="1">
        <v>45470</v>
      </c>
      <c r="B236" t="s">
        <v>82</v>
      </c>
      <c r="C236" t="s">
        <v>329</v>
      </c>
      <c r="D236" s="2">
        <v>316.83999999999997</v>
      </c>
      <c r="E236" s="2">
        <v>0</v>
      </c>
      <c r="F236" s="2">
        <v>132908.57999999999</v>
      </c>
      <c r="G236" s="2" t="str">
        <f t="shared" si="3"/>
        <v>27-06-2024 NET PI TO HSL SEC A/C 523686-00602340029434</v>
      </c>
      <c r="H236" s="2" t="s">
        <v>1335</v>
      </c>
      <c r="I236" t="s">
        <v>337</v>
      </c>
      <c r="K236" t="s">
        <v>1322</v>
      </c>
    </row>
    <row r="237" spans="1:11" x14ac:dyDescent="0.3">
      <c r="A237" s="1">
        <v>45470</v>
      </c>
      <c r="B237" t="s">
        <v>330</v>
      </c>
      <c r="C237" t="s">
        <v>331</v>
      </c>
      <c r="D237" s="2">
        <v>0</v>
      </c>
      <c r="E237" s="2">
        <v>84.57</v>
      </c>
      <c r="F237" s="2">
        <v>132993.15</v>
      </c>
      <c r="G237" s="2" t="str">
        <f t="shared" si="3"/>
        <v>27-06-2024 NEFT CR-UTIB0000004-AXIS MUTUAL FUND DIVIDEND A/C-SUNITA GUPTA-AXISCN0662480411</v>
      </c>
      <c r="H237" s="2" t="s">
        <v>1335</v>
      </c>
      <c r="I237" t="s">
        <v>346</v>
      </c>
      <c r="K237" t="s">
        <v>1322</v>
      </c>
    </row>
    <row r="238" spans="1:11" x14ac:dyDescent="0.3">
      <c r="A238" s="1">
        <v>45470</v>
      </c>
      <c r="B238" t="s">
        <v>82</v>
      </c>
      <c r="C238" t="s">
        <v>332</v>
      </c>
      <c r="D238" s="2">
        <v>2666.08</v>
      </c>
      <c r="E238" s="2">
        <v>0</v>
      </c>
      <c r="F238" s="2">
        <v>130327.07</v>
      </c>
      <c r="G238" s="2" t="str">
        <f t="shared" si="3"/>
        <v>27-06-2024 NET PI TO HSL SEC A/C 523686-00602340029434</v>
      </c>
      <c r="H238" s="2" t="s">
        <v>1335</v>
      </c>
      <c r="I238" t="s">
        <v>337</v>
      </c>
      <c r="K238" t="s">
        <v>1322</v>
      </c>
    </row>
    <row r="239" spans="1:11" x14ac:dyDescent="0.3">
      <c r="A239" s="1">
        <v>45471</v>
      </c>
      <c r="B239" t="s">
        <v>333</v>
      </c>
      <c r="C239" t="s">
        <v>334</v>
      </c>
      <c r="D239" s="2">
        <v>0</v>
      </c>
      <c r="E239" s="2">
        <v>1800</v>
      </c>
      <c r="F239" s="2">
        <v>132127.07</v>
      </c>
      <c r="G239" s="2" t="str">
        <f t="shared" si="3"/>
        <v>28-06-2024 ACH C- LTIMIN FINAL 2023 24-213986</v>
      </c>
      <c r="H239" s="2" t="s">
        <v>1335</v>
      </c>
      <c r="I239" t="s">
        <v>340</v>
      </c>
      <c r="K239" t="s">
        <v>1322</v>
      </c>
    </row>
    <row r="240" spans="1:11" x14ac:dyDescent="0.3">
      <c r="A240" s="1">
        <v>45471</v>
      </c>
      <c r="B240" t="s">
        <v>82</v>
      </c>
      <c r="C240" t="s">
        <v>335</v>
      </c>
      <c r="D240" s="2">
        <v>315.89</v>
      </c>
      <c r="E240" s="2">
        <v>0</v>
      </c>
      <c r="F240" s="2">
        <v>131811.18</v>
      </c>
      <c r="G240" s="2" t="str">
        <f t="shared" si="3"/>
        <v>28-06-2024 NET PI TO HSL SEC A/C 523686-00602340029434</v>
      </c>
      <c r="H240" s="2" t="s">
        <v>1335</v>
      </c>
      <c r="I240" t="s">
        <v>337</v>
      </c>
      <c r="K240" t="s">
        <v>1322</v>
      </c>
    </row>
    <row r="241" spans="1:11" x14ac:dyDescent="0.3">
      <c r="A241" s="1">
        <v>45472</v>
      </c>
      <c r="B241" t="s">
        <v>44</v>
      </c>
      <c r="C241" t="s">
        <v>23</v>
      </c>
      <c r="D241" s="2">
        <v>770</v>
      </c>
      <c r="E241" s="2">
        <v>0</v>
      </c>
      <c r="F241" s="2">
        <v>34084.75</v>
      </c>
      <c r="G241" s="2" t="str">
        <f t="shared" si="3"/>
        <v>29-06-2024 UPI/P2A/418192452596/BHARTI RATAN DEVNANI /tiffin/Union Bank of India</v>
      </c>
      <c r="H241" s="2" t="s">
        <v>1335</v>
      </c>
      <c r="I241" t="s">
        <v>48</v>
      </c>
      <c r="K241" t="s">
        <v>1323</v>
      </c>
    </row>
    <row r="242" spans="1:11" x14ac:dyDescent="0.3">
      <c r="A242" s="1">
        <v>45473</v>
      </c>
      <c r="B242" t="s">
        <v>336</v>
      </c>
      <c r="C242" t="s">
        <v>98</v>
      </c>
      <c r="D242" s="2">
        <v>0</v>
      </c>
      <c r="E242" s="2">
        <v>567</v>
      </c>
      <c r="F242" s="2">
        <v>132378.18</v>
      </c>
      <c r="G242" s="2" t="str">
        <f t="shared" si="3"/>
        <v>30-06-2024 INTEREST PAID TILL 30-JUN-2024</v>
      </c>
      <c r="H242" s="2" t="s">
        <v>1335</v>
      </c>
      <c r="I242" t="s">
        <v>344</v>
      </c>
      <c r="K242" t="s">
        <v>1322</v>
      </c>
    </row>
    <row r="243" spans="1:11" x14ac:dyDescent="0.3">
      <c r="A243" s="1">
        <v>45474</v>
      </c>
      <c r="B243" t="s">
        <v>348</v>
      </c>
      <c r="C243" t="s">
        <v>23</v>
      </c>
      <c r="D243" s="2">
        <v>0</v>
      </c>
      <c r="E243" s="2">
        <v>208</v>
      </c>
      <c r="F243" s="2">
        <v>34292.75</v>
      </c>
      <c r="G243" s="2" t="str">
        <f t="shared" si="3"/>
        <v>01-07-2024 SB:919010088767042:Int.Pd:01-04-2024 to 30-06-2024</v>
      </c>
      <c r="H243" s="2" t="s">
        <v>1335</v>
      </c>
      <c r="I243" t="s">
        <v>344</v>
      </c>
      <c r="K243" t="s">
        <v>1323</v>
      </c>
    </row>
    <row r="244" spans="1:11" x14ac:dyDescent="0.3">
      <c r="A244" s="1">
        <v>45474</v>
      </c>
      <c r="B244" t="s">
        <v>349</v>
      </c>
      <c r="C244" t="s">
        <v>23</v>
      </c>
      <c r="D244" s="2">
        <v>0</v>
      </c>
      <c r="E244" s="2">
        <v>805</v>
      </c>
      <c r="F244" s="2">
        <v>35097.75</v>
      </c>
      <c r="G244" s="2" t="str">
        <f t="shared" si="3"/>
        <v>01-07-2024 ACH-CR-CANBANK DIV 2023-24-NACH-6544153-6544153</v>
      </c>
      <c r="H244" s="2" t="s">
        <v>1335</v>
      </c>
      <c r="I244" t="s">
        <v>340</v>
      </c>
      <c r="K244" t="s">
        <v>1323</v>
      </c>
    </row>
    <row r="245" spans="1:11" x14ac:dyDescent="0.3">
      <c r="A245" s="1">
        <v>45474</v>
      </c>
      <c r="B245" t="s">
        <v>350</v>
      </c>
      <c r="C245" t="s">
        <v>23</v>
      </c>
      <c r="D245" s="2">
        <v>2000</v>
      </c>
      <c r="E245" s="2">
        <v>0</v>
      </c>
      <c r="F245" s="2">
        <v>33097.75</v>
      </c>
      <c r="G245" s="2" t="str">
        <f t="shared" si="3"/>
        <v>01-07-2024 ATM-CASH-AXIS/BPRH265601/1591/010724/NASHIK</v>
      </c>
      <c r="H245" s="2" t="s">
        <v>1335</v>
      </c>
      <c r="I245" t="s">
        <v>50</v>
      </c>
      <c r="K245" t="s">
        <v>1323</v>
      </c>
    </row>
    <row r="246" spans="1:11" x14ac:dyDescent="0.3">
      <c r="A246" s="1">
        <v>45474</v>
      </c>
      <c r="B246" t="s">
        <v>84</v>
      </c>
      <c r="C246" t="s">
        <v>420</v>
      </c>
      <c r="D246" s="2">
        <v>0</v>
      </c>
      <c r="E246" s="2">
        <v>29030.37</v>
      </c>
      <c r="F246" s="2">
        <v>161408.54999999999</v>
      </c>
      <c r="G246" s="2" t="str">
        <f t="shared" si="3"/>
        <v>01-07-2024 NET PO FROM HSL A/C 523686-50200085415108</v>
      </c>
      <c r="H246" s="2" t="s">
        <v>1335</v>
      </c>
      <c r="I246" t="s">
        <v>337</v>
      </c>
      <c r="K246" t="s">
        <v>1322</v>
      </c>
    </row>
    <row r="247" spans="1:11" x14ac:dyDescent="0.3">
      <c r="A247" s="1">
        <v>45474</v>
      </c>
      <c r="B247" t="s">
        <v>82</v>
      </c>
      <c r="C247" t="s">
        <v>421</v>
      </c>
      <c r="D247" s="2">
        <v>947.67</v>
      </c>
      <c r="E247" s="2">
        <v>0</v>
      </c>
      <c r="F247" s="2">
        <v>160460.88</v>
      </c>
      <c r="G247" s="2" t="str">
        <f t="shared" si="3"/>
        <v>01-07-2024 NET PI TO HSL SEC A/C 523686-00602340029434</v>
      </c>
      <c r="H247" s="2" t="s">
        <v>1335</v>
      </c>
      <c r="I247" t="s">
        <v>337</v>
      </c>
      <c r="K247" t="s">
        <v>1322</v>
      </c>
    </row>
    <row r="248" spans="1:11" x14ac:dyDescent="0.3">
      <c r="A248" s="1">
        <v>45474</v>
      </c>
      <c r="B248" t="s">
        <v>422</v>
      </c>
      <c r="C248" t="s">
        <v>423</v>
      </c>
      <c r="D248" s="2">
        <v>0</v>
      </c>
      <c r="E248" s="2">
        <v>1610</v>
      </c>
      <c r="F248" s="2">
        <v>162070.88</v>
      </c>
      <c r="G248" s="2" t="str">
        <f t="shared" si="3"/>
        <v>01-07-2024 ACH C- CANBANK DIV 2023-24-6273195</v>
      </c>
      <c r="H248" s="2" t="s">
        <v>1335</v>
      </c>
      <c r="I248" t="s">
        <v>340</v>
      </c>
      <c r="K248" t="s">
        <v>1322</v>
      </c>
    </row>
    <row r="249" spans="1:11" x14ac:dyDescent="0.3">
      <c r="A249" s="1">
        <v>45474</v>
      </c>
      <c r="B249" t="s">
        <v>424</v>
      </c>
      <c r="C249" t="s">
        <v>425</v>
      </c>
      <c r="D249" s="2">
        <v>0</v>
      </c>
      <c r="E249" s="2">
        <v>2800</v>
      </c>
      <c r="F249" s="2">
        <v>164870.88</v>
      </c>
      <c r="G249" s="2" t="str">
        <f t="shared" si="3"/>
        <v>01-07-2024 ACH C- INFOSYS LIMITED-40612091</v>
      </c>
      <c r="H249" s="2" t="s">
        <v>1335</v>
      </c>
      <c r="I249" t="s">
        <v>340</v>
      </c>
      <c r="K249" t="s">
        <v>1322</v>
      </c>
    </row>
    <row r="250" spans="1:11" x14ac:dyDescent="0.3">
      <c r="A250" s="1">
        <v>45474</v>
      </c>
      <c r="B250" t="s">
        <v>426</v>
      </c>
      <c r="C250" t="s">
        <v>427</v>
      </c>
      <c r="D250" s="2">
        <v>5000</v>
      </c>
      <c r="E250" s="2">
        <v>0</v>
      </c>
      <c r="F250" s="2">
        <v>159870.88</v>
      </c>
      <c r="G250" s="2" t="str">
        <f t="shared" si="3"/>
        <v>01-07-2024 ATW-498792XXXXXX0500-CHBDL001-NASHIK</v>
      </c>
      <c r="H250" s="2" t="s">
        <v>1335</v>
      </c>
      <c r="I250" t="s">
        <v>50</v>
      </c>
      <c r="K250" t="s">
        <v>1322</v>
      </c>
    </row>
    <row r="251" spans="1:11" x14ac:dyDescent="0.3">
      <c r="A251" s="1">
        <v>45474</v>
      </c>
      <c r="B251" t="s">
        <v>1282</v>
      </c>
      <c r="D251" s="2">
        <v>2000</v>
      </c>
      <c r="E251" s="2">
        <v>0</v>
      </c>
      <c r="F251" s="2">
        <v>22289.7</v>
      </c>
      <c r="G251" s="2" t="str">
        <f t="shared" si="3"/>
        <v>01-07-2024    ATM WDL-ATM CASH 2734  SBI SHIVAJI NAGAR ATM NASHIK--</v>
      </c>
      <c r="H251" s="2" t="s">
        <v>1335</v>
      </c>
      <c r="I251" t="s">
        <v>50</v>
      </c>
      <c r="K251" t="s">
        <v>1324</v>
      </c>
    </row>
    <row r="252" spans="1:11" x14ac:dyDescent="0.3">
      <c r="A252" s="1">
        <v>45475</v>
      </c>
      <c r="B252" t="s">
        <v>84</v>
      </c>
      <c r="C252" t="s">
        <v>428</v>
      </c>
      <c r="D252" s="2">
        <v>0</v>
      </c>
      <c r="E252" s="2">
        <v>11268.65</v>
      </c>
      <c r="F252" s="2">
        <v>171139.53</v>
      </c>
      <c r="G252" s="2" t="str">
        <f t="shared" si="3"/>
        <v>02-07-2024 NET PO FROM HSL A/C 523686-50200085415108</v>
      </c>
      <c r="H252" s="2" t="s">
        <v>1335</v>
      </c>
      <c r="I252" t="s">
        <v>337</v>
      </c>
      <c r="K252" t="s">
        <v>1322</v>
      </c>
    </row>
    <row r="253" spans="1:11" x14ac:dyDescent="0.3">
      <c r="A253" s="1">
        <v>45475</v>
      </c>
      <c r="B253" t="s">
        <v>82</v>
      </c>
      <c r="C253" t="s">
        <v>429</v>
      </c>
      <c r="D253" s="2">
        <v>306</v>
      </c>
      <c r="E253" s="2">
        <v>0</v>
      </c>
      <c r="F253" s="2">
        <v>170833.53</v>
      </c>
      <c r="G253" s="2" t="str">
        <f t="shared" si="3"/>
        <v>02-07-2024 NET PI TO HSL SEC A/C 523686-00602340029434</v>
      </c>
      <c r="H253" s="2" t="s">
        <v>1335</v>
      </c>
      <c r="I253" t="s">
        <v>337</v>
      </c>
      <c r="K253" t="s">
        <v>1322</v>
      </c>
    </row>
    <row r="254" spans="1:11" x14ac:dyDescent="0.3">
      <c r="A254" s="1">
        <v>45475</v>
      </c>
      <c r="B254" t="s">
        <v>82</v>
      </c>
      <c r="C254" t="s">
        <v>430</v>
      </c>
      <c r="D254" s="2">
        <v>49494.48</v>
      </c>
      <c r="E254" s="2">
        <v>0</v>
      </c>
      <c r="F254" s="2">
        <v>121339.05</v>
      </c>
      <c r="G254" s="2" t="str">
        <f t="shared" si="3"/>
        <v>02-07-2024 NET PI TO HSL SEC A/C 523686-00602340029434</v>
      </c>
      <c r="H254" s="2" t="s">
        <v>1335</v>
      </c>
      <c r="I254" t="s">
        <v>337</v>
      </c>
      <c r="K254" t="s">
        <v>1322</v>
      </c>
    </row>
    <row r="255" spans="1:11" x14ac:dyDescent="0.3">
      <c r="A255" s="1">
        <v>45476</v>
      </c>
      <c r="B255" t="s">
        <v>351</v>
      </c>
      <c r="C255" t="s">
        <v>23</v>
      </c>
      <c r="D255" s="2">
        <v>0</v>
      </c>
      <c r="E255" s="2">
        <v>3688.79</v>
      </c>
      <c r="F255" s="2">
        <v>36786.54</v>
      </c>
      <c r="G255" s="2" t="str">
        <f t="shared" si="3"/>
        <v>03-07-2024 NEFT/YESEB41852036982/ZERODHA BROKING LTD- FOR ZER/YES BANK/4565c0180515af30213b5d Zerodh</v>
      </c>
      <c r="H255" s="2" t="s">
        <v>1335</v>
      </c>
      <c r="I255" t="s">
        <v>46</v>
      </c>
      <c r="K255" t="s">
        <v>1323</v>
      </c>
    </row>
    <row r="256" spans="1:11" x14ac:dyDescent="0.3">
      <c r="A256" s="1">
        <v>45476</v>
      </c>
      <c r="B256" t="s">
        <v>82</v>
      </c>
      <c r="C256" t="s">
        <v>431</v>
      </c>
      <c r="D256" s="2">
        <v>283.44</v>
      </c>
      <c r="E256" s="2">
        <v>0</v>
      </c>
      <c r="F256" s="2">
        <v>121055.61</v>
      </c>
      <c r="G256" s="2" t="str">
        <f t="shared" si="3"/>
        <v>03-07-2024 NET PI TO HSL SEC A/C 523686-00602340029434</v>
      </c>
      <c r="H256" s="2" t="s">
        <v>1335</v>
      </c>
      <c r="I256" t="s">
        <v>337</v>
      </c>
      <c r="K256" t="s">
        <v>1322</v>
      </c>
    </row>
    <row r="257" spans="1:13" x14ac:dyDescent="0.3">
      <c r="A257" s="1">
        <v>45477</v>
      </c>
      <c r="B257" t="s">
        <v>84</v>
      </c>
      <c r="C257" t="s">
        <v>432</v>
      </c>
      <c r="D257" s="2">
        <v>0</v>
      </c>
      <c r="E257" s="2">
        <v>4094.42</v>
      </c>
      <c r="F257" s="2">
        <v>125150.03</v>
      </c>
      <c r="G257" s="2" t="str">
        <f t="shared" si="3"/>
        <v>04-07-2024 NET PO FROM HSL A/C 523686-50200085415108</v>
      </c>
      <c r="H257" s="2" t="s">
        <v>1335</v>
      </c>
      <c r="I257" t="s">
        <v>337</v>
      </c>
      <c r="K257" t="s">
        <v>1322</v>
      </c>
    </row>
    <row r="258" spans="1:13" x14ac:dyDescent="0.3">
      <c r="A258" s="1">
        <v>45477</v>
      </c>
      <c r="B258" t="s">
        <v>433</v>
      </c>
      <c r="C258" t="s">
        <v>434</v>
      </c>
      <c r="D258" s="2">
        <v>0</v>
      </c>
      <c r="E258" s="2">
        <v>210</v>
      </c>
      <c r="F258" s="2">
        <v>125360.03</v>
      </c>
      <c r="G258" s="2" t="str">
        <f t="shared" si="3"/>
        <v>04-07-2024 DR LAL PATH DIV23 2400000000000000009172</v>
      </c>
      <c r="H258" s="2" t="s">
        <v>1335</v>
      </c>
      <c r="I258" t="s">
        <v>340</v>
      </c>
      <c r="K258" t="s">
        <v>1322</v>
      </c>
    </row>
    <row r="259" spans="1:13" x14ac:dyDescent="0.3">
      <c r="A259" s="1">
        <v>45477</v>
      </c>
      <c r="B259" t="s">
        <v>82</v>
      </c>
      <c r="C259" t="s">
        <v>435</v>
      </c>
      <c r="D259" s="2">
        <v>322.26</v>
      </c>
      <c r="E259" s="2">
        <v>0</v>
      </c>
      <c r="F259" s="2">
        <v>125037.77</v>
      </c>
      <c r="G259" s="2" t="str">
        <f t="shared" si="3"/>
        <v>04-07-2024 NET PI TO HSL SEC A/C 523686-00602340029434</v>
      </c>
      <c r="H259" s="2" t="s">
        <v>1335</v>
      </c>
      <c r="I259" t="s">
        <v>337</v>
      </c>
      <c r="K259" t="s">
        <v>1322</v>
      </c>
    </row>
    <row r="260" spans="1:13" x14ac:dyDescent="0.3">
      <c r="A260" s="1">
        <v>45477</v>
      </c>
      <c r="B260" t="s">
        <v>82</v>
      </c>
      <c r="C260" t="s">
        <v>436</v>
      </c>
      <c r="D260" s="2">
        <v>3478.18</v>
      </c>
      <c r="E260" s="2">
        <v>0</v>
      </c>
      <c r="F260" s="2">
        <v>121559.59</v>
      </c>
      <c r="G260" s="2" t="str">
        <f t="shared" si="3"/>
        <v>04-07-2024 NET PI TO HSL SEC A/C 523686-00602340029434</v>
      </c>
      <c r="H260" s="2" t="s">
        <v>1335</v>
      </c>
      <c r="I260" t="s">
        <v>337</v>
      </c>
      <c r="K260" t="s">
        <v>1322</v>
      </c>
    </row>
    <row r="261" spans="1:13" x14ac:dyDescent="0.3">
      <c r="A261" s="1">
        <v>45478</v>
      </c>
      <c r="B261" t="s">
        <v>352</v>
      </c>
      <c r="C261" t="s">
        <v>23</v>
      </c>
      <c r="D261" s="2">
        <v>22</v>
      </c>
      <c r="E261" s="2">
        <v>0</v>
      </c>
      <c r="F261" s="2">
        <v>36764.54</v>
      </c>
      <c r="G261" s="2" t="str">
        <f t="shared" ref="G261:G324" si="4">TEXT(A261,"DD")&amp;"-"&amp;TEXT(A261,"MM")&amp;"-"&amp;TEXT(A261,"YYYY")&amp;" "&amp;B261</f>
        <v>05-07-2024 UPI/P2M/455345663321/JEET PHARMACY AND MIN/medici/Axis Bank Ltd.</v>
      </c>
      <c r="H261" s="2" t="s">
        <v>1335</v>
      </c>
      <c r="I261" t="s">
        <v>1309</v>
      </c>
      <c r="K261" t="s">
        <v>1323</v>
      </c>
    </row>
    <row r="262" spans="1:13" x14ac:dyDescent="0.3">
      <c r="A262" s="1">
        <v>45478</v>
      </c>
      <c r="B262" t="s">
        <v>353</v>
      </c>
      <c r="C262" t="s">
        <v>23</v>
      </c>
      <c r="D262" s="2">
        <v>0</v>
      </c>
      <c r="E262" s="2">
        <v>1000</v>
      </c>
      <c r="F262" s="2">
        <v>37764.54</v>
      </c>
      <c r="G262" s="2" t="str">
        <f t="shared" si="4"/>
        <v>05-07-2024 UPI/P2A/455392699359/RAKHI VIN/ICICI Ban/UPI/</v>
      </c>
      <c r="H262" s="2" t="s">
        <v>1335</v>
      </c>
      <c r="I262" t="s">
        <v>1309</v>
      </c>
      <c r="K262" t="s">
        <v>1323</v>
      </c>
    </row>
    <row r="263" spans="1:13" x14ac:dyDescent="0.3">
      <c r="A263" s="1">
        <v>45478</v>
      </c>
      <c r="B263" t="s">
        <v>82</v>
      </c>
      <c r="C263" t="s">
        <v>437</v>
      </c>
      <c r="D263" s="2">
        <v>322.48</v>
      </c>
      <c r="E263" s="2">
        <v>0</v>
      </c>
      <c r="F263" s="2">
        <v>121237.11</v>
      </c>
      <c r="G263" s="2" t="str">
        <f t="shared" si="4"/>
        <v>05-07-2024 NET PI TO HSL SEC A/C 523686-00602340029434</v>
      </c>
      <c r="H263" s="2" t="s">
        <v>1335</v>
      </c>
      <c r="I263" t="s">
        <v>337</v>
      </c>
      <c r="K263" t="s">
        <v>1322</v>
      </c>
    </row>
    <row r="264" spans="1:13" x14ac:dyDescent="0.3">
      <c r="A264" s="1">
        <v>45478</v>
      </c>
      <c r="B264" t="s">
        <v>438</v>
      </c>
      <c r="C264" t="s">
        <v>439</v>
      </c>
      <c r="D264" s="2">
        <v>0</v>
      </c>
      <c r="E264" s="2">
        <v>29757</v>
      </c>
      <c r="F264" s="2">
        <v>150994.10999999999</v>
      </c>
      <c r="G264" s="2" t="str">
        <f t="shared" si="4"/>
        <v>05-07-2024 NEFT CR-SBIN0004266-SBI GENERAL INSURANCE CO LTDSBI GEN-SUNITA GUPTA 0000000002717756-SBIN224187615721</v>
      </c>
      <c r="H264" s="2" t="s">
        <v>1335</v>
      </c>
      <c r="I264" t="s">
        <v>345</v>
      </c>
      <c r="J264" t="s">
        <v>1328</v>
      </c>
      <c r="K264" t="s">
        <v>1322</v>
      </c>
      <c r="L264" s="11">
        <f>ROUND(E264/0.9,0)</f>
        <v>33063</v>
      </c>
      <c r="M264" s="11">
        <f>L264-E264</f>
        <v>3306</v>
      </c>
    </row>
    <row r="265" spans="1:13" x14ac:dyDescent="0.3">
      <c r="A265" s="1">
        <v>45478</v>
      </c>
      <c r="B265" t="s">
        <v>440</v>
      </c>
      <c r="C265" t="s">
        <v>441</v>
      </c>
      <c r="D265" s="2">
        <v>0</v>
      </c>
      <c r="E265" s="2">
        <v>31329</v>
      </c>
      <c r="F265" s="2">
        <v>182323.11</v>
      </c>
      <c r="G265" s="2" t="str">
        <f t="shared" si="4"/>
        <v>05-07-2024 NEFT CR-SBIN0004266-SBI GENERAL INSURANCE CO LTDSBI GEN-SUNITA GUPTA 0000000002717756-SBIN224187636782</v>
      </c>
      <c r="H265" s="2" t="s">
        <v>1335</v>
      </c>
      <c r="I265" t="s">
        <v>1326</v>
      </c>
      <c r="K265" t="s">
        <v>1322</v>
      </c>
    </row>
    <row r="266" spans="1:13" x14ac:dyDescent="0.3">
      <c r="A266" s="1">
        <v>45478</v>
      </c>
      <c r="B266" t="s">
        <v>82</v>
      </c>
      <c r="C266" t="s">
        <v>442</v>
      </c>
      <c r="D266" s="2">
        <v>77779.539999999994</v>
      </c>
      <c r="E266" s="2">
        <v>0</v>
      </c>
      <c r="F266" s="2">
        <v>104543.57</v>
      </c>
      <c r="G266" s="2" t="str">
        <f t="shared" si="4"/>
        <v>05-07-2024 NET PI TO HSL SEC A/C 523686-00602340029434</v>
      </c>
      <c r="H266" s="2" t="s">
        <v>1335</v>
      </c>
      <c r="I266" t="s">
        <v>337</v>
      </c>
      <c r="K266" t="s">
        <v>1322</v>
      </c>
    </row>
    <row r="267" spans="1:13" x14ac:dyDescent="0.3">
      <c r="A267" s="1">
        <v>45479</v>
      </c>
      <c r="B267" t="s">
        <v>354</v>
      </c>
      <c r="C267" t="s">
        <v>23</v>
      </c>
      <c r="D267" s="2">
        <v>0</v>
      </c>
      <c r="E267" s="2">
        <v>1000</v>
      </c>
      <c r="F267" s="2">
        <v>38764.54</v>
      </c>
      <c r="G267" s="2" t="str">
        <f t="shared" si="4"/>
        <v>06-07-2024 UPI/P2A/418872101808/DEEPIKA U/State Ban/UPI/</v>
      </c>
      <c r="H267" s="2" t="s">
        <v>1335</v>
      </c>
      <c r="I267" t="s">
        <v>1309</v>
      </c>
      <c r="K267" t="s">
        <v>1323</v>
      </c>
    </row>
    <row r="268" spans="1:13" x14ac:dyDescent="0.3">
      <c r="A268" s="1">
        <v>45481</v>
      </c>
      <c r="B268" t="s">
        <v>355</v>
      </c>
      <c r="C268" t="s">
        <v>23</v>
      </c>
      <c r="D268" s="2">
        <v>650</v>
      </c>
      <c r="E268" s="2">
        <v>0</v>
      </c>
      <c r="F268" s="2">
        <v>38114.54</v>
      </c>
      <c r="G268" s="2" t="str">
        <f t="shared" si="4"/>
        <v>08-07-2024 UPI/P2A/419032821898/KAMINI  MIHANI  95279/cream/State Bank Of India</v>
      </c>
      <c r="H268" s="2" t="s">
        <v>1335</v>
      </c>
      <c r="I268" t="s">
        <v>1309</v>
      </c>
      <c r="K268" t="s">
        <v>1323</v>
      </c>
    </row>
    <row r="269" spans="1:13" x14ac:dyDescent="0.3">
      <c r="A269" s="1">
        <v>45481</v>
      </c>
      <c r="B269" t="s">
        <v>82</v>
      </c>
      <c r="C269" t="s">
        <v>443</v>
      </c>
      <c r="D269" s="2">
        <v>884.31</v>
      </c>
      <c r="E269" s="2">
        <v>0</v>
      </c>
      <c r="F269" s="2">
        <v>103659.26</v>
      </c>
      <c r="G269" s="2" t="str">
        <f t="shared" si="4"/>
        <v>08-07-2024 NET PI TO HSL SEC A/C 523686-00602340029434</v>
      </c>
      <c r="H269" s="2" t="s">
        <v>1335</v>
      </c>
      <c r="I269" t="s">
        <v>337</v>
      </c>
      <c r="K269" t="s">
        <v>1322</v>
      </c>
    </row>
    <row r="270" spans="1:13" x14ac:dyDescent="0.3">
      <c r="A270" s="1">
        <v>45482</v>
      </c>
      <c r="B270" t="s">
        <v>84</v>
      </c>
      <c r="C270" t="s">
        <v>444</v>
      </c>
      <c r="D270" s="2">
        <v>0</v>
      </c>
      <c r="E270" s="2">
        <v>105064.81</v>
      </c>
      <c r="F270" s="2">
        <v>208724.07</v>
      </c>
      <c r="G270" s="2" t="str">
        <f t="shared" si="4"/>
        <v>09-07-2024 NET PO FROM HSL A/C 523686-50200085415108</v>
      </c>
      <c r="H270" s="2" t="s">
        <v>1335</v>
      </c>
      <c r="I270" t="s">
        <v>337</v>
      </c>
      <c r="K270" t="s">
        <v>1322</v>
      </c>
    </row>
    <row r="271" spans="1:13" x14ac:dyDescent="0.3">
      <c r="A271" s="1">
        <v>45482</v>
      </c>
      <c r="B271" t="s">
        <v>82</v>
      </c>
      <c r="C271" t="s">
        <v>445</v>
      </c>
      <c r="D271" s="2">
        <v>366.05</v>
      </c>
      <c r="E271" s="2">
        <v>0</v>
      </c>
      <c r="F271" s="2">
        <v>208358.02</v>
      </c>
      <c r="G271" s="2" t="str">
        <f t="shared" si="4"/>
        <v>09-07-2024 NET PI TO HSL SEC A/C 523686-00602340029434</v>
      </c>
      <c r="H271" s="2" t="s">
        <v>1335</v>
      </c>
      <c r="I271" t="s">
        <v>337</v>
      </c>
      <c r="K271" t="s">
        <v>1322</v>
      </c>
    </row>
    <row r="272" spans="1:13" x14ac:dyDescent="0.3">
      <c r="A272" s="1">
        <v>45482</v>
      </c>
      <c r="B272" t="s">
        <v>82</v>
      </c>
      <c r="C272" t="s">
        <v>446</v>
      </c>
      <c r="D272" s="2">
        <v>26096.89</v>
      </c>
      <c r="E272" s="2">
        <v>0</v>
      </c>
      <c r="F272" s="2">
        <v>182261.13</v>
      </c>
      <c r="G272" s="2" t="str">
        <f t="shared" si="4"/>
        <v>09-07-2024 NET PI TO HSL SEC A/C 523686-00602340029434</v>
      </c>
      <c r="H272" s="2" t="s">
        <v>1335</v>
      </c>
      <c r="I272" t="s">
        <v>337</v>
      </c>
      <c r="K272" t="s">
        <v>1322</v>
      </c>
    </row>
    <row r="273" spans="1:11" x14ac:dyDescent="0.3">
      <c r="A273" s="1">
        <v>45483</v>
      </c>
      <c r="B273" t="s">
        <v>82</v>
      </c>
      <c r="C273" t="s">
        <v>447</v>
      </c>
      <c r="D273" s="2">
        <v>314.45999999999998</v>
      </c>
      <c r="E273" s="2">
        <v>0</v>
      </c>
      <c r="F273" s="2">
        <v>181946.67</v>
      </c>
      <c r="G273" s="2" t="str">
        <f t="shared" si="4"/>
        <v>10-07-2024 NET PI TO HSL SEC A/C 523686-00602340029434</v>
      </c>
      <c r="H273" s="2" t="s">
        <v>1335</v>
      </c>
      <c r="I273" t="s">
        <v>337</v>
      </c>
      <c r="K273" t="s">
        <v>1322</v>
      </c>
    </row>
    <row r="274" spans="1:11" x14ac:dyDescent="0.3">
      <c r="A274" s="1">
        <v>45483</v>
      </c>
      <c r="B274" t="s">
        <v>448</v>
      </c>
      <c r="C274" t="s">
        <v>449</v>
      </c>
      <c r="D274" s="2">
        <v>849</v>
      </c>
      <c r="E274" s="2">
        <v>0</v>
      </c>
      <c r="F274" s="2">
        <v>181097.67</v>
      </c>
      <c r="G274" s="2" t="str">
        <f t="shared" si="4"/>
        <v>10-07-2024 NEFT DR-CBIN0281016-THE ORIENTAL INSURANACE COMPANY LTD-NETBANK, MUM-N192243146013226-BLD SUNITA INSURAN</v>
      </c>
      <c r="H274" s="2" t="s">
        <v>1335</v>
      </c>
      <c r="I274" t="s">
        <v>1314</v>
      </c>
      <c r="K274" t="s">
        <v>1322</v>
      </c>
    </row>
    <row r="275" spans="1:11" x14ac:dyDescent="0.3">
      <c r="A275" s="1">
        <v>45484</v>
      </c>
      <c r="B275" t="s">
        <v>356</v>
      </c>
      <c r="C275" t="s">
        <v>23</v>
      </c>
      <c r="D275" s="2">
        <v>0</v>
      </c>
      <c r="E275" s="2">
        <v>1000</v>
      </c>
      <c r="F275" s="2">
        <v>39114.54</v>
      </c>
      <c r="G275" s="2" t="str">
        <f t="shared" si="4"/>
        <v>11-07-2024 UPI/P2A/419395681329/BHUTADA S/Bank of B/Payment/</v>
      </c>
      <c r="H275" s="2" t="s">
        <v>1335</v>
      </c>
      <c r="I275" t="s">
        <v>1309</v>
      </c>
      <c r="K275" t="s">
        <v>1323</v>
      </c>
    </row>
    <row r="276" spans="1:11" x14ac:dyDescent="0.3">
      <c r="A276" s="1">
        <v>45484</v>
      </c>
      <c r="B276" t="s">
        <v>357</v>
      </c>
      <c r="C276" t="s">
        <v>23</v>
      </c>
      <c r="D276" s="2">
        <v>25</v>
      </c>
      <c r="E276" s="2">
        <v>0</v>
      </c>
      <c r="F276" s="2">
        <v>39089.54</v>
      </c>
      <c r="G276" s="2" t="str">
        <f t="shared" si="4"/>
        <v>11-07-2024 UPI/P2M/419362096628/SHIVBHOLA VEGETABLE E/vegeta/Yes Bank Ltd</v>
      </c>
      <c r="H276" s="2" t="s">
        <v>1335</v>
      </c>
      <c r="I276" t="s">
        <v>1309</v>
      </c>
      <c r="K276" t="s">
        <v>1323</v>
      </c>
    </row>
    <row r="277" spans="1:11" x14ac:dyDescent="0.3">
      <c r="A277" s="1">
        <v>45484</v>
      </c>
      <c r="B277" t="s">
        <v>358</v>
      </c>
      <c r="C277" t="s">
        <v>23</v>
      </c>
      <c r="D277" s="2">
        <v>0</v>
      </c>
      <c r="E277" s="2">
        <v>1000</v>
      </c>
      <c r="F277" s="2">
        <v>40089.54</v>
      </c>
      <c r="G277" s="2" t="str">
        <f t="shared" si="4"/>
        <v>11-07-2024 UPI/P2A/419342818267/ADITYA DH/Axis Bank/Payment/</v>
      </c>
      <c r="H277" s="2" t="s">
        <v>1335</v>
      </c>
      <c r="I277" t="s">
        <v>1309</v>
      </c>
      <c r="K277" t="s">
        <v>1323</v>
      </c>
    </row>
    <row r="278" spans="1:11" x14ac:dyDescent="0.3">
      <c r="A278" s="1">
        <v>45484</v>
      </c>
      <c r="B278" t="s">
        <v>84</v>
      </c>
      <c r="C278" t="s">
        <v>450</v>
      </c>
      <c r="D278" s="2">
        <v>0</v>
      </c>
      <c r="E278" s="2">
        <v>32435.39</v>
      </c>
      <c r="F278" s="2">
        <v>213533.06</v>
      </c>
      <c r="G278" s="2" t="str">
        <f t="shared" si="4"/>
        <v>11-07-2024 NET PO FROM HSL A/C 523686-50200085415108</v>
      </c>
      <c r="H278" s="2" t="s">
        <v>1335</v>
      </c>
      <c r="I278" t="s">
        <v>337</v>
      </c>
      <c r="K278" t="s">
        <v>1322</v>
      </c>
    </row>
    <row r="279" spans="1:11" x14ac:dyDescent="0.3">
      <c r="A279" s="1">
        <v>45484</v>
      </c>
      <c r="B279" t="s">
        <v>84</v>
      </c>
      <c r="C279" t="s">
        <v>451</v>
      </c>
      <c r="D279" s="2">
        <v>0</v>
      </c>
      <c r="E279" s="2">
        <v>42358.74</v>
      </c>
      <c r="F279" s="2">
        <v>255891.8</v>
      </c>
      <c r="G279" s="2" t="str">
        <f t="shared" si="4"/>
        <v>11-07-2024 NET PO FROM HSL A/C 523686-50200085415108</v>
      </c>
      <c r="H279" s="2" t="s">
        <v>1335</v>
      </c>
      <c r="I279" t="s">
        <v>337</v>
      </c>
      <c r="K279" t="s">
        <v>1322</v>
      </c>
    </row>
    <row r="280" spans="1:11" x14ac:dyDescent="0.3">
      <c r="A280" s="1">
        <v>45484</v>
      </c>
      <c r="B280" t="s">
        <v>82</v>
      </c>
      <c r="C280" t="s">
        <v>452</v>
      </c>
      <c r="D280" s="2">
        <v>347.36</v>
      </c>
      <c r="E280" s="2">
        <v>0</v>
      </c>
      <c r="F280" s="2">
        <v>255544.44</v>
      </c>
      <c r="G280" s="2" t="str">
        <f t="shared" si="4"/>
        <v>11-07-2024 NET PI TO HSL SEC A/C 523686-00602340029434</v>
      </c>
      <c r="H280" s="2" t="s">
        <v>1335</v>
      </c>
      <c r="I280" t="s">
        <v>337</v>
      </c>
      <c r="K280" t="s">
        <v>1322</v>
      </c>
    </row>
    <row r="281" spans="1:11" x14ac:dyDescent="0.3">
      <c r="A281" s="1">
        <v>45484</v>
      </c>
      <c r="B281" t="s">
        <v>82</v>
      </c>
      <c r="C281" t="s">
        <v>453</v>
      </c>
      <c r="D281" s="2">
        <v>226741.8</v>
      </c>
      <c r="E281" s="2">
        <v>0</v>
      </c>
      <c r="F281" s="2">
        <v>28802.639999999999</v>
      </c>
      <c r="G281" s="2" t="str">
        <f t="shared" si="4"/>
        <v>11-07-2024 NET PI TO HSL SEC A/C 523686-00602340029434</v>
      </c>
      <c r="H281" s="2" t="s">
        <v>1335</v>
      </c>
      <c r="I281" t="s">
        <v>337</v>
      </c>
      <c r="K281" t="s">
        <v>1322</v>
      </c>
    </row>
    <row r="282" spans="1:11" x14ac:dyDescent="0.3">
      <c r="A282" s="1">
        <v>45485</v>
      </c>
      <c r="B282" t="s">
        <v>82</v>
      </c>
      <c r="C282" t="s">
        <v>454</v>
      </c>
      <c r="D282" s="2">
        <v>258.48</v>
      </c>
      <c r="E282" s="2">
        <v>0</v>
      </c>
      <c r="F282" s="2">
        <v>28544.16</v>
      </c>
      <c r="G282" s="2" t="str">
        <f t="shared" si="4"/>
        <v>12-07-2024 NET PI TO HSL SEC A/C 523686-00602340029434</v>
      </c>
      <c r="H282" s="2" t="s">
        <v>1335</v>
      </c>
      <c r="I282" t="s">
        <v>337</v>
      </c>
      <c r="K282" t="s">
        <v>1322</v>
      </c>
    </row>
    <row r="283" spans="1:11" x14ac:dyDescent="0.3">
      <c r="A283" s="1">
        <v>45488</v>
      </c>
      <c r="B283" t="s">
        <v>84</v>
      </c>
      <c r="C283" t="s">
        <v>455</v>
      </c>
      <c r="D283" s="2">
        <v>0</v>
      </c>
      <c r="E283" s="2">
        <v>70547.13</v>
      </c>
      <c r="F283" s="2">
        <v>99091.29</v>
      </c>
      <c r="G283" s="2" t="str">
        <f t="shared" si="4"/>
        <v>15-07-2024 NET PO FROM HSL A/C 523686-50200085415108</v>
      </c>
      <c r="H283" s="2" t="s">
        <v>1335</v>
      </c>
      <c r="I283" t="s">
        <v>337</v>
      </c>
      <c r="K283" t="s">
        <v>1322</v>
      </c>
    </row>
    <row r="284" spans="1:11" x14ac:dyDescent="0.3">
      <c r="A284" s="1">
        <v>45488</v>
      </c>
      <c r="B284" t="s">
        <v>114</v>
      </c>
      <c r="C284" t="s">
        <v>456</v>
      </c>
      <c r="D284" s="2">
        <v>5000</v>
      </c>
      <c r="E284" s="2">
        <v>0</v>
      </c>
      <c r="F284" s="2">
        <v>94091.29</v>
      </c>
      <c r="G284" s="2" t="str">
        <f t="shared" si="4"/>
        <v>15-07-2024 ACH D- INDIAN CLEARING CORP-P25847643X05</v>
      </c>
      <c r="H284" s="2" t="s">
        <v>1335</v>
      </c>
      <c r="I284" t="s">
        <v>341</v>
      </c>
      <c r="K284" t="s">
        <v>1322</v>
      </c>
    </row>
    <row r="285" spans="1:11" x14ac:dyDescent="0.3">
      <c r="A285" s="1">
        <v>45488</v>
      </c>
      <c r="B285" t="s">
        <v>82</v>
      </c>
      <c r="C285" t="s">
        <v>457</v>
      </c>
      <c r="D285" s="2">
        <v>1146.24</v>
      </c>
      <c r="E285" s="2">
        <v>0</v>
      </c>
      <c r="F285" s="2">
        <v>92945.05</v>
      </c>
      <c r="G285" s="2" t="str">
        <f t="shared" si="4"/>
        <v>15-07-2024 NET PI TO HSL SEC A/C 523686-00602340029434</v>
      </c>
      <c r="H285" s="2" t="s">
        <v>1335</v>
      </c>
      <c r="I285" t="s">
        <v>337</v>
      </c>
      <c r="K285" t="s">
        <v>1322</v>
      </c>
    </row>
    <row r="286" spans="1:11" x14ac:dyDescent="0.3">
      <c r="A286" s="1">
        <v>45488</v>
      </c>
      <c r="B286" t="s">
        <v>82</v>
      </c>
      <c r="C286" t="s">
        <v>458</v>
      </c>
      <c r="D286" s="2">
        <v>4746.7299999999996</v>
      </c>
      <c r="E286" s="2">
        <v>0</v>
      </c>
      <c r="F286" s="2">
        <v>88198.32</v>
      </c>
      <c r="G286" s="2" t="str">
        <f t="shared" si="4"/>
        <v>15-07-2024 NET PI TO HSL SEC A/C 523686-00602340029434</v>
      </c>
      <c r="H286" s="2" t="s">
        <v>1335</v>
      </c>
      <c r="I286" t="s">
        <v>337</v>
      </c>
      <c r="K286" t="s">
        <v>1322</v>
      </c>
    </row>
    <row r="287" spans="1:11" x14ac:dyDescent="0.3">
      <c r="A287" s="1">
        <v>45489</v>
      </c>
      <c r="B287" t="s">
        <v>359</v>
      </c>
      <c r="C287" t="s">
        <v>23</v>
      </c>
      <c r="D287" s="2">
        <v>320</v>
      </c>
      <c r="E287" s="2">
        <v>0</v>
      </c>
      <c r="F287" s="2">
        <v>39769.54</v>
      </c>
      <c r="G287" s="2" t="str">
        <f t="shared" si="4"/>
        <v>16-07-2024 UPI/P2A/419895360581/BHARTI RATAN DEVNANI /UPI/Union Bank of India</v>
      </c>
      <c r="H287" s="2" t="s">
        <v>1335</v>
      </c>
      <c r="I287" t="s">
        <v>1309</v>
      </c>
      <c r="K287" t="s">
        <v>1323</v>
      </c>
    </row>
    <row r="288" spans="1:11" x14ac:dyDescent="0.3">
      <c r="A288" s="1">
        <v>45489</v>
      </c>
      <c r="B288" t="s">
        <v>84</v>
      </c>
      <c r="C288" t="s">
        <v>459</v>
      </c>
      <c r="D288" s="2">
        <v>0</v>
      </c>
      <c r="E288" s="2">
        <v>37095.78</v>
      </c>
      <c r="F288" s="2">
        <v>125294.1</v>
      </c>
      <c r="G288" s="2" t="str">
        <f t="shared" si="4"/>
        <v>16-07-2024 NET PO FROM HSL A/C 523686-50200085415108</v>
      </c>
      <c r="H288" s="2" t="s">
        <v>1335</v>
      </c>
      <c r="I288" t="s">
        <v>337</v>
      </c>
      <c r="K288" t="s">
        <v>1322</v>
      </c>
    </row>
    <row r="289" spans="1:11" x14ac:dyDescent="0.3">
      <c r="A289" s="1">
        <v>45489</v>
      </c>
      <c r="B289" t="s">
        <v>82</v>
      </c>
      <c r="C289" t="s">
        <v>460</v>
      </c>
      <c r="D289" s="2">
        <v>353.43</v>
      </c>
      <c r="E289" s="2">
        <v>0</v>
      </c>
      <c r="F289" s="2">
        <v>124940.67</v>
      </c>
      <c r="G289" s="2" t="str">
        <f t="shared" si="4"/>
        <v>16-07-2024 NET PI TO HSL SEC A/C 523686-00602340029434</v>
      </c>
      <c r="H289" s="2" t="s">
        <v>1335</v>
      </c>
      <c r="I289" t="s">
        <v>337</v>
      </c>
      <c r="K289" t="s">
        <v>1322</v>
      </c>
    </row>
    <row r="290" spans="1:11" x14ac:dyDescent="0.3">
      <c r="A290" s="1">
        <v>45489</v>
      </c>
      <c r="B290" t="s">
        <v>461</v>
      </c>
      <c r="C290" t="s">
        <v>98</v>
      </c>
      <c r="D290" s="2">
        <v>2017.8</v>
      </c>
      <c r="E290" s="2">
        <v>0</v>
      </c>
      <c r="F290" s="2">
        <v>122922.87</v>
      </c>
      <c r="G290" s="2" t="str">
        <f t="shared" si="4"/>
        <v>16-07-2024 DEPOSITORY CHARGES JUN24 - 41060499</v>
      </c>
      <c r="H290" s="2" t="s">
        <v>1335</v>
      </c>
      <c r="I290" t="s">
        <v>343</v>
      </c>
      <c r="K290" t="s">
        <v>1322</v>
      </c>
    </row>
    <row r="291" spans="1:11" x14ac:dyDescent="0.3">
      <c r="A291" s="1">
        <v>45489</v>
      </c>
      <c r="B291" t="s">
        <v>82</v>
      </c>
      <c r="C291" t="s">
        <v>462</v>
      </c>
      <c r="D291" s="2">
        <v>64797.19</v>
      </c>
      <c r="E291" s="2">
        <v>0</v>
      </c>
      <c r="F291" s="2">
        <v>58125.68</v>
      </c>
      <c r="G291" s="2" t="str">
        <f t="shared" si="4"/>
        <v>16-07-2024 NET PI TO HSL SEC A/C 523686-00602340029434</v>
      </c>
      <c r="H291" s="2" t="s">
        <v>1335</v>
      </c>
      <c r="I291" t="s">
        <v>337</v>
      </c>
      <c r="K291" t="s">
        <v>1322</v>
      </c>
    </row>
    <row r="292" spans="1:11" x14ac:dyDescent="0.3">
      <c r="A292" s="1">
        <v>45490</v>
      </c>
      <c r="B292" t="s">
        <v>36</v>
      </c>
      <c r="C292" t="s">
        <v>23</v>
      </c>
      <c r="D292" s="2">
        <v>108</v>
      </c>
      <c r="E292" s="2">
        <v>0</v>
      </c>
      <c r="F292" s="2">
        <v>39661.54</v>
      </c>
      <c r="G292" s="2" t="str">
        <f t="shared" si="4"/>
        <v>17-07-2024 GST @18% on MAB Charge</v>
      </c>
      <c r="H292" s="2" t="s">
        <v>1335</v>
      </c>
      <c r="I292" t="s">
        <v>47</v>
      </c>
      <c r="K292" t="s">
        <v>1323</v>
      </c>
    </row>
    <row r="293" spans="1:11" x14ac:dyDescent="0.3">
      <c r="A293" s="1">
        <v>45490</v>
      </c>
      <c r="B293" t="s">
        <v>360</v>
      </c>
      <c r="C293" t="s">
        <v>23</v>
      </c>
      <c r="D293" s="2">
        <v>600</v>
      </c>
      <c r="E293" s="2">
        <v>0</v>
      </c>
      <c r="F293" s="2">
        <v>39061.54</v>
      </c>
      <c r="G293" s="2" t="str">
        <f t="shared" si="4"/>
        <v>17-07-2024 Non-Maint Avg bal chgs May2024</v>
      </c>
      <c r="H293" s="2" t="s">
        <v>1335</v>
      </c>
      <c r="I293" t="s">
        <v>47</v>
      </c>
      <c r="K293" t="s">
        <v>1323</v>
      </c>
    </row>
    <row r="294" spans="1:11" x14ac:dyDescent="0.3">
      <c r="A294" s="1">
        <v>45491</v>
      </c>
      <c r="B294" t="s">
        <v>361</v>
      </c>
      <c r="C294" t="s">
        <v>23</v>
      </c>
      <c r="D294" s="2">
        <v>0</v>
      </c>
      <c r="E294" s="2">
        <v>50</v>
      </c>
      <c r="F294" s="2">
        <v>39111.54</v>
      </c>
      <c r="G294" s="2" t="str">
        <f t="shared" si="4"/>
        <v>18-07-2024 ACH-CR-HDFC LIFE INSURANCE-NACH-00000000000005531</v>
      </c>
      <c r="H294" s="2" t="s">
        <v>1335</v>
      </c>
      <c r="I294" t="s">
        <v>340</v>
      </c>
      <c r="K294" t="s">
        <v>1323</v>
      </c>
    </row>
    <row r="295" spans="1:11" x14ac:dyDescent="0.3">
      <c r="A295" s="1">
        <v>45491</v>
      </c>
      <c r="B295" t="s">
        <v>84</v>
      </c>
      <c r="C295" t="s">
        <v>463</v>
      </c>
      <c r="D295" s="2">
        <v>0</v>
      </c>
      <c r="E295" s="2">
        <v>2706.67</v>
      </c>
      <c r="F295" s="2">
        <v>60832.35</v>
      </c>
      <c r="G295" s="2" t="str">
        <f t="shared" si="4"/>
        <v>18-07-2024 NET PO FROM HSL A/C 523686-50200085415108</v>
      </c>
      <c r="H295" s="2" t="s">
        <v>1335</v>
      </c>
      <c r="I295" t="s">
        <v>337</v>
      </c>
      <c r="K295" t="s">
        <v>1322</v>
      </c>
    </row>
    <row r="296" spans="1:11" x14ac:dyDescent="0.3">
      <c r="A296" s="1">
        <v>45491</v>
      </c>
      <c r="B296" t="s">
        <v>84</v>
      </c>
      <c r="C296" t="s">
        <v>464</v>
      </c>
      <c r="D296" s="2">
        <v>0</v>
      </c>
      <c r="E296" s="2">
        <v>103150.07</v>
      </c>
      <c r="F296" s="2">
        <v>163982.42000000001</v>
      </c>
      <c r="G296" s="2" t="str">
        <f t="shared" si="4"/>
        <v>18-07-2024 NET PO FROM HSL A/C 523686-50200085415108</v>
      </c>
      <c r="H296" s="2" t="s">
        <v>1335</v>
      </c>
      <c r="I296" t="s">
        <v>337</v>
      </c>
      <c r="K296" t="s">
        <v>1322</v>
      </c>
    </row>
    <row r="297" spans="1:11" x14ac:dyDescent="0.3">
      <c r="A297" s="1">
        <v>45491</v>
      </c>
      <c r="B297" t="s">
        <v>82</v>
      </c>
      <c r="C297" t="s">
        <v>465</v>
      </c>
      <c r="D297" s="2">
        <v>660.7</v>
      </c>
      <c r="E297" s="2">
        <v>0</v>
      </c>
      <c r="F297" s="2">
        <v>163321.72</v>
      </c>
      <c r="G297" s="2" t="str">
        <f t="shared" si="4"/>
        <v>18-07-2024 NET PI TO HSL SEC A/C 523686-00602340029434</v>
      </c>
      <c r="H297" s="2" t="s">
        <v>1335</v>
      </c>
      <c r="I297" t="s">
        <v>337</v>
      </c>
      <c r="K297" t="s">
        <v>1322</v>
      </c>
    </row>
    <row r="298" spans="1:11" x14ac:dyDescent="0.3">
      <c r="A298" s="1">
        <v>45491</v>
      </c>
      <c r="B298" t="s">
        <v>82</v>
      </c>
      <c r="C298" t="s">
        <v>466</v>
      </c>
      <c r="D298" s="2">
        <v>11607.97</v>
      </c>
      <c r="E298" s="2">
        <v>0</v>
      </c>
      <c r="F298" s="2">
        <v>151713.75</v>
      </c>
      <c r="G298" s="2" t="str">
        <f t="shared" si="4"/>
        <v>18-07-2024 NET PI TO HSL SEC A/C 523686-00602340029434</v>
      </c>
      <c r="H298" s="2" t="s">
        <v>1335</v>
      </c>
      <c r="I298" t="s">
        <v>337</v>
      </c>
      <c r="K298" t="s">
        <v>1322</v>
      </c>
    </row>
    <row r="299" spans="1:11" x14ac:dyDescent="0.3">
      <c r="A299" s="1">
        <v>45492</v>
      </c>
      <c r="B299" t="s">
        <v>362</v>
      </c>
      <c r="C299" t="s">
        <v>23</v>
      </c>
      <c r="D299" s="2">
        <v>1000</v>
      </c>
      <c r="E299" s="2">
        <v>0</v>
      </c>
      <c r="F299" s="2">
        <v>38111.54</v>
      </c>
      <c r="G299" s="2" t="str">
        <f t="shared" si="4"/>
        <v>19-07-2024 UPI/P2M/420154995267/MADHURI SEN          /parlou/Axis Bank Ltd.</v>
      </c>
      <c r="H299" s="2" t="s">
        <v>1335</v>
      </c>
      <c r="I299" t="s">
        <v>1309</v>
      </c>
      <c r="K299" t="s">
        <v>1323</v>
      </c>
    </row>
    <row r="300" spans="1:11" x14ac:dyDescent="0.3">
      <c r="A300" s="1">
        <v>45492</v>
      </c>
      <c r="B300" t="s">
        <v>82</v>
      </c>
      <c r="C300" t="s">
        <v>467</v>
      </c>
      <c r="D300" s="2">
        <v>307.64999999999998</v>
      </c>
      <c r="E300" s="2">
        <v>0</v>
      </c>
      <c r="F300" s="2">
        <v>151406.1</v>
      </c>
      <c r="G300" s="2" t="str">
        <f t="shared" si="4"/>
        <v>19-07-2024 NET PI TO HSL SEC A/C 523686-00602340029434</v>
      </c>
      <c r="H300" s="2" t="s">
        <v>1335</v>
      </c>
      <c r="I300" t="s">
        <v>337</v>
      </c>
      <c r="K300" t="s">
        <v>1322</v>
      </c>
    </row>
    <row r="301" spans="1:11" x14ac:dyDescent="0.3">
      <c r="A301" s="1">
        <v>45492</v>
      </c>
      <c r="B301" t="s">
        <v>468</v>
      </c>
      <c r="C301" t="s">
        <v>469</v>
      </c>
      <c r="D301" s="2">
        <v>0</v>
      </c>
      <c r="E301" s="2">
        <v>330</v>
      </c>
      <c r="F301" s="2">
        <v>151736.1</v>
      </c>
      <c r="G301" s="2" t="str">
        <f t="shared" si="4"/>
        <v>19-07-2024 ACH C- CAMSL FINALDIV23 24-148614</v>
      </c>
      <c r="H301" s="2" t="s">
        <v>1335</v>
      </c>
      <c r="I301" t="s">
        <v>340</v>
      </c>
      <c r="K301" t="s">
        <v>1322</v>
      </c>
    </row>
    <row r="302" spans="1:11" x14ac:dyDescent="0.3">
      <c r="A302" s="1">
        <v>45493</v>
      </c>
      <c r="B302" t="s">
        <v>82</v>
      </c>
      <c r="C302" t="s">
        <v>470</v>
      </c>
      <c r="D302" s="2">
        <v>23844.720000000001</v>
      </c>
      <c r="E302" s="2">
        <v>0</v>
      </c>
      <c r="F302" s="2">
        <v>127891.38</v>
      </c>
      <c r="G302" s="2" t="str">
        <f t="shared" si="4"/>
        <v>20-07-2024 NET PI TO HSL SEC A/C 523686-00602340029434</v>
      </c>
      <c r="H302" s="2" t="s">
        <v>1335</v>
      </c>
      <c r="I302" t="s">
        <v>337</v>
      </c>
      <c r="K302" t="s">
        <v>1322</v>
      </c>
    </row>
    <row r="303" spans="1:11" x14ac:dyDescent="0.3">
      <c r="A303" s="1">
        <v>45494</v>
      </c>
      <c r="B303" t="s">
        <v>363</v>
      </c>
      <c r="C303" t="s">
        <v>23</v>
      </c>
      <c r="D303" s="2">
        <v>0</v>
      </c>
      <c r="E303" s="2">
        <v>150</v>
      </c>
      <c r="F303" s="2">
        <v>38261.54</v>
      </c>
      <c r="G303" s="2" t="str">
        <f t="shared" si="4"/>
        <v>21-07-2024 UPI/P2A/420322676433/PRITI MUK/HDFC BANK/Payment/</v>
      </c>
      <c r="H303" s="2" t="s">
        <v>1335</v>
      </c>
      <c r="I303" t="s">
        <v>1309</v>
      </c>
      <c r="K303" t="s">
        <v>1323</v>
      </c>
    </row>
    <row r="304" spans="1:11" x14ac:dyDescent="0.3">
      <c r="A304" s="1">
        <v>45494</v>
      </c>
      <c r="B304" t="s">
        <v>364</v>
      </c>
      <c r="C304" t="s">
        <v>23</v>
      </c>
      <c r="D304" s="2">
        <v>600</v>
      </c>
      <c r="E304" s="2">
        <v>0</v>
      </c>
      <c r="F304" s="2">
        <v>37661.54</v>
      </c>
      <c r="G304" s="2" t="str">
        <f t="shared" si="4"/>
        <v>21-07-2024 UPI/P2A/420369431939/KAMINI  MIHANI  95279/parlou/State Bank Of India</v>
      </c>
      <c r="H304" s="2" t="s">
        <v>1335</v>
      </c>
      <c r="I304" t="s">
        <v>1309</v>
      </c>
      <c r="K304" t="s">
        <v>1323</v>
      </c>
    </row>
    <row r="305" spans="1:13" x14ac:dyDescent="0.3">
      <c r="A305" s="1">
        <v>45494</v>
      </c>
      <c r="B305" t="s">
        <v>365</v>
      </c>
      <c r="C305" t="s">
        <v>23</v>
      </c>
      <c r="D305" s="2">
        <v>420</v>
      </c>
      <c r="E305" s="2">
        <v>0</v>
      </c>
      <c r="F305" s="2">
        <v>37241.54</v>
      </c>
      <c r="G305" s="2" t="str">
        <f t="shared" si="4"/>
        <v>21-07-2024 UPI/P2A/456924153221/ADITI  GUPTA         /rumal/State Bank Of India</v>
      </c>
      <c r="H305" s="2" t="s">
        <v>1335</v>
      </c>
      <c r="I305" t="s">
        <v>1309</v>
      </c>
      <c r="K305" t="s">
        <v>1323</v>
      </c>
    </row>
    <row r="306" spans="1:13" x14ac:dyDescent="0.3">
      <c r="A306" s="1">
        <v>45495</v>
      </c>
      <c r="B306" t="s">
        <v>471</v>
      </c>
      <c r="C306" t="s">
        <v>472</v>
      </c>
      <c r="D306" s="2">
        <v>10000</v>
      </c>
      <c r="E306" s="2">
        <v>0</v>
      </c>
      <c r="F306" s="2">
        <v>117891.38</v>
      </c>
      <c r="G306" s="2" t="str">
        <f t="shared" si="4"/>
        <v>22-07-2024 YHDF2391587417/BILLDKINDIANCLEARING</v>
      </c>
      <c r="H306" s="2" t="s">
        <v>1335</v>
      </c>
      <c r="I306" t="s">
        <v>1315</v>
      </c>
      <c r="K306" t="s">
        <v>1322</v>
      </c>
    </row>
    <row r="307" spans="1:13" x14ac:dyDescent="0.3">
      <c r="A307" s="1">
        <v>45495</v>
      </c>
      <c r="B307" t="s">
        <v>82</v>
      </c>
      <c r="C307" t="s">
        <v>473</v>
      </c>
      <c r="D307" s="2">
        <v>897.45</v>
      </c>
      <c r="E307" s="2">
        <v>0</v>
      </c>
      <c r="F307" s="2">
        <v>116993.93</v>
      </c>
      <c r="G307" s="2" t="str">
        <f t="shared" si="4"/>
        <v>22-07-2024 NET PI TO HSL SEC A/C 523686-00602340029434</v>
      </c>
      <c r="H307" s="2" t="s">
        <v>1335</v>
      </c>
      <c r="I307" t="s">
        <v>337</v>
      </c>
      <c r="K307" t="s">
        <v>1322</v>
      </c>
    </row>
    <row r="308" spans="1:13" x14ac:dyDescent="0.3">
      <c r="A308" s="1">
        <v>45496</v>
      </c>
      <c r="B308" t="s">
        <v>84</v>
      </c>
      <c r="C308" t="s">
        <v>474</v>
      </c>
      <c r="D308" s="2">
        <v>0</v>
      </c>
      <c r="E308" s="2">
        <v>14093.07</v>
      </c>
      <c r="F308" s="2">
        <v>131087</v>
      </c>
      <c r="G308" s="2" t="str">
        <f t="shared" si="4"/>
        <v>23-07-2024 NET PO FROM HSL A/C 523686-50200085415108</v>
      </c>
      <c r="H308" s="2" t="s">
        <v>1335</v>
      </c>
      <c r="I308" t="s">
        <v>337</v>
      </c>
      <c r="K308" t="s">
        <v>1322</v>
      </c>
    </row>
    <row r="309" spans="1:13" x14ac:dyDescent="0.3">
      <c r="A309" s="1">
        <v>45496</v>
      </c>
      <c r="B309" t="s">
        <v>82</v>
      </c>
      <c r="C309" t="s">
        <v>475</v>
      </c>
      <c r="D309" s="2">
        <v>299.14999999999998</v>
      </c>
      <c r="E309" s="2">
        <v>0</v>
      </c>
      <c r="F309" s="2">
        <v>130787.85</v>
      </c>
      <c r="G309" s="2" t="str">
        <f t="shared" si="4"/>
        <v>23-07-2024 NET PI TO HSL SEC A/C 523686-00602340029434</v>
      </c>
      <c r="H309" s="2" t="s">
        <v>1335</v>
      </c>
      <c r="I309" t="s">
        <v>337</v>
      </c>
      <c r="K309" t="s">
        <v>1322</v>
      </c>
    </row>
    <row r="310" spans="1:13" x14ac:dyDescent="0.3">
      <c r="A310" s="1">
        <v>45496</v>
      </c>
      <c r="B310" t="s">
        <v>82</v>
      </c>
      <c r="C310" t="s">
        <v>476</v>
      </c>
      <c r="D310" s="2">
        <v>9363.3799999999992</v>
      </c>
      <c r="E310" s="2">
        <v>0</v>
      </c>
      <c r="F310" s="2">
        <v>121424.47</v>
      </c>
      <c r="G310" s="2" t="str">
        <f t="shared" si="4"/>
        <v>23-07-2024 NET PI TO HSL SEC A/C 523686-00602340029434</v>
      </c>
      <c r="H310" s="2" t="s">
        <v>1335</v>
      </c>
      <c r="I310" t="s">
        <v>337</v>
      </c>
      <c r="K310" t="s">
        <v>1322</v>
      </c>
    </row>
    <row r="311" spans="1:13" x14ac:dyDescent="0.3">
      <c r="A311" s="1">
        <v>45497</v>
      </c>
      <c r="B311" t="s">
        <v>82</v>
      </c>
      <c r="C311" t="s">
        <v>477</v>
      </c>
      <c r="D311" s="2">
        <v>300.83999999999997</v>
      </c>
      <c r="E311" s="2">
        <v>0</v>
      </c>
      <c r="F311" s="2">
        <v>121123.63</v>
      </c>
      <c r="G311" s="2" t="str">
        <f t="shared" si="4"/>
        <v>24-07-2024 NET PI TO HSL SEC A/C 523686-00602340029434</v>
      </c>
      <c r="H311" s="2" t="s">
        <v>1335</v>
      </c>
      <c r="I311" t="s">
        <v>337</v>
      </c>
      <c r="K311" t="s">
        <v>1322</v>
      </c>
    </row>
    <row r="312" spans="1:13" x14ac:dyDescent="0.3">
      <c r="A312" s="1">
        <v>45497</v>
      </c>
      <c r="B312" t="s">
        <v>478</v>
      </c>
      <c r="C312" t="s">
        <v>479</v>
      </c>
      <c r="D312" s="2">
        <v>0</v>
      </c>
      <c r="E312" s="2">
        <v>2380</v>
      </c>
      <c r="F312" s="2">
        <v>123503.63</v>
      </c>
      <c r="G312" s="2" t="str">
        <f t="shared" si="4"/>
        <v>24-07-2024 NEFT CR-SBIN0004266-SBI GENERAL INSURANCE CO LTDSBI GEN-SUNITA GUPTA 0000000002717756-SBIN224206827961</v>
      </c>
      <c r="H312" s="2" t="s">
        <v>1335</v>
      </c>
      <c r="I312" t="s">
        <v>345</v>
      </c>
      <c r="J312" t="s">
        <v>1328</v>
      </c>
      <c r="K312" t="s">
        <v>1322</v>
      </c>
      <c r="L312" s="11">
        <v>2645</v>
      </c>
      <c r="M312" s="11">
        <f>L312-E312</f>
        <v>265</v>
      </c>
    </row>
    <row r="313" spans="1:13" x14ac:dyDescent="0.3">
      <c r="A313" s="1">
        <v>45497</v>
      </c>
      <c r="B313" t="s">
        <v>480</v>
      </c>
      <c r="C313" t="s">
        <v>481</v>
      </c>
      <c r="D313" s="2">
        <v>0</v>
      </c>
      <c r="E313" s="2">
        <v>828</v>
      </c>
      <c r="F313" s="2">
        <v>124331.63</v>
      </c>
      <c r="G313" s="2" t="str">
        <f t="shared" si="4"/>
        <v>24-07-2024 ACH C- BAJAJ FINANCE LIMITE-5697403</v>
      </c>
      <c r="H313" s="2" t="s">
        <v>1335</v>
      </c>
      <c r="I313" t="s">
        <v>340</v>
      </c>
      <c r="K313" t="s">
        <v>1322</v>
      </c>
    </row>
    <row r="314" spans="1:13" x14ac:dyDescent="0.3">
      <c r="A314" s="1">
        <v>45498</v>
      </c>
      <c r="B314" t="s">
        <v>366</v>
      </c>
      <c r="C314" t="s">
        <v>23</v>
      </c>
      <c r="D314" s="2">
        <v>0</v>
      </c>
      <c r="E314" s="2">
        <v>1000</v>
      </c>
      <c r="F314" s="2">
        <v>38241.54</v>
      </c>
      <c r="G314" s="2" t="str">
        <f t="shared" si="4"/>
        <v>25-07-2024 UPI/P2A/420791199151/DEEPALI A/HDFC BANK/Payment/</v>
      </c>
      <c r="H314" s="2" t="s">
        <v>1335</v>
      </c>
      <c r="I314" t="s">
        <v>1309</v>
      </c>
      <c r="K314" t="s">
        <v>1323</v>
      </c>
    </row>
    <row r="315" spans="1:13" x14ac:dyDescent="0.3">
      <c r="A315" s="1">
        <v>45498</v>
      </c>
      <c r="B315" t="s">
        <v>367</v>
      </c>
      <c r="C315" t="s">
        <v>23</v>
      </c>
      <c r="D315" s="2">
        <v>407.25</v>
      </c>
      <c r="E315" s="2">
        <v>0</v>
      </c>
      <c r="F315" s="2">
        <v>37834.29</v>
      </c>
      <c r="G315" s="2" t="str">
        <f t="shared" si="4"/>
        <v>25-07-2024 UPI/P2M/420734844951/IRCTC CF             /IRCTC/HDFC BANK LTD</v>
      </c>
      <c r="H315" s="2" t="s">
        <v>1335</v>
      </c>
      <c r="I315" t="s">
        <v>1309</v>
      </c>
      <c r="K315" t="s">
        <v>1323</v>
      </c>
    </row>
    <row r="316" spans="1:13" x14ac:dyDescent="0.3">
      <c r="A316" s="1">
        <v>45498</v>
      </c>
      <c r="B316" t="s">
        <v>84</v>
      </c>
      <c r="C316" t="s">
        <v>482</v>
      </c>
      <c r="D316" s="2">
        <v>0</v>
      </c>
      <c r="E316" s="2">
        <v>1781.86</v>
      </c>
      <c r="F316" s="2">
        <v>126113.49</v>
      </c>
      <c r="G316" s="2" t="str">
        <f t="shared" si="4"/>
        <v>25-07-2024 NET PO FROM HSL A/C 523686-50200085415108</v>
      </c>
      <c r="H316" s="2" t="s">
        <v>1335</v>
      </c>
      <c r="I316" t="s">
        <v>337</v>
      </c>
      <c r="K316" t="s">
        <v>1322</v>
      </c>
    </row>
    <row r="317" spans="1:13" x14ac:dyDescent="0.3">
      <c r="A317" s="1">
        <v>45498</v>
      </c>
      <c r="B317" t="s">
        <v>114</v>
      </c>
      <c r="C317" t="s">
        <v>483</v>
      </c>
      <c r="D317" s="2">
        <v>10000</v>
      </c>
      <c r="E317" s="2">
        <v>0</v>
      </c>
      <c r="F317" s="2">
        <v>116113.49</v>
      </c>
      <c r="G317" s="2" t="str">
        <f t="shared" si="4"/>
        <v>25-07-2024 ACH D- INDIAN CLEARING CORP-P25847643X05</v>
      </c>
      <c r="H317" s="2" t="s">
        <v>1335</v>
      </c>
      <c r="I317" t="s">
        <v>342</v>
      </c>
      <c r="K317" t="s">
        <v>1322</v>
      </c>
    </row>
    <row r="318" spans="1:13" x14ac:dyDescent="0.3">
      <c r="A318" s="1">
        <v>45498</v>
      </c>
      <c r="B318" t="s">
        <v>82</v>
      </c>
      <c r="C318" t="s">
        <v>484</v>
      </c>
      <c r="D318" s="2">
        <v>300.83999999999997</v>
      </c>
      <c r="E318" s="2">
        <v>0</v>
      </c>
      <c r="F318" s="2">
        <v>115812.65</v>
      </c>
      <c r="G318" s="2" t="str">
        <f t="shared" si="4"/>
        <v>25-07-2024 NET PI TO HSL SEC A/C 523686-00602340029434</v>
      </c>
      <c r="H318" s="2" t="s">
        <v>1335</v>
      </c>
      <c r="I318" t="s">
        <v>337</v>
      </c>
      <c r="K318" t="s">
        <v>1322</v>
      </c>
    </row>
    <row r="319" spans="1:13" x14ac:dyDescent="0.3">
      <c r="A319" s="1">
        <v>45498</v>
      </c>
      <c r="B319" t="s">
        <v>485</v>
      </c>
      <c r="C319" t="s">
        <v>486</v>
      </c>
      <c r="D319" s="2">
        <v>0</v>
      </c>
      <c r="E319" s="2">
        <v>550</v>
      </c>
      <c r="F319" s="2">
        <v>116362.65</v>
      </c>
      <c r="G319" s="2" t="str">
        <f t="shared" si="4"/>
        <v>25-07-2024 ALEMBIC PHAR DIV232400000000000000006995</v>
      </c>
      <c r="H319" s="2" t="s">
        <v>1335</v>
      </c>
      <c r="I319" t="s">
        <v>340</v>
      </c>
      <c r="K319" t="s">
        <v>1322</v>
      </c>
    </row>
    <row r="320" spans="1:13" x14ac:dyDescent="0.3">
      <c r="A320" s="1">
        <v>45498</v>
      </c>
      <c r="B320" t="s">
        <v>487</v>
      </c>
      <c r="C320" t="s">
        <v>488</v>
      </c>
      <c r="D320" s="2">
        <v>0</v>
      </c>
      <c r="E320" s="2">
        <v>35</v>
      </c>
      <c r="F320" s="2">
        <v>116397.65</v>
      </c>
      <c r="G320" s="2" t="str">
        <f t="shared" si="4"/>
        <v>25-07-2024 ACH C- BAJAJ FINSERV LIMITE-5166374</v>
      </c>
      <c r="H320" s="2" t="s">
        <v>1335</v>
      </c>
      <c r="I320" t="s">
        <v>340</v>
      </c>
      <c r="K320" t="s">
        <v>1322</v>
      </c>
    </row>
    <row r="321" spans="1:11" x14ac:dyDescent="0.3">
      <c r="A321" s="1">
        <v>45498</v>
      </c>
      <c r="B321" t="s">
        <v>489</v>
      </c>
      <c r="C321" t="s">
        <v>490</v>
      </c>
      <c r="D321" s="2">
        <v>21546</v>
      </c>
      <c r="E321" s="2">
        <v>0</v>
      </c>
      <c r="F321" s="2">
        <v>94851.65</v>
      </c>
      <c r="G321" s="2" t="str">
        <f t="shared" si="4"/>
        <v>25-07-2024 YHDF2395191501/BILLDKTHECALCUTTAELE</v>
      </c>
      <c r="H321" s="2" t="s">
        <v>1335</v>
      </c>
      <c r="I321" t="s">
        <v>1326</v>
      </c>
      <c r="K321" t="s">
        <v>1322</v>
      </c>
    </row>
    <row r="322" spans="1:11" x14ac:dyDescent="0.3">
      <c r="A322" s="1">
        <v>45498</v>
      </c>
      <c r="B322" t="s">
        <v>82</v>
      </c>
      <c r="C322" t="s">
        <v>491</v>
      </c>
      <c r="D322" s="2">
        <v>9542.0300000000007</v>
      </c>
      <c r="E322" s="2">
        <v>0</v>
      </c>
      <c r="F322" s="2">
        <v>85309.62</v>
      </c>
      <c r="G322" s="2" t="str">
        <f t="shared" si="4"/>
        <v>25-07-2024 NET PI TO HSL SEC A/C 523686-00602340029434</v>
      </c>
      <c r="H322" s="2" t="s">
        <v>1335</v>
      </c>
      <c r="I322" t="s">
        <v>337</v>
      </c>
      <c r="K322" t="s">
        <v>1322</v>
      </c>
    </row>
    <row r="323" spans="1:11" x14ac:dyDescent="0.3">
      <c r="A323" s="1">
        <v>45499</v>
      </c>
      <c r="B323" t="s">
        <v>82</v>
      </c>
      <c r="C323" t="s">
        <v>492</v>
      </c>
      <c r="D323" s="2">
        <v>298.07</v>
      </c>
      <c r="E323" s="2">
        <v>0</v>
      </c>
      <c r="F323" s="2">
        <v>85011.55</v>
      </c>
      <c r="G323" s="2" t="str">
        <f t="shared" si="4"/>
        <v>26-07-2024 NET PI TO HSL SEC A/C 523686-00602340029434</v>
      </c>
      <c r="H323" s="2" t="s">
        <v>1335</v>
      </c>
      <c r="I323" t="s">
        <v>337</v>
      </c>
      <c r="K323" t="s">
        <v>1322</v>
      </c>
    </row>
    <row r="324" spans="1:11" x14ac:dyDescent="0.3">
      <c r="A324" s="1">
        <v>45502</v>
      </c>
      <c r="B324" t="s">
        <v>84</v>
      </c>
      <c r="C324" t="s">
        <v>493</v>
      </c>
      <c r="D324" s="2">
        <v>0</v>
      </c>
      <c r="E324" s="2">
        <v>6065.09</v>
      </c>
      <c r="F324" s="2">
        <v>91076.64</v>
      </c>
      <c r="G324" s="2" t="str">
        <f t="shared" si="4"/>
        <v>29-07-2024 NET PO FROM HSL A/C 523686-50200085415108</v>
      </c>
      <c r="H324" s="2" t="s">
        <v>1335</v>
      </c>
      <c r="I324" t="s">
        <v>337</v>
      </c>
      <c r="K324" t="s">
        <v>1322</v>
      </c>
    </row>
    <row r="325" spans="1:11" x14ac:dyDescent="0.3">
      <c r="A325" s="1">
        <v>45502</v>
      </c>
      <c r="B325" t="s">
        <v>82</v>
      </c>
      <c r="C325" t="s">
        <v>494</v>
      </c>
      <c r="D325" s="2">
        <v>894.21</v>
      </c>
      <c r="E325" s="2">
        <v>0</v>
      </c>
      <c r="F325" s="2">
        <v>90182.43</v>
      </c>
      <c r="G325" s="2" t="str">
        <f t="shared" ref="G325:G388" si="5">TEXT(A325,"DD")&amp;"-"&amp;TEXT(A325,"MM")&amp;"-"&amp;TEXT(A325,"YYYY")&amp;" "&amp;B325</f>
        <v>29-07-2024 NET PI TO HSL SEC A/C 523686-00602340029434</v>
      </c>
      <c r="H325" s="2" t="s">
        <v>1335</v>
      </c>
      <c r="I325" t="s">
        <v>337</v>
      </c>
      <c r="K325" t="s">
        <v>1322</v>
      </c>
    </row>
    <row r="326" spans="1:11" x14ac:dyDescent="0.3">
      <c r="A326" s="1">
        <v>45502</v>
      </c>
      <c r="B326" t="s">
        <v>495</v>
      </c>
      <c r="C326" t="s">
        <v>496</v>
      </c>
      <c r="D326" s="2">
        <v>0</v>
      </c>
      <c r="E326" s="2">
        <v>825</v>
      </c>
      <c r="F326" s="2">
        <v>91007.43</v>
      </c>
      <c r="G326" s="2" t="str">
        <f t="shared" si="5"/>
        <v>29-07-2024 ACH C- MPH FIN DIV 2023-24-0000IN3004764</v>
      </c>
      <c r="H326" s="2" t="s">
        <v>1335</v>
      </c>
      <c r="I326" t="s">
        <v>340</v>
      </c>
      <c r="K326" t="s">
        <v>1322</v>
      </c>
    </row>
    <row r="327" spans="1:11" x14ac:dyDescent="0.3">
      <c r="A327" s="1">
        <v>45502</v>
      </c>
      <c r="B327" t="s">
        <v>497</v>
      </c>
      <c r="C327" t="s">
        <v>498</v>
      </c>
      <c r="D327" s="2">
        <v>0</v>
      </c>
      <c r="E327" s="2">
        <v>84.57</v>
      </c>
      <c r="F327" s="2">
        <v>91092</v>
      </c>
      <c r="G327" s="2" t="str">
        <f t="shared" si="5"/>
        <v>29-07-2024 NEFT CR-UTIB0000004-AXIS MUTUAL FUND DIVIDEND A/C-SUNITA GUPTA-AXISCN0694049003</v>
      </c>
      <c r="H327" s="2" t="s">
        <v>1335</v>
      </c>
      <c r="I327" t="s">
        <v>340</v>
      </c>
      <c r="K327" t="s">
        <v>1322</v>
      </c>
    </row>
    <row r="328" spans="1:11" x14ac:dyDescent="0.3">
      <c r="A328" s="1">
        <v>45502</v>
      </c>
      <c r="B328" t="s">
        <v>82</v>
      </c>
      <c r="C328" t="s">
        <v>499</v>
      </c>
      <c r="D328" s="2">
        <v>29487.13</v>
      </c>
      <c r="E328" s="2">
        <v>0</v>
      </c>
      <c r="F328" s="2">
        <v>61604.87</v>
      </c>
      <c r="G328" s="2" t="str">
        <f t="shared" si="5"/>
        <v>29-07-2024 NET PI TO HSL SEC A/C 523686-00602340029434</v>
      </c>
      <c r="H328" s="2" t="s">
        <v>1335</v>
      </c>
      <c r="I328" t="s">
        <v>337</v>
      </c>
      <c r="K328" t="s">
        <v>1322</v>
      </c>
    </row>
    <row r="329" spans="1:11" x14ac:dyDescent="0.3">
      <c r="A329" s="1">
        <v>45502</v>
      </c>
      <c r="B329" t="s">
        <v>82</v>
      </c>
      <c r="C329" t="s">
        <v>500</v>
      </c>
      <c r="D329" s="2">
        <v>27304.28</v>
      </c>
      <c r="E329" s="2">
        <v>0</v>
      </c>
      <c r="F329" s="2">
        <v>34300.589999999997</v>
      </c>
      <c r="G329" s="2" t="str">
        <f t="shared" si="5"/>
        <v>29-07-2024 NET PI TO HSL SEC A/C 523686-00602340029434</v>
      </c>
      <c r="H329" s="2" t="s">
        <v>1335</v>
      </c>
      <c r="I329" t="s">
        <v>337</v>
      </c>
      <c r="K329" t="s">
        <v>1322</v>
      </c>
    </row>
    <row r="330" spans="1:11" x14ac:dyDescent="0.3">
      <c r="A330" s="1">
        <v>45503</v>
      </c>
      <c r="B330" t="s">
        <v>84</v>
      </c>
      <c r="C330" t="s">
        <v>501</v>
      </c>
      <c r="D330" s="2">
        <v>0</v>
      </c>
      <c r="E330" s="2">
        <v>10280.34</v>
      </c>
      <c r="F330" s="2">
        <v>44580.93</v>
      </c>
      <c r="G330" s="2" t="str">
        <f t="shared" si="5"/>
        <v>30-07-2024 NET PO FROM HSL A/C 523686-50200085415108</v>
      </c>
      <c r="H330" s="2" t="s">
        <v>1335</v>
      </c>
      <c r="I330" t="s">
        <v>337</v>
      </c>
      <c r="K330" t="s">
        <v>1322</v>
      </c>
    </row>
    <row r="331" spans="1:11" x14ac:dyDescent="0.3">
      <c r="A331" s="1">
        <v>45503</v>
      </c>
      <c r="B331" t="s">
        <v>82</v>
      </c>
      <c r="C331" t="s">
        <v>502</v>
      </c>
      <c r="D331" s="2">
        <v>290.51</v>
      </c>
      <c r="E331" s="2">
        <v>0</v>
      </c>
      <c r="F331" s="2">
        <v>44290.42</v>
      </c>
      <c r="G331" s="2" t="str">
        <f t="shared" si="5"/>
        <v>30-07-2024 NET PI TO HSL SEC A/C 523686-00602340029434</v>
      </c>
      <c r="H331" s="2" t="s">
        <v>1335</v>
      </c>
      <c r="I331" t="s">
        <v>337</v>
      </c>
      <c r="K331" t="s">
        <v>1322</v>
      </c>
    </row>
    <row r="332" spans="1:11" x14ac:dyDescent="0.3">
      <c r="A332" s="1">
        <v>45503</v>
      </c>
      <c r="B332" t="s">
        <v>503</v>
      </c>
      <c r="C332" t="s">
        <v>504</v>
      </c>
      <c r="D332" s="2">
        <v>0</v>
      </c>
      <c r="E332" s="2">
        <v>949</v>
      </c>
      <c r="F332" s="2">
        <v>45239.42</v>
      </c>
      <c r="G332" s="2" t="str">
        <f t="shared" si="5"/>
        <v>30-07-2024 ACH C- JSW STEEL LIMITED-21931557</v>
      </c>
      <c r="H332" s="2" t="s">
        <v>1335</v>
      </c>
      <c r="I332" t="s">
        <v>340</v>
      </c>
      <c r="K332" t="s">
        <v>1322</v>
      </c>
    </row>
    <row r="333" spans="1:11" x14ac:dyDescent="0.3">
      <c r="A333" s="1">
        <v>45504</v>
      </c>
      <c r="B333" t="s">
        <v>368</v>
      </c>
      <c r="C333" t="s">
        <v>23</v>
      </c>
      <c r="D333" s="2">
        <v>0</v>
      </c>
      <c r="E333" s="2">
        <v>900</v>
      </c>
      <c r="F333" s="2">
        <v>38734.29</v>
      </c>
      <c r="G333" s="2" t="str">
        <f t="shared" si="5"/>
        <v>31-07-2024 ACH-CR-SHRDCCLFnl202324-NACH-00000000000000067267</v>
      </c>
      <c r="H333" s="2" t="s">
        <v>1335</v>
      </c>
      <c r="I333" t="s">
        <v>340</v>
      </c>
      <c r="K333" t="s">
        <v>1323</v>
      </c>
    </row>
    <row r="334" spans="1:11" x14ac:dyDescent="0.3">
      <c r="A334" s="1">
        <v>45504</v>
      </c>
      <c r="B334" t="s">
        <v>84</v>
      </c>
      <c r="C334" t="s">
        <v>505</v>
      </c>
      <c r="D334" s="2">
        <v>0</v>
      </c>
      <c r="E334" s="2">
        <v>6906.74</v>
      </c>
      <c r="F334" s="2">
        <v>52146.16</v>
      </c>
      <c r="G334" s="2" t="str">
        <f t="shared" si="5"/>
        <v>31-07-2024 NET PO FROM HSL A/C 523686-50200085415108</v>
      </c>
      <c r="H334" s="2" t="s">
        <v>1335</v>
      </c>
      <c r="I334" t="s">
        <v>337</v>
      </c>
      <c r="K334" t="s">
        <v>1322</v>
      </c>
    </row>
    <row r="335" spans="1:11" x14ac:dyDescent="0.3">
      <c r="A335" s="1">
        <v>45504</v>
      </c>
      <c r="B335" t="s">
        <v>82</v>
      </c>
      <c r="C335" t="s">
        <v>506</v>
      </c>
      <c r="D335" s="2">
        <v>336.24</v>
      </c>
      <c r="E335" s="2">
        <v>0</v>
      </c>
      <c r="F335" s="2">
        <v>51809.919999999998</v>
      </c>
      <c r="G335" s="2" t="str">
        <f t="shared" si="5"/>
        <v>31-07-2024 NET PI TO HSL SEC A/C 523686-00602340029434</v>
      </c>
      <c r="H335" s="2" t="s">
        <v>1335</v>
      </c>
      <c r="I335" t="s">
        <v>337</v>
      </c>
      <c r="K335" t="s">
        <v>1322</v>
      </c>
    </row>
    <row r="336" spans="1:11" x14ac:dyDescent="0.3">
      <c r="A336" s="1">
        <v>45504</v>
      </c>
      <c r="B336" t="s">
        <v>507</v>
      </c>
      <c r="C336" t="s">
        <v>508</v>
      </c>
      <c r="D336" s="2">
        <v>0</v>
      </c>
      <c r="E336" s="2">
        <v>380</v>
      </c>
      <c r="F336" s="2">
        <v>52189.919999999998</v>
      </c>
      <c r="G336" s="2" t="str">
        <f t="shared" si="5"/>
        <v>31-07-2024 ACH C- ATUL LTDFNLDIV 23 24-19440</v>
      </c>
      <c r="H336" s="2" t="s">
        <v>1335</v>
      </c>
      <c r="I336" t="s">
        <v>340</v>
      </c>
      <c r="K336" t="s">
        <v>1322</v>
      </c>
    </row>
    <row r="337" spans="1:11" x14ac:dyDescent="0.3">
      <c r="A337" s="1">
        <v>45504</v>
      </c>
      <c r="B337" t="s">
        <v>82</v>
      </c>
      <c r="C337" t="s">
        <v>509</v>
      </c>
      <c r="D337" s="2">
        <v>3412.52</v>
      </c>
      <c r="E337" s="2">
        <v>0</v>
      </c>
      <c r="F337" s="2">
        <v>48777.4</v>
      </c>
      <c r="G337" s="2" t="str">
        <f t="shared" si="5"/>
        <v>31-07-2024 NET PI TO HSL SEC A/C 523686-00602340029434</v>
      </c>
      <c r="H337" s="2" t="s">
        <v>1335</v>
      </c>
      <c r="I337" t="s">
        <v>337</v>
      </c>
      <c r="K337" t="s">
        <v>1322</v>
      </c>
    </row>
    <row r="338" spans="1:11" x14ac:dyDescent="0.3">
      <c r="A338" s="1">
        <v>45505</v>
      </c>
      <c r="B338" t="s">
        <v>84</v>
      </c>
      <c r="C338" t="s">
        <v>510</v>
      </c>
      <c r="D338" s="2">
        <v>0</v>
      </c>
      <c r="E338" s="2">
        <v>39882.720000000001</v>
      </c>
      <c r="F338" s="2">
        <v>88660.12</v>
      </c>
      <c r="G338" s="2" t="str">
        <f t="shared" si="5"/>
        <v>01-08-2024 NET PO FROM HSL A/C 523686-50200085415108</v>
      </c>
      <c r="H338" s="2" t="s">
        <v>1335</v>
      </c>
      <c r="I338" t="s">
        <v>337</v>
      </c>
      <c r="K338" t="s">
        <v>1322</v>
      </c>
    </row>
    <row r="339" spans="1:11" x14ac:dyDescent="0.3">
      <c r="A339" s="1">
        <v>45505</v>
      </c>
      <c r="B339" t="s">
        <v>82</v>
      </c>
      <c r="C339" t="s">
        <v>511</v>
      </c>
      <c r="D339" s="2">
        <v>337.49</v>
      </c>
      <c r="E339" s="2">
        <v>0</v>
      </c>
      <c r="F339" s="2">
        <v>88322.63</v>
      </c>
      <c r="G339" s="2" t="str">
        <f t="shared" si="5"/>
        <v>01-08-2024 NET PI TO HSL SEC A/C 523686-00602340029434</v>
      </c>
      <c r="H339" s="2" t="s">
        <v>1335</v>
      </c>
      <c r="I339" t="s">
        <v>337</v>
      </c>
      <c r="K339" t="s">
        <v>1322</v>
      </c>
    </row>
    <row r="340" spans="1:11" x14ac:dyDescent="0.3">
      <c r="A340" s="1">
        <v>45505</v>
      </c>
      <c r="B340" t="s">
        <v>82</v>
      </c>
      <c r="C340" t="s">
        <v>512</v>
      </c>
      <c r="D340" s="2">
        <v>1376.77</v>
      </c>
      <c r="E340" s="2">
        <v>0</v>
      </c>
      <c r="F340" s="2">
        <v>86945.86</v>
      </c>
      <c r="G340" s="2" t="str">
        <f t="shared" si="5"/>
        <v>01-08-2024 NET PI TO HSL SEC A/C 523686-00602340029434</v>
      </c>
      <c r="H340" s="2" t="s">
        <v>1335</v>
      </c>
      <c r="I340" t="s">
        <v>337</v>
      </c>
      <c r="K340" t="s">
        <v>1322</v>
      </c>
    </row>
    <row r="341" spans="1:11" x14ac:dyDescent="0.3">
      <c r="A341" s="1">
        <v>45506</v>
      </c>
      <c r="B341" t="s">
        <v>82</v>
      </c>
      <c r="C341" t="s">
        <v>513</v>
      </c>
      <c r="D341" s="2">
        <v>337</v>
      </c>
      <c r="E341" s="2">
        <v>0</v>
      </c>
      <c r="F341" s="2">
        <v>86608.86</v>
      </c>
      <c r="G341" s="2" t="str">
        <f t="shared" si="5"/>
        <v>02-08-2024 NET PI TO HSL SEC A/C 523686-00602340029434</v>
      </c>
      <c r="H341" s="2" t="s">
        <v>1335</v>
      </c>
      <c r="I341" t="s">
        <v>337</v>
      </c>
      <c r="K341" t="s">
        <v>1322</v>
      </c>
    </row>
    <row r="342" spans="1:11" x14ac:dyDescent="0.3">
      <c r="A342" s="1">
        <v>45507</v>
      </c>
      <c r="B342" t="s">
        <v>369</v>
      </c>
      <c r="C342" t="s">
        <v>23</v>
      </c>
      <c r="D342" s="2">
        <v>0</v>
      </c>
      <c r="E342" s="2">
        <v>25000</v>
      </c>
      <c r="F342" s="2">
        <v>63734.29</v>
      </c>
      <c r="G342" s="2" t="str">
        <f t="shared" si="5"/>
        <v>03-08-2024 NEFT/YESF342160112723/ZERODHA BROKING LTD-DSCNB A//YES BANK/ae4b1fbf69 Zerodha payout</v>
      </c>
      <c r="H342" s="2" t="s">
        <v>1335</v>
      </c>
      <c r="I342" t="s">
        <v>46</v>
      </c>
      <c r="K342" t="s">
        <v>1323</v>
      </c>
    </row>
    <row r="343" spans="1:11" x14ac:dyDescent="0.3">
      <c r="A343" s="1">
        <v>45507</v>
      </c>
      <c r="B343" t="s">
        <v>82</v>
      </c>
      <c r="C343" t="s">
        <v>514</v>
      </c>
      <c r="D343" s="2">
        <v>9965.5499999999993</v>
      </c>
      <c r="E343" s="2">
        <v>0</v>
      </c>
      <c r="F343" s="2">
        <v>76643.31</v>
      </c>
      <c r="G343" s="2" t="str">
        <f t="shared" si="5"/>
        <v>03-08-2024 NET PI TO HSL SEC A/C 523686-00602340029434</v>
      </c>
      <c r="H343" s="2" t="s">
        <v>1335</v>
      </c>
      <c r="I343" t="s">
        <v>337</v>
      </c>
      <c r="K343" t="s">
        <v>1322</v>
      </c>
    </row>
    <row r="344" spans="1:11" x14ac:dyDescent="0.3">
      <c r="A344" s="1">
        <v>45509</v>
      </c>
      <c r="B344" t="s">
        <v>82</v>
      </c>
      <c r="C344" t="s">
        <v>515</v>
      </c>
      <c r="D344" s="2">
        <v>1000.35</v>
      </c>
      <c r="E344" s="2">
        <v>0</v>
      </c>
      <c r="F344" s="2">
        <v>75642.960000000006</v>
      </c>
      <c r="G344" s="2" t="str">
        <f t="shared" si="5"/>
        <v>05-08-2024 NET PI TO HSL SEC A/C 523686-00602340029434</v>
      </c>
      <c r="H344" s="2" t="s">
        <v>1335</v>
      </c>
      <c r="I344" t="s">
        <v>337</v>
      </c>
      <c r="K344" t="s">
        <v>1322</v>
      </c>
    </row>
    <row r="345" spans="1:11" x14ac:dyDescent="0.3">
      <c r="A345" s="1">
        <v>45509</v>
      </c>
      <c r="B345" t="s">
        <v>516</v>
      </c>
      <c r="C345" t="s">
        <v>517</v>
      </c>
      <c r="D345" s="2">
        <v>0</v>
      </c>
      <c r="E345" s="2">
        <v>310</v>
      </c>
      <c r="F345" s="2">
        <v>75952.960000000006</v>
      </c>
      <c r="G345" s="2" t="str">
        <f t="shared" si="5"/>
        <v>05-08-2024 ACH C- TCS1STINTDIV050824-803726</v>
      </c>
      <c r="H345" s="2" t="s">
        <v>1335</v>
      </c>
      <c r="I345" t="s">
        <v>340</v>
      </c>
      <c r="K345" t="s">
        <v>1322</v>
      </c>
    </row>
    <row r="346" spans="1:11" x14ac:dyDescent="0.3">
      <c r="A346" s="1">
        <v>45509</v>
      </c>
      <c r="B346" t="s">
        <v>82</v>
      </c>
      <c r="C346" t="s">
        <v>518</v>
      </c>
      <c r="D346" s="2">
        <v>12167.78</v>
      </c>
      <c r="E346" s="2">
        <v>0</v>
      </c>
      <c r="F346" s="2">
        <v>63785.18</v>
      </c>
      <c r="G346" s="2" t="str">
        <f t="shared" si="5"/>
        <v>05-08-2024 NET PI TO HSL SEC A/C 523686-00602340029434</v>
      </c>
      <c r="H346" s="2" t="s">
        <v>1335</v>
      </c>
      <c r="I346" t="s">
        <v>337</v>
      </c>
      <c r="K346" t="s">
        <v>1322</v>
      </c>
    </row>
    <row r="347" spans="1:11" x14ac:dyDescent="0.3">
      <c r="A347" s="1">
        <v>45510</v>
      </c>
      <c r="B347" t="s">
        <v>370</v>
      </c>
      <c r="C347" t="s">
        <v>23</v>
      </c>
      <c r="D347" s="2">
        <v>1519</v>
      </c>
      <c r="E347" s="2">
        <v>0</v>
      </c>
      <c r="F347" s="2">
        <v>62215.29</v>
      </c>
      <c r="G347" s="2" t="str">
        <f t="shared" si="5"/>
        <v>06-08-2024 UPI/P2M/458538155643/Flipkart Payments    /UPI/Yes Bank Ltd</v>
      </c>
      <c r="H347" s="2" t="s">
        <v>1335</v>
      </c>
      <c r="I347" t="s">
        <v>1309</v>
      </c>
      <c r="K347" t="s">
        <v>1323</v>
      </c>
    </row>
    <row r="348" spans="1:11" x14ac:dyDescent="0.3">
      <c r="A348" s="1">
        <v>45510</v>
      </c>
      <c r="B348" t="s">
        <v>84</v>
      </c>
      <c r="C348" t="s">
        <v>519</v>
      </c>
      <c r="D348" s="2">
        <v>0</v>
      </c>
      <c r="E348" s="2">
        <v>56809.919999999998</v>
      </c>
      <c r="F348" s="2">
        <v>120595.1</v>
      </c>
      <c r="G348" s="2" t="str">
        <f t="shared" si="5"/>
        <v>06-08-2024 NET PO FROM HSL A/C 523686-50200085415108</v>
      </c>
      <c r="H348" s="2" t="s">
        <v>1335</v>
      </c>
      <c r="I348" t="s">
        <v>337</v>
      </c>
      <c r="K348" t="s">
        <v>1322</v>
      </c>
    </row>
    <row r="349" spans="1:11" x14ac:dyDescent="0.3">
      <c r="A349" s="1">
        <v>45510</v>
      </c>
      <c r="B349" t="s">
        <v>82</v>
      </c>
      <c r="C349" t="s">
        <v>520</v>
      </c>
      <c r="D349" s="2">
        <v>329.12</v>
      </c>
      <c r="E349" s="2">
        <v>0</v>
      </c>
      <c r="F349" s="2">
        <v>120265.98</v>
      </c>
      <c r="G349" s="2" t="str">
        <f t="shared" si="5"/>
        <v>06-08-2024 NET PI TO HSL SEC A/C 523686-00602340029434</v>
      </c>
      <c r="H349" s="2" t="s">
        <v>1335</v>
      </c>
      <c r="I349" t="s">
        <v>337</v>
      </c>
      <c r="K349" t="s">
        <v>1322</v>
      </c>
    </row>
    <row r="350" spans="1:11" x14ac:dyDescent="0.3">
      <c r="A350" s="1">
        <v>45510</v>
      </c>
      <c r="B350" t="s">
        <v>521</v>
      </c>
      <c r="C350" t="s">
        <v>522</v>
      </c>
      <c r="D350" s="2">
        <v>0</v>
      </c>
      <c r="E350" s="2">
        <v>45810</v>
      </c>
      <c r="F350" s="2">
        <v>166075.98000000001</v>
      </c>
      <c r="G350" s="2" t="str">
        <f t="shared" si="5"/>
        <v>06-08-2024 NEFT CR-SBIN0000TBU-ITDTAX REFUND 2024-25 AKDPG7463Q-SUNITA GUPTA-SBIN524219475023</v>
      </c>
      <c r="H350" s="2" t="s">
        <v>1335</v>
      </c>
      <c r="I350" t="s">
        <v>1307</v>
      </c>
      <c r="K350" t="s">
        <v>1322</v>
      </c>
    </row>
    <row r="351" spans="1:11" x14ac:dyDescent="0.3">
      <c r="A351" s="1">
        <v>45510</v>
      </c>
      <c r="B351" t="s">
        <v>82</v>
      </c>
      <c r="C351" t="s">
        <v>523</v>
      </c>
      <c r="D351" s="2">
        <v>28428.92</v>
      </c>
      <c r="E351" s="2">
        <v>0</v>
      </c>
      <c r="F351" s="2">
        <v>137647.06</v>
      </c>
      <c r="G351" s="2" t="str">
        <f t="shared" si="5"/>
        <v>06-08-2024 NET PI TO HSL SEC A/C 523686-00602340029434</v>
      </c>
      <c r="H351" s="2" t="s">
        <v>1335</v>
      </c>
      <c r="I351" t="s">
        <v>337</v>
      </c>
      <c r="K351" t="s">
        <v>1322</v>
      </c>
    </row>
    <row r="352" spans="1:11" x14ac:dyDescent="0.3">
      <c r="A352" s="1">
        <v>45511</v>
      </c>
      <c r="B352" t="s">
        <v>524</v>
      </c>
      <c r="C352" t="s">
        <v>525</v>
      </c>
      <c r="D352" s="2">
        <v>0</v>
      </c>
      <c r="E352" s="2">
        <v>175</v>
      </c>
      <c r="F352" s="2">
        <v>137822.06</v>
      </c>
      <c r="G352" s="2" t="str">
        <f t="shared" si="5"/>
        <v>07-08-2024 ACH C- NFIL-00000000000003531754</v>
      </c>
      <c r="H352" s="2" t="s">
        <v>1335</v>
      </c>
      <c r="I352" t="s">
        <v>340</v>
      </c>
      <c r="K352" t="s">
        <v>1322</v>
      </c>
    </row>
    <row r="353" spans="1:13" x14ac:dyDescent="0.3">
      <c r="A353" s="1">
        <v>45511</v>
      </c>
      <c r="B353" t="s">
        <v>82</v>
      </c>
      <c r="C353" t="s">
        <v>526</v>
      </c>
      <c r="D353" s="2">
        <v>302.48</v>
      </c>
      <c r="E353" s="2">
        <v>0</v>
      </c>
      <c r="F353" s="2">
        <v>137519.57999999999</v>
      </c>
      <c r="G353" s="2" t="str">
        <f t="shared" si="5"/>
        <v>07-08-2024 NET PI TO HSL SEC A/C 523686-00602340029434</v>
      </c>
      <c r="H353" s="2" t="s">
        <v>1335</v>
      </c>
      <c r="I353" t="s">
        <v>337</v>
      </c>
      <c r="K353" t="s">
        <v>1322</v>
      </c>
    </row>
    <row r="354" spans="1:13" x14ac:dyDescent="0.3">
      <c r="A354" s="1">
        <v>45511</v>
      </c>
      <c r="B354" t="s">
        <v>82</v>
      </c>
      <c r="C354" t="s">
        <v>527</v>
      </c>
      <c r="D354" s="2">
        <v>57623.28</v>
      </c>
      <c r="E354" s="2">
        <v>0</v>
      </c>
      <c r="F354" s="2">
        <v>79896.3</v>
      </c>
      <c r="G354" s="2" t="str">
        <f t="shared" si="5"/>
        <v>07-08-2024 NET PI TO HSL SEC A/C 523686-00602340029434</v>
      </c>
      <c r="H354" s="2" t="s">
        <v>1335</v>
      </c>
      <c r="I354" t="s">
        <v>337</v>
      </c>
      <c r="K354" t="s">
        <v>1322</v>
      </c>
    </row>
    <row r="355" spans="1:13" x14ac:dyDescent="0.3">
      <c r="A355" s="1">
        <v>45512</v>
      </c>
      <c r="B355" t="s">
        <v>84</v>
      </c>
      <c r="C355" t="s">
        <v>528</v>
      </c>
      <c r="D355" s="2">
        <v>0</v>
      </c>
      <c r="E355" s="2">
        <v>11098.7</v>
      </c>
      <c r="F355" s="2">
        <v>90995</v>
      </c>
      <c r="G355" s="2" t="str">
        <f t="shared" si="5"/>
        <v>08-08-2024 NET PO FROM HSL A/C 523686-50200085415108</v>
      </c>
      <c r="H355" s="2" t="s">
        <v>1335</v>
      </c>
      <c r="I355" t="s">
        <v>337</v>
      </c>
      <c r="K355" t="s">
        <v>1322</v>
      </c>
    </row>
    <row r="356" spans="1:13" x14ac:dyDescent="0.3">
      <c r="A356" s="1">
        <v>45512</v>
      </c>
      <c r="B356" t="s">
        <v>82</v>
      </c>
      <c r="C356" t="s">
        <v>529</v>
      </c>
      <c r="D356" s="2">
        <v>304.04000000000002</v>
      </c>
      <c r="E356" s="2">
        <v>0</v>
      </c>
      <c r="F356" s="2">
        <v>90690.96</v>
      </c>
      <c r="G356" s="2" t="str">
        <f t="shared" si="5"/>
        <v>08-08-2024 NET PI TO HSL SEC A/C 523686-00602340029434</v>
      </c>
      <c r="H356" s="2" t="s">
        <v>1335</v>
      </c>
      <c r="I356" t="s">
        <v>337</v>
      </c>
      <c r="K356" t="s">
        <v>1322</v>
      </c>
    </row>
    <row r="357" spans="1:13" x14ac:dyDescent="0.3">
      <c r="A357" s="1">
        <v>45512</v>
      </c>
      <c r="B357" t="s">
        <v>82</v>
      </c>
      <c r="C357" t="s">
        <v>530</v>
      </c>
      <c r="D357" s="2">
        <v>7344.01</v>
      </c>
      <c r="E357" s="2">
        <v>0</v>
      </c>
      <c r="F357" s="2">
        <v>83346.95</v>
      </c>
      <c r="G357" s="2" t="str">
        <f t="shared" si="5"/>
        <v>08-08-2024 NET PI TO HSL SEC A/C 523686-00602340029434</v>
      </c>
      <c r="H357" s="2" t="s">
        <v>1335</v>
      </c>
      <c r="I357" t="s">
        <v>337</v>
      </c>
      <c r="K357" t="s">
        <v>1322</v>
      </c>
    </row>
    <row r="358" spans="1:13" x14ac:dyDescent="0.3">
      <c r="A358" s="1">
        <v>45513</v>
      </c>
      <c r="B358" t="s">
        <v>531</v>
      </c>
      <c r="C358" t="s">
        <v>532</v>
      </c>
      <c r="D358" s="2">
        <v>0</v>
      </c>
      <c r="E358" s="2">
        <v>21546</v>
      </c>
      <c r="F358" s="2">
        <v>104892.95</v>
      </c>
      <c r="G358" s="2" t="str">
        <f t="shared" si="5"/>
        <v>09-08-2024 NEFT CR-SBIN0004266-SBI GENERAL INSURANCE CO LTDSBI GEN-SUNITA GUPTA 0000000002717756-SBIN524222218819</v>
      </c>
      <c r="H358" s="2" t="s">
        <v>1335</v>
      </c>
      <c r="I358" t="s">
        <v>1326</v>
      </c>
      <c r="K358" t="s">
        <v>1322</v>
      </c>
    </row>
    <row r="359" spans="1:13" x14ac:dyDescent="0.3">
      <c r="A359" s="1">
        <v>45513</v>
      </c>
      <c r="B359" t="s">
        <v>82</v>
      </c>
      <c r="C359" t="s">
        <v>533</v>
      </c>
      <c r="D359" s="2">
        <v>305.45999999999998</v>
      </c>
      <c r="E359" s="2">
        <v>0</v>
      </c>
      <c r="F359" s="2">
        <v>104587.49</v>
      </c>
      <c r="G359" s="2" t="str">
        <f t="shared" si="5"/>
        <v>09-08-2024 NET PI TO HSL SEC A/C 523686-00602340029434</v>
      </c>
      <c r="H359" s="2" t="s">
        <v>1335</v>
      </c>
      <c r="I359" t="s">
        <v>337</v>
      </c>
      <c r="K359" t="s">
        <v>1322</v>
      </c>
    </row>
    <row r="360" spans="1:13" x14ac:dyDescent="0.3">
      <c r="A360" s="1">
        <v>45513</v>
      </c>
      <c r="B360" t="s">
        <v>534</v>
      </c>
      <c r="C360" t="s">
        <v>535</v>
      </c>
      <c r="D360" s="2">
        <v>0</v>
      </c>
      <c r="E360" s="2">
        <v>29757</v>
      </c>
      <c r="F360" s="2">
        <v>134344.49</v>
      </c>
      <c r="G360" s="2" t="str">
        <f t="shared" si="5"/>
        <v>09-08-2024 NEFT CR-SBIN0004266-SBI GENERAL INSURANCE CO LTDSBI GEN-SUNITA GUPTA 0000000002717756-SBIN124222221223</v>
      </c>
      <c r="H360" s="2" t="s">
        <v>1335</v>
      </c>
      <c r="I360" t="s">
        <v>345</v>
      </c>
      <c r="J360" t="s">
        <v>1328</v>
      </c>
      <c r="K360" t="s">
        <v>1322</v>
      </c>
      <c r="L360" s="11">
        <f>ROUND(E360/0.9,0)</f>
        <v>33063</v>
      </c>
      <c r="M360" s="11">
        <f>L360-E360</f>
        <v>3306</v>
      </c>
    </row>
    <row r="361" spans="1:13" x14ac:dyDescent="0.3">
      <c r="A361" s="1">
        <v>45516</v>
      </c>
      <c r="B361" t="s">
        <v>371</v>
      </c>
      <c r="C361" t="s">
        <v>23</v>
      </c>
      <c r="D361" s="2">
        <v>400</v>
      </c>
      <c r="E361" s="2">
        <v>0</v>
      </c>
      <c r="F361" s="2">
        <v>61815.29</v>
      </c>
      <c r="G361" s="2" t="str">
        <f t="shared" si="5"/>
        <v>12-08-2024 UPI/P2A/422527945475/BHARTI RATAN DEVNANI /tiffin/Union Bank of India</v>
      </c>
      <c r="H361" s="2" t="s">
        <v>1335</v>
      </c>
      <c r="I361" t="s">
        <v>1309</v>
      </c>
      <c r="K361" t="s">
        <v>1323</v>
      </c>
    </row>
    <row r="362" spans="1:13" x14ac:dyDescent="0.3">
      <c r="A362" s="1">
        <v>45516</v>
      </c>
      <c r="B362" t="s">
        <v>84</v>
      </c>
      <c r="C362" t="s">
        <v>536</v>
      </c>
      <c r="D362" s="2">
        <v>0</v>
      </c>
      <c r="E362" s="2">
        <v>2383.87</v>
      </c>
      <c r="F362" s="2">
        <v>136728.35999999999</v>
      </c>
      <c r="G362" s="2" t="str">
        <f t="shared" si="5"/>
        <v>12-08-2024 NET PO FROM HSL A/C 523686-50200085415108</v>
      </c>
      <c r="H362" s="2" t="s">
        <v>1335</v>
      </c>
      <c r="I362" t="s">
        <v>337</v>
      </c>
      <c r="K362" t="s">
        <v>1322</v>
      </c>
    </row>
    <row r="363" spans="1:13" x14ac:dyDescent="0.3">
      <c r="A363" s="1">
        <v>45516</v>
      </c>
      <c r="B363" t="s">
        <v>537</v>
      </c>
      <c r="C363" t="s">
        <v>98</v>
      </c>
      <c r="D363" s="2">
        <v>1085.5999999999999</v>
      </c>
      <c r="E363" s="2">
        <v>0</v>
      </c>
      <c r="F363" s="2">
        <v>135642.76</v>
      </c>
      <c r="G363" s="2" t="str">
        <f t="shared" si="5"/>
        <v>12-08-2024 DEPOSITORY CHARGES JUL24 - 41060499</v>
      </c>
      <c r="H363" s="2" t="s">
        <v>1335</v>
      </c>
      <c r="I363" t="s">
        <v>343</v>
      </c>
      <c r="K363" t="s">
        <v>1322</v>
      </c>
    </row>
    <row r="364" spans="1:13" x14ac:dyDescent="0.3">
      <c r="A364" s="1">
        <v>45516</v>
      </c>
      <c r="B364" t="s">
        <v>82</v>
      </c>
      <c r="C364" t="s">
        <v>538</v>
      </c>
      <c r="D364" s="2">
        <v>916.38</v>
      </c>
      <c r="E364" s="2">
        <v>0</v>
      </c>
      <c r="F364" s="2">
        <v>134726.38</v>
      </c>
      <c r="G364" s="2" t="str">
        <f t="shared" si="5"/>
        <v>12-08-2024 NET PI TO HSL SEC A/C 523686-00602340029434</v>
      </c>
      <c r="H364" s="2" t="s">
        <v>1335</v>
      </c>
      <c r="I364" t="s">
        <v>337</v>
      </c>
      <c r="K364" t="s">
        <v>1322</v>
      </c>
    </row>
    <row r="365" spans="1:13" x14ac:dyDescent="0.3">
      <c r="A365" s="1">
        <v>45516</v>
      </c>
      <c r="B365" t="s">
        <v>539</v>
      </c>
      <c r="C365" t="s">
        <v>540</v>
      </c>
      <c r="D365" s="2">
        <v>0</v>
      </c>
      <c r="E365" s="2">
        <v>206.25</v>
      </c>
      <c r="F365" s="2">
        <v>134932.63</v>
      </c>
      <c r="G365" s="2" t="str">
        <f t="shared" si="5"/>
        <v>12-08-2024 ACH C- DABUR INDIA LIMITED-8600449</v>
      </c>
      <c r="H365" s="2" t="s">
        <v>1335</v>
      </c>
      <c r="I365" t="s">
        <v>340</v>
      </c>
      <c r="K365" t="s">
        <v>1322</v>
      </c>
    </row>
    <row r="366" spans="1:13" x14ac:dyDescent="0.3">
      <c r="A366" s="1">
        <v>45516</v>
      </c>
      <c r="B366" t="s">
        <v>82</v>
      </c>
      <c r="C366" t="s">
        <v>541</v>
      </c>
      <c r="D366" s="2">
        <v>15357.07</v>
      </c>
      <c r="E366" s="2">
        <v>0</v>
      </c>
      <c r="F366" s="2">
        <v>119575.56</v>
      </c>
      <c r="G366" s="2" t="str">
        <f t="shared" si="5"/>
        <v>12-08-2024 NET PI TO HSL SEC A/C 523686-00602340029434</v>
      </c>
      <c r="H366" s="2" t="s">
        <v>1335</v>
      </c>
      <c r="I366" t="s">
        <v>337</v>
      </c>
      <c r="K366" t="s">
        <v>1322</v>
      </c>
    </row>
    <row r="367" spans="1:13" x14ac:dyDescent="0.3">
      <c r="A367" s="1">
        <v>45516</v>
      </c>
      <c r="B367" t="s">
        <v>82</v>
      </c>
      <c r="C367" t="s">
        <v>542</v>
      </c>
      <c r="D367" s="2">
        <v>10959.09</v>
      </c>
      <c r="E367" s="2">
        <v>0</v>
      </c>
      <c r="F367" s="2">
        <v>108616.47</v>
      </c>
      <c r="G367" s="2" t="str">
        <f t="shared" si="5"/>
        <v>12-08-2024 NET PI TO HSL SEC A/C 523686-00602340029434</v>
      </c>
      <c r="H367" s="2" t="s">
        <v>1335</v>
      </c>
      <c r="I367" t="s">
        <v>337</v>
      </c>
      <c r="K367" t="s">
        <v>1322</v>
      </c>
    </row>
    <row r="368" spans="1:13" x14ac:dyDescent="0.3">
      <c r="A368" s="1">
        <v>45517</v>
      </c>
      <c r="B368" t="s">
        <v>82</v>
      </c>
      <c r="C368" t="s">
        <v>543</v>
      </c>
      <c r="D368" s="2">
        <v>302.39999999999998</v>
      </c>
      <c r="E368" s="2">
        <v>0</v>
      </c>
      <c r="F368" s="2">
        <v>108314.07</v>
      </c>
      <c r="G368" s="2" t="str">
        <f t="shared" si="5"/>
        <v>13-08-2024 NET PI TO HSL SEC A/C 523686-00602340029434</v>
      </c>
      <c r="H368" s="2" t="s">
        <v>1335</v>
      </c>
      <c r="I368" t="s">
        <v>337</v>
      </c>
      <c r="K368" t="s">
        <v>1322</v>
      </c>
    </row>
    <row r="369" spans="1:11" x14ac:dyDescent="0.3">
      <c r="A369" s="1">
        <v>45517</v>
      </c>
      <c r="B369" t="s">
        <v>82</v>
      </c>
      <c r="C369" t="s">
        <v>544</v>
      </c>
      <c r="D369" s="2">
        <v>15948.05</v>
      </c>
      <c r="E369" s="2">
        <v>0</v>
      </c>
      <c r="F369" s="2">
        <v>92366.02</v>
      </c>
      <c r="G369" s="2" t="str">
        <f t="shared" si="5"/>
        <v>13-08-2024 NET PI TO HSL SEC A/C 523686-00602340029434</v>
      </c>
      <c r="H369" s="2" t="s">
        <v>1335</v>
      </c>
      <c r="I369" t="s">
        <v>337</v>
      </c>
      <c r="K369" t="s">
        <v>1322</v>
      </c>
    </row>
    <row r="370" spans="1:11" x14ac:dyDescent="0.3">
      <c r="A370" s="1">
        <v>45518</v>
      </c>
      <c r="B370" t="s">
        <v>36</v>
      </c>
      <c r="C370" t="s">
        <v>23</v>
      </c>
      <c r="D370" s="2">
        <v>108</v>
      </c>
      <c r="E370" s="2">
        <v>0</v>
      </c>
      <c r="F370" s="2">
        <v>61707.29</v>
      </c>
      <c r="G370" s="2" t="str">
        <f t="shared" si="5"/>
        <v>14-08-2024 GST @18% on MAB Charge</v>
      </c>
      <c r="H370" s="2" t="s">
        <v>1335</v>
      </c>
      <c r="I370" t="s">
        <v>47</v>
      </c>
      <c r="K370" t="s">
        <v>1323</v>
      </c>
    </row>
    <row r="371" spans="1:11" x14ac:dyDescent="0.3">
      <c r="A371" s="1">
        <v>45518</v>
      </c>
      <c r="B371" t="s">
        <v>372</v>
      </c>
      <c r="C371" t="s">
        <v>23</v>
      </c>
      <c r="D371" s="2">
        <v>600</v>
      </c>
      <c r="E371" s="2">
        <v>0</v>
      </c>
      <c r="F371" s="2">
        <v>61107.29</v>
      </c>
      <c r="G371" s="2" t="str">
        <f t="shared" si="5"/>
        <v>14-08-2024 Non-Maint Avg bal chgs Jun2024</v>
      </c>
      <c r="H371" s="2" t="s">
        <v>1335</v>
      </c>
      <c r="I371" t="s">
        <v>47</v>
      </c>
      <c r="K371" t="s">
        <v>1323</v>
      </c>
    </row>
    <row r="372" spans="1:11" x14ac:dyDescent="0.3">
      <c r="A372" s="1">
        <v>45518</v>
      </c>
      <c r="B372" t="s">
        <v>82</v>
      </c>
      <c r="C372" t="s">
        <v>545</v>
      </c>
      <c r="D372" s="2">
        <v>296.72000000000003</v>
      </c>
      <c r="E372" s="2">
        <v>0</v>
      </c>
      <c r="F372" s="2">
        <v>92069.3</v>
      </c>
      <c r="G372" s="2" t="str">
        <f t="shared" si="5"/>
        <v>14-08-2024 NET PI TO HSL SEC A/C 523686-00602340029434</v>
      </c>
      <c r="H372" s="2" t="s">
        <v>1335</v>
      </c>
      <c r="I372" t="s">
        <v>337</v>
      </c>
      <c r="K372" t="s">
        <v>1322</v>
      </c>
    </row>
    <row r="373" spans="1:11" x14ac:dyDescent="0.3">
      <c r="A373" s="1">
        <v>45518</v>
      </c>
      <c r="B373" t="s">
        <v>82</v>
      </c>
      <c r="C373" t="s">
        <v>546</v>
      </c>
      <c r="D373" s="2">
        <v>7437.78</v>
      </c>
      <c r="E373" s="2">
        <v>0</v>
      </c>
      <c r="F373" s="2">
        <v>84631.52</v>
      </c>
      <c r="G373" s="2" t="str">
        <f t="shared" si="5"/>
        <v>14-08-2024 NET PI TO HSL SEC A/C 523686-00602340029434</v>
      </c>
      <c r="H373" s="2" t="s">
        <v>1335</v>
      </c>
      <c r="I373" t="s">
        <v>337</v>
      </c>
      <c r="K373" t="s">
        <v>1322</v>
      </c>
    </row>
    <row r="374" spans="1:11" x14ac:dyDescent="0.3">
      <c r="A374" s="1">
        <v>45518</v>
      </c>
      <c r="B374" t="s">
        <v>82</v>
      </c>
      <c r="C374" t="s">
        <v>547</v>
      </c>
      <c r="D374" s="2">
        <v>11570.08</v>
      </c>
      <c r="E374" s="2">
        <v>0</v>
      </c>
      <c r="F374" s="2">
        <v>73061.440000000002</v>
      </c>
      <c r="G374" s="2" t="str">
        <f t="shared" si="5"/>
        <v>14-08-2024 NET PI TO HSL SEC A/C 523686-00602340029434</v>
      </c>
      <c r="H374" s="2" t="s">
        <v>1335</v>
      </c>
      <c r="I374" t="s">
        <v>337</v>
      </c>
      <c r="K374" t="s">
        <v>1322</v>
      </c>
    </row>
    <row r="375" spans="1:11" x14ac:dyDescent="0.3">
      <c r="A375" s="1">
        <v>45520</v>
      </c>
      <c r="B375" t="s">
        <v>373</v>
      </c>
      <c r="C375" t="s">
        <v>23</v>
      </c>
      <c r="D375" s="2">
        <v>1300</v>
      </c>
      <c r="E375" s="2">
        <v>0</v>
      </c>
      <c r="F375" s="2">
        <v>59807.29</v>
      </c>
      <c r="G375" s="2" t="str">
        <f t="shared" si="5"/>
        <v>16-08-2024 UPI/P2A/459516048244/Kriti  Gupta         /rakhi/State Bank Of India</v>
      </c>
      <c r="H375" s="2" t="s">
        <v>1335</v>
      </c>
      <c r="I375" t="s">
        <v>1309</v>
      </c>
      <c r="K375" t="s">
        <v>1323</v>
      </c>
    </row>
    <row r="376" spans="1:11" x14ac:dyDescent="0.3">
      <c r="A376" s="1">
        <v>45520</v>
      </c>
      <c r="B376" t="s">
        <v>84</v>
      </c>
      <c r="C376" t="s">
        <v>548</v>
      </c>
      <c r="D376" s="2">
        <v>0</v>
      </c>
      <c r="E376" s="2">
        <v>237.12</v>
      </c>
      <c r="F376" s="2">
        <v>73298.559999999998</v>
      </c>
      <c r="G376" s="2" t="str">
        <f t="shared" si="5"/>
        <v>16-08-2024 NET PO FROM HSL A/C 523686-50200085415108</v>
      </c>
      <c r="H376" s="2" t="s">
        <v>1335</v>
      </c>
      <c r="I376" t="s">
        <v>337</v>
      </c>
      <c r="K376" t="s">
        <v>1322</v>
      </c>
    </row>
    <row r="377" spans="1:11" x14ac:dyDescent="0.3">
      <c r="A377" s="1">
        <v>45520</v>
      </c>
      <c r="B377" t="s">
        <v>114</v>
      </c>
      <c r="C377" t="s">
        <v>549</v>
      </c>
      <c r="D377" s="2">
        <v>5000</v>
      </c>
      <c r="E377" s="2">
        <v>0</v>
      </c>
      <c r="F377" s="2">
        <v>68298.559999999998</v>
      </c>
      <c r="G377" s="2" t="str">
        <f t="shared" si="5"/>
        <v>16-08-2024 ACH D- INDIAN CLEARING CORP-P25847643X05</v>
      </c>
      <c r="H377" s="2" t="s">
        <v>1335</v>
      </c>
      <c r="I377" t="s">
        <v>341</v>
      </c>
      <c r="K377" t="s">
        <v>1322</v>
      </c>
    </row>
    <row r="378" spans="1:11" x14ac:dyDescent="0.3">
      <c r="A378" s="1">
        <v>45520</v>
      </c>
      <c r="B378" t="s">
        <v>82</v>
      </c>
      <c r="C378" t="s">
        <v>550</v>
      </c>
      <c r="D378" s="2">
        <v>594.55999999999995</v>
      </c>
      <c r="E378" s="2">
        <v>0</v>
      </c>
      <c r="F378" s="2">
        <v>67704</v>
      </c>
      <c r="G378" s="2" t="str">
        <f t="shared" si="5"/>
        <v>16-08-2024 NET PI TO HSL SEC A/C 523686-00602340029434</v>
      </c>
      <c r="H378" s="2" t="s">
        <v>1335</v>
      </c>
      <c r="I378" t="s">
        <v>337</v>
      </c>
      <c r="K378" t="s">
        <v>1322</v>
      </c>
    </row>
    <row r="379" spans="1:11" x14ac:dyDescent="0.3">
      <c r="A379" s="1">
        <v>45520</v>
      </c>
      <c r="B379" t="s">
        <v>551</v>
      </c>
      <c r="C379" t="s">
        <v>552</v>
      </c>
      <c r="D379" s="2">
        <v>0</v>
      </c>
      <c r="E379" s="2">
        <v>627</v>
      </c>
      <c r="F379" s="2">
        <v>68331</v>
      </c>
      <c r="G379" s="2" t="str">
        <f t="shared" si="5"/>
        <v>16-08-2024 ACH C- COFORGE LTD-100452</v>
      </c>
      <c r="H379" s="2" t="s">
        <v>1335</v>
      </c>
      <c r="I379" t="s">
        <v>340</v>
      </c>
      <c r="K379" t="s">
        <v>1322</v>
      </c>
    </row>
    <row r="380" spans="1:11" x14ac:dyDescent="0.3">
      <c r="A380" s="1">
        <v>45520</v>
      </c>
      <c r="B380" t="s">
        <v>553</v>
      </c>
      <c r="C380" t="s">
        <v>554</v>
      </c>
      <c r="D380" s="2">
        <v>0</v>
      </c>
      <c r="E380" s="2">
        <v>1190</v>
      </c>
      <c r="F380" s="2">
        <v>69521</v>
      </c>
      <c r="G380" s="2" t="str">
        <f t="shared" si="5"/>
        <v>16-08-2024 ACH C- ULTRATECHCEMENTLTD-00000000000004</v>
      </c>
      <c r="H380" s="2" t="s">
        <v>1335</v>
      </c>
      <c r="I380" t="s">
        <v>340</v>
      </c>
      <c r="K380" t="s">
        <v>1322</v>
      </c>
    </row>
    <row r="381" spans="1:11" x14ac:dyDescent="0.3">
      <c r="A381" s="1">
        <v>45520</v>
      </c>
      <c r="B381" t="s">
        <v>555</v>
      </c>
      <c r="C381" t="s">
        <v>556</v>
      </c>
      <c r="D381" s="2">
        <v>0</v>
      </c>
      <c r="E381" s="2">
        <v>330</v>
      </c>
      <c r="F381" s="2">
        <v>69851</v>
      </c>
      <c r="G381" s="2" t="str">
        <f t="shared" si="5"/>
        <v>16-08-2024 ACH C- DIVISLABORATORIES-000000000000033</v>
      </c>
      <c r="H381" s="2" t="s">
        <v>1335</v>
      </c>
      <c r="I381" t="s">
        <v>340</v>
      </c>
      <c r="K381" t="s">
        <v>1322</v>
      </c>
    </row>
    <row r="382" spans="1:11" x14ac:dyDescent="0.3">
      <c r="A382" s="1">
        <v>45521</v>
      </c>
      <c r="B382" t="s">
        <v>557</v>
      </c>
      <c r="C382" t="s">
        <v>558</v>
      </c>
      <c r="D382" s="2">
        <v>295</v>
      </c>
      <c r="E382" s="2">
        <v>0</v>
      </c>
      <c r="F382" s="2">
        <v>69556</v>
      </c>
      <c r="G382" s="2" t="str">
        <f t="shared" si="5"/>
        <v>17-08-2024 ISAQMC-APR-JUN24-323600 230724-MIR2522961261616</v>
      </c>
      <c r="H382" s="2" t="s">
        <v>1335</v>
      </c>
      <c r="I382" t="s">
        <v>47</v>
      </c>
      <c r="K382" t="s">
        <v>1322</v>
      </c>
    </row>
    <row r="383" spans="1:11" x14ac:dyDescent="0.3">
      <c r="A383" s="1">
        <v>45523</v>
      </c>
      <c r="B383" t="s">
        <v>84</v>
      </c>
      <c r="C383" t="s">
        <v>559</v>
      </c>
      <c r="D383" s="2">
        <v>0</v>
      </c>
      <c r="E383" s="2">
        <v>13649.2</v>
      </c>
      <c r="F383" s="2">
        <v>83205.2</v>
      </c>
      <c r="G383" s="2" t="str">
        <f t="shared" si="5"/>
        <v>19-08-2024 NET PO FROM HSL A/C 523686-50200085415108</v>
      </c>
      <c r="H383" s="2" t="s">
        <v>1335</v>
      </c>
      <c r="I383" t="s">
        <v>337</v>
      </c>
      <c r="K383" t="s">
        <v>1322</v>
      </c>
    </row>
    <row r="384" spans="1:11" x14ac:dyDescent="0.3">
      <c r="A384" s="1">
        <v>45523</v>
      </c>
      <c r="B384" t="s">
        <v>82</v>
      </c>
      <c r="C384" t="s">
        <v>560</v>
      </c>
      <c r="D384" s="2">
        <v>891.84</v>
      </c>
      <c r="E384" s="2">
        <v>0</v>
      </c>
      <c r="F384" s="2">
        <v>82313.36</v>
      </c>
      <c r="G384" s="2" t="str">
        <f t="shared" si="5"/>
        <v>19-08-2024 NET PI TO HSL SEC A/C 523686-00602340029434</v>
      </c>
      <c r="H384" s="2" t="s">
        <v>1335</v>
      </c>
      <c r="I384" t="s">
        <v>337</v>
      </c>
      <c r="K384" t="s">
        <v>1322</v>
      </c>
    </row>
    <row r="385" spans="1:11" x14ac:dyDescent="0.3">
      <c r="A385" s="1">
        <v>45523</v>
      </c>
      <c r="B385" t="s">
        <v>561</v>
      </c>
      <c r="C385" t="s">
        <v>562</v>
      </c>
      <c r="D385" s="2">
        <v>290</v>
      </c>
      <c r="E385" s="2">
        <v>0</v>
      </c>
      <c r="F385" s="2">
        <v>82023.360000000001</v>
      </c>
      <c r="G385" s="2" t="str">
        <f t="shared" si="5"/>
        <v>19-08-2024 UPI-BHARAT SHIVAJI SALVE-Q693795930@YBL-YESB0YBLUPI-459804001805-VEGITABLE</v>
      </c>
      <c r="H385" s="2" t="s">
        <v>1335</v>
      </c>
      <c r="I385" t="s">
        <v>1309</v>
      </c>
      <c r="K385" t="s">
        <v>1322</v>
      </c>
    </row>
    <row r="386" spans="1:11" x14ac:dyDescent="0.3">
      <c r="A386" s="1">
        <v>45523</v>
      </c>
      <c r="B386" t="s">
        <v>563</v>
      </c>
      <c r="C386" t="s">
        <v>564</v>
      </c>
      <c r="D386" s="2">
        <v>17805</v>
      </c>
      <c r="E386" s="2">
        <v>0</v>
      </c>
      <c r="F386" s="2">
        <v>64218.36</v>
      </c>
      <c r="G386" s="2" t="str">
        <f t="shared" si="5"/>
        <v>19-08-2024 YHDF2417946248/BILLDKTHECALCUTTAELE</v>
      </c>
      <c r="H386" s="2" t="s">
        <v>1335</v>
      </c>
      <c r="I386" t="s">
        <v>1326</v>
      </c>
      <c r="K386" t="s">
        <v>1322</v>
      </c>
    </row>
    <row r="387" spans="1:11" x14ac:dyDescent="0.3">
      <c r="A387" s="1">
        <v>45523</v>
      </c>
      <c r="B387" t="s">
        <v>82</v>
      </c>
      <c r="C387" t="s">
        <v>565</v>
      </c>
      <c r="D387" s="2">
        <v>1362.77</v>
      </c>
      <c r="E387" s="2">
        <v>0</v>
      </c>
      <c r="F387" s="2">
        <v>62855.59</v>
      </c>
      <c r="G387" s="2" t="str">
        <f t="shared" si="5"/>
        <v>19-08-2024 NET PI TO HSL SEC A/C 523686-00602340029434</v>
      </c>
      <c r="H387" s="2" t="s">
        <v>1335</v>
      </c>
      <c r="I387" t="s">
        <v>337</v>
      </c>
      <c r="K387" t="s">
        <v>1322</v>
      </c>
    </row>
    <row r="388" spans="1:11" x14ac:dyDescent="0.3">
      <c r="A388" s="1">
        <v>45524</v>
      </c>
      <c r="B388" t="s">
        <v>84</v>
      </c>
      <c r="C388" t="s">
        <v>566</v>
      </c>
      <c r="D388" s="2">
        <v>0</v>
      </c>
      <c r="E388" s="2">
        <v>87679.6</v>
      </c>
      <c r="F388" s="2">
        <v>150535.19</v>
      </c>
      <c r="G388" s="2" t="str">
        <f t="shared" si="5"/>
        <v>20-08-2024 NET PO FROM HSL A/C 523686-50200085415108</v>
      </c>
      <c r="H388" s="2" t="s">
        <v>1335</v>
      </c>
      <c r="I388" t="s">
        <v>337</v>
      </c>
      <c r="K388" t="s">
        <v>1322</v>
      </c>
    </row>
    <row r="389" spans="1:11" x14ac:dyDescent="0.3">
      <c r="A389" s="1">
        <v>45524</v>
      </c>
      <c r="B389" t="s">
        <v>567</v>
      </c>
      <c r="C389" t="s">
        <v>568</v>
      </c>
      <c r="D389" s="2">
        <v>18</v>
      </c>
      <c r="E389" s="2">
        <v>0</v>
      </c>
      <c r="F389" s="2">
        <v>150517.19</v>
      </c>
      <c r="G389" s="2" t="str">
        <f t="shared" ref="G389:G452" si="6">TEXT(A389,"DD")&amp;"-"&amp;TEXT(A389,"MM")&amp;"-"&amp;TEXT(A389,"YYYY")&amp;" "&amp;B389</f>
        <v>20-08-2024 UPI-OM SUPAR SHOPI-PAYTMQR1BM2V0ZITY@PAYTM-YESB0PTMUPI-423376646504-CHACH</v>
      </c>
      <c r="H389" s="2" t="s">
        <v>1335</v>
      </c>
      <c r="I389" t="s">
        <v>1309</v>
      </c>
      <c r="K389" t="s">
        <v>1322</v>
      </c>
    </row>
    <row r="390" spans="1:11" x14ac:dyDescent="0.3">
      <c r="A390" s="1">
        <v>45524</v>
      </c>
      <c r="B390" t="s">
        <v>569</v>
      </c>
      <c r="C390" t="s">
        <v>570</v>
      </c>
      <c r="D390" s="2">
        <v>300</v>
      </c>
      <c r="E390" s="2">
        <v>0</v>
      </c>
      <c r="F390" s="2">
        <v>150217.19</v>
      </c>
      <c r="G390" s="2" t="str">
        <f t="shared" si="6"/>
        <v>20-08-2024 UPI-BHARAT SHIVAJI SALVE-Q275219389@YBL-YESB0YBLUPI-459917741143-FRUIT</v>
      </c>
      <c r="H390" s="2" t="s">
        <v>1335</v>
      </c>
      <c r="I390" t="s">
        <v>1309</v>
      </c>
      <c r="K390" t="s">
        <v>1322</v>
      </c>
    </row>
    <row r="391" spans="1:11" x14ac:dyDescent="0.3">
      <c r="A391" s="1">
        <v>45524</v>
      </c>
      <c r="B391" t="s">
        <v>82</v>
      </c>
      <c r="C391" t="s">
        <v>571</v>
      </c>
      <c r="D391" s="2">
        <v>279.69</v>
      </c>
      <c r="E391" s="2">
        <v>0</v>
      </c>
      <c r="F391" s="2">
        <v>149937.5</v>
      </c>
      <c r="G391" s="2" t="str">
        <f t="shared" si="6"/>
        <v>20-08-2024 NET PI TO HSL SEC A/C 523686-00602340029434</v>
      </c>
      <c r="H391" s="2" t="s">
        <v>1335</v>
      </c>
      <c r="I391" t="s">
        <v>337</v>
      </c>
      <c r="K391" t="s">
        <v>1322</v>
      </c>
    </row>
    <row r="392" spans="1:11" x14ac:dyDescent="0.3">
      <c r="A392" s="1">
        <v>45524</v>
      </c>
      <c r="B392" t="s">
        <v>572</v>
      </c>
      <c r="C392" t="s">
        <v>573</v>
      </c>
      <c r="D392" s="2">
        <v>130</v>
      </c>
      <c r="E392" s="2">
        <v>0</v>
      </c>
      <c r="F392" s="2">
        <v>149807.5</v>
      </c>
      <c r="G392" s="2" t="str">
        <f t="shared" si="6"/>
        <v>20-08-2024 UPI-KUNAL RAMESH JADHAV-Q579080630@YBL-YESB0YBLUPI-459947687018-BUKE</v>
      </c>
      <c r="H392" s="2" t="s">
        <v>1335</v>
      </c>
      <c r="I392" t="s">
        <v>1309</v>
      </c>
      <c r="K392" t="s">
        <v>1322</v>
      </c>
    </row>
    <row r="393" spans="1:11" x14ac:dyDescent="0.3">
      <c r="A393" s="1">
        <v>45525</v>
      </c>
      <c r="B393" t="s">
        <v>374</v>
      </c>
      <c r="C393" t="s">
        <v>23</v>
      </c>
      <c r="D393" s="2">
        <v>0</v>
      </c>
      <c r="E393" s="2">
        <v>600</v>
      </c>
      <c r="F393" s="2">
        <v>60407.29</v>
      </c>
      <c r="G393" s="2" t="str">
        <f t="shared" si="6"/>
        <v>21-08-2024 Charge Refund: MABPR</v>
      </c>
      <c r="H393" s="2" t="s">
        <v>1335</v>
      </c>
      <c r="I393" t="s">
        <v>47</v>
      </c>
      <c r="K393" t="s">
        <v>1323</v>
      </c>
    </row>
    <row r="394" spans="1:11" x14ac:dyDescent="0.3">
      <c r="A394" s="1">
        <v>45525</v>
      </c>
      <c r="B394" t="s">
        <v>84</v>
      </c>
      <c r="C394" t="s">
        <v>574</v>
      </c>
      <c r="D394" s="2">
        <v>0</v>
      </c>
      <c r="E394" s="2">
        <v>87035.28</v>
      </c>
      <c r="F394" s="2">
        <v>236842.78</v>
      </c>
      <c r="G394" s="2" t="str">
        <f t="shared" si="6"/>
        <v>21-08-2024 NET PO FROM HSL A/C 523686-50200085415108</v>
      </c>
      <c r="H394" s="2" t="s">
        <v>1335</v>
      </c>
      <c r="I394" t="s">
        <v>337</v>
      </c>
      <c r="K394" t="s">
        <v>1322</v>
      </c>
    </row>
    <row r="395" spans="1:11" x14ac:dyDescent="0.3">
      <c r="A395" s="1">
        <v>45525</v>
      </c>
      <c r="B395" t="s">
        <v>575</v>
      </c>
      <c r="C395" t="s">
        <v>576</v>
      </c>
      <c r="D395" s="2">
        <v>55</v>
      </c>
      <c r="E395" s="2">
        <v>0</v>
      </c>
      <c r="F395" s="2">
        <v>236787.78</v>
      </c>
      <c r="G395" s="2" t="str">
        <f t="shared" si="6"/>
        <v>21-08-2024 UPI-KRUSHNASAGAR MITHAI-PAYTMQR596DKQ@PAYTM-YESB0PTMUPI-423452847251-NAMKIN</v>
      </c>
      <c r="H395" s="2" t="s">
        <v>1335</v>
      </c>
      <c r="I395" t="s">
        <v>1309</v>
      </c>
      <c r="K395" t="s">
        <v>1322</v>
      </c>
    </row>
    <row r="396" spans="1:11" x14ac:dyDescent="0.3">
      <c r="A396" s="1">
        <v>45525</v>
      </c>
      <c r="B396" t="s">
        <v>577</v>
      </c>
      <c r="C396" t="s">
        <v>578</v>
      </c>
      <c r="D396" s="2">
        <v>200000</v>
      </c>
      <c r="E396" s="2">
        <v>0</v>
      </c>
      <c r="F396" s="2">
        <v>36787.78</v>
      </c>
      <c r="G396" s="2" t="str">
        <f t="shared" si="6"/>
        <v>21-08-2024 01671000085930-TPT-BORROW FROM SUNITA-AJAY KUMAR GUPTA</v>
      </c>
      <c r="H396" s="2" t="s">
        <v>1335</v>
      </c>
      <c r="I396" t="s">
        <v>1298</v>
      </c>
      <c r="K396" t="s">
        <v>1322</v>
      </c>
    </row>
    <row r="397" spans="1:11" x14ac:dyDescent="0.3">
      <c r="A397" s="1">
        <v>45525</v>
      </c>
      <c r="B397" t="s">
        <v>579</v>
      </c>
      <c r="C397" t="s">
        <v>580</v>
      </c>
      <c r="D397" s="2">
        <v>0</v>
      </c>
      <c r="E397" s="2">
        <v>1980</v>
      </c>
      <c r="F397" s="2">
        <v>38767.78</v>
      </c>
      <c r="G397" s="2" t="str">
        <f t="shared" si="6"/>
        <v>21-08-2024 ACH C- CDSL FNLDIV 2023 24-345199</v>
      </c>
      <c r="H397" s="2" t="s">
        <v>1335</v>
      </c>
      <c r="I397" t="s">
        <v>340</v>
      </c>
      <c r="K397" t="s">
        <v>1322</v>
      </c>
    </row>
    <row r="398" spans="1:11" x14ac:dyDescent="0.3">
      <c r="A398" s="1">
        <v>45525</v>
      </c>
      <c r="B398" t="s">
        <v>82</v>
      </c>
      <c r="C398" t="s">
        <v>581</v>
      </c>
      <c r="D398" s="2">
        <v>280.7</v>
      </c>
      <c r="E398" s="2">
        <v>0</v>
      </c>
      <c r="F398" s="2">
        <v>38487.08</v>
      </c>
      <c r="G398" s="2" t="str">
        <f t="shared" si="6"/>
        <v>21-08-2024 NET PI TO HSL SEC A/C 523686-00602340029434</v>
      </c>
      <c r="H398" s="2" t="s">
        <v>1335</v>
      </c>
      <c r="I398" t="s">
        <v>337</v>
      </c>
      <c r="K398" t="s">
        <v>1322</v>
      </c>
    </row>
    <row r="399" spans="1:11" x14ac:dyDescent="0.3">
      <c r="A399" s="1">
        <v>45526</v>
      </c>
      <c r="B399" t="s">
        <v>84</v>
      </c>
      <c r="C399" t="s">
        <v>582</v>
      </c>
      <c r="D399" s="2">
        <v>0</v>
      </c>
      <c r="E399" s="2">
        <v>13652.52</v>
      </c>
      <c r="F399" s="2">
        <v>52139.6</v>
      </c>
      <c r="G399" s="2" t="str">
        <f t="shared" si="6"/>
        <v>22-08-2024 NET PO FROM HSL A/C 523686-50200085415108</v>
      </c>
      <c r="H399" s="2" t="s">
        <v>1335</v>
      </c>
      <c r="I399" t="s">
        <v>337</v>
      </c>
      <c r="K399" t="s">
        <v>1322</v>
      </c>
    </row>
    <row r="400" spans="1:11" x14ac:dyDescent="0.3">
      <c r="A400" s="1">
        <v>45526</v>
      </c>
      <c r="B400" t="s">
        <v>82</v>
      </c>
      <c r="C400" t="s">
        <v>583</v>
      </c>
      <c r="D400" s="2">
        <v>254.07</v>
      </c>
      <c r="E400" s="2">
        <v>0</v>
      </c>
      <c r="F400" s="2">
        <v>51885.53</v>
      </c>
      <c r="G400" s="2" t="str">
        <f t="shared" si="6"/>
        <v>22-08-2024 NET PI TO HSL SEC A/C 523686-00602340029434</v>
      </c>
      <c r="H400" s="2" t="s">
        <v>1335</v>
      </c>
      <c r="I400" t="s">
        <v>337</v>
      </c>
      <c r="K400" t="s">
        <v>1322</v>
      </c>
    </row>
    <row r="401" spans="1:13" x14ac:dyDescent="0.3">
      <c r="A401" s="1">
        <v>45526</v>
      </c>
      <c r="B401" t="s">
        <v>584</v>
      </c>
      <c r="C401" t="s">
        <v>585</v>
      </c>
      <c r="D401" s="2">
        <v>0</v>
      </c>
      <c r="E401" s="2">
        <v>200000</v>
      </c>
      <c r="F401" s="2">
        <v>251885.53</v>
      </c>
      <c r="G401" s="2" t="str">
        <f t="shared" si="6"/>
        <v>22-08-2024 01671000085930-TPT-MONEY RETURNED-AJAY KUMAR GUPTA</v>
      </c>
      <c r="H401" s="2" t="s">
        <v>1335</v>
      </c>
      <c r="I401" t="s">
        <v>1300</v>
      </c>
      <c r="K401" t="s">
        <v>1322</v>
      </c>
    </row>
    <row r="402" spans="1:13" x14ac:dyDescent="0.3">
      <c r="A402" s="1">
        <v>45527</v>
      </c>
      <c r="B402" t="s">
        <v>84</v>
      </c>
      <c r="C402" t="s">
        <v>586</v>
      </c>
      <c r="D402" s="2">
        <v>0</v>
      </c>
      <c r="E402" s="2">
        <v>1025.02</v>
      </c>
      <c r="F402" s="2">
        <v>252910.55</v>
      </c>
      <c r="G402" s="2" t="str">
        <f t="shared" si="6"/>
        <v>23-08-2024 NET PO FROM HSL A/C 523686-50200085415108</v>
      </c>
      <c r="H402" s="2" t="s">
        <v>1335</v>
      </c>
      <c r="I402" t="s">
        <v>337</v>
      </c>
      <c r="K402" t="s">
        <v>1322</v>
      </c>
    </row>
    <row r="403" spans="1:13" x14ac:dyDescent="0.3">
      <c r="A403" s="1">
        <v>45527</v>
      </c>
      <c r="B403" t="s">
        <v>84</v>
      </c>
      <c r="C403" t="s">
        <v>587</v>
      </c>
      <c r="D403" s="2">
        <v>0</v>
      </c>
      <c r="E403" s="2">
        <v>41057.08</v>
      </c>
      <c r="F403" s="2">
        <v>293967.63</v>
      </c>
      <c r="G403" s="2" t="str">
        <f t="shared" si="6"/>
        <v>23-08-2024 NET PO FROM HSL A/C 523686-50200085415108</v>
      </c>
      <c r="H403" s="2" t="s">
        <v>1335</v>
      </c>
      <c r="I403" t="s">
        <v>337</v>
      </c>
      <c r="K403" t="s">
        <v>1322</v>
      </c>
    </row>
    <row r="404" spans="1:13" x14ac:dyDescent="0.3">
      <c r="A404" s="1">
        <v>45527</v>
      </c>
      <c r="B404" t="s">
        <v>82</v>
      </c>
      <c r="C404" t="s">
        <v>588</v>
      </c>
      <c r="D404" s="2">
        <v>258.93</v>
      </c>
      <c r="E404" s="2">
        <v>0</v>
      </c>
      <c r="F404" s="2">
        <v>293708.7</v>
      </c>
      <c r="G404" s="2" t="str">
        <f t="shared" si="6"/>
        <v>23-08-2024 NET PI TO HSL SEC A/C 523686-00602340029434</v>
      </c>
      <c r="H404" s="2" t="s">
        <v>1335</v>
      </c>
      <c r="I404" t="s">
        <v>337</v>
      </c>
      <c r="K404" t="s">
        <v>1322</v>
      </c>
    </row>
    <row r="405" spans="1:13" x14ac:dyDescent="0.3">
      <c r="A405" s="1">
        <v>45527</v>
      </c>
      <c r="B405" t="s">
        <v>589</v>
      </c>
      <c r="C405" t="s">
        <v>590</v>
      </c>
      <c r="D405" s="2">
        <v>0</v>
      </c>
      <c r="E405" s="2">
        <v>220</v>
      </c>
      <c r="F405" s="2">
        <v>293928.7</v>
      </c>
      <c r="G405" s="2" t="str">
        <f t="shared" si="6"/>
        <v>23-08-2024 ACH C- CAMS INT DIV 2024 25-154890</v>
      </c>
      <c r="H405" s="2" t="s">
        <v>1335</v>
      </c>
      <c r="I405" t="s">
        <v>340</v>
      </c>
      <c r="K405" t="s">
        <v>1322</v>
      </c>
    </row>
    <row r="406" spans="1:13" x14ac:dyDescent="0.3">
      <c r="A406" s="1">
        <v>45527</v>
      </c>
      <c r="B406" t="s">
        <v>591</v>
      </c>
      <c r="C406" t="s">
        <v>592</v>
      </c>
      <c r="D406" s="2">
        <v>0</v>
      </c>
      <c r="E406" s="2">
        <v>17805</v>
      </c>
      <c r="F406" s="2">
        <v>311733.7</v>
      </c>
      <c r="G406" s="2" t="str">
        <f t="shared" si="6"/>
        <v>23-08-2024 NEFT CR-SBIN0004266-SBI GENERAL INSURANCE CO LTDSBI GEN-SUNITA GUPTA 0000000002717756-SBIN424236896638</v>
      </c>
      <c r="H406" s="2" t="s">
        <v>1335</v>
      </c>
      <c r="I406" t="s">
        <v>1326</v>
      </c>
      <c r="K406" t="s">
        <v>1322</v>
      </c>
    </row>
    <row r="407" spans="1:13" x14ac:dyDescent="0.3">
      <c r="A407" s="1">
        <v>45527</v>
      </c>
      <c r="B407" t="s">
        <v>593</v>
      </c>
      <c r="C407" t="s">
        <v>594</v>
      </c>
      <c r="D407" s="2">
        <v>0</v>
      </c>
      <c r="E407" s="2">
        <v>2380</v>
      </c>
      <c r="F407" s="2">
        <v>314113.7</v>
      </c>
      <c r="G407" s="2" t="str">
        <f t="shared" si="6"/>
        <v>23-08-2024 NEFT CR-SBIN0004266-SBI GENERAL INSURANCE CO LTDSBI GEN-SUNITA GUPTA 0000000002717756-SBIN524236319092</v>
      </c>
      <c r="H407" s="2" t="s">
        <v>1335</v>
      </c>
      <c r="I407" t="s">
        <v>345</v>
      </c>
      <c r="J407" t="s">
        <v>1328</v>
      </c>
      <c r="K407" t="s">
        <v>1322</v>
      </c>
      <c r="L407" s="11">
        <v>2645</v>
      </c>
      <c r="M407" s="11">
        <f>L407-E407</f>
        <v>265</v>
      </c>
    </row>
    <row r="408" spans="1:13" x14ac:dyDescent="0.3">
      <c r="A408" s="1">
        <v>45527</v>
      </c>
      <c r="B408" t="s">
        <v>82</v>
      </c>
      <c r="C408" t="s">
        <v>595</v>
      </c>
      <c r="D408" s="2">
        <v>2481.0500000000002</v>
      </c>
      <c r="E408" s="2">
        <v>0</v>
      </c>
      <c r="F408" s="2">
        <v>311632.65000000002</v>
      </c>
      <c r="G408" s="2" t="str">
        <f t="shared" si="6"/>
        <v>23-08-2024 NET PI TO HSL SEC A/C 523686-00602340029434</v>
      </c>
      <c r="H408" s="2" t="s">
        <v>1335</v>
      </c>
      <c r="I408" t="s">
        <v>337</v>
      </c>
      <c r="K408" t="s">
        <v>1322</v>
      </c>
    </row>
    <row r="409" spans="1:13" x14ac:dyDescent="0.3">
      <c r="A409" s="1">
        <v>45529</v>
      </c>
      <c r="B409" t="s">
        <v>375</v>
      </c>
      <c r="C409" t="s">
        <v>23</v>
      </c>
      <c r="D409" s="2">
        <v>127</v>
      </c>
      <c r="E409" s="2">
        <v>0</v>
      </c>
      <c r="F409" s="2">
        <v>60280.29</v>
      </c>
      <c r="G409" s="2" t="str">
        <f t="shared" si="6"/>
        <v>25-08-2024 UPI/P2M/423838369708/Meesho               /UPI In/Yes Bank Ltd</v>
      </c>
      <c r="H409" s="2" t="s">
        <v>1335</v>
      </c>
      <c r="I409" t="s">
        <v>1309</v>
      </c>
      <c r="K409" t="s">
        <v>1323</v>
      </c>
    </row>
    <row r="410" spans="1:13" x14ac:dyDescent="0.3">
      <c r="A410" s="1">
        <v>45529</v>
      </c>
      <c r="B410" t="s">
        <v>376</v>
      </c>
      <c r="C410" t="s">
        <v>23</v>
      </c>
      <c r="D410" s="2">
        <v>0</v>
      </c>
      <c r="E410" s="2">
        <v>150000</v>
      </c>
      <c r="F410" s="2">
        <v>210280.29</v>
      </c>
      <c r="G410" s="2" t="str">
        <f t="shared" si="6"/>
        <v>25-08-2024 NEFT/N238243225110515/SUNITA GUPTA/HDFC BANK/Trf frm HDFC Sunit</v>
      </c>
      <c r="H410" s="2" t="s">
        <v>1335</v>
      </c>
      <c r="I410" t="s">
        <v>51</v>
      </c>
      <c r="K410" t="s">
        <v>1323</v>
      </c>
    </row>
    <row r="411" spans="1:13" x14ac:dyDescent="0.3">
      <c r="A411" s="1">
        <v>45529</v>
      </c>
      <c r="B411" t="s">
        <v>596</v>
      </c>
      <c r="C411" t="s">
        <v>597</v>
      </c>
      <c r="D411" s="2">
        <v>150000</v>
      </c>
      <c r="E411" s="2">
        <v>0</v>
      </c>
      <c r="F411" s="2">
        <v>161632.65</v>
      </c>
      <c r="G411" s="2" t="str">
        <f t="shared" si="6"/>
        <v>25-08-2024 NEFT DR-UTIB0002656-SUNITA GUPTA-NETBANK, MUM-N238243225110515-TRF FRM HDFC SUNIT</v>
      </c>
      <c r="H411" s="2" t="s">
        <v>1335</v>
      </c>
      <c r="I411" t="s">
        <v>51</v>
      </c>
      <c r="K411" t="s">
        <v>1322</v>
      </c>
    </row>
    <row r="412" spans="1:13" x14ac:dyDescent="0.3">
      <c r="A412" s="1">
        <v>45530</v>
      </c>
      <c r="B412" t="s">
        <v>377</v>
      </c>
      <c r="C412" t="s">
        <v>23</v>
      </c>
      <c r="D412" s="2">
        <v>0</v>
      </c>
      <c r="E412" s="2">
        <v>11206.33</v>
      </c>
      <c r="F412" s="2">
        <v>221486.62</v>
      </c>
      <c r="G412" s="2" t="str">
        <f t="shared" si="6"/>
        <v>26-08-2024 NEFT/YESF342390240804/ZERODHA BROKING LTD-DSCNB A//YES BANK/f940673c85 Zerodha payout</v>
      </c>
      <c r="H412" s="2" t="s">
        <v>1335</v>
      </c>
      <c r="I412" t="s">
        <v>46</v>
      </c>
      <c r="K412" t="s">
        <v>1323</v>
      </c>
    </row>
    <row r="413" spans="1:13" x14ac:dyDescent="0.3">
      <c r="A413" s="1">
        <v>45530</v>
      </c>
      <c r="B413" t="s">
        <v>84</v>
      </c>
      <c r="C413" t="s">
        <v>598</v>
      </c>
      <c r="D413" s="2">
        <v>0</v>
      </c>
      <c r="E413" s="2">
        <v>77978.2</v>
      </c>
      <c r="F413" s="2">
        <v>239610.85</v>
      </c>
      <c r="G413" s="2" t="str">
        <f t="shared" si="6"/>
        <v>26-08-2024 NET PO FROM HSL A/C 523686-50200085415108</v>
      </c>
      <c r="H413" s="2" t="s">
        <v>1335</v>
      </c>
      <c r="I413" t="s">
        <v>337</v>
      </c>
      <c r="K413" t="s">
        <v>1322</v>
      </c>
    </row>
    <row r="414" spans="1:13" x14ac:dyDescent="0.3">
      <c r="A414" s="1">
        <v>45530</v>
      </c>
      <c r="B414" t="s">
        <v>114</v>
      </c>
      <c r="C414" t="s">
        <v>599</v>
      </c>
      <c r="D414" s="2">
        <v>10000</v>
      </c>
      <c r="E414" s="2">
        <v>0</v>
      </c>
      <c r="F414" s="2">
        <v>229610.85</v>
      </c>
      <c r="G414" s="2" t="str">
        <f t="shared" si="6"/>
        <v>26-08-2024 ACH D- INDIAN CLEARING CORP-P25847643X05</v>
      </c>
      <c r="H414" s="2" t="s">
        <v>1335</v>
      </c>
      <c r="I414" t="s">
        <v>342</v>
      </c>
      <c r="K414" t="s">
        <v>1322</v>
      </c>
    </row>
    <row r="415" spans="1:13" x14ac:dyDescent="0.3">
      <c r="A415" s="1">
        <v>45530</v>
      </c>
      <c r="B415" t="s">
        <v>82</v>
      </c>
      <c r="C415" t="s">
        <v>600</v>
      </c>
      <c r="D415" s="2">
        <v>775.23</v>
      </c>
      <c r="E415" s="2">
        <v>0</v>
      </c>
      <c r="F415" s="2">
        <v>228835.62</v>
      </c>
      <c r="G415" s="2" t="str">
        <f t="shared" si="6"/>
        <v>26-08-2024 NET PI TO HSL SEC A/C 523686-00602340029434</v>
      </c>
      <c r="H415" s="2" t="s">
        <v>1335</v>
      </c>
      <c r="I415" t="s">
        <v>337</v>
      </c>
      <c r="K415" t="s">
        <v>1322</v>
      </c>
    </row>
    <row r="416" spans="1:13" x14ac:dyDescent="0.3">
      <c r="A416" s="1">
        <v>45530</v>
      </c>
      <c r="B416" t="s">
        <v>82</v>
      </c>
      <c r="C416" t="s">
        <v>601</v>
      </c>
      <c r="D416" s="2">
        <v>54974.79</v>
      </c>
      <c r="E416" s="2">
        <v>0</v>
      </c>
      <c r="F416" s="2">
        <v>173860.83</v>
      </c>
      <c r="G416" s="2" t="str">
        <f t="shared" si="6"/>
        <v>26-08-2024 NET PI TO HSL SEC A/C 523686-00602340029434</v>
      </c>
      <c r="H416" s="2" t="s">
        <v>1335</v>
      </c>
      <c r="I416" t="s">
        <v>337</v>
      </c>
      <c r="K416" t="s">
        <v>1322</v>
      </c>
    </row>
    <row r="417" spans="1:11" x14ac:dyDescent="0.3">
      <c r="A417" s="1">
        <v>45531</v>
      </c>
      <c r="B417" t="s">
        <v>84</v>
      </c>
      <c r="C417" t="s">
        <v>602</v>
      </c>
      <c r="D417" s="2">
        <v>0</v>
      </c>
      <c r="E417" s="2">
        <v>7078.49</v>
      </c>
      <c r="F417" s="2">
        <v>180939.32</v>
      </c>
      <c r="G417" s="2" t="str">
        <f t="shared" si="6"/>
        <v>27-08-2024 NET PO FROM HSL A/C 523686-50200085415108</v>
      </c>
      <c r="H417" s="2" t="s">
        <v>1335</v>
      </c>
      <c r="I417" t="s">
        <v>337</v>
      </c>
      <c r="K417" t="s">
        <v>1322</v>
      </c>
    </row>
    <row r="418" spans="1:11" x14ac:dyDescent="0.3">
      <c r="A418" s="1">
        <v>45531</v>
      </c>
      <c r="B418" t="s">
        <v>84</v>
      </c>
      <c r="C418" t="s">
        <v>603</v>
      </c>
      <c r="D418" s="2">
        <v>0</v>
      </c>
      <c r="E418" s="2">
        <v>51065.7</v>
      </c>
      <c r="F418" s="2">
        <v>232005.02</v>
      </c>
      <c r="G418" s="2" t="str">
        <f t="shared" si="6"/>
        <v>27-08-2024 NET PO FROM HSL A/C 523686-50200085415108</v>
      </c>
      <c r="H418" s="2" t="s">
        <v>1335</v>
      </c>
      <c r="I418" t="s">
        <v>337</v>
      </c>
      <c r="K418" t="s">
        <v>1322</v>
      </c>
    </row>
    <row r="419" spans="1:11" x14ac:dyDescent="0.3">
      <c r="A419" s="1">
        <v>45531</v>
      </c>
      <c r="B419" t="s">
        <v>82</v>
      </c>
      <c r="C419" t="s">
        <v>604</v>
      </c>
      <c r="D419" s="2">
        <v>238.83</v>
      </c>
      <c r="E419" s="2">
        <v>0</v>
      </c>
      <c r="F419" s="2">
        <v>231766.19</v>
      </c>
      <c r="G419" s="2" t="str">
        <f t="shared" si="6"/>
        <v>27-08-2024 NET PI TO HSL SEC A/C 523686-00602340029434</v>
      </c>
      <c r="H419" s="2" t="s">
        <v>1335</v>
      </c>
      <c r="I419" t="s">
        <v>337</v>
      </c>
      <c r="K419" t="s">
        <v>1322</v>
      </c>
    </row>
    <row r="420" spans="1:11" x14ac:dyDescent="0.3">
      <c r="A420" s="1">
        <v>45531</v>
      </c>
      <c r="B420" t="s">
        <v>605</v>
      </c>
      <c r="C420" t="s">
        <v>606</v>
      </c>
      <c r="D420" s="2">
        <v>0</v>
      </c>
      <c r="E420" s="2">
        <v>175</v>
      </c>
      <c r="F420" s="2">
        <v>231941.19</v>
      </c>
      <c r="G420" s="2" t="str">
        <f t="shared" si="6"/>
        <v>27-08-2024 ACH C- HINDALCO FIN DIV 24-288092</v>
      </c>
      <c r="H420" s="2" t="s">
        <v>1335</v>
      </c>
      <c r="I420" t="s">
        <v>340</v>
      </c>
      <c r="K420" t="s">
        <v>1322</v>
      </c>
    </row>
    <row r="421" spans="1:11" x14ac:dyDescent="0.3">
      <c r="A421" s="1">
        <v>45532</v>
      </c>
      <c r="B421" t="s">
        <v>84</v>
      </c>
      <c r="C421" t="s">
        <v>607</v>
      </c>
      <c r="D421" s="2">
        <v>0</v>
      </c>
      <c r="E421" s="2">
        <v>45543.92</v>
      </c>
      <c r="F421" s="2">
        <v>277485.11</v>
      </c>
      <c r="G421" s="2" t="str">
        <f t="shared" si="6"/>
        <v>28-08-2024 NET PO FROM HSL A/C 523686-50200085415108</v>
      </c>
      <c r="H421" s="2" t="s">
        <v>1335</v>
      </c>
      <c r="I421" t="s">
        <v>337</v>
      </c>
      <c r="K421" t="s">
        <v>1322</v>
      </c>
    </row>
    <row r="422" spans="1:11" x14ac:dyDescent="0.3">
      <c r="A422" s="1">
        <v>45532</v>
      </c>
      <c r="B422" t="s">
        <v>82</v>
      </c>
      <c r="C422" t="s">
        <v>608</v>
      </c>
      <c r="D422" s="2">
        <v>214.73</v>
      </c>
      <c r="E422" s="2">
        <v>0</v>
      </c>
      <c r="F422" s="2">
        <v>277270.38</v>
      </c>
      <c r="G422" s="2" t="str">
        <f t="shared" si="6"/>
        <v>28-08-2024 NET PI TO HSL SEC A/C 523686-00602340029434</v>
      </c>
      <c r="H422" s="2" t="s">
        <v>1335</v>
      </c>
      <c r="I422" t="s">
        <v>337</v>
      </c>
      <c r="K422" t="s">
        <v>1322</v>
      </c>
    </row>
    <row r="423" spans="1:11" x14ac:dyDescent="0.3">
      <c r="A423" s="1">
        <v>45532</v>
      </c>
      <c r="B423" t="s">
        <v>609</v>
      </c>
      <c r="C423" t="s">
        <v>610</v>
      </c>
      <c r="D423" s="2">
        <v>0</v>
      </c>
      <c r="E423" s="2">
        <v>1386</v>
      </c>
      <c r="F423" s="2">
        <v>278656.38</v>
      </c>
      <c r="G423" s="2" t="str">
        <f t="shared" si="6"/>
        <v>28-08-2024 ACH C- IBL FINL DIV 2023 24-114432</v>
      </c>
      <c r="H423" s="2" t="s">
        <v>1335</v>
      </c>
      <c r="I423" t="s">
        <v>340</v>
      </c>
      <c r="K423" t="s">
        <v>1322</v>
      </c>
    </row>
    <row r="424" spans="1:11" x14ac:dyDescent="0.3">
      <c r="A424" s="1">
        <v>45532</v>
      </c>
      <c r="B424" t="s">
        <v>611</v>
      </c>
      <c r="C424" t="s">
        <v>612</v>
      </c>
      <c r="D424" s="2">
        <v>0</v>
      </c>
      <c r="E424" s="2">
        <v>84.57</v>
      </c>
      <c r="F424" s="2">
        <v>278740.95</v>
      </c>
      <c r="G424" s="2" t="str">
        <f t="shared" si="6"/>
        <v>28-08-2024 NEFT CR-UTIB0000004-AXIS MUTUAL FUND DIVIDEND A/C-SUNITA GUPTA-AXISCN0725504131</v>
      </c>
      <c r="H424" s="2" t="s">
        <v>1335</v>
      </c>
      <c r="I424" t="s">
        <v>340</v>
      </c>
      <c r="K424" t="s">
        <v>1322</v>
      </c>
    </row>
    <row r="425" spans="1:11" x14ac:dyDescent="0.3">
      <c r="A425" s="1">
        <v>45533</v>
      </c>
      <c r="B425" t="s">
        <v>82</v>
      </c>
      <c r="C425" t="s">
        <v>613</v>
      </c>
      <c r="D425" s="2">
        <v>16093.87</v>
      </c>
      <c r="E425" s="2">
        <v>0</v>
      </c>
      <c r="F425" s="2">
        <v>262647.08</v>
      </c>
      <c r="G425" s="2" t="str">
        <f t="shared" si="6"/>
        <v>29-08-2024 NET PI TO HSL SEC A/C 523686-00602340029434</v>
      </c>
      <c r="H425" s="2" t="s">
        <v>1335</v>
      </c>
      <c r="I425" t="s">
        <v>337</v>
      </c>
      <c r="K425" t="s">
        <v>1322</v>
      </c>
    </row>
    <row r="426" spans="1:11" x14ac:dyDescent="0.3">
      <c r="A426" s="1">
        <v>45533</v>
      </c>
      <c r="B426" t="s">
        <v>614</v>
      </c>
      <c r="C426" t="s">
        <v>615</v>
      </c>
      <c r="D426" s="2">
        <v>0</v>
      </c>
      <c r="E426" s="2">
        <v>144</v>
      </c>
      <c r="F426" s="2">
        <v>262791.08</v>
      </c>
      <c r="G426" s="2" t="str">
        <f t="shared" si="6"/>
        <v>29-08-2024 ACH C- PI INDUSTRIES LTD-3534031</v>
      </c>
      <c r="H426" s="2" t="s">
        <v>1335</v>
      </c>
      <c r="I426" t="s">
        <v>340</v>
      </c>
      <c r="K426" t="s">
        <v>1322</v>
      </c>
    </row>
    <row r="427" spans="1:11" x14ac:dyDescent="0.3">
      <c r="A427" s="1">
        <v>45533</v>
      </c>
      <c r="B427" t="s">
        <v>82</v>
      </c>
      <c r="C427" t="s">
        <v>616</v>
      </c>
      <c r="D427" s="2">
        <v>189.07</v>
      </c>
      <c r="E427" s="2">
        <v>0</v>
      </c>
      <c r="F427" s="2">
        <v>262602.01</v>
      </c>
      <c r="G427" s="2" t="str">
        <f t="shared" si="6"/>
        <v>29-08-2024 NET PI TO HSL SEC A/C 523686-00602340029434</v>
      </c>
      <c r="H427" s="2" t="s">
        <v>1335</v>
      </c>
      <c r="I427" t="s">
        <v>337</v>
      </c>
      <c r="K427" t="s">
        <v>1322</v>
      </c>
    </row>
    <row r="428" spans="1:11" x14ac:dyDescent="0.3">
      <c r="A428" s="1">
        <v>45533</v>
      </c>
      <c r="B428" t="s">
        <v>617</v>
      </c>
      <c r="C428" t="s">
        <v>618</v>
      </c>
      <c r="D428" s="2">
        <v>0</v>
      </c>
      <c r="E428" s="2">
        <v>210</v>
      </c>
      <c r="F428" s="2">
        <v>262812.01</v>
      </c>
      <c r="G428" s="2" t="str">
        <f t="shared" si="6"/>
        <v>29-08-2024 DR LAL PATH DIV24 2500000000000000008450</v>
      </c>
      <c r="H428" s="2" t="s">
        <v>1335</v>
      </c>
      <c r="I428" t="s">
        <v>340</v>
      </c>
      <c r="K428" t="s">
        <v>1322</v>
      </c>
    </row>
    <row r="429" spans="1:11" x14ac:dyDescent="0.3">
      <c r="A429" s="1">
        <v>45533</v>
      </c>
      <c r="B429" t="s">
        <v>619</v>
      </c>
      <c r="C429" t="s">
        <v>620</v>
      </c>
      <c r="D429" s="2">
        <v>0</v>
      </c>
      <c r="E429" s="2">
        <v>370</v>
      </c>
      <c r="F429" s="2">
        <v>263182.01</v>
      </c>
      <c r="G429" s="2" t="str">
        <f t="shared" si="6"/>
        <v>29-08-2024 ACH C- RELIANCE INDUSTRIES-241361424</v>
      </c>
      <c r="H429" s="2" t="s">
        <v>1335</v>
      </c>
      <c r="I429" t="s">
        <v>340</v>
      </c>
      <c r="K429" t="s">
        <v>1322</v>
      </c>
    </row>
    <row r="430" spans="1:11" x14ac:dyDescent="0.3">
      <c r="A430" s="1">
        <v>45534</v>
      </c>
      <c r="B430" t="s">
        <v>82</v>
      </c>
      <c r="C430" t="s">
        <v>621</v>
      </c>
      <c r="D430" s="2">
        <v>2395.65</v>
      </c>
      <c r="E430" s="2">
        <v>0</v>
      </c>
      <c r="F430" s="2">
        <v>260786.36</v>
      </c>
      <c r="G430" s="2" t="str">
        <f t="shared" si="6"/>
        <v>30-08-2024 NET PI TO HSL SEC A/C 523686-00602340029434</v>
      </c>
      <c r="H430" s="2" t="s">
        <v>1335</v>
      </c>
      <c r="I430" t="s">
        <v>337</v>
      </c>
      <c r="K430" t="s">
        <v>1322</v>
      </c>
    </row>
    <row r="431" spans="1:11" x14ac:dyDescent="0.3">
      <c r="A431" s="1">
        <v>45534</v>
      </c>
      <c r="B431" t="s">
        <v>82</v>
      </c>
      <c r="C431" t="s">
        <v>622</v>
      </c>
      <c r="D431" s="2">
        <v>205.17</v>
      </c>
      <c r="E431" s="2">
        <v>0</v>
      </c>
      <c r="F431" s="2">
        <v>260581.19</v>
      </c>
      <c r="G431" s="2" t="str">
        <f t="shared" si="6"/>
        <v>30-08-2024 NET PI TO HSL SEC A/C 523686-00602340029434</v>
      </c>
      <c r="H431" s="2" t="s">
        <v>1335</v>
      </c>
      <c r="I431" t="s">
        <v>337</v>
      </c>
      <c r="K431" t="s">
        <v>1322</v>
      </c>
    </row>
    <row r="432" spans="1:11" x14ac:dyDescent="0.3">
      <c r="A432" s="1">
        <v>45534</v>
      </c>
      <c r="B432" t="s">
        <v>82</v>
      </c>
      <c r="C432" t="s">
        <v>623</v>
      </c>
      <c r="D432" s="2">
        <v>260581.19</v>
      </c>
      <c r="E432" s="2">
        <v>0</v>
      </c>
      <c r="F432" s="2">
        <v>0</v>
      </c>
      <c r="G432" s="2" t="str">
        <f t="shared" si="6"/>
        <v>30-08-2024 NET PI TO HSL SEC A/C 523686-00602340029434</v>
      </c>
      <c r="H432" s="2" t="s">
        <v>1335</v>
      </c>
      <c r="I432" t="s">
        <v>337</v>
      </c>
      <c r="K432" t="s">
        <v>1322</v>
      </c>
    </row>
    <row r="433" spans="1:11" x14ac:dyDescent="0.3">
      <c r="A433" s="1">
        <v>45537</v>
      </c>
      <c r="B433" t="s">
        <v>624</v>
      </c>
      <c r="C433" t="s">
        <v>625</v>
      </c>
      <c r="D433" s="2">
        <v>0</v>
      </c>
      <c r="E433" s="15">
        <v>270</v>
      </c>
      <c r="F433" s="2">
        <v>270</v>
      </c>
      <c r="G433" s="2" t="str">
        <f t="shared" si="6"/>
        <v>02-09-2024 ACH C- CONCOR INTDIV 202425-CN1708240048</v>
      </c>
      <c r="H433" s="2" t="s">
        <v>1335</v>
      </c>
      <c r="I433" t="s">
        <v>340</v>
      </c>
      <c r="K433" t="s">
        <v>1322</v>
      </c>
    </row>
    <row r="434" spans="1:11" x14ac:dyDescent="0.3">
      <c r="A434" s="1">
        <v>45537</v>
      </c>
      <c r="B434" t="s">
        <v>626</v>
      </c>
      <c r="C434" t="s">
        <v>627</v>
      </c>
      <c r="D434" s="2">
        <v>0</v>
      </c>
      <c r="E434" s="15">
        <v>1350</v>
      </c>
      <c r="F434" s="2">
        <v>1620</v>
      </c>
      <c r="G434" s="2" t="str">
        <f t="shared" si="6"/>
        <v>02-09-2024 ACH C- ICICI BANK LTD.-7312296</v>
      </c>
      <c r="H434" s="2" t="s">
        <v>1335</v>
      </c>
      <c r="I434" t="s">
        <v>340</v>
      </c>
      <c r="K434" t="s">
        <v>1322</v>
      </c>
    </row>
    <row r="435" spans="1:11" x14ac:dyDescent="0.3">
      <c r="A435" s="1">
        <v>45537</v>
      </c>
      <c r="B435" t="s">
        <v>82</v>
      </c>
      <c r="C435" t="s">
        <v>628</v>
      </c>
      <c r="D435" s="2">
        <v>1620</v>
      </c>
      <c r="E435" s="2">
        <v>0</v>
      </c>
      <c r="F435" s="2">
        <v>0</v>
      </c>
      <c r="G435" s="2" t="str">
        <f t="shared" si="6"/>
        <v>02-09-2024 NET PI TO HSL SEC A/C 523686-00602340029434</v>
      </c>
      <c r="H435" s="2" t="s">
        <v>1335</v>
      </c>
      <c r="I435" t="s">
        <v>337</v>
      </c>
      <c r="K435" t="s">
        <v>1322</v>
      </c>
    </row>
    <row r="436" spans="1:11" x14ac:dyDescent="0.3">
      <c r="A436" s="1">
        <v>45538</v>
      </c>
      <c r="B436" t="s">
        <v>378</v>
      </c>
      <c r="C436" t="s">
        <v>23</v>
      </c>
      <c r="D436" s="2">
        <v>14696</v>
      </c>
      <c r="E436" s="2">
        <v>0</v>
      </c>
      <c r="F436" s="2">
        <v>206790.62</v>
      </c>
      <c r="G436" s="2" t="str">
        <f t="shared" si="6"/>
        <v>03-09-2024 UPI/P2M/424703060377/064101250/Kotak Mah/CHANNEL/TEZ</v>
      </c>
      <c r="H436" s="2" t="s">
        <v>1335</v>
      </c>
      <c r="I436" t="s">
        <v>1339</v>
      </c>
      <c r="K436" t="s">
        <v>1323</v>
      </c>
    </row>
    <row r="437" spans="1:11" x14ac:dyDescent="0.3">
      <c r="A437" s="1">
        <v>45538</v>
      </c>
      <c r="B437" t="s">
        <v>379</v>
      </c>
      <c r="C437" t="s">
        <v>23</v>
      </c>
      <c r="D437" s="2">
        <v>0</v>
      </c>
      <c r="E437" s="2">
        <v>230</v>
      </c>
      <c r="F437" s="2">
        <v>207020.62</v>
      </c>
      <c r="G437" s="2" t="str">
        <f t="shared" si="6"/>
        <v>03-09-2024 UPI/P2A/424719830314/SHARDA AR/Federal B/UPI/</v>
      </c>
      <c r="H437" s="2" t="s">
        <v>1335</v>
      </c>
      <c r="I437" t="s">
        <v>1309</v>
      </c>
      <c r="K437" t="s">
        <v>1323</v>
      </c>
    </row>
    <row r="438" spans="1:11" x14ac:dyDescent="0.3">
      <c r="A438" s="1">
        <v>45538</v>
      </c>
      <c r="B438" t="s">
        <v>629</v>
      </c>
      <c r="C438" t="s">
        <v>630</v>
      </c>
      <c r="D438" s="2">
        <v>0</v>
      </c>
      <c r="E438" s="2">
        <v>75000</v>
      </c>
      <c r="F438" s="2">
        <v>75000</v>
      </c>
      <c r="G438" s="2" t="str">
        <f t="shared" si="6"/>
        <v>03-09-2024 50100128155413-TPT-FROM AAYUSH-AAYUSH KUMAR GUPTA</v>
      </c>
      <c r="H438" s="2" t="s">
        <v>1335</v>
      </c>
      <c r="I438" t="s">
        <v>338</v>
      </c>
      <c r="K438" t="s">
        <v>1322</v>
      </c>
    </row>
    <row r="439" spans="1:11" x14ac:dyDescent="0.3">
      <c r="A439" s="1">
        <v>45538</v>
      </c>
      <c r="B439" t="s">
        <v>82</v>
      </c>
      <c r="C439" t="s">
        <v>631</v>
      </c>
      <c r="D439" s="2">
        <v>75000</v>
      </c>
      <c r="E439" s="2">
        <v>0</v>
      </c>
      <c r="F439" s="2">
        <v>0</v>
      </c>
      <c r="G439" s="2" t="str">
        <f t="shared" si="6"/>
        <v>03-09-2024 NET PI TO HSL SEC A/C 523686-00602340029434</v>
      </c>
      <c r="H439" s="2" t="s">
        <v>1335</v>
      </c>
      <c r="I439" t="s">
        <v>337</v>
      </c>
      <c r="K439" t="s">
        <v>1322</v>
      </c>
    </row>
    <row r="440" spans="1:11" x14ac:dyDescent="0.3">
      <c r="A440" s="1">
        <v>45540</v>
      </c>
      <c r="B440" t="s">
        <v>380</v>
      </c>
      <c r="C440" t="s">
        <v>23</v>
      </c>
      <c r="D440" s="2">
        <v>0</v>
      </c>
      <c r="E440" s="2">
        <v>40</v>
      </c>
      <c r="F440" s="2">
        <v>207060.62</v>
      </c>
      <c r="G440" s="2" t="str">
        <f t="shared" si="6"/>
        <v>05-09-2024 UPI/P2A/424911534092/MANJOOSHA/HDFC BANK/UPI/</v>
      </c>
      <c r="H440" s="2" t="s">
        <v>1335</v>
      </c>
      <c r="I440" t="s">
        <v>1309</v>
      </c>
      <c r="K440" t="s">
        <v>1323</v>
      </c>
    </row>
    <row r="441" spans="1:11" x14ac:dyDescent="0.3">
      <c r="A441" s="1">
        <v>45540</v>
      </c>
      <c r="B441" t="s">
        <v>84</v>
      </c>
      <c r="C441" t="s">
        <v>632</v>
      </c>
      <c r="D441" s="2">
        <v>0</v>
      </c>
      <c r="E441" s="2">
        <v>2267.5100000000002</v>
      </c>
      <c r="F441" s="2">
        <v>2267.5100000000002</v>
      </c>
      <c r="G441" s="2" t="str">
        <f t="shared" si="6"/>
        <v>05-09-2024 NET PO FROM HSL A/C 523686-50200085415108</v>
      </c>
      <c r="H441" s="2" t="s">
        <v>1335</v>
      </c>
      <c r="I441" t="s">
        <v>337</v>
      </c>
      <c r="K441" t="s">
        <v>1322</v>
      </c>
    </row>
    <row r="442" spans="1:11" x14ac:dyDescent="0.3">
      <c r="A442" s="1">
        <v>45540</v>
      </c>
      <c r="B442" t="s">
        <v>633</v>
      </c>
      <c r="C442" t="s">
        <v>634</v>
      </c>
      <c r="D442" s="2">
        <v>0</v>
      </c>
      <c r="E442" s="2">
        <v>10000</v>
      </c>
      <c r="F442" s="2">
        <v>12267.51</v>
      </c>
      <c r="G442" s="2" t="str">
        <f t="shared" si="6"/>
        <v>05-09-2024 UPI-AJAY KUMAR GUPTA-AJAYGUPTANEL@YBL-HDFC0000167-424930662852-PAYMENT FROM PHONE</v>
      </c>
      <c r="H442" s="2" t="s">
        <v>1335</v>
      </c>
      <c r="I442" t="s">
        <v>1336</v>
      </c>
      <c r="K442" t="s">
        <v>1322</v>
      </c>
    </row>
    <row r="443" spans="1:11" x14ac:dyDescent="0.3">
      <c r="A443" s="1">
        <v>45540</v>
      </c>
      <c r="B443" t="s">
        <v>82</v>
      </c>
      <c r="C443" t="s">
        <v>635</v>
      </c>
      <c r="D443" s="2">
        <v>314.37</v>
      </c>
      <c r="E443" s="2">
        <v>0</v>
      </c>
      <c r="F443" s="2">
        <v>11953.14</v>
      </c>
      <c r="G443" s="2" t="str">
        <f t="shared" si="6"/>
        <v>05-09-2024 NET PI TO HSL SEC A/C 523686-00602340029434</v>
      </c>
      <c r="H443" s="2" t="s">
        <v>1335</v>
      </c>
      <c r="I443" t="s">
        <v>337</v>
      </c>
      <c r="K443" t="s">
        <v>1322</v>
      </c>
    </row>
    <row r="444" spans="1:11" x14ac:dyDescent="0.3">
      <c r="A444" s="1">
        <v>45541</v>
      </c>
      <c r="B444" t="s">
        <v>381</v>
      </c>
      <c r="C444" t="s">
        <v>23</v>
      </c>
      <c r="D444" s="2">
        <v>0</v>
      </c>
      <c r="E444" s="2">
        <v>19000</v>
      </c>
      <c r="F444" s="2">
        <v>226060.62</v>
      </c>
      <c r="G444" s="2" t="str">
        <f t="shared" si="6"/>
        <v>06-09-2024 NEFT/YESF342500035924/ZERODHA BROKING LTD-DSCNB A//YES BANK/845c06dd7a Zerodha payout</v>
      </c>
      <c r="H444" s="2" t="s">
        <v>1335</v>
      </c>
      <c r="I444" t="s">
        <v>46</v>
      </c>
      <c r="K444" t="s">
        <v>1323</v>
      </c>
    </row>
    <row r="445" spans="1:11" x14ac:dyDescent="0.3">
      <c r="A445" s="1">
        <v>45541</v>
      </c>
      <c r="B445" t="s">
        <v>84</v>
      </c>
      <c r="C445" t="s">
        <v>636</v>
      </c>
      <c r="D445" s="2">
        <v>0</v>
      </c>
      <c r="E445" s="2">
        <v>839.73</v>
      </c>
      <c r="F445" s="2">
        <v>12792.87</v>
      </c>
      <c r="G445" s="2" t="str">
        <f t="shared" si="6"/>
        <v>06-09-2024 NET PO FROM HSL A/C 523686-50200085415108</v>
      </c>
      <c r="H445" s="2" t="s">
        <v>1335</v>
      </c>
      <c r="I445" t="s">
        <v>337</v>
      </c>
      <c r="K445" t="s">
        <v>1322</v>
      </c>
    </row>
    <row r="446" spans="1:11" x14ac:dyDescent="0.3">
      <c r="A446" s="1">
        <v>45541</v>
      </c>
      <c r="B446" t="s">
        <v>84</v>
      </c>
      <c r="C446" t="s">
        <v>637</v>
      </c>
      <c r="D446" s="2">
        <v>0</v>
      </c>
      <c r="E446" s="2">
        <v>30658.41</v>
      </c>
      <c r="F446" s="2">
        <v>43451.28</v>
      </c>
      <c r="G446" s="2" t="str">
        <f t="shared" si="6"/>
        <v>06-09-2024 NET PO FROM HSL A/C 523686-50200085415108</v>
      </c>
      <c r="H446" s="2" t="s">
        <v>1335</v>
      </c>
      <c r="I446" t="s">
        <v>337</v>
      </c>
      <c r="K446" t="s">
        <v>1322</v>
      </c>
    </row>
    <row r="447" spans="1:11" x14ac:dyDescent="0.3">
      <c r="A447" s="1">
        <v>45541</v>
      </c>
      <c r="B447" t="s">
        <v>82</v>
      </c>
      <c r="C447" t="s">
        <v>638</v>
      </c>
      <c r="D447" s="2">
        <v>307.99</v>
      </c>
      <c r="E447" s="2">
        <v>0</v>
      </c>
      <c r="F447" s="2">
        <v>43143.29</v>
      </c>
      <c r="G447" s="2" t="str">
        <f t="shared" si="6"/>
        <v>06-09-2024 NET PI TO HSL SEC A/C 523686-00602340029434</v>
      </c>
      <c r="H447" s="2" t="s">
        <v>1335</v>
      </c>
      <c r="I447" t="s">
        <v>337</v>
      </c>
      <c r="K447" t="s">
        <v>1322</v>
      </c>
    </row>
    <row r="448" spans="1:11" x14ac:dyDescent="0.3">
      <c r="A448" s="1">
        <v>45541</v>
      </c>
      <c r="B448" t="s">
        <v>84</v>
      </c>
      <c r="C448" t="s">
        <v>639</v>
      </c>
      <c r="D448" s="2">
        <v>0</v>
      </c>
      <c r="E448" s="2">
        <v>67576.460000000006</v>
      </c>
      <c r="F448" s="2">
        <v>110719.75</v>
      </c>
      <c r="G448" s="2" t="str">
        <f t="shared" si="6"/>
        <v>06-09-2024 NET PO FROM HSL A/C 523686-50200085415108</v>
      </c>
      <c r="H448" s="2" t="s">
        <v>1335</v>
      </c>
      <c r="I448" t="s">
        <v>337</v>
      </c>
      <c r="K448" t="s">
        <v>1322</v>
      </c>
    </row>
    <row r="449" spans="1:13" x14ac:dyDescent="0.3">
      <c r="A449" s="1">
        <v>45541</v>
      </c>
      <c r="B449" t="s">
        <v>640</v>
      </c>
      <c r="C449" t="s">
        <v>641</v>
      </c>
      <c r="D449" s="2">
        <v>10000</v>
      </c>
      <c r="E449" s="2">
        <v>0</v>
      </c>
      <c r="F449" s="2">
        <v>100719.75</v>
      </c>
      <c r="G449" s="2" t="str">
        <f t="shared" si="6"/>
        <v>06-09-2024 UPI-AJAY KUMAR GUPTA-AJAYGUPTANEL@AXL-HDFC0000167-074263747998-MONEY RETURNED FRO</v>
      </c>
      <c r="H449" s="2" t="s">
        <v>1335</v>
      </c>
      <c r="I449" t="s">
        <v>1336</v>
      </c>
      <c r="K449" t="s">
        <v>1322</v>
      </c>
    </row>
    <row r="450" spans="1:13" x14ac:dyDescent="0.3">
      <c r="A450" s="1">
        <v>45544</v>
      </c>
      <c r="B450" t="s">
        <v>82</v>
      </c>
      <c r="C450" t="s">
        <v>642</v>
      </c>
      <c r="D450" s="2">
        <v>997.08</v>
      </c>
      <c r="E450" s="2">
        <v>0</v>
      </c>
      <c r="F450" s="2">
        <v>99722.67</v>
      </c>
      <c r="G450" s="2" t="str">
        <f t="shared" si="6"/>
        <v>09-09-2024 NET PI TO HSL SEC A/C 523686-00602340029434</v>
      </c>
      <c r="H450" s="2" t="s">
        <v>1335</v>
      </c>
      <c r="I450" t="s">
        <v>337</v>
      </c>
      <c r="K450" t="s">
        <v>1322</v>
      </c>
    </row>
    <row r="451" spans="1:13" x14ac:dyDescent="0.3">
      <c r="A451" s="1">
        <v>45544</v>
      </c>
      <c r="B451" t="s">
        <v>643</v>
      </c>
      <c r="C451" t="s">
        <v>644</v>
      </c>
      <c r="D451" s="2">
        <v>0</v>
      </c>
      <c r="E451" s="2">
        <v>29757</v>
      </c>
      <c r="F451" s="2">
        <v>129479.67</v>
      </c>
      <c r="G451" s="2" t="str">
        <f t="shared" si="6"/>
        <v>09-09-2024 NEFT CR-SBIN0004266-SBI GENERAL INSURANCE CO LTDSBI GEN-SUNITA GUPTA 0000000002717756-SBIN424253641625</v>
      </c>
      <c r="H451" s="2" t="s">
        <v>1335</v>
      </c>
      <c r="I451" t="s">
        <v>345</v>
      </c>
      <c r="J451" t="s">
        <v>1328</v>
      </c>
      <c r="K451" t="s">
        <v>1322</v>
      </c>
      <c r="L451" s="11">
        <f>ROUND(E451/0.9,0)</f>
        <v>33063</v>
      </c>
      <c r="M451" s="11">
        <f>L451-E451</f>
        <v>3306</v>
      </c>
    </row>
    <row r="452" spans="1:13" x14ac:dyDescent="0.3">
      <c r="A452" s="1">
        <v>45545</v>
      </c>
      <c r="B452" t="s">
        <v>84</v>
      </c>
      <c r="C452" t="s">
        <v>645</v>
      </c>
      <c r="D452" s="2">
        <v>0</v>
      </c>
      <c r="E452" s="2">
        <v>6103.31</v>
      </c>
      <c r="F452" s="2">
        <v>135582.98000000001</v>
      </c>
      <c r="G452" s="2" t="str">
        <f t="shared" si="6"/>
        <v>10-09-2024 NET PO FROM HSL A/C 523686-50200085415108</v>
      </c>
      <c r="H452" s="2" t="s">
        <v>1335</v>
      </c>
      <c r="I452" t="s">
        <v>337</v>
      </c>
      <c r="K452" t="s">
        <v>1322</v>
      </c>
    </row>
    <row r="453" spans="1:13" x14ac:dyDescent="0.3">
      <c r="A453" s="1">
        <v>45545</v>
      </c>
      <c r="B453" t="s">
        <v>82</v>
      </c>
      <c r="C453" t="s">
        <v>646</v>
      </c>
      <c r="D453" s="2">
        <v>332.36</v>
      </c>
      <c r="E453" s="2">
        <v>0</v>
      </c>
      <c r="F453" s="2">
        <v>135250.62</v>
      </c>
      <c r="G453" s="2" t="str">
        <f t="shared" ref="G453:G516" si="7">TEXT(A453,"DD")&amp;"-"&amp;TEXT(A453,"MM")&amp;"-"&amp;TEXT(A453,"YYYY")&amp;" "&amp;B453</f>
        <v>10-09-2024 NET PI TO HSL SEC A/C 523686-00602340029434</v>
      </c>
      <c r="H453" s="2" t="s">
        <v>1335</v>
      </c>
      <c r="I453" t="s">
        <v>337</v>
      </c>
      <c r="K453" t="s">
        <v>1322</v>
      </c>
    </row>
    <row r="454" spans="1:13" x14ac:dyDescent="0.3">
      <c r="A454" s="1">
        <v>45545</v>
      </c>
      <c r="B454" t="s">
        <v>647</v>
      </c>
      <c r="C454" t="s">
        <v>648</v>
      </c>
      <c r="D454" s="2">
        <v>0</v>
      </c>
      <c r="E454" s="15">
        <v>390</v>
      </c>
      <c r="F454" s="2">
        <v>135640.62</v>
      </c>
      <c r="G454" s="2" t="str">
        <f t="shared" si="7"/>
        <v>10-09-2024 ACH C- HINDUSTANAERONAUTICS-4568724</v>
      </c>
      <c r="H454" s="2" t="s">
        <v>1335</v>
      </c>
      <c r="I454" t="s">
        <v>340</v>
      </c>
      <c r="K454" t="s">
        <v>1322</v>
      </c>
    </row>
    <row r="455" spans="1:13" x14ac:dyDescent="0.3">
      <c r="A455" s="1">
        <v>45545</v>
      </c>
      <c r="B455" t="s">
        <v>649</v>
      </c>
      <c r="C455" t="s">
        <v>650</v>
      </c>
      <c r="D455" s="2">
        <v>0</v>
      </c>
      <c r="E455" s="15">
        <v>15</v>
      </c>
      <c r="F455" s="2">
        <v>135655.62</v>
      </c>
      <c r="G455" s="2" t="str">
        <f t="shared" si="7"/>
        <v>10-09-2024 ACH C- COAL INDIA LTD-1337214</v>
      </c>
      <c r="H455" s="2" t="s">
        <v>1335</v>
      </c>
      <c r="I455" t="s">
        <v>340</v>
      </c>
      <c r="K455" t="s">
        <v>1322</v>
      </c>
    </row>
    <row r="456" spans="1:13" x14ac:dyDescent="0.3">
      <c r="A456" s="1">
        <v>45546</v>
      </c>
      <c r="B456" t="s">
        <v>382</v>
      </c>
      <c r="C456" t="s">
        <v>23</v>
      </c>
      <c r="D456" s="2">
        <v>0</v>
      </c>
      <c r="E456" s="2">
        <v>10</v>
      </c>
      <c r="F456" s="2">
        <v>226070.62</v>
      </c>
      <c r="G456" s="2" t="str">
        <f t="shared" si="7"/>
        <v>11-09-2024 MIL DIVIDEND AC/</v>
      </c>
      <c r="H456" s="2" t="s">
        <v>1335</v>
      </c>
      <c r="I456" t="s">
        <v>340</v>
      </c>
      <c r="K456" t="s">
        <v>1323</v>
      </c>
    </row>
    <row r="457" spans="1:13" x14ac:dyDescent="0.3">
      <c r="A457" s="1">
        <v>45546</v>
      </c>
      <c r="B457" t="s">
        <v>651</v>
      </c>
      <c r="C457" t="s">
        <v>652</v>
      </c>
      <c r="D457" s="2">
        <v>0</v>
      </c>
      <c r="E457" s="2">
        <v>3515.71</v>
      </c>
      <c r="F457" s="2">
        <v>139171.32999999999</v>
      </c>
      <c r="G457" s="2" t="str">
        <f t="shared" si="7"/>
        <v>11-09-2024 FT- 561193411-50200085415108 - HDFC SECURITIES LTD-CLIENT DSCNB A/C -</v>
      </c>
      <c r="H457" s="2" t="s">
        <v>1335</v>
      </c>
      <c r="I457" t="s">
        <v>1310</v>
      </c>
      <c r="K457" t="s">
        <v>1322</v>
      </c>
    </row>
    <row r="458" spans="1:13" x14ac:dyDescent="0.3">
      <c r="A458" s="1">
        <v>45546</v>
      </c>
      <c r="B458" t="s">
        <v>653</v>
      </c>
      <c r="C458" t="s">
        <v>654</v>
      </c>
      <c r="D458" s="2">
        <v>0</v>
      </c>
      <c r="E458" s="15">
        <v>812.5</v>
      </c>
      <c r="F458" s="2">
        <v>139983.82999999999</v>
      </c>
      <c r="G458" s="2" t="str">
        <f t="shared" si="7"/>
        <v>11-09-2024 ACH C- NTPC- FINAL DIV 23-2-NT0708240357</v>
      </c>
      <c r="H458" s="2" t="s">
        <v>1335</v>
      </c>
      <c r="I458" t="s">
        <v>340</v>
      </c>
      <c r="K458" t="s">
        <v>1322</v>
      </c>
    </row>
    <row r="459" spans="1:13" x14ac:dyDescent="0.3">
      <c r="A459" s="1">
        <v>45546</v>
      </c>
      <c r="B459" t="s">
        <v>82</v>
      </c>
      <c r="C459" t="s">
        <v>655</v>
      </c>
      <c r="D459" s="2">
        <v>334.53</v>
      </c>
      <c r="E459" s="2">
        <v>0</v>
      </c>
      <c r="F459" s="2">
        <v>139649.29999999999</v>
      </c>
      <c r="G459" s="2" t="str">
        <f t="shared" si="7"/>
        <v>11-09-2024 NET PI TO HSL SEC A/C 523686-00602340029434</v>
      </c>
      <c r="H459" s="2" t="s">
        <v>1335</v>
      </c>
      <c r="I459" t="s">
        <v>337</v>
      </c>
      <c r="K459" t="s">
        <v>1322</v>
      </c>
    </row>
    <row r="460" spans="1:13" x14ac:dyDescent="0.3">
      <c r="A460" s="1">
        <v>45546</v>
      </c>
      <c r="B460" t="s">
        <v>656</v>
      </c>
      <c r="C460" t="s">
        <v>657</v>
      </c>
      <c r="D460" s="2">
        <v>0</v>
      </c>
      <c r="E460" s="15">
        <v>275</v>
      </c>
      <c r="F460" s="2">
        <v>139924.29999999999</v>
      </c>
      <c r="G460" s="2" t="str">
        <f t="shared" si="7"/>
        <v>11-09-2024 ACH C- POWER GRID CORPORATI-94348114</v>
      </c>
      <c r="H460" s="2" t="s">
        <v>1335</v>
      </c>
      <c r="I460" t="s">
        <v>340</v>
      </c>
      <c r="K460" t="s">
        <v>1322</v>
      </c>
    </row>
    <row r="461" spans="1:13" x14ac:dyDescent="0.3">
      <c r="A461" s="1">
        <v>45546</v>
      </c>
      <c r="B461" t="s">
        <v>658</v>
      </c>
      <c r="C461" t="s">
        <v>659</v>
      </c>
      <c r="D461" s="2">
        <v>0</v>
      </c>
      <c r="E461" s="15">
        <v>100</v>
      </c>
      <c r="F461" s="2">
        <v>140024.29999999999</v>
      </c>
      <c r="G461" s="2" t="str">
        <f t="shared" si="7"/>
        <v>11-09-2024 ACH C- MANORAMA FNLDIV2324-4219</v>
      </c>
      <c r="H461" s="2" t="s">
        <v>1335</v>
      </c>
      <c r="I461" t="s">
        <v>340</v>
      </c>
      <c r="K461" t="s">
        <v>1322</v>
      </c>
    </row>
    <row r="462" spans="1:13" x14ac:dyDescent="0.3">
      <c r="A462" s="1">
        <v>45546</v>
      </c>
      <c r="B462" t="s">
        <v>82</v>
      </c>
      <c r="C462" t="s">
        <v>660</v>
      </c>
      <c r="D462" s="2">
        <v>42275.96</v>
      </c>
      <c r="E462" s="2">
        <v>0</v>
      </c>
      <c r="F462" s="2">
        <v>97748.34</v>
      </c>
      <c r="G462" s="2" t="str">
        <f t="shared" si="7"/>
        <v>11-09-2024 NET PI TO HSL SEC A/C 523686-00602340029434</v>
      </c>
      <c r="H462" s="2" t="s">
        <v>1335</v>
      </c>
      <c r="I462" t="s">
        <v>337</v>
      </c>
      <c r="K462" t="s">
        <v>1322</v>
      </c>
    </row>
    <row r="463" spans="1:13" x14ac:dyDescent="0.3">
      <c r="A463" s="1">
        <v>45547</v>
      </c>
      <c r="B463" t="s">
        <v>84</v>
      </c>
      <c r="C463" t="s">
        <v>661</v>
      </c>
      <c r="D463" s="2">
        <v>0</v>
      </c>
      <c r="E463" s="2">
        <v>26296.32</v>
      </c>
      <c r="F463" s="2">
        <v>124044.66</v>
      </c>
      <c r="G463" s="2" t="str">
        <f t="shared" si="7"/>
        <v>12-09-2024 NET PO FROM HSL A/C 523686-50200085415108</v>
      </c>
      <c r="H463" s="2" t="s">
        <v>1335</v>
      </c>
      <c r="I463" t="s">
        <v>337</v>
      </c>
      <c r="K463" t="s">
        <v>1322</v>
      </c>
    </row>
    <row r="464" spans="1:13" x14ac:dyDescent="0.3">
      <c r="A464" s="1">
        <v>45547</v>
      </c>
      <c r="B464" t="s">
        <v>82</v>
      </c>
      <c r="C464" t="s">
        <v>662</v>
      </c>
      <c r="D464" s="2">
        <v>320.73</v>
      </c>
      <c r="E464" s="2">
        <v>0</v>
      </c>
      <c r="F464" s="2">
        <v>123723.93</v>
      </c>
      <c r="G464" s="2" t="str">
        <f t="shared" si="7"/>
        <v>12-09-2024 NET PI TO HSL SEC A/C 523686-00602340029434</v>
      </c>
      <c r="H464" s="2" t="s">
        <v>1335</v>
      </c>
      <c r="I464" t="s">
        <v>337</v>
      </c>
      <c r="K464" t="s">
        <v>1322</v>
      </c>
    </row>
    <row r="465" spans="1:11" x14ac:dyDescent="0.3">
      <c r="A465" s="1">
        <v>45548</v>
      </c>
      <c r="B465" t="s">
        <v>84</v>
      </c>
      <c r="C465" t="s">
        <v>663</v>
      </c>
      <c r="D465" s="2">
        <v>0</v>
      </c>
      <c r="E465" s="2">
        <v>1</v>
      </c>
      <c r="F465" s="2">
        <v>123724.93</v>
      </c>
      <c r="G465" s="2" t="str">
        <f t="shared" si="7"/>
        <v>13-09-2024 NET PO FROM HSL A/C 523686-50200085415108</v>
      </c>
      <c r="H465" s="2" t="s">
        <v>1335</v>
      </c>
      <c r="I465" t="s">
        <v>337</v>
      </c>
      <c r="K465" t="s">
        <v>1322</v>
      </c>
    </row>
    <row r="466" spans="1:11" x14ac:dyDescent="0.3">
      <c r="A466" s="1">
        <v>45548</v>
      </c>
      <c r="B466" t="s">
        <v>664</v>
      </c>
      <c r="C466" t="s">
        <v>665</v>
      </c>
      <c r="D466" s="2">
        <v>0</v>
      </c>
      <c r="E466" s="2">
        <v>8964.0400000000009</v>
      </c>
      <c r="F466" s="2">
        <v>132688.97</v>
      </c>
      <c r="G466" s="2" t="str">
        <f t="shared" si="7"/>
        <v>13-09-2024 FT- 562070321-50200085415108 - HDFC SECURITIES LTD-CLIENT DSCNB A/C -</v>
      </c>
      <c r="H466" s="2" t="s">
        <v>1335</v>
      </c>
      <c r="I466" t="s">
        <v>1310</v>
      </c>
      <c r="K466" t="s">
        <v>1322</v>
      </c>
    </row>
    <row r="467" spans="1:11" x14ac:dyDescent="0.3">
      <c r="A467" s="1">
        <v>45548</v>
      </c>
      <c r="B467" t="s">
        <v>82</v>
      </c>
      <c r="C467" t="s">
        <v>666</v>
      </c>
      <c r="D467" s="2">
        <v>348.93</v>
      </c>
      <c r="E467" s="2">
        <v>0</v>
      </c>
      <c r="F467" s="2">
        <v>132340.04</v>
      </c>
      <c r="G467" s="2" t="str">
        <f t="shared" si="7"/>
        <v>13-09-2024 NET PI TO HSL SEC A/C 523686-00602340029434</v>
      </c>
      <c r="H467" s="2" t="s">
        <v>1335</v>
      </c>
      <c r="I467" t="s">
        <v>337</v>
      </c>
      <c r="K467" t="s">
        <v>1322</v>
      </c>
    </row>
    <row r="468" spans="1:11" x14ac:dyDescent="0.3">
      <c r="A468" s="1">
        <v>45548</v>
      </c>
      <c r="B468" t="s">
        <v>82</v>
      </c>
      <c r="C468" t="s">
        <v>667</v>
      </c>
      <c r="D468" s="2">
        <v>401.48</v>
      </c>
      <c r="E468" s="2">
        <v>0</v>
      </c>
      <c r="F468" s="2">
        <v>131938.56</v>
      </c>
      <c r="G468" s="2" t="str">
        <f t="shared" si="7"/>
        <v>13-09-2024 NET PI TO HSL SEC A/C 523686-00602340029434</v>
      </c>
      <c r="H468" s="2" t="s">
        <v>1335</v>
      </c>
      <c r="I468" t="s">
        <v>337</v>
      </c>
      <c r="K468" t="s">
        <v>1322</v>
      </c>
    </row>
    <row r="469" spans="1:11" x14ac:dyDescent="0.3">
      <c r="A469" s="1">
        <v>45550</v>
      </c>
      <c r="B469" t="s">
        <v>668</v>
      </c>
      <c r="C469" t="s">
        <v>669</v>
      </c>
      <c r="D469" s="2">
        <v>105000</v>
      </c>
      <c r="E469" s="2">
        <v>0</v>
      </c>
      <c r="F469" s="2">
        <v>26938.560000000001</v>
      </c>
      <c r="G469" s="2" t="str">
        <f t="shared" si="7"/>
        <v>15-09-2024 50100128155413-TPT-MNY RETRN FRM SUNITA TO AAYUSH-AAYUSH KUMAR GUPTA</v>
      </c>
      <c r="H469" s="2" t="s">
        <v>1335</v>
      </c>
      <c r="I469" t="s">
        <v>1301</v>
      </c>
      <c r="K469" t="s">
        <v>1322</v>
      </c>
    </row>
    <row r="470" spans="1:11" x14ac:dyDescent="0.3">
      <c r="A470" s="1">
        <v>45551</v>
      </c>
      <c r="B470" t="s">
        <v>114</v>
      </c>
      <c r="C470" t="s">
        <v>670</v>
      </c>
      <c r="D470" s="2">
        <v>5000</v>
      </c>
      <c r="E470" s="2">
        <v>0</v>
      </c>
      <c r="F470" s="2">
        <v>21938.560000000001</v>
      </c>
      <c r="G470" s="2" t="str">
        <f t="shared" si="7"/>
        <v>16-09-2024 ACH D- INDIAN CLEARING CORP-P25847643X05</v>
      </c>
      <c r="H470" s="2" t="s">
        <v>1335</v>
      </c>
      <c r="I470" t="s">
        <v>341</v>
      </c>
      <c r="K470" t="s">
        <v>1322</v>
      </c>
    </row>
    <row r="471" spans="1:11" x14ac:dyDescent="0.3">
      <c r="A471" s="1">
        <v>45551</v>
      </c>
      <c r="B471" t="s">
        <v>82</v>
      </c>
      <c r="C471" t="s">
        <v>671</v>
      </c>
      <c r="D471" s="2">
        <v>1055.94</v>
      </c>
      <c r="E471" s="2">
        <v>0</v>
      </c>
      <c r="F471" s="2">
        <v>20882.62</v>
      </c>
      <c r="G471" s="2" t="str">
        <f t="shared" si="7"/>
        <v>16-09-2024 NET PI TO HSL SEC A/C 523686-00602340029434</v>
      </c>
      <c r="H471" s="2" t="s">
        <v>1335</v>
      </c>
      <c r="I471" t="s">
        <v>337</v>
      </c>
      <c r="K471" t="s">
        <v>1322</v>
      </c>
    </row>
    <row r="472" spans="1:11" x14ac:dyDescent="0.3">
      <c r="A472" s="1">
        <v>45552</v>
      </c>
      <c r="B472" t="s">
        <v>672</v>
      </c>
      <c r="C472" t="s">
        <v>673</v>
      </c>
      <c r="D472" s="2">
        <v>0</v>
      </c>
      <c r="E472" s="2">
        <v>16944.84</v>
      </c>
      <c r="F472" s="2">
        <v>37827.46</v>
      </c>
      <c r="G472" s="2" t="str">
        <f t="shared" si="7"/>
        <v>17-09-2024 FT- 562928476-50200085415108 - HDFC SECURITIES LTD-CLIENT DSCNB A/C -</v>
      </c>
      <c r="H472" s="2" t="s">
        <v>1335</v>
      </c>
      <c r="I472" t="s">
        <v>1310</v>
      </c>
      <c r="K472" t="s">
        <v>1322</v>
      </c>
    </row>
    <row r="473" spans="1:11" x14ac:dyDescent="0.3">
      <c r="A473" s="1">
        <v>45552</v>
      </c>
      <c r="B473" t="s">
        <v>82</v>
      </c>
      <c r="C473" t="s">
        <v>674</v>
      </c>
      <c r="D473" s="2">
        <v>351.98</v>
      </c>
      <c r="E473" s="2">
        <v>0</v>
      </c>
      <c r="F473" s="2">
        <v>37475.480000000003</v>
      </c>
      <c r="G473" s="2" t="str">
        <f t="shared" si="7"/>
        <v>17-09-2024 NET PI TO HSL SEC A/C 523686-00602340029434</v>
      </c>
      <c r="H473" s="2" t="s">
        <v>1335</v>
      </c>
      <c r="I473" t="s">
        <v>337</v>
      </c>
      <c r="K473" t="s">
        <v>1322</v>
      </c>
    </row>
    <row r="474" spans="1:11" x14ac:dyDescent="0.3">
      <c r="A474" s="1">
        <v>45552</v>
      </c>
      <c r="B474" t="s">
        <v>675</v>
      </c>
      <c r="C474" t="s">
        <v>98</v>
      </c>
      <c r="D474" s="2">
        <v>1454.21</v>
      </c>
      <c r="E474" s="2">
        <v>0</v>
      </c>
      <c r="F474" s="2">
        <v>36021.269999999997</v>
      </c>
      <c r="G474" s="2" t="str">
        <f t="shared" si="7"/>
        <v>17-09-2024 DEPOSITORY CHARGES AUG24 - 41060499</v>
      </c>
      <c r="H474" s="2" t="s">
        <v>1335</v>
      </c>
      <c r="I474" t="s">
        <v>343</v>
      </c>
      <c r="K474" t="s">
        <v>1322</v>
      </c>
    </row>
    <row r="475" spans="1:11" x14ac:dyDescent="0.3">
      <c r="A475" s="1">
        <v>45552</v>
      </c>
      <c r="B475" t="s">
        <v>676</v>
      </c>
      <c r="C475" t="s">
        <v>677</v>
      </c>
      <c r="D475" s="2">
        <v>0</v>
      </c>
      <c r="E475" s="15">
        <v>3139.26</v>
      </c>
      <c r="F475" s="2">
        <v>39160.53</v>
      </c>
      <c r="G475" s="2" t="str">
        <f t="shared" si="7"/>
        <v>17-09-2024 FT- ICICI PRUDENTIAL DIVIDEND DC A/C - ICICI_PRU_MF_DIVIDEND_  2759P_ 27883351</v>
      </c>
      <c r="H475" s="2" t="s">
        <v>1335</v>
      </c>
      <c r="I475" t="s">
        <v>340</v>
      </c>
      <c r="K475" t="s">
        <v>1322</v>
      </c>
    </row>
    <row r="476" spans="1:11" x14ac:dyDescent="0.3">
      <c r="A476" s="1">
        <v>45552</v>
      </c>
      <c r="B476" t="s">
        <v>82</v>
      </c>
      <c r="C476" t="s">
        <v>678</v>
      </c>
      <c r="D476" s="2">
        <v>2257.4699999999998</v>
      </c>
      <c r="E476" s="2">
        <v>0</v>
      </c>
      <c r="F476" s="2">
        <v>36903.06</v>
      </c>
      <c r="G476" s="2" t="str">
        <f t="shared" si="7"/>
        <v>17-09-2024 NET PI TO HSL SEC A/C 523686-00602340029434</v>
      </c>
      <c r="H476" s="2" t="s">
        <v>1335</v>
      </c>
      <c r="I476" t="s">
        <v>337</v>
      </c>
      <c r="K476" t="s">
        <v>1322</v>
      </c>
    </row>
    <row r="477" spans="1:11" x14ac:dyDescent="0.3">
      <c r="A477" s="1">
        <v>45553</v>
      </c>
      <c r="B477" t="s">
        <v>82</v>
      </c>
      <c r="C477" t="s">
        <v>679</v>
      </c>
      <c r="D477" s="2">
        <v>342.65</v>
      </c>
      <c r="E477" s="2">
        <v>0</v>
      </c>
      <c r="F477" s="2">
        <v>36560.410000000003</v>
      </c>
      <c r="G477" s="2" t="str">
        <f t="shared" si="7"/>
        <v>18-09-2024 NET PI TO HSL SEC A/C 523686-00602340029434</v>
      </c>
      <c r="H477" s="2" t="s">
        <v>1335</v>
      </c>
      <c r="I477" t="s">
        <v>337</v>
      </c>
      <c r="K477" t="s">
        <v>1322</v>
      </c>
    </row>
    <row r="478" spans="1:11" x14ac:dyDescent="0.3">
      <c r="A478" s="1">
        <v>45553</v>
      </c>
      <c r="B478" t="s">
        <v>82</v>
      </c>
      <c r="C478" t="s">
        <v>680</v>
      </c>
      <c r="D478" s="2">
        <v>36560.410000000003</v>
      </c>
      <c r="E478" s="2">
        <v>0</v>
      </c>
      <c r="F478" s="2">
        <v>0</v>
      </c>
      <c r="G478" s="2" t="str">
        <f t="shared" si="7"/>
        <v>18-09-2024 NET PI TO HSL SEC A/C 523686-00602340029434</v>
      </c>
      <c r="H478" s="2" t="s">
        <v>1335</v>
      </c>
      <c r="I478" t="s">
        <v>337</v>
      </c>
      <c r="K478" t="s">
        <v>1322</v>
      </c>
    </row>
    <row r="479" spans="1:11" x14ac:dyDescent="0.3">
      <c r="A479" s="1">
        <v>45554</v>
      </c>
      <c r="B479" t="s">
        <v>84</v>
      </c>
      <c r="C479" t="s">
        <v>681</v>
      </c>
      <c r="D479" s="2">
        <v>0</v>
      </c>
      <c r="E479" s="2">
        <v>19217.599999999999</v>
      </c>
      <c r="F479" s="2">
        <v>19217.599999999999</v>
      </c>
      <c r="G479" s="2" t="str">
        <f t="shared" si="7"/>
        <v>19-09-2024 NET PO FROM HSL A/C 523686-50200085415108</v>
      </c>
      <c r="H479" s="2" t="s">
        <v>1335</v>
      </c>
      <c r="I479" t="s">
        <v>337</v>
      </c>
      <c r="K479" t="s">
        <v>1322</v>
      </c>
    </row>
    <row r="480" spans="1:11" x14ac:dyDescent="0.3">
      <c r="A480" s="1">
        <v>45554</v>
      </c>
      <c r="B480" t="s">
        <v>82</v>
      </c>
      <c r="C480" t="s">
        <v>682</v>
      </c>
      <c r="D480" s="2">
        <v>329.62</v>
      </c>
      <c r="E480" s="2">
        <v>0</v>
      </c>
      <c r="F480" s="2">
        <v>18887.98</v>
      </c>
      <c r="G480" s="2" t="str">
        <f t="shared" si="7"/>
        <v>19-09-2024 NET PI TO HSL SEC A/C 523686-00602340029434</v>
      </c>
      <c r="H480" s="2" t="s">
        <v>1335</v>
      </c>
      <c r="I480" t="s">
        <v>337</v>
      </c>
      <c r="K480" t="s">
        <v>1322</v>
      </c>
    </row>
    <row r="481" spans="1:11" x14ac:dyDescent="0.3">
      <c r="A481" s="1">
        <v>45554</v>
      </c>
      <c r="B481" t="s">
        <v>82</v>
      </c>
      <c r="C481" t="s">
        <v>683</v>
      </c>
      <c r="D481" s="2">
        <v>7169.87</v>
      </c>
      <c r="E481" s="2">
        <v>0</v>
      </c>
      <c r="F481" s="2">
        <v>11718.11</v>
      </c>
      <c r="G481" s="2" t="str">
        <f t="shared" si="7"/>
        <v>19-09-2024 NET PI TO HSL SEC A/C 523686-00602340029434</v>
      </c>
      <c r="H481" s="2" t="s">
        <v>1335</v>
      </c>
      <c r="I481" t="s">
        <v>337</v>
      </c>
      <c r="K481" t="s">
        <v>1322</v>
      </c>
    </row>
    <row r="482" spans="1:11" x14ac:dyDescent="0.3">
      <c r="A482" s="9">
        <v>45554</v>
      </c>
      <c r="B482" t="s">
        <v>1283</v>
      </c>
      <c r="D482" s="2">
        <v>236</v>
      </c>
      <c r="E482" s="2">
        <v>0</v>
      </c>
      <c r="F482" s="2">
        <v>22053.7</v>
      </c>
      <c r="G482" s="2" t="str">
        <f t="shared" si="7"/>
        <v>19-09-2024    DEBIT-ATMCard AMC  652294*8079--</v>
      </c>
      <c r="H482" s="2" t="s">
        <v>1335</v>
      </c>
      <c r="I482" t="s">
        <v>47</v>
      </c>
      <c r="K482" t="s">
        <v>1324</v>
      </c>
    </row>
    <row r="483" spans="1:11" x14ac:dyDescent="0.3">
      <c r="A483" s="1">
        <v>45555</v>
      </c>
      <c r="B483" t="s">
        <v>82</v>
      </c>
      <c r="C483" t="s">
        <v>684</v>
      </c>
      <c r="D483" s="2">
        <v>366.63</v>
      </c>
      <c r="E483" s="2">
        <v>0</v>
      </c>
      <c r="F483" s="2">
        <v>11351.48</v>
      </c>
      <c r="G483" s="2" t="str">
        <f t="shared" si="7"/>
        <v>20-09-2024 NET PI TO HSL SEC A/C 523686-00602340029434</v>
      </c>
      <c r="H483" s="2" t="s">
        <v>1335</v>
      </c>
      <c r="I483" t="s">
        <v>337</v>
      </c>
      <c r="K483" t="s">
        <v>1322</v>
      </c>
    </row>
    <row r="484" spans="1:11" x14ac:dyDescent="0.3">
      <c r="A484" s="1">
        <v>45556</v>
      </c>
      <c r="B484" t="s">
        <v>383</v>
      </c>
      <c r="C484" t="s">
        <v>23</v>
      </c>
      <c r="D484" s="2">
        <v>310</v>
      </c>
      <c r="E484" s="2">
        <v>0</v>
      </c>
      <c r="F484" s="2">
        <v>225760.62</v>
      </c>
      <c r="G484" s="2" t="str">
        <f t="shared" si="7"/>
        <v>21-09-2024 UPI/P2A/463116904245/BHARTI RATAN DEVNANI /tiffin/Union Bank of India</v>
      </c>
      <c r="H484" s="2" t="s">
        <v>1335</v>
      </c>
      <c r="I484" t="s">
        <v>1309</v>
      </c>
      <c r="K484" t="s">
        <v>1323</v>
      </c>
    </row>
    <row r="485" spans="1:11" x14ac:dyDescent="0.3">
      <c r="A485" s="1">
        <v>45557</v>
      </c>
      <c r="B485" t="s">
        <v>384</v>
      </c>
      <c r="C485" t="s">
        <v>23</v>
      </c>
      <c r="D485" s="2">
        <v>422</v>
      </c>
      <c r="E485" s="2">
        <v>0</v>
      </c>
      <c r="F485" s="2">
        <v>225338.62</v>
      </c>
      <c r="G485" s="2" t="str">
        <f t="shared" si="7"/>
        <v>22-09-2024 UPI/P2M/463260761650/SHAS                 /Paymen/Yes Bank Ltd</v>
      </c>
      <c r="H485" s="2" t="s">
        <v>1335</v>
      </c>
      <c r="I485" t="s">
        <v>1309</v>
      </c>
      <c r="K485" t="s">
        <v>1323</v>
      </c>
    </row>
    <row r="486" spans="1:11" x14ac:dyDescent="0.3">
      <c r="A486" s="1">
        <v>45558</v>
      </c>
      <c r="B486" t="s">
        <v>685</v>
      </c>
      <c r="C486" t="s">
        <v>686</v>
      </c>
      <c r="D486" s="2">
        <v>0</v>
      </c>
      <c r="E486" s="2">
        <v>88747.78</v>
      </c>
      <c r="F486" s="2">
        <v>100099.26</v>
      </c>
      <c r="G486" s="2" t="str">
        <f t="shared" si="7"/>
        <v>23-09-2024 FT- 564856018-50200085415108 - HDFC SECURITIES LTD-CLIENT DSCNB A/C -</v>
      </c>
      <c r="H486" s="2" t="s">
        <v>1335</v>
      </c>
      <c r="I486" t="s">
        <v>1310</v>
      </c>
      <c r="K486" t="s">
        <v>1322</v>
      </c>
    </row>
    <row r="487" spans="1:11" x14ac:dyDescent="0.3">
      <c r="A487" s="1">
        <v>45558</v>
      </c>
      <c r="B487" t="s">
        <v>82</v>
      </c>
      <c r="C487" t="s">
        <v>687</v>
      </c>
      <c r="D487" s="2">
        <v>1099.8900000000001</v>
      </c>
      <c r="E487" s="2">
        <v>0</v>
      </c>
      <c r="F487" s="2">
        <v>98999.37</v>
      </c>
      <c r="G487" s="2" t="str">
        <f t="shared" si="7"/>
        <v>23-09-2024 NET PI TO HSL SEC A/C 523686-00602340029434</v>
      </c>
      <c r="H487" s="2" t="s">
        <v>1335</v>
      </c>
      <c r="I487" t="s">
        <v>337</v>
      </c>
      <c r="K487" t="s">
        <v>1322</v>
      </c>
    </row>
    <row r="488" spans="1:11" x14ac:dyDescent="0.3">
      <c r="A488" s="1">
        <v>45558</v>
      </c>
      <c r="B488" t="s">
        <v>688</v>
      </c>
      <c r="C488" t="s">
        <v>689</v>
      </c>
      <c r="D488" s="2">
        <v>16728</v>
      </c>
      <c r="E488" s="2">
        <v>0</v>
      </c>
      <c r="F488" s="2">
        <v>82271.37</v>
      </c>
      <c r="G488" s="2" t="str">
        <f t="shared" si="7"/>
        <v>23-09-2024 YHDF2442937528/BILLDKTHECALCUTTAELE</v>
      </c>
      <c r="H488" s="2" t="s">
        <v>1335</v>
      </c>
      <c r="I488" t="s">
        <v>1326</v>
      </c>
      <c r="K488" t="s">
        <v>1322</v>
      </c>
    </row>
    <row r="489" spans="1:11" x14ac:dyDescent="0.3">
      <c r="A489" s="1">
        <v>45558</v>
      </c>
      <c r="B489" t="s">
        <v>82</v>
      </c>
      <c r="C489" t="s">
        <v>690</v>
      </c>
      <c r="D489" s="2">
        <v>181.39</v>
      </c>
      <c r="E489" s="2">
        <v>0</v>
      </c>
      <c r="F489" s="2">
        <v>82089.98</v>
      </c>
      <c r="G489" s="2" t="str">
        <f t="shared" si="7"/>
        <v>23-09-2024 NET PI TO HSL SEC A/C 523686-00602340029434</v>
      </c>
      <c r="H489" s="2" t="s">
        <v>1335</v>
      </c>
      <c r="I489" t="s">
        <v>337</v>
      </c>
      <c r="K489" t="s">
        <v>1322</v>
      </c>
    </row>
    <row r="490" spans="1:11" x14ac:dyDescent="0.3">
      <c r="A490" s="1">
        <v>45559</v>
      </c>
      <c r="B490" t="s">
        <v>385</v>
      </c>
      <c r="C490" t="s">
        <v>23</v>
      </c>
      <c r="D490" s="2">
        <v>500</v>
      </c>
      <c r="E490" s="2">
        <v>0</v>
      </c>
      <c r="F490" s="2">
        <v>224838.62</v>
      </c>
      <c r="G490" s="2" t="str">
        <f t="shared" si="7"/>
        <v>24-09-2024 UPI/P2M/463437357157/SANGITA RAJENDRA MUTH/dentis/Yes Bank Ltd</v>
      </c>
      <c r="H490" s="2" t="s">
        <v>1335</v>
      </c>
      <c r="I490" t="s">
        <v>1309</v>
      </c>
      <c r="K490" t="s">
        <v>1323</v>
      </c>
    </row>
    <row r="491" spans="1:11" x14ac:dyDescent="0.3">
      <c r="A491" s="1">
        <v>45559</v>
      </c>
      <c r="B491" t="s">
        <v>82</v>
      </c>
      <c r="C491" t="s">
        <v>691</v>
      </c>
      <c r="D491" s="2">
        <v>339.23</v>
      </c>
      <c r="E491" s="2">
        <v>0</v>
      </c>
      <c r="F491" s="2">
        <v>81750.75</v>
      </c>
      <c r="G491" s="2" t="str">
        <f t="shared" si="7"/>
        <v>24-09-2024 NET PI TO HSL SEC A/C 523686-00602340029434</v>
      </c>
      <c r="H491" s="2" t="s">
        <v>1335</v>
      </c>
      <c r="I491" t="s">
        <v>337</v>
      </c>
      <c r="K491" t="s">
        <v>1322</v>
      </c>
    </row>
    <row r="492" spans="1:11" x14ac:dyDescent="0.3">
      <c r="A492" s="1">
        <v>45559</v>
      </c>
      <c r="B492" t="s">
        <v>82</v>
      </c>
      <c r="C492" t="s">
        <v>692</v>
      </c>
      <c r="D492" s="2">
        <v>71920.679999999993</v>
      </c>
      <c r="E492" s="2">
        <v>0</v>
      </c>
      <c r="F492" s="2">
        <v>9830.07</v>
      </c>
      <c r="G492" s="2" t="str">
        <f t="shared" si="7"/>
        <v>24-09-2024 NET PI TO HSL SEC A/C 523686-00602340029434</v>
      </c>
      <c r="H492" s="2" t="s">
        <v>1335</v>
      </c>
      <c r="I492" t="s">
        <v>337</v>
      </c>
      <c r="K492" t="s">
        <v>1322</v>
      </c>
    </row>
    <row r="493" spans="1:11" x14ac:dyDescent="0.3">
      <c r="A493" s="1">
        <v>45560</v>
      </c>
      <c r="B493" t="s">
        <v>693</v>
      </c>
      <c r="C493" t="s">
        <v>694</v>
      </c>
      <c r="D493" s="2">
        <v>0</v>
      </c>
      <c r="E493" s="2">
        <v>60928.57</v>
      </c>
      <c r="F493" s="2">
        <v>70758.64</v>
      </c>
      <c r="G493" s="2" t="str">
        <f t="shared" si="7"/>
        <v>25-09-2024 FT- 565885294-50200085415108 - HDFC SECURITIES LTD-CLIENT DSCNB A/C -</v>
      </c>
      <c r="H493" s="2" t="s">
        <v>1335</v>
      </c>
      <c r="I493" t="s">
        <v>1310</v>
      </c>
      <c r="K493" t="s">
        <v>1322</v>
      </c>
    </row>
    <row r="494" spans="1:11" x14ac:dyDescent="0.3">
      <c r="A494" s="1">
        <v>45560</v>
      </c>
      <c r="B494" t="s">
        <v>114</v>
      </c>
      <c r="C494" t="s">
        <v>695</v>
      </c>
      <c r="D494" s="2">
        <v>10000</v>
      </c>
      <c r="E494" s="2">
        <v>0</v>
      </c>
      <c r="F494" s="2">
        <v>60758.64</v>
      </c>
      <c r="G494" s="2" t="str">
        <f t="shared" si="7"/>
        <v>25-09-2024 ACH D- INDIAN CLEARING CORP-P25847643X05</v>
      </c>
      <c r="H494" s="2" t="s">
        <v>1335</v>
      </c>
      <c r="I494" t="s">
        <v>342</v>
      </c>
      <c r="K494" t="s">
        <v>1322</v>
      </c>
    </row>
    <row r="495" spans="1:11" x14ac:dyDescent="0.3">
      <c r="A495" s="1">
        <v>45560</v>
      </c>
      <c r="B495" t="s">
        <v>82</v>
      </c>
      <c r="C495" t="s">
        <v>696</v>
      </c>
      <c r="D495" s="2">
        <v>313.62</v>
      </c>
      <c r="E495" s="2">
        <v>0</v>
      </c>
      <c r="F495" s="2">
        <v>60445.02</v>
      </c>
      <c r="G495" s="2" t="str">
        <f t="shared" si="7"/>
        <v>25-09-2024 NET PI TO HSL SEC A/C 523686-00602340029434</v>
      </c>
      <c r="H495" s="2" t="s">
        <v>1335</v>
      </c>
      <c r="I495" t="s">
        <v>337</v>
      </c>
      <c r="K495" t="s">
        <v>1322</v>
      </c>
    </row>
    <row r="496" spans="1:11" x14ac:dyDescent="0.3">
      <c r="A496" s="1">
        <v>45560</v>
      </c>
      <c r="B496" t="s">
        <v>697</v>
      </c>
      <c r="C496" t="s">
        <v>698</v>
      </c>
      <c r="D496" s="2">
        <v>10000</v>
      </c>
      <c r="E496" s="2">
        <v>0</v>
      </c>
      <c r="F496" s="2">
        <v>50445.02</v>
      </c>
      <c r="G496" s="2" t="str">
        <f t="shared" si="7"/>
        <v>25-09-2024 ATW-498792XXXXXX0500-S1ANMN04-NASHIK</v>
      </c>
      <c r="H496" s="2" t="s">
        <v>1335</v>
      </c>
      <c r="I496" t="s">
        <v>50</v>
      </c>
      <c r="K496" t="s">
        <v>1322</v>
      </c>
    </row>
    <row r="497" spans="1:13" x14ac:dyDescent="0.3">
      <c r="A497" s="9">
        <v>45560</v>
      </c>
      <c r="B497" t="s">
        <v>1281</v>
      </c>
      <c r="D497" s="2">
        <v>0</v>
      </c>
      <c r="E497" s="2">
        <v>152</v>
      </c>
      <c r="F497" s="2">
        <v>22205.7</v>
      </c>
      <c r="G497" s="2" t="str">
        <f t="shared" si="7"/>
        <v>25-09-2024    CREDIT INTEREST---</v>
      </c>
      <c r="H497" s="2" t="s">
        <v>1335</v>
      </c>
      <c r="I497" t="s">
        <v>344</v>
      </c>
      <c r="K497" t="s">
        <v>1324</v>
      </c>
    </row>
    <row r="498" spans="1:13" x14ac:dyDescent="0.3">
      <c r="A498" s="1">
        <v>45561</v>
      </c>
      <c r="B498" t="s">
        <v>84</v>
      </c>
      <c r="C498" t="s">
        <v>699</v>
      </c>
      <c r="D498" s="2">
        <v>0</v>
      </c>
      <c r="E498" s="2">
        <v>132691.64000000001</v>
      </c>
      <c r="F498" s="2">
        <v>183136.66</v>
      </c>
      <c r="G498" s="2" t="str">
        <f t="shared" si="7"/>
        <v>26-09-2024 NET PO FROM HSL A/C 523686-50200085415108</v>
      </c>
      <c r="H498" s="2" t="s">
        <v>1335</v>
      </c>
      <c r="I498" t="s">
        <v>337</v>
      </c>
      <c r="K498" t="s">
        <v>1322</v>
      </c>
    </row>
    <row r="499" spans="1:13" x14ac:dyDescent="0.3">
      <c r="A499" s="1">
        <v>45561</v>
      </c>
      <c r="B499" t="s">
        <v>82</v>
      </c>
      <c r="C499" t="s">
        <v>700</v>
      </c>
      <c r="D499" s="2">
        <v>313.62</v>
      </c>
      <c r="E499" s="2">
        <v>0</v>
      </c>
      <c r="F499" s="2">
        <v>182823.04000000001</v>
      </c>
      <c r="G499" s="2" t="str">
        <f t="shared" si="7"/>
        <v>26-09-2024 NET PI TO HSL SEC A/C 523686-00602340029434</v>
      </c>
      <c r="H499" s="2" t="s">
        <v>1335</v>
      </c>
      <c r="I499" t="s">
        <v>337</v>
      </c>
      <c r="K499" t="s">
        <v>1322</v>
      </c>
    </row>
    <row r="500" spans="1:13" x14ac:dyDescent="0.3">
      <c r="A500" s="1">
        <v>45561</v>
      </c>
      <c r="B500" t="s">
        <v>701</v>
      </c>
      <c r="C500" t="s">
        <v>702</v>
      </c>
      <c r="D500" s="2">
        <v>0</v>
      </c>
      <c r="E500" s="2">
        <v>2380</v>
      </c>
      <c r="F500" s="2">
        <v>185203.04</v>
      </c>
      <c r="G500" s="2" t="str">
        <f t="shared" si="7"/>
        <v>26-09-2024 NEFT CR-SBIN0004266-SBI GENERAL INSURANCE CO LTDSBI GEN-SUNITA GUPTA 0000000002717756-SBIN324270219069</v>
      </c>
      <c r="H500" s="2" t="s">
        <v>1335</v>
      </c>
      <c r="I500" t="s">
        <v>345</v>
      </c>
      <c r="J500" t="s">
        <v>1328</v>
      </c>
      <c r="K500" t="s">
        <v>1322</v>
      </c>
      <c r="L500" s="11">
        <v>2645</v>
      </c>
      <c r="M500" s="11">
        <f>L500-E500</f>
        <v>265</v>
      </c>
    </row>
    <row r="501" spans="1:13" x14ac:dyDescent="0.3">
      <c r="A501" s="1">
        <v>45562</v>
      </c>
      <c r="B501" t="s">
        <v>386</v>
      </c>
      <c r="C501" t="s">
        <v>23</v>
      </c>
      <c r="D501" s="2">
        <v>0</v>
      </c>
      <c r="E501" s="2">
        <v>250</v>
      </c>
      <c r="F501" s="2">
        <v>225088.62</v>
      </c>
      <c r="G501" s="2" t="str">
        <f t="shared" si="7"/>
        <v>27-09-2024 ACH-CR-USL FIN DIV 23 24-NACH-23827-23827</v>
      </c>
      <c r="H501" s="2" t="s">
        <v>1335</v>
      </c>
      <c r="I501" t="s">
        <v>340</v>
      </c>
      <c r="K501" t="s">
        <v>1323</v>
      </c>
    </row>
    <row r="502" spans="1:13" x14ac:dyDescent="0.3">
      <c r="A502" s="1">
        <v>45562</v>
      </c>
      <c r="B502" t="s">
        <v>703</v>
      </c>
      <c r="C502" t="s">
        <v>704</v>
      </c>
      <c r="D502" s="2">
        <v>0</v>
      </c>
      <c r="E502" s="2">
        <v>2984.22</v>
      </c>
      <c r="F502" s="2">
        <v>188187.26</v>
      </c>
      <c r="G502" s="2" t="str">
        <f t="shared" si="7"/>
        <v>27-09-2024 FT- 566781852-50200085415108 - HDFC SECURITIES LTD-CLIENT DSCNB A/C -</v>
      </c>
      <c r="H502" s="2" t="s">
        <v>1335</v>
      </c>
      <c r="I502" t="s">
        <v>1310</v>
      </c>
      <c r="K502" t="s">
        <v>1322</v>
      </c>
    </row>
    <row r="503" spans="1:13" x14ac:dyDescent="0.3">
      <c r="A503" s="1">
        <v>45562</v>
      </c>
      <c r="B503" t="s">
        <v>82</v>
      </c>
      <c r="C503" t="s">
        <v>705</v>
      </c>
      <c r="D503" s="2">
        <v>316.10000000000002</v>
      </c>
      <c r="E503" s="2">
        <v>0</v>
      </c>
      <c r="F503" s="2">
        <v>187871.16</v>
      </c>
      <c r="G503" s="2" t="str">
        <f t="shared" si="7"/>
        <v>27-09-2024 NET PI TO HSL SEC A/C 523686-00602340029434</v>
      </c>
      <c r="H503" s="2" t="s">
        <v>1335</v>
      </c>
      <c r="I503" t="s">
        <v>337</v>
      </c>
      <c r="K503" t="s">
        <v>1322</v>
      </c>
    </row>
    <row r="504" spans="1:13" x14ac:dyDescent="0.3">
      <c r="A504" s="1">
        <v>45562</v>
      </c>
      <c r="B504" t="s">
        <v>706</v>
      </c>
      <c r="C504" t="s">
        <v>707</v>
      </c>
      <c r="D504" s="2">
        <v>50000</v>
      </c>
      <c r="E504" s="2">
        <v>0</v>
      </c>
      <c r="F504" s="2">
        <v>137871.16</v>
      </c>
      <c r="G504" s="2" t="str">
        <f t="shared" si="7"/>
        <v>27-09-2024 50100542230922-TPT-FOR EXPENSES TRN TO ARCHIT-ARCHIT GUPTA</v>
      </c>
      <c r="H504" s="2" t="s">
        <v>1335</v>
      </c>
      <c r="I504" t="s">
        <v>1302</v>
      </c>
      <c r="K504" t="s">
        <v>1322</v>
      </c>
    </row>
    <row r="505" spans="1:13" x14ac:dyDescent="0.3">
      <c r="A505" s="1">
        <v>45562</v>
      </c>
      <c r="B505" t="s">
        <v>708</v>
      </c>
      <c r="C505" t="s">
        <v>709</v>
      </c>
      <c r="D505" s="2">
        <v>0</v>
      </c>
      <c r="E505" s="2">
        <v>16728</v>
      </c>
      <c r="F505" s="2">
        <v>154599.16</v>
      </c>
      <c r="G505" s="2" t="str">
        <f t="shared" si="7"/>
        <v>27-09-2024 NEFT CR-SBIN0004266-SBI GENERAL INSURANCE CO LTDSBI GEN-SUNITA GUPTA 0000000002717756-SBIN424271842614</v>
      </c>
      <c r="H505" s="2" t="s">
        <v>1335</v>
      </c>
      <c r="I505" t="s">
        <v>1326</v>
      </c>
      <c r="K505" t="s">
        <v>1322</v>
      </c>
    </row>
    <row r="506" spans="1:13" x14ac:dyDescent="0.3">
      <c r="A506" s="1">
        <v>45563</v>
      </c>
      <c r="B506" t="s">
        <v>387</v>
      </c>
      <c r="C506" t="s">
        <v>23</v>
      </c>
      <c r="D506" s="2">
        <v>1700</v>
      </c>
      <c r="E506" s="2">
        <v>0</v>
      </c>
      <c r="F506" s="2">
        <v>223388.62</v>
      </c>
      <c r="G506" s="2" t="str">
        <f t="shared" si="7"/>
        <v>28-09-2024 UPI/P2M/463877794818/SANGITA RAJENDRA MUTH/dentis/Yes Bank Ltd</v>
      </c>
      <c r="H506" s="2" t="s">
        <v>1335</v>
      </c>
      <c r="I506" t="s">
        <v>1309</v>
      </c>
      <c r="K506" t="s">
        <v>1323</v>
      </c>
    </row>
    <row r="507" spans="1:13" x14ac:dyDescent="0.3">
      <c r="A507" s="1">
        <v>45563</v>
      </c>
      <c r="B507" t="s">
        <v>388</v>
      </c>
      <c r="C507" t="s">
        <v>23</v>
      </c>
      <c r="D507" s="2">
        <v>10000</v>
      </c>
      <c r="E507" s="2">
        <v>0</v>
      </c>
      <c r="F507" s="2">
        <v>213388.62</v>
      </c>
      <c r="G507" s="2" t="str">
        <f t="shared" si="7"/>
        <v>28-09-2024 ATM-CASH/SBI SHIVAJI NAGAR/NASHIK/280924</v>
      </c>
      <c r="H507" s="2" t="s">
        <v>1335</v>
      </c>
      <c r="I507" t="s">
        <v>50</v>
      </c>
      <c r="K507" t="s">
        <v>1323</v>
      </c>
    </row>
    <row r="508" spans="1:13" x14ac:dyDescent="0.3">
      <c r="A508" s="1">
        <v>45565</v>
      </c>
      <c r="B508" t="s">
        <v>389</v>
      </c>
      <c r="C508" t="s">
        <v>23</v>
      </c>
      <c r="D508" s="2">
        <v>100000</v>
      </c>
      <c r="E508" s="2">
        <v>0</v>
      </c>
      <c r="F508" s="2">
        <v>113388.62</v>
      </c>
      <c r="G508" s="2" t="str">
        <f t="shared" si="7"/>
        <v>30-09-2024 NEFT/IR/AXOIR27490761713/Sunita Gupta/HDFC BANK/Transfer from Sunita Axis Ban</v>
      </c>
      <c r="H508" s="2" t="s">
        <v>1335</v>
      </c>
      <c r="I508" s="2" t="s">
        <v>51</v>
      </c>
      <c r="K508" t="s">
        <v>1323</v>
      </c>
    </row>
    <row r="509" spans="1:13" x14ac:dyDescent="0.3">
      <c r="A509" s="1">
        <v>45565</v>
      </c>
      <c r="B509" t="s">
        <v>710</v>
      </c>
      <c r="C509" t="s">
        <v>711</v>
      </c>
      <c r="D509" s="2">
        <v>0</v>
      </c>
      <c r="E509" s="2">
        <v>5948.77</v>
      </c>
      <c r="F509" s="2">
        <v>160547.93</v>
      </c>
      <c r="G509" s="2" t="str">
        <f t="shared" si="7"/>
        <v>30-09-2024 FT- 567225434-50200085415108 - HDFC SECURITIES LTD-CLIENT DSCNB A/C -</v>
      </c>
      <c r="H509" s="2" t="s">
        <v>1335</v>
      </c>
      <c r="I509" t="s">
        <v>1310</v>
      </c>
      <c r="K509" t="s">
        <v>1322</v>
      </c>
    </row>
    <row r="510" spans="1:13" x14ac:dyDescent="0.3">
      <c r="A510" s="1">
        <v>45565</v>
      </c>
      <c r="B510" t="s">
        <v>82</v>
      </c>
      <c r="C510" t="s">
        <v>712</v>
      </c>
      <c r="D510" s="2">
        <v>951.48</v>
      </c>
      <c r="E510" s="2">
        <v>0</v>
      </c>
      <c r="F510" s="2">
        <v>159596.45000000001</v>
      </c>
      <c r="G510" s="2" t="str">
        <f t="shared" si="7"/>
        <v>30-09-2024 NET PI TO HSL SEC A/C 523686-00602340029434</v>
      </c>
      <c r="H510" s="2" t="s">
        <v>1335</v>
      </c>
      <c r="I510" t="s">
        <v>337</v>
      </c>
      <c r="K510" t="s">
        <v>1322</v>
      </c>
    </row>
    <row r="511" spans="1:13" x14ac:dyDescent="0.3">
      <c r="A511" s="1">
        <v>45565</v>
      </c>
      <c r="B511" t="s">
        <v>713</v>
      </c>
      <c r="C511" t="s">
        <v>714</v>
      </c>
      <c r="D511" s="2">
        <v>0</v>
      </c>
      <c r="E511" s="15">
        <v>84.57</v>
      </c>
      <c r="F511" s="2">
        <v>159681.01999999999</v>
      </c>
      <c r="G511" s="2" t="str">
        <f t="shared" si="7"/>
        <v>30-09-2024 NEFT CR-UTIB0000004-AXIS MUTUAL FUND DIVIDEND A/C-SUNITA GUPTA-AXISCN0759989851</v>
      </c>
      <c r="H511" s="2" t="s">
        <v>1335</v>
      </c>
      <c r="I511" t="s">
        <v>340</v>
      </c>
      <c r="K511" t="s">
        <v>1322</v>
      </c>
    </row>
    <row r="512" spans="1:13" x14ac:dyDescent="0.3">
      <c r="A512" s="1">
        <v>45565</v>
      </c>
      <c r="B512" t="s">
        <v>715</v>
      </c>
      <c r="C512" t="s">
        <v>716</v>
      </c>
      <c r="D512" s="2">
        <v>0</v>
      </c>
      <c r="E512" s="2">
        <v>100000</v>
      </c>
      <c r="F512" s="2">
        <v>259681.02</v>
      </c>
      <c r="G512" s="2" t="str">
        <f t="shared" si="7"/>
        <v>30-09-2024 NEFT CR-UTIB0002656-SUNITA GUPTA-SUNITA GUPTA-AXOIR27490761713</v>
      </c>
      <c r="H512" s="2" t="s">
        <v>1335</v>
      </c>
      <c r="I512" t="s">
        <v>51</v>
      </c>
      <c r="K512" t="s">
        <v>1322</v>
      </c>
    </row>
    <row r="513" spans="1:11" x14ac:dyDescent="0.3">
      <c r="A513" s="1">
        <v>45565</v>
      </c>
      <c r="B513" t="s">
        <v>82</v>
      </c>
      <c r="C513" t="s">
        <v>717</v>
      </c>
      <c r="D513" s="2">
        <v>100829.95</v>
      </c>
      <c r="E513" s="2">
        <v>0</v>
      </c>
      <c r="F513" s="2">
        <v>158851.07</v>
      </c>
      <c r="G513" s="2" t="str">
        <f t="shared" si="7"/>
        <v>30-09-2024 NET PI TO HSL SEC A/C 523686-00602340029434</v>
      </c>
      <c r="H513" s="2" t="s">
        <v>1335</v>
      </c>
      <c r="I513" t="s">
        <v>337</v>
      </c>
      <c r="K513" t="s">
        <v>1322</v>
      </c>
    </row>
    <row r="514" spans="1:11" x14ac:dyDescent="0.3">
      <c r="A514" s="1">
        <v>45565</v>
      </c>
      <c r="B514" t="s">
        <v>718</v>
      </c>
      <c r="C514" t="s">
        <v>98</v>
      </c>
      <c r="D514" s="2">
        <v>0</v>
      </c>
      <c r="E514" s="2">
        <v>742</v>
      </c>
      <c r="F514" s="2">
        <v>159593.07</v>
      </c>
      <c r="G514" s="2" t="str">
        <f t="shared" si="7"/>
        <v>30-09-2024 INTEREST PAID TILL 30-SEP-2024</v>
      </c>
      <c r="H514" s="2" t="s">
        <v>1335</v>
      </c>
      <c r="I514" t="s">
        <v>344</v>
      </c>
      <c r="K514" t="s">
        <v>1322</v>
      </c>
    </row>
    <row r="515" spans="1:11" x14ac:dyDescent="0.3">
      <c r="A515" s="1">
        <v>45566</v>
      </c>
      <c r="B515" t="s">
        <v>390</v>
      </c>
      <c r="C515" t="s">
        <v>23</v>
      </c>
      <c r="D515" s="2">
        <v>0</v>
      </c>
      <c r="E515" s="2">
        <v>881</v>
      </c>
      <c r="F515" s="2">
        <v>114269.62</v>
      </c>
      <c r="G515" s="2" t="str">
        <f t="shared" si="7"/>
        <v>01-10-2024 SB:919010088767042:Int.Pd:01-07-2024 to 30-09-2024</v>
      </c>
      <c r="H515" s="2" t="s">
        <v>1335</v>
      </c>
      <c r="I515" t="s">
        <v>344</v>
      </c>
      <c r="K515" t="s">
        <v>1323</v>
      </c>
    </row>
    <row r="516" spans="1:11" x14ac:dyDescent="0.3">
      <c r="A516" s="1">
        <v>45566</v>
      </c>
      <c r="B516" t="s">
        <v>82</v>
      </c>
      <c r="C516" t="s">
        <v>719</v>
      </c>
      <c r="D516" s="2">
        <v>281.95</v>
      </c>
      <c r="E516" s="2">
        <v>0</v>
      </c>
      <c r="F516" s="2">
        <v>159311.12</v>
      </c>
      <c r="G516" s="2" t="str">
        <f t="shared" si="7"/>
        <v>01-10-2024 NET PI TO HSL SEC A/C 523686-00602340029434</v>
      </c>
      <c r="H516" s="2" t="s">
        <v>1335</v>
      </c>
      <c r="I516" t="s">
        <v>337</v>
      </c>
      <c r="K516" t="s">
        <v>1322</v>
      </c>
    </row>
    <row r="517" spans="1:11" x14ac:dyDescent="0.3">
      <c r="A517" s="1">
        <v>45566</v>
      </c>
      <c r="B517" t="s">
        <v>720</v>
      </c>
      <c r="C517" t="s">
        <v>721</v>
      </c>
      <c r="D517" s="2">
        <v>150000</v>
      </c>
      <c r="E517" s="2">
        <v>0</v>
      </c>
      <c r="F517" s="2">
        <v>9311.1200000000008</v>
      </c>
      <c r="G517" s="2" t="str">
        <f t="shared" ref="G517:G580" si="8">TEXT(A517,"DD")&amp;"-"&amp;TEXT(A517,"MM")&amp;"-"&amp;TEXT(A517,"YYYY")&amp;" "&amp;B517</f>
        <v>01-10-2024 01671000085930-TPT-MONEY RETURNED FROM SUNITA TO AJAY-AJAY KUMAR GUPTA</v>
      </c>
      <c r="H517" s="2" t="s">
        <v>1335</v>
      </c>
      <c r="I517" t="s">
        <v>1298</v>
      </c>
      <c r="K517" t="s">
        <v>1322</v>
      </c>
    </row>
    <row r="518" spans="1:11" x14ac:dyDescent="0.3">
      <c r="A518" s="1">
        <v>45567</v>
      </c>
      <c r="B518" t="s">
        <v>722</v>
      </c>
      <c r="C518" t="s">
        <v>723</v>
      </c>
      <c r="D518" s="2">
        <v>0</v>
      </c>
      <c r="E518" s="2">
        <v>50000</v>
      </c>
      <c r="F518" s="2">
        <v>59311.12</v>
      </c>
      <c r="G518" s="2" t="str">
        <f t="shared" si="8"/>
        <v>02-10-2024 50100542230922-TPT-LOAN MONEY RETURN-ARCHIT GUPTA</v>
      </c>
      <c r="H518" s="2" t="s">
        <v>1335</v>
      </c>
      <c r="I518" t="s">
        <v>1303</v>
      </c>
      <c r="K518" t="s">
        <v>1322</v>
      </c>
    </row>
    <row r="519" spans="1:11" x14ac:dyDescent="0.3">
      <c r="A519" s="1">
        <v>45568</v>
      </c>
      <c r="B519" t="s">
        <v>391</v>
      </c>
      <c r="C519" t="s">
        <v>23</v>
      </c>
      <c r="D519" s="2">
        <v>0</v>
      </c>
      <c r="E519" s="2">
        <v>39310.75</v>
      </c>
      <c r="F519" s="2">
        <v>153580.37</v>
      </c>
      <c r="G519" s="2" t="str">
        <f t="shared" si="8"/>
        <v>03-10-2024 NEFT/YESF342771615268/ZERODHA BROKING LTD-DSCNB A//YES BANK/9e2d83f3e8 Zerodha payout</v>
      </c>
      <c r="H519" s="2" t="s">
        <v>1335</v>
      </c>
      <c r="I519" t="s">
        <v>46</v>
      </c>
      <c r="K519" t="s">
        <v>1323</v>
      </c>
    </row>
    <row r="520" spans="1:11" x14ac:dyDescent="0.3">
      <c r="A520" s="1">
        <v>45568</v>
      </c>
      <c r="B520" t="s">
        <v>724</v>
      </c>
      <c r="C520" t="s">
        <v>725</v>
      </c>
      <c r="D520" s="2">
        <v>0</v>
      </c>
      <c r="E520" s="2">
        <v>3562.65</v>
      </c>
      <c r="F520" s="2">
        <v>62873.77</v>
      </c>
      <c r="G520" s="2" t="str">
        <f t="shared" si="8"/>
        <v>03-10-2024 FT- 568257882-50200085415108 - HDFC SECURITIES LTD-CLIENT DSCNB A/C -</v>
      </c>
      <c r="H520" s="2" t="s">
        <v>1335</v>
      </c>
      <c r="I520" t="s">
        <v>1310</v>
      </c>
      <c r="K520" t="s">
        <v>1322</v>
      </c>
    </row>
    <row r="521" spans="1:11" x14ac:dyDescent="0.3">
      <c r="A521" s="1">
        <v>45568</v>
      </c>
      <c r="B521" t="s">
        <v>726</v>
      </c>
      <c r="C521" t="s">
        <v>727</v>
      </c>
      <c r="D521" s="2">
        <v>0</v>
      </c>
      <c r="E521" s="2">
        <v>14704.96</v>
      </c>
      <c r="F521" s="2">
        <v>77578.73</v>
      </c>
      <c r="G521" s="2" t="str">
        <f t="shared" si="8"/>
        <v>03-10-2024 FT- 568289447-50200085415108 - HDFC SECURITIES LTD-CLIENT DSCNB A/C -</v>
      </c>
      <c r="H521" s="2" t="s">
        <v>1335</v>
      </c>
      <c r="I521" t="s">
        <v>1310</v>
      </c>
      <c r="K521" t="s">
        <v>1322</v>
      </c>
    </row>
    <row r="522" spans="1:11" x14ac:dyDescent="0.3">
      <c r="A522" s="1">
        <v>45568</v>
      </c>
      <c r="B522" t="s">
        <v>82</v>
      </c>
      <c r="C522" t="s">
        <v>728</v>
      </c>
      <c r="D522" s="2">
        <v>732.04</v>
      </c>
      <c r="E522" s="2">
        <v>0</v>
      </c>
      <c r="F522" s="2">
        <v>76846.69</v>
      </c>
      <c r="G522" s="2" t="str">
        <f t="shared" si="8"/>
        <v>03-10-2024 NET PI TO HSL SEC A/C 523686-00602340029434</v>
      </c>
      <c r="H522" s="2" t="s">
        <v>1335</v>
      </c>
      <c r="I522" t="s">
        <v>337</v>
      </c>
      <c r="K522" t="s">
        <v>1322</v>
      </c>
    </row>
    <row r="523" spans="1:11" x14ac:dyDescent="0.3">
      <c r="A523" s="1">
        <v>45569</v>
      </c>
      <c r="B523" t="s">
        <v>82</v>
      </c>
      <c r="C523" t="s">
        <v>729</v>
      </c>
      <c r="D523" s="2">
        <v>40533.449999999997</v>
      </c>
      <c r="E523" s="2">
        <v>0</v>
      </c>
      <c r="F523" s="2">
        <v>36313.24</v>
      </c>
      <c r="G523" s="2" t="str">
        <f t="shared" si="8"/>
        <v>04-10-2024 NET PI TO HSL SEC A/C 523686-00602340029434</v>
      </c>
      <c r="H523" s="2" t="s">
        <v>1335</v>
      </c>
      <c r="I523" t="s">
        <v>337</v>
      </c>
      <c r="K523" t="s">
        <v>1322</v>
      </c>
    </row>
    <row r="524" spans="1:11" x14ac:dyDescent="0.3">
      <c r="A524" s="1">
        <v>45569</v>
      </c>
      <c r="B524" t="s">
        <v>82</v>
      </c>
      <c r="C524" t="s">
        <v>730</v>
      </c>
      <c r="D524" s="2">
        <v>352.85</v>
      </c>
      <c r="E524" s="2">
        <v>0</v>
      </c>
      <c r="F524" s="2">
        <v>35960.39</v>
      </c>
      <c r="G524" s="2" t="str">
        <f t="shared" si="8"/>
        <v>04-10-2024 NET PI TO HSL SEC A/C 523686-00602340029434</v>
      </c>
      <c r="H524" s="2" t="s">
        <v>1335</v>
      </c>
      <c r="I524" t="s">
        <v>337</v>
      </c>
      <c r="K524" t="s">
        <v>1322</v>
      </c>
    </row>
    <row r="525" spans="1:11" x14ac:dyDescent="0.3">
      <c r="A525" s="1">
        <v>45569</v>
      </c>
      <c r="B525" t="s">
        <v>82</v>
      </c>
      <c r="C525" t="s">
        <v>731</v>
      </c>
      <c r="D525" s="2">
        <v>6291.03</v>
      </c>
      <c r="E525" s="2">
        <v>0</v>
      </c>
      <c r="F525" s="2">
        <v>29669.360000000001</v>
      </c>
      <c r="G525" s="2" t="str">
        <f t="shared" si="8"/>
        <v>04-10-2024 NET PI TO HSL SEC A/C 523686-00602340029434</v>
      </c>
      <c r="H525" s="2" t="s">
        <v>1335</v>
      </c>
      <c r="I525" t="s">
        <v>337</v>
      </c>
      <c r="K525" t="s">
        <v>1322</v>
      </c>
    </row>
    <row r="526" spans="1:11" x14ac:dyDescent="0.3">
      <c r="A526" s="1">
        <v>45572</v>
      </c>
      <c r="B526" t="s">
        <v>82</v>
      </c>
      <c r="C526" t="s">
        <v>732</v>
      </c>
      <c r="D526" s="2">
        <v>678.4</v>
      </c>
      <c r="E526" s="2">
        <v>0</v>
      </c>
      <c r="F526" s="2">
        <v>28990.959999999999</v>
      </c>
      <c r="G526" s="2" t="str">
        <f t="shared" si="8"/>
        <v>07-10-2024 NET PI TO HSL SEC A/C 523686-00602340029434</v>
      </c>
      <c r="H526" s="2" t="s">
        <v>1335</v>
      </c>
      <c r="I526" t="s">
        <v>337</v>
      </c>
      <c r="K526" t="s">
        <v>1322</v>
      </c>
    </row>
    <row r="527" spans="1:11" x14ac:dyDescent="0.3">
      <c r="A527" s="1">
        <v>45572</v>
      </c>
      <c r="B527" t="s">
        <v>733</v>
      </c>
      <c r="C527" t="s">
        <v>734</v>
      </c>
      <c r="D527" s="2">
        <v>0</v>
      </c>
      <c r="E527" s="2">
        <v>25</v>
      </c>
      <c r="F527" s="2">
        <v>29015.96</v>
      </c>
      <c r="G527" s="2" t="str">
        <f t="shared" si="8"/>
        <v>07-10-2024 ACH C- ALU FINAL 2023 2024-11514</v>
      </c>
      <c r="H527" s="2" t="s">
        <v>1335</v>
      </c>
      <c r="I527" t="s">
        <v>340</v>
      </c>
      <c r="K527" t="s">
        <v>1322</v>
      </c>
    </row>
    <row r="528" spans="1:11" x14ac:dyDescent="0.3">
      <c r="A528" s="1">
        <v>45572</v>
      </c>
      <c r="B528" t="s">
        <v>82</v>
      </c>
      <c r="C528" t="s">
        <v>735</v>
      </c>
      <c r="D528" s="2">
        <v>431.33</v>
      </c>
      <c r="E528" s="2">
        <v>0</v>
      </c>
      <c r="F528" s="2">
        <v>28584.63</v>
      </c>
      <c r="G528" s="2" t="str">
        <f t="shared" si="8"/>
        <v>07-10-2024 NET PI TO HSL SEC A/C 523686-00602340029434</v>
      </c>
      <c r="H528" s="2" t="s">
        <v>1335</v>
      </c>
      <c r="I528" t="s">
        <v>337</v>
      </c>
      <c r="K528" t="s">
        <v>1322</v>
      </c>
    </row>
    <row r="529" spans="1:13" x14ac:dyDescent="0.3">
      <c r="A529" s="1">
        <v>45572</v>
      </c>
      <c r="B529" t="s">
        <v>82</v>
      </c>
      <c r="C529" t="s">
        <v>736</v>
      </c>
      <c r="D529" s="2">
        <v>15433.41</v>
      </c>
      <c r="E529" s="2">
        <v>0</v>
      </c>
      <c r="F529" s="2">
        <v>13151.22</v>
      </c>
      <c r="G529" s="2" t="str">
        <f t="shared" si="8"/>
        <v>07-10-2024 NET PI TO HSL SEC A/C 523686-00602340029434</v>
      </c>
      <c r="H529" s="2" t="s">
        <v>1335</v>
      </c>
      <c r="I529" t="s">
        <v>337</v>
      </c>
      <c r="K529" t="s">
        <v>1322</v>
      </c>
    </row>
    <row r="530" spans="1:13" x14ac:dyDescent="0.3">
      <c r="A530" s="1">
        <v>45573</v>
      </c>
      <c r="B530" t="s">
        <v>737</v>
      </c>
      <c r="C530" t="s">
        <v>738</v>
      </c>
      <c r="D530" s="2">
        <v>0</v>
      </c>
      <c r="E530" s="2">
        <v>431.33</v>
      </c>
      <c r="F530" s="2">
        <v>13582.55</v>
      </c>
      <c r="G530" s="2" t="str">
        <f t="shared" si="8"/>
        <v>08-10-2024 FT- 570053472-50200085415108 - HDFC SECURITIES LTD-CLIENT DSCNB A/C -</v>
      </c>
      <c r="H530" s="2" t="s">
        <v>1335</v>
      </c>
      <c r="I530" t="s">
        <v>1310</v>
      </c>
      <c r="K530" t="s">
        <v>1322</v>
      </c>
    </row>
    <row r="531" spans="1:13" x14ac:dyDescent="0.3">
      <c r="A531" s="1">
        <v>45573</v>
      </c>
      <c r="B531" t="s">
        <v>82</v>
      </c>
      <c r="C531" t="s">
        <v>739</v>
      </c>
      <c r="D531" s="2">
        <v>364.57</v>
      </c>
      <c r="E531" s="2">
        <v>0</v>
      </c>
      <c r="F531" s="2">
        <v>13217.98</v>
      </c>
      <c r="G531" s="2" t="str">
        <f t="shared" si="8"/>
        <v>08-10-2024 NET PI TO HSL SEC A/C 523686-00602340029434</v>
      </c>
      <c r="H531" s="2" t="s">
        <v>1335</v>
      </c>
      <c r="I531" t="s">
        <v>337</v>
      </c>
      <c r="K531" t="s">
        <v>1322</v>
      </c>
    </row>
    <row r="532" spans="1:13" x14ac:dyDescent="0.3">
      <c r="A532" s="1">
        <v>45573</v>
      </c>
      <c r="B532" t="s">
        <v>740</v>
      </c>
      <c r="C532" t="s">
        <v>741</v>
      </c>
      <c r="D532" s="2">
        <v>0</v>
      </c>
      <c r="E532" s="2">
        <v>191</v>
      </c>
      <c r="F532" s="2">
        <v>13408.98</v>
      </c>
      <c r="G532" s="2" t="str">
        <f t="shared" si="8"/>
        <v>08-10-2024 ACH C- MCX OF INDIA LTD-3645726</v>
      </c>
      <c r="H532" s="2" t="s">
        <v>1335</v>
      </c>
      <c r="I532" t="s">
        <v>340</v>
      </c>
      <c r="K532" t="s">
        <v>1322</v>
      </c>
    </row>
    <row r="533" spans="1:13" x14ac:dyDescent="0.3">
      <c r="A533" s="1">
        <v>45574</v>
      </c>
      <c r="B533" t="s">
        <v>742</v>
      </c>
      <c r="C533" t="s">
        <v>743</v>
      </c>
      <c r="D533" s="2">
        <v>0</v>
      </c>
      <c r="E533" s="2">
        <v>4964.28</v>
      </c>
      <c r="F533" s="2">
        <v>18373.259999999998</v>
      </c>
      <c r="G533" s="2" t="str">
        <f t="shared" si="8"/>
        <v>09-10-2024 FT- 570463394-50200085415108 - HDFC SECURITIES LTD-CLIENT DSCNB A/C -</v>
      </c>
      <c r="H533" s="2" t="s">
        <v>1335</v>
      </c>
      <c r="I533" t="s">
        <v>1310</v>
      </c>
      <c r="K533" t="s">
        <v>1322</v>
      </c>
    </row>
    <row r="534" spans="1:13" x14ac:dyDescent="0.3">
      <c r="A534" s="1">
        <v>45574</v>
      </c>
      <c r="B534" t="s">
        <v>82</v>
      </c>
      <c r="C534" t="s">
        <v>744</v>
      </c>
      <c r="D534" s="2">
        <v>364.57</v>
      </c>
      <c r="E534" s="2">
        <v>0</v>
      </c>
      <c r="F534" s="2">
        <v>18008.689999999999</v>
      </c>
      <c r="G534" s="2" t="str">
        <f t="shared" si="8"/>
        <v>09-10-2024 NET PI TO HSL SEC A/C 523686-00602340029434</v>
      </c>
      <c r="H534" s="2" t="s">
        <v>1335</v>
      </c>
      <c r="I534" t="s">
        <v>337</v>
      </c>
      <c r="K534" t="s">
        <v>1322</v>
      </c>
    </row>
    <row r="535" spans="1:13" x14ac:dyDescent="0.3">
      <c r="A535" s="1">
        <v>45575</v>
      </c>
      <c r="B535" t="s">
        <v>745</v>
      </c>
      <c r="C535" t="s">
        <v>746</v>
      </c>
      <c r="D535" s="2">
        <v>0</v>
      </c>
      <c r="E535" s="2">
        <v>1439.2</v>
      </c>
      <c r="F535" s="2">
        <v>19447.89</v>
      </c>
      <c r="G535" s="2" t="str">
        <f t="shared" si="8"/>
        <v>10-10-2024 FT- 570885181-50200085415108 - HDFC SECURITIES LTD-CLIENT DSCNB A/C -</v>
      </c>
      <c r="H535" s="2" t="s">
        <v>1335</v>
      </c>
      <c r="I535" t="s">
        <v>1310</v>
      </c>
      <c r="K535" t="s">
        <v>1322</v>
      </c>
    </row>
    <row r="536" spans="1:13" x14ac:dyDescent="0.3">
      <c r="A536" s="1">
        <v>45575</v>
      </c>
      <c r="B536" t="s">
        <v>747</v>
      </c>
      <c r="C536" t="s">
        <v>748</v>
      </c>
      <c r="D536" s="2">
        <v>0</v>
      </c>
      <c r="E536" s="2">
        <v>29661.24</v>
      </c>
      <c r="F536" s="2">
        <v>49109.13</v>
      </c>
      <c r="G536" s="2" t="str">
        <f t="shared" si="8"/>
        <v>10-10-2024 FT- 570915703-50200085415108 - HDFC SECURITIES LTD-CLIENT DSCNB A/C -</v>
      </c>
      <c r="H536" s="2" t="s">
        <v>1335</v>
      </c>
      <c r="I536" t="s">
        <v>1310</v>
      </c>
      <c r="K536" t="s">
        <v>1322</v>
      </c>
    </row>
    <row r="537" spans="1:13" x14ac:dyDescent="0.3">
      <c r="A537" s="1">
        <v>45575</v>
      </c>
      <c r="B537" t="s">
        <v>82</v>
      </c>
      <c r="C537" t="s">
        <v>749</v>
      </c>
      <c r="D537" s="2">
        <v>366.34</v>
      </c>
      <c r="E537" s="2">
        <v>0</v>
      </c>
      <c r="F537" s="2">
        <v>48742.79</v>
      </c>
      <c r="G537" s="2" t="str">
        <f t="shared" si="8"/>
        <v>10-10-2024 NET PI TO HSL SEC A/C 523686-00602340029434</v>
      </c>
      <c r="H537" s="2" t="s">
        <v>1335</v>
      </c>
      <c r="I537" t="s">
        <v>337</v>
      </c>
      <c r="K537" t="s">
        <v>1322</v>
      </c>
    </row>
    <row r="538" spans="1:13" x14ac:dyDescent="0.3">
      <c r="A538" s="1">
        <v>45575</v>
      </c>
      <c r="B538" t="s">
        <v>750</v>
      </c>
      <c r="C538" t="s">
        <v>751</v>
      </c>
      <c r="D538" s="2">
        <v>0</v>
      </c>
      <c r="E538" s="2">
        <v>34220</v>
      </c>
      <c r="F538" s="2">
        <v>82962.789999999994</v>
      </c>
      <c r="G538" s="2" t="str">
        <f t="shared" si="8"/>
        <v>10-10-2024 NEFT CR-SBIN0004266-SBI GENERAL INSURANCE CO LTDSBI GEN-SUNITA GUPTA 0000000002717756-SBIN424284032197</v>
      </c>
      <c r="H538" s="2" t="s">
        <v>1335</v>
      </c>
      <c r="I538" t="s">
        <v>345</v>
      </c>
      <c r="J538" t="s">
        <v>1329</v>
      </c>
      <c r="K538" t="s">
        <v>1322</v>
      </c>
      <c r="L538" s="11">
        <f>ROUND(E538/0.9,0)</f>
        <v>38022</v>
      </c>
      <c r="M538" s="11">
        <f>L538-E538</f>
        <v>3802</v>
      </c>
    </row>
    <row r="539" spans="1:13" x14ac:dyDescent="0.3">
      <c r="A539" s="1">
        <v>45576</v>
      </c>
      <c r="B539" t="s">
        <v>752</v>
      </c>
      <c r="C539" t="s">
        <v>753</v>
      </c>
      <c r="D539" s="2">
        <v>0</v>
      </c>
      <c r="E539" s="2">
        <v>5366.11</v>
      </c>
      <c r="F539" s="2">
        <v>88328.9</v>
      </c>
      <c r="G539" s="2" t="str">
        <f t="shared" si="8"/>
        <v>11-10-2024 FT- 571335388-50200085415108 - HDFC SECURITIES LTD-CLIENT DSCNB A/C -</v>
      </c>
      <c r="H539" s="2" t="s">
        <v>1335</v>
      </c>
      <c r="I539" t="s">
        <v>1310</v>
      </c>
      <c r="K539" t="s">
        <v>1322</v>
      </c>
    </row>
    <row r="540" spans="1:13" x14ac:dyDescent="0.3">
      <c r="A540" s="1">
        <v>45576</v>
      </c>
      <c r="B540" t="s">
        <v>82</v>
      </c>
      <c r="C540" t="s">
        <v>754</v>
      </c>
      <c r="D540" s="2">
        <v>366.85</v>
      </c>
      <c r="E540" s="2">
        <v>0</v>
      </c>
      <c r="F540" s="2">
        <v>87962.05</v>
      </c>
      <c r="G540" s="2" t="str">
        <f t="shared" si="8"/>
        <v>11-10-2024 NET PI TO HSL SEC A/C 523686-00602340029434</v>
      </c>
      <c r="H540" s="2" t="s">
        <v>1335</v>
      </c>
      <c r="I540" t="s">
        <v>337</v>
      </c>
      <c r="K540" t="s">
        <v>1322</v>
      </c>
    </row>
    <row r="541" spans="1:13" x14ac:dyDescent="0.3">
      <c r="A541" s="1">
        <v>45576</v>
      </c>
      <c r="B541" t="s">
        <v>82</v>
      </c>
      <c r="C541" t="s">
        <v>755</v>
      </c>
      <c r="D541" s="2">
        <v>119.69</v>
      </c>
      <c r="E541" s="2">
        <v>0</v>
      </c>
      <c r="F541" s="2">
        <v>87842.36</v>
      </c>
      <c r="G541" s="2" t="str">
        <f t="shared" si="8"/>
        <v>11-10-2024 NET PI TO HSL SEC A/C 523686-00602340029434</v>
      </c>
      <c r="H541" s="2" t="s">
        <v>1335</v>
      </c>
      <c r="I541" t="s">
        <v>337</v>
      </c>
      <c r="K541" t="s">
        <v>1322</v>
      </c>
    </row>
    <row r="542" spans="1:13" x14ac:dyDescent="0.3">
      <c r="A542" s="1">
        <v>45579</v>
      </c>
      <c r="B542" t="s">
        <v>82</v>
      </c>
      <c r="C542" t="s">
        <v>756</v>
      </c>
      <c r="D542" s="2">
        <v>2966.98</v>
      </c>
      <c r="E542" s="2">
        <v>0</v>
      </c>
      <c r="F542" s="2">
        <v>84875.38</v>
      </c>
      <c r="G542" s="2" t="str">
        <f t="shared" si="8"/>
        <v>14-10-2024 NET PI TO HSL SEC A/C 523686-00602340029434</v>
      </c>
      <c r="H542" s="2" t="s">
        <v>1335</v>
      </c>
      <c r="I542" t="s">
        <v>337</v>
      </c>
      <c r="K542" t="s">
        <v>1322</v>
      </c>
    </row>
    <row r="543" spans="1:13" x14ac:dyDescent="0.3">
      <c r="A543" s="1">
        <v>45580</v>
      </c>
      <c r="B543" t="s">
        <v>757</v>
      </c>
      <c r="C543" t="s">
        <v>758</v>
      </c>
      <c r="D543" s="2">
        <v>0</v>
      </c>
      <c r="E543" s="2">
        <v>141198.07</v>
      </c>
      <c r="F543" s="2">
        <v>226073.45</v>
      </c>
      <c r="G543" s="2" t="str">
        <f t="shared" si="8"/>
        <v>15-10-2024 FT- 572160230-50200085415108 - HDFC SECURITIES LTD-CLIENT DSCNB A/C -</v>
      </c>
      <c r="H543" s="2" t="s">
        <v>1335</v>
      </c>
      <c r="I543" t="s">
        <v>1310</v>
      </c>
      <c r="K543" t="s">
        <v>1322</v>
      </c>
    </row>
    <row r="544" spans="1:13" x14ac:dyDescent="0.3">
      <c r="A544" s="1">
        <v>45580</v>
      </c>
      <c r="B544" t="s">
        <v>114</v>
      </c>
      <c r="C544" t="s">
        <v>759</v>
      </c>
      <c r="D544" s="2">
        <v>5000</v>
      </c>
      <c r="E544" s="2">
        <v>0</v>
      </c>
      <c r="F544" s="2">
        <v>221073.45</v>
      </c>
      <c r="G544" s="2" t="str">
        <f t="shared" si="8"/>
        <v>15-10-2024 ACH D- INDIAN CLEARING CORP-P25847643X05</v>
      </c>
      <c r="H544" s="2" t="s">
        <v>1335</v>
      </c>
      <c r="I544" t="s">
        <v>341</v>
      </c>
      <c r="K544" t="s">
        <v>1322</v>
      </c>
    </row>
    <row r="545" spans="1:13" x14ac:dyDescent="0.3">
      <c r="A545" s="1">
        <v>45580</v>
      </c>
      <c r="B545" t="s">
        <v>760</v>
      </c>
      <c r="C545" t="s">
        <v>98</v>
      </c>
      <c r="D545" s="2">
        <v>746.79</v>
      </c>
      <c r="E545" s="2">
        <v>0</v>
      </c>
      <c r="F545" s="2">
        <v>220326.66</v>
      </c>
      <c r="G545" s="2" t="str">
        <f t="shared" si="8"/>
        <v>15-10-2024 DEPOSITORY CHARGES SEP24 - 41060499</v>
      </c>
      <c r="H545" s="2" t="s">
        <v>1335</v>
      </c>
      <c r="I545" t="s">
        <v>343</v>
      </c>
      <c r="K545" t="s">
        <v>1322</v>
      </c>
    </row>
    <row r="546" spans="1:13" x14ac:dyDescent="0.3">
      <c r="A546" s="1">
        <v>45580</v>
      </c>
      <c r="B546" t="s">
        <v>761</v>
      </c>
      <c r="C546" t="s">
        <v>762</v>
      </c>
      <c r="D546" s="2">
        <v>10000</v>
      </c>
      <c r="E546" s="2">
        <v>0</v>
      </c>
      <c r="F546" s="2">
        <v>210326.66</v>
      </c>
      <c r="G546" s="2" t="str">
        <f t="shared" si="8"/>
        <v>15-10-2024 ATW-498792XXXXXX0500-S1ANRS37-KOTA</v>
      </c>
      <c r="H546" s="2" t="s">
        <v>1335</v>
      </c>
      <c r="I546" t="s">
        <v>50</v>
      </c>
      <c r="K546" t="s">
        <v>1322</v>
      </c>
    </row>
    <row r="547" spans="1:13" x14ac:dyDescent="0.3">
      <c r="A547" s="1">
        <v>45580</v>
      </c>
      <c r="B547" t="s">
        <v>82</v>
      </c>
      <c r="C547" t="s">
        <v>763</v>
      </c>
      <c r="D547" s="2">
        <v>368.05</v>
      </c>
      <c r="E547" s="2">
        <v>0</v>
      </c>
      <c r="F547" s="2">
        <v>209958.61</v>
      </c>
      <c r="G547" s="2" t="str">
        <f t="shared" si="8"/>
        <v>15-10-2024 NET PI TO HSL SEC A/C 523686-00602340029434</v>
      </c>
      <c r="H547" s="2" t="s">
        <v>1335</v>
      </c>
      <c r="I547" t="s">
        <v>337</v>
      </c>
      <c r="K547" t="s">
        <v>1322</v>
      </c>
    </row>
    <row r="548" spans="1:13" x14ac:dyDescent="0.3">
      <c r="A548" s="1">
        <v>45580</v>
      </c>
      <c r="B548" t="s">
        <v>82</v>
      </c>
      <c r="C548" t="s">
        <v>764</v>
      </c>
      <c r="D548" s="2">
        <v>6720.79</v>
      </c>
      <c r="E548" s="2">
        <v>0</v>
      </c>
      <c r="F548" s="2">
        <v>203237.82</v>
      </c>
      <c r="G548" s="2" t="str">
        <f t="shared" si="8"/>
        <v>15-10-2024 NET PI TO HSL SEC A/C 523686-00602340029434</v>
      </c>
      <c r="H548" s="2" t="s">
        <v>1335</v>
      </c>
      <c r="I548" t="s">
        <v>337</v>
      </c>
      <c r="K548" t="s">
        <v>1322</v>
      </c>
    </row>
    <row r="549" spans="1:13" x14ac:dyDescent="0.3">
      <c r="A549" s="1">
        <v>45581</v>
      </c>
      <c r="B549" t="s">
        <v>392</v>
      </c>
      <c r="C549" t="s">
        <v>23</v>
      </c>
      <c r="D549" s="2">
        <v>5000</v>
      </c>
      <c r="E549" s="2">
        <v>0</v>
      </c>
      <c r="F549" s="2">
        <v>148580.37</v>
      </c>
      <c r="G549" s="2" t="str">
        <f t="shared" si="8"/>
        <v>16-10-2024 UPI/P2A/465679437892/ASHWINI HEMANT PATIL /kitty/State Bank Of India</v>
      </c>
      <c r="H549" s="2" t="s">
        <v>1335</v>
      </c>
      <c r="I549" t="s">
        <v>1309</v>
      </c>
      <c r="K549" t="s">
        <v>1323</v>
      </c>
    </row>
    <row r="550" spans="1:13" x14ac:dyDescent="0.3">
      <c r="A550" s="1">
        <v>45581</v>
      </c>
      <c r="B550" t="s">
        <v>82</v>
      </c>
      <c r="C550" t="s">
        <v>765</v>
      </c>
      <c r="D550" s="2">
        <v>365.66</v>
      </c>
      <c r="E550" s="2">
        <v>0</v>
      </c>
      <c r="F550" s="2">
        <v>202872.16</v>
      </c>
      <c r="G550" s="2" t="str">
        <f t="shared" si="8"/>
        <v>16-10-2024 NET PI TO HSL SEC A/C 523686-00602340029434</v>
      </c>
      <c r="H550" s="2" t="s">
        <v>1335</v>
      </c>
      <c r="I550" t="s">
        <v>337</v>
      </c>
      <c r="K550" t="s">
        <v>1322</v>
      </c>
    </row>
    <row r="551" spans="1:13" x14ac:dyDescent="0.3">
      <c r="A551" s="1">
        <v>45581</v>
      </c>
      <c r="B551" t="s">
        <v>766</v>
      </c>
      <c r="C551" t="s">
        <v>767</v>
      </c>
      <c r="D551" s="2">
        <v>0</v>
      </c>
      <c r="E551" s="2">
        <v>337.5</v>
      </c>
      <c r="F551" s="2">
        <v>203209.66</v>
      </c>
      <c r="G551" s="2" t="str">
        <f t="shared" si="8"/>
        <v>16-10-2024 ACH C- CONCOR FINDIV 23-24-CN18092400347</v>
      </c>
      <c r="H551" s="2" t="s">
        <v>1335</v>
      </c>
      <c r="I551" t="s">
        <v>340</v>
      </c>
      <c r="K551" t="s">
        <v>1322</v>
      </c>
    </row>
    <row r="552" spans="1:13" x14ac:dyDescent="0.3">
      <c r="A552" s="1">
        <v>45582</v>
      </c>
      <c r="B552" t="s">
        <v>768</v>
      </c>
      <c r="C552" t="s">
        <v>769</v>
      </c>
      <c r="D552" s="2">
        <v>0</v>
      </c>
      <c r="E552" s="2">
        <v>32327.51</v>
      </c>
      <c r="F552" s="2">
        <v>235537.17</v>
      </c>
      <c r="G552" s="2" t="str">
        <f t="shared" si="8"/>
        <v>17-10-2024 FT- 572987110-50200085415108 - HDFC SECURITIES LTD-CLIENT DSCNB A/C -</v>
      </c>
      <c r="H552" s="2" t="s">
        <v>1335</v>
      </c>
      <c r="I552" t="s">
        <v>1310</v>
      </c>
      <c r="K552" t="s">
        <v>1322</v>
      </c>
    </row>
    <row r="553" spans="1:13" x14ac:dyDescent="0.3">
      <c r="A553" s="1">
        <v>45582</v>
      </c>
      <c r="B553" t="s">
        <v>82</v>
      </c>
      <c r="C553" t="s">
        <v>770</v>
      </c>
      <c r="D553" s="2">
        <v>365.66</v>
      </c>
      <c r="E553" s="2">
        <v>0</v>
      </c>
      <c r="F553" s="2">
        <v>235171.51</v>
      </c>
      <c r="G553" s="2" t="str">
        <f t="shared" si="8"/>
        <v>17-10-2024 NET PI TO HSL SEC A/C 523686-00602340029434</v>
      </c>
      <c r="H553" s="2" t="s">
        <v>1335</v>
      </c>
      <c r="I553" t="s">
        <v>337</v>
      </c>
      <c r="K553" t="s">
        <v>1322</v>
      </c>
    </row>
    <row r="554" spans="1:13" x14ac:dyDescent="0.3">
      <c r="A554" s="1">
        <v>45582</v>
      </c>
      <c r="B554" t="s">
        <v>82</v>
      </c>
      <c r="C554" t="s">
        <v>771</v>
      </c>
      <c r="D554" s="2">
        <v>11850.76</v>
      </c>
      <c r="E554" s="2">
        <v>0</v>
      </c>
      <c r="F554" s="2">
        <v>223320.75</v>
      </c>
      <c r="G554" s="2" t="str">
        <f t="shared" si="8"/>
        <v>17-10-2024 NET PI TO HSL SEC A/C 523686-00602340029434</v>
      </c>
      <c r="H554" s="2" t="s">
        <v>1335</v>
      </c>
      <c r="I554" t="s">
        <v>337</v>
      </c>
      <c r="K554" t="s">
        <v>1322</v>
      </c>
    </row>
    <row r="555" spans="1:13" x14ac:dyDescent="0.3">
      <c r="A555" s="1">
        <v>45583</v>
      </c>
      <c r="B555" t="s">
        <v>761</v>
      </c>
      <c r="C555" t="s">
        <v>772</v>
      </c>
      <c r="D555" s="2">
        <v>10000</v>
      </c>
      <c r="E555" s="2">
        <v>0</v>
      </c>
      <c r="F555" s="2">
        <v>213320.75</v>
      </c>
      <c r="G555" s="2" t="str">
        <f t="shared" si="8"/>
        <v>18-10-2024 ATW-498792XXXXXX0500-S1ANRS37-KOTA</v>
      </c>
      <c r="H555" s="2" t="s">
        <v>1335</v>
      </c>
      <c r="I555" t="s">
        <v>50</v>
      </c>
      <c r="K555" t="s">
        <v>1322</v>
      </c>
    </row>
    <row r="556" spans="1:13" x14ac:dyDescent="0.3">
      <c r="A556" s="1">
        <v>45583</v>
      </c>
      <c r="B556" t="s">
        <v>82</v>
      </c>
      <c r="C556" t="s">
        <v>773</v>
      </c>
      <c r="D556" s="2">
        <v>347.39</v>
      </c>
      <c r="E556" s="2">
        <v>0</v>
      </c>
      <c r="F556" s="2">
        <v>212973.36</v>
      </c>
      <c r="G556" s="2" t="str">
        <f t="shared" si="8"/>
        <v>18-10-2024 NET PI TO HSL SEC A/C 523686-00602340029434</v>
      </c>
      <c r="H556" s="2" t="s">
        <v>1335</v>
      </c>
      <c r="I556" t="s">
        <v>337</v>
      </c>
      <c r="K556" t="s">
        <v>1322</v>
      </c>
    </row>
    <row r="557" spans="1:13" x14ac:dyDescent="0.3">
      <c r="A557" s="1">
        <v>45583</v>
      </c>
      <c r="B557" t="s">
        <v>774</v>
      </c>
      <c r="C557" t="s">
        <v>775</v>
      </c>
      <c r="D557" s="2">
        <v>0</v>
      </c>
      <c r="E557" s="2">
        <v>2738</v>
      </c>
      <c r="F557" s="2">
        <v>215711.35999999999</v>
      </c>
      <c r="G557" s="2" t="str">
        <f t="shared" si="8"/>
        <v>18-10-2024 NEFT CR-SBIN0004266-SBI GENERAL INSURANCE CO LTDSBI GEN-SUNITA GUPTA 0000000002717756-SBIN124292890137</v>
      </c>
      <c r="H557" s="2" t="s">
        <v>1335</v>
      </c>
      <c r="I557" t="s">
        <v>345</v>
      </c>
      <c r="J557" t="s">
        <v>1329</v>
      </c>
      <c r="K557" t="s">
        <v>1322</v>
      </c>
      <c r="L557" s="11">
        <f>ROUND(E557/0.9,0)</f>
        <v>3042</v>
      </c>
      <c r="M557" s="11">
        <f>L557-E557</f>
        <v>304</v>
      </c>
    </row>
    <row r="558" spans="1:13" x14ac:dyDescent="0.3">
      <c r="A558" s="1">
        <v>45583</v>
      </c>
      <c r="B558" t="s">
        <v>82</v>
      </c>
      <c r="C558" t="s">
        <v>776</v>
      </c>
      <c r="D558" s="2">
        <v>2268.59</v>
      </c>
      <c r="E558" s="2">
        <v>0</v>
      </c>
      <c r="F558" s="2">
        <v>213442.77</v>
      </c>
      <c r="G558" s="2" t="str">
        <f t="shared" si="8"/>
        <v>18-10-2024 NET PI TO HSL SEC A/C 523686-00602340029434</v>
      </c>
      <c r="H558" s="2" t="s">
        <v>1335</v>
      </c>
      <c r="I558" t="s">
        <v>337</v>
      </c>
      <c r="K558" t="s">
        <v>1322</v>
      </c>
    </row>
    <row r="559" spans="1:13" x14ac:dyDescent="0.3">
      <c r="A559" s="1">
        <v>45584</v>
      </c>
      <c r="B559" t="s">
        <v>777</v>
      </c>
      <c r="C559" t="s">
        <v>778</v>
      </c>
      <c r="D559" s="2">
        <v>19498</v>
      </c>
      <c r="E559" s="2">
        <v>0</v>
      </c>
      <c r="F559" s="2">
        <v>193944.77</v>
      </c>
      <c r="G559" s="2" t="str">
        <f t="shared" si="8"/>
        <v>19-10-2024 YHDF2461369507/BILLDKTHECALCUTTAELE</v>
      </c>
      <c r="H559" s="2" t="s">
        <v>1335</v>
      </c>
      <c r="I559" t="s">
        <v>1326</v>
      </c>
      <c r="K559" t="s">
        <v>1322</v>
      </c>
    </row>
    <row r="560" spans="1:13" x14ac:dyDescent="0.3">
      <c r="A560" s="1">
        <v>45586</v>
      </c>
      <c r="B560" t="s">
        <v>393</v>
      </c>
      <c r="C560" t="s">
        <v>23</v>
      </c>
      <c r="D560" s="2">
        <v>15</v>
      </c>
      <c r="E560" s="2">
        <v>0</v>
      </c>
      <c r="F560" s="2">
        <v>148565.37</v>
      </c>
      <c r="G560" s="2" t="str">
        <f t="shared" si="8"/>
        <v>21-10-2024 UPI/P2A/429536466098/BHAGAWATI PRASAD MAND/UPI/ICICI Bank</v>
      </c>
      <c r="H560" s="2" t="s">
        <v>1335</v>
      </c>
      <c r="I560" t="s">
        <v>1309</v>
      </c>
      <c r="K560" t="s">
        <v>1323</v>
      </c>
    </row>
    <row r="561" spans="1:11" x14ac:dyDescent="0.3">
      <c r="A561" s="1">
        <v>45586</v>
      </c>
      <c r="B561" t="s">
        <v>779</v>
      </c>
      <c r="C561" t="s">
        <v>780</v>
      </c>
      <c r="D561" s="2">
        <v>0</v>
      </c>
      <c r="E561" s="2">
        <v>750</v>
      </c>
      <c r="F561" s="2">
        <v>194694.77</v>
      </c>
      <c r="G561" s="2" t="str">
        <f t="shared" si="8"/>
        <v>21-10-2024 ACH C- NMDC LTD-0000020308359</v>
      </c>
      <c r="H561" s="2" t="s">
        <v>1335</v>
      </c>
      <c r="I561" t="s">
        <v>340</v>
      </c>
      <c r="K561" t="s">
        <v>1322</v>
      </c>
    </row>
    <row r="562" spans="1:11" x14ac:dyDescent="0.3">
      <c r="A562" s="1">
        <v>45586</v>
      </c>
      <c r="B562" t="s">
        <v>82</v>
      </c>
      <c r="C562" t="s">
        <v>781</v>
      </c>
      <c r="D562" s="2">
        <v>1057.68</v>
      </c>
      <c r="E562" s="2">
        <v>0</v>
      </c>
      <c r="F562" s="2">
        <v>193637.09</v>
      </c>
      <c r="G562" s="2" t="str">
        <f t="shared" si="8"/>
        <v>21-10-2024 NET PI TO HSL SEC A/C 523686-00602340029434</v>
      </c>
      <c r="H562" s="2" t="s">
        <v>1335</v>
      </c>
      <c r="I562" t="s">
        <v>337</v>
      </c>
      <c r="K562" t="s">
        <v>1322</v>
      </c>
    </row>
    <row r="563" spans="1:11" x14ac:dyDescent="0.3">
      <c r="A563" s="1">
        <v>45586</v>
      </c>
      <c r="B563" t="s">
        <v>82</v>
      </c>
      <c r="C563" t="s">
        <v>782</v>
      </c>
      <c r="D563" s="2">
        <v>10739.78</v>
      </c>
      <c r="E563" s="2">
        <v>0</v>
      </c>
      <c r="F563" s="2">
        <v>182897.31</v>
      </c>
      <c r="G563" s="2" t="str">
        <f t="shared" si="8"/>
        <v>21-10-2024 NET PI TO HSL SEC A/C 523686-00602340029434</v>
      </c>
      <c r="H563" s="2" t="s">
        <v>1335</v>
      </c>
      <c r="I563" t="s">
        <v>337</v>
      </c>
      <c r="K563" t="s">
        <v>1322</v>
      </c>
    </row>
    <row r="564" spans="1:11" x14ac:dyDescent="0.3">
      <c r="A564" s="1">
        <v>45587</v>
      </c>
      <c r="B564" t="s">
        <v>82</v>
      </c>
      <c r="C564" t="s">
        <v>783</v>
      </c>
      <c r="D564" s="2">
        <v>355.42</v>
      </c>
      <c r="E564" s="2">
        <v>0</v>
      </c>
      <c r="F564" s="2">
        <v>182541.89</v>
      </c>
      <c r="G564" s="2" t="str">
        <f t="shared" si="8"/>
        <v>22-10-2024 NET PI TO HSL SEC A/C 523686-00602340029434</v>
      </c>
      <c r="H564" s="2" t="s">
        <v>1335</v>
      </c>
      <c r="I564" t="s">
        <v>337</v>
      </c>
      <c r="K564" t="s">
        <v>1322</v>
      </c>
    </row>
    <row r="565" spans="1:11" x14ac:dyDescent="0.3">
      <c r="A565" s="1">
        <v>45587</v>
      </c>
      <c r="B565" t="s">
        <v>784</v>
      </c>
      <c r="C565" t="s">
        <v>785</v>
      </c>
      <c r="D565" s="2">
        <v>0</v>
      </c>
      <c r="E565" s="2">
        <v>7.24</v>
      </c>
      <c r="F565" s="2">
        <v>182549.13</v>
      </c>
      <c r="G565" s="2" t="str">
        <f t="shared" si="8"/>
        <v>22-10-2024 TRF JAYPEE INFRATECH LTD</v>
      </c>
      <c r="H565" s="2" t="s">
        <v>1335</v>
      </c>
      <c r="I565" t="s">
        <v>1311</v>
      </c>
      <c r="K565" t="s">
        <v>1322</v>
      </c>
    </row>
    <row r="566" spans="1:11" x14ac:dyDescent="0.3">
      <c r="A566" s="1">
        <v>45587</v>
      </c>
      <c r="B566" t="s">
        <v>82</v>
      </c>
      <c r="C566" t="s">
        <v>786</v>
      </c>
      <c r="D566" s="2">
        <v>38201.14</v>
      </c>
      <c r="E566" s="2">
        <v>0</v>
      </c>
      <c r="F566" s="2">
        <v>144347.99</v>
      </c>
      <c r="G566" s="2" t="str">
        <f t="shared" si="8"/>
        <v>22-10-2024 NET PI TO HSL SEC A/C 523686-00602340029434</v>
      </c>
      <c r="H566" s="2" t="s">
        <v>1335</v>
      </c>
      <c r="I566" t="s">
        <v>337</v>
      </c>
      <c r="K566" t="s">
        <v>1322</v>
      </c>
    </row>
    <row r="567" spans="1:11" x14ac:dyDescent="0.3">
      <c r="A567" s="1">
        <v>45588</v>
      </c>
      <c r="B567" t="s">
        <v>82</v>
      </c>
      <c r="C567" t="s">
        <v>787</v>
      </c>
      <c r="D567" s="2">
        <v>341.81</v>
      </c>
      <c r="E567" s="2">
        <v>0</v>
      </c>
      <c r="F567" s="2">
        <v>144006.18</v>
      </c>
      <c r="G567" s="2" t="str">
        <f t="shared" si="8"/>
        <v>23-10-2024 NET PI TO HSL SEC A/C 523686-00602340029434</v>
      </c>
      <c r="H567" s="2" t="s">
        <v>1335</v>
      </c>
      <c r="I567" t="s">
        <v>337</v>
      </c>
      <c r="K567" t="s">
        <v>1322</v>
      </c>
    </row>
    <row r="568" spans="1:11" x14ac:dyDescent="0.3">
      <c r="A568" s="1">
        <v>45589</v>
      </c>
      <c r="B568" t="s">
        <v>394</v>
      </c>
      <c r="C568" t="s">
        <v>23</v>
      </c>
      <c r="D568" s="2">
        <v>7000</v>
      </c>
      <c r="E568" s="2">
        <v>0</v>
      </c>
      <c r="F568" s="2">
        <v>141565.37</v>
      </c>
      <c r="G568" s="2" t="str">
        <f t="shared" si="8"/>
        <v>24-10-2024 UPI/P2M/466409647719/REET FASHION         /UPI/Yes Bank Ltd</v>
      </c>
      <c r="H568" s="2" t="s">
        <v>1335</v>
      </c>
      <c r="I568" t="s">
        <v>1309</v>
      </c>
      <c r="K568" t="s">
        <v>1323</v>
      </c>
    </row>
    <row r="569" spans="1:11" x14ac:dyDescent="0.3">
      <c r="A569" s="1">
        <v>45589</v>
      </c>
      <c r="B569" t="s">
        <v>788</v>
      </c>
      <c r="C569" t="s">
        <v>789</v>
      </c>
      <c r="D569" s="2">
        <v>0</v>
      </c>
      <c r="E569" s="2">
        <v>5487.3</v>
      </c>
      <c r="F569" s="2">
        <v>149493.48000000001</v>
      </c>
      <c r="G569" s="2" t="str">
        <f t="shared" si="8"/>
        <v>24-10-2024 FT- 575331981-50200085415108 - HDFC SECURITIES LTD-CLIENT DSCNB A/C -</v>
      </c>
      <c r="H569" s="2" t="s">
        <v>1335</v>
      </c>
      <c r="I569" t="s">
        <v>1310</v>
      </c>
      <c r="K569" t="s">
        <v>1322</v>
      </c>
    </row>
    <row r="570" spans="1:11" x14ac:dyDescent="0.3">
      <c r="A570" s="1">
        <v>45589</v>
      </c>
      <c r="B570" t="s">
        <v>82</v>
      </c>
      <c r="C570" t="s">
        <v>790</v>
      </c>
      <c r="D570" s="2">
        <v>350.21</v>
      </c>
      <c r="E570" s="2">
        <v>0</v>
      </c>
      <c r="F570" s="2">
        <v>149143.26999999999</v>
      </c>
      <c r="G570" s="2" t="str">
        <f t="shared" si="8"/>
        <v>24-10-2024 NET PI TO HSL SEC A/C 523686-00602340029434</v>
      </c>
      <c r="H570" s="2" t="s">
        <v>1335</v>
      </c>
      <c r="I570" t="s">
        <v>337</v>
      </c>
      <c r="K570" t="s">
        <v>1322</v>
      </c>
    </row>
    <row r="571" spans="1:11" x14ac:dyDescent="0.3">
      <c r="A571" s="1">
        <v>45589</v>
      </c>
      <c r="B571" t="s">
        <v>791</v>
      </c>
      <c r="C571" t="s">
        <v>792</v>
      </c>
      <c r="D571" s="2">
        <v>0</v>
      </c>
      <c r="E571" s="2">
        <v>627</v>
      </c>
      <c r="F571" s="2">
        <v>149770.26999999999</v>
      </c>
      <c r="G571" s="2" t="str">
        <f t="shared" si="8"/>
        <v>24-10-2024 ACH C- COFORGE LTD-93826</v>
      </c>
      <c r="H571" s="2" t="s">
        <v>1335</v>
      </c>
      <c r="I571" t="s">
        <v>340</v>
      </c>
      <c r="K571" t="s">
        <v>1322</v>
      </c>
    </row>
    <row r="572" spans="1:11" x14ac:dyDescent="0.3">
      <c r="A572" s="1">
        <v>45589</v>
      </c>
      <c r="B572" t="s">
        <v>82</v>
      </c>
      <c r="C572" t="s">
        <v>793</v>
      </c>
      <c r="D572" s="2">
        <v>17360.75</v>
      </c>
      <c r="E572" s="2">
        <v>0</v>
      </c>
      <c r="F572" s="2">
        <v>132409.51999999999</v>
      </c>
      <c r="G572" s="2" t="str">
        <f t="shared" si="8"/>
        <v>24-10-2024 NET PI TO HSL SEC A/C 523686-00602340029434</v>
      </c>
      <c r="H572" s="2" t="s">
        <v>1335</v>
      </c>
      <c r="I572" t="s">
        <v>337</v>
      </c>
      <c r="K572" t="s">
        <v>1322</v>
      </c>
    </row>
    <row r="573" spans="1:11" x14ac:dyDescent="0.3">
      <c r="A573" s="1">
        <v>45589</v>
      </c>
      <c r="B573" t="s">
        <v>82</v>
      </c>
      <c r="C573" t="s">
        <v>794</v>
      </c>
      <c r="D573" s="2">
        <v>15969.06</v>
      </c>
      <c r="E573" s="2">
        <v>0</v>
      </c>
      <c r="F573" s="2">
        <v>116440.46</v>
      </c>
      <c r="G573" s="2" t="str">
        <f t="shared" si="8"/>
        <v>24-10-2024 NET PI TO HSL SEC A/C 523686-00602340029434</v>
      </c>
      <c r="H573" s="2" t="s">
        <v>1335</v>
      </c>
      <c r="I573" t="s">
        <v>337</v>
      </c>
      <c r="K573" t="s">
        <v>1322</v>
      </c>
    </row>
    <row r="574" spans="1:11" x14ac:dyDescent="0.3">
      <c r="A574" s="1">
        <v>45590</v>
      </c>
      <c r="B574" t="s">
        <v>114</v>
      </c>
      <c r="C574" t="s">
        <v>795</v>
      </c>
      <c r="D574" s="2">
        <v>10000</v>
      </c>
      <c r="E574" s="2">
        <v>0</v>
      </c>
      <c r="F574" s="2">
        <v>106440.46</v>
      </c>
      <c r="G574" s="2" t="str">
        <f t="shared" si="8"/>
        <v>25-10-2024 ACH D- INDIAN CLEARING CORP-P25847643X05</v>
      </c>
      <c r="H574" s="2" t="s">
        <v>1335</v>
      </c>
      <c r="I574" t="s">
        <v>342</v>
      </c>
      <c r="K574" t="s">
        <v>1322</v>
      </c>
    </row>
    <row r="575" spans="1:11" x14ac:dyDescent="0.3">
      <c r="A575" s="1">
        <v>45590</v>
      </c>
      <c r="B575" t="s">
        <v>82</v>
      </c>
      <c r="C575" t="s">
        <v>796</v>
      </c>
      <c r="D575" s="2">
        <v>346.47</v>
      </c>
      <c r="E575" s="2">
        <v>0</v>
      </c>
      <c r="F575" s="2">
        <v>106093.99</v>
      </c>
      <c r="G575" s="2" t="str">
        <f t="shared" si="8"/>
        <v>25-10-2024 NET PI TO HSL SEC A/C 523686-00602340029434</v>
      </c>
      <c r="H575" s="2" t="s">
        <v>1335</v>
      </c>
      <c r="I575" t="s">
        <v>337</v>
      </c>
      <c r="K575" t="s">
        <v>1322</v>
      </c>
    </row>
    <row r="576" spans="1:11" x14ac:dyDescent="0.3">
      <c r="A576" s="1">
        <v>45590</v>
      </c>
      <c r="B576" t="s">
        <v>797</v>
      </c>
      <c r="C576" t="s">
        <v>798</v>
      </c>
      <c r="D576" s="2">
        <v>0</v>
      </c>
      <c r="E576" s="2">
        <v>276</v>
      </c>
      <c r="F576" s="2">
        <v>106369.99</v>
      </c>
      <c r="G576" s="2" t="str">
        <f t="shared" si="8"/>
        <v>25-10-2024 ACH C- HINDUSTAN COPPER LTD-509416</v>
      </c>
      <c r="H576" s="2" t="s">
        <v>1335</v>
      </c>
      <c r="I576" t="s">
        <v>340</v>
      </c>
      <c r="K576" t="s">
        <v>1322</v>
      </c>
    </row>
    <row r="577" spans="1:11" x14ac:dyDescent="0.3">
      <c r="A577" s="1">
        <v>45590</v>
      </c>
      <c r="B577" t="s">
        <v>82</v>
      </c>
      <c r="C577" t="s">
        <v>799</v>
      </c>
      <c r="D577" s="2">
        <v>22819.61</v>
      </c>
      <c r="E577" s="2">
        <v>0</v>
      </c>
      <c r="F577" s="2">
        <v>83550.38</v>
      </c>
      <c r="G577" s="2" t="str">
        <f t="shared" si="8"/>
        <v>25-10-2024 NET PI TO HSL SEC A/C 523686-00602340029434</v>
      </c>
      <c r="H577" s="2" t="s">
        <v>1335</v>
      </c>
      <c r="I577" t="s">
        <v>337</v>
      </c>
      <c r="K577" t="s">
        <v>1322</v>
      </c>
    </row>
    <row r="578" spans="1:11" x14ac:dyDescent="0.3">
      <c r="A578" s="1">
        <v>45591</v>
      </c>
      <c r="B578" t="s">
        <v>82</v>
      </c>
      <c r="C578" t="s">
        <v>800</v>
      </c>
      <c r="D578" s="2">
        <v>29876.83</v>
      </c>
      <c r="E578" s="2">
        <v>0</v>
      </c>
      <c r="F578" s="2">
        <v>53673.55</v>
      </c>
      <c r="G578" s="2" t="str">
        <f t="shared" si="8"/>
        <v>26-10-2024 NET PI TO HSL SEC A/C 523686-00602340029434</v>
      </c>
      <c r="H578" s="2" t="s">
        <v>1335</v>
      </c>
      <c r="I578" t="s">
        <v>337</v>
      </c>
      <c r="K578" t="s">
        <v>1322</v>
      </c>
    </row>
    <row r="579" spans="1:11" x14ac:dyDescent="0.3">
      <c r="A579" s="1">
        <v>45592</v>
      </c>
      <c r="B579" t="s">
        <v>34</v>
      </c>
      <c r="C579" t="s">
        <v>23</v>
      </c>
      <c r="D579" s="2">
        <v>100000</v>
      </c>
      <c r="E579" s="2">
        <v>0</v>
      </c>
      <c r="F579" s="2">
        <v>41565.370000000003</v>
      </c>
      <c r="G579" s="2" t="str">
        <f t="shared" si="8"/>
        <v>27-10-2024 INB/IFT/Ajay Kumar Gupta/TPARTY TRANSFER</v>
      </c>
      <c r="H579" s="2" t="s">
        <v>1335</v>
      </c>
      <c r="I579" t="s">
        <v>1340</v>
      </c>
      <c r="K579" t="s">
        <v>1323</v>
      </c>
    </row>
    <row r="580" spans="1:11" x14ac:dyDescent="0.3">
      <c r="A580" s="1">
        <v>45592</v>
      </c>
      <c r="B580" t="s">
        <v>801</v>
      </c>
      <c r="C580" t="s">
        <v>802</v>
      </c>
      <c r="D580" s="2">
        <v>20000</v>
      </c>
      <c r="E580" s="2">
        <v>0</v>
      </c>
      <c r="F580" s="2">
        <v>33673.550000000003</v>
      </c>
      <c r="G580" s="2" t="str">
        <f t="shared" si="8"/>
        <v>27-10-2024 50100128155413-TPT-BOROW FROM AAYUSH-AAYUSH KUMAR GUPTA</v>
      </c>
      <c r="H580" s="2" t="s">
        <v>1335</v>
      </c>
      <c r="I580" t="s">
        <v>1301</v>
      </c>
      <c r="K580" t="s">
        <v>1322</v>
      </c>
    </row>
    <row r="581" spans="1:11" x14ac:dyDescent="0.3">
      <c r="A581" s="1">
        <v>45593</v>
      </c>
      <c r="B581" t="s">
        <v>82</v>
      </c>
      <c r="C581" t="s">
        <v>803</v>
      </c>
      <c r="D581" s="2">
        <v>1007.49</v>
      </c>
      <c r="E581" s="2">
        <v>0</v>
      </c>
      <c r="F581" s="2">
        <v>32666.06</v>
      </c>
      <c r="G581" s="2" t="str">
        <f t="shared" ref="G581:G644" si="9">TEXT(A581,"DD")&amp;"-"&amp;TEXT(A581,"MM")&amp;"-"&amp;TEXT(A581,"YYYY")&amp;" "&amp;B581</f>
        <v>28-10-2024 NET PI TO HSL SEC A/C 523686-00602340029434</v>
      </c>
      <c r="H581" s="2" t="s">
        <v>1335</v>
      </c>
      <c r="I581" t="s">
        <v>337</v>
      </c>
      <c r="K581" t="s">
        <v>1322</v>
      </c>
    </row>
    <row r="582" spans="1:11" x14ac:dyDescent="0.3">
      <c r="A582" s="1">
        <v>45593</v>
      </c>
      <c r="B582" t="s">
        <v>804</v>
      </c>
      <c r="C582" t="s">
        <v>805</v>
      </c>
      <c r="D582" s="2">
        <v>0</v>
      </c>
      <c r="E582" s="2">
        <v>19498</v>
      </c>
      <c r="F582" s="2">
        <v>52164.06</v>
      </c>
      <c r="G582" s="2" t="str">
        <f t="shared" si="9"/>
        <v>28-10-2024 NEFT CR-SBIN0004266-SBI GENERAL INSURANCE CO LTDSBI GEN-SUNITA GUPTA 0000000002717756-SBIN424302247596</v>
      </c>
      <c r="H582" s="2" t="s">
        <v>1335</v>
      </c>
      <c r="I582" t="s">
        <v>1326</v>
      </c>
      <c r="K582" t="s">
        <v>1322</v>
      </c>
    </row>
    <row r="583" spans="1:11" x14ac:dyDescent="0.3">
      <c r="A583" s="1">
        <v>45594</v>
      </c>
      <c r="B583" t="s">
        <v>395</v>
      </c>
      <c r="C583" t="s">
        <v>23</v>
      </c>
      <c r="D583" s="2">
        <v>25000</v>
      </c>
      <c r="E583" s="2">
        <v>0</v>
      </c>
      <c r="F583" s="2">
        <v>16565.37</v>
      </c>
      <c r="G583" s="2" t="str">
        <f t="shared" si="9"/>
        <v>29-10-2024 UPI/P2M/430390809811/Zerodha Broking Ltd  /505142/HDFC BANK LTD</v>
      </c>
      <c r="H583" s="2" t="s">
        <v>1335</v>
      </c>
      <c r="I583" t="s">
        <v>46</v>
      </c>
      <c r="K583" t="s">
        <v>1323</v>
      </c>
    </row>
    <row r="584" spans="1:11" x14ac:dyDescent="0.3">
      <c r="A584" s="1">
        <v>45594</v>
      </c>
      <c r="B584" t="s">
        <v>806</v>
      </c>
      <c r="C584" t="s">
        <v>807</v>
      </c>
      <c r="D584" s="2">
        <v>0</v>
      </c>
      <c r="E584" s="2">
        <v>13135.57</v>
      </c>
      <c r="F584" s="2">
        <v>65299.63</v>
      </c>
      <c r="G584" s="2" t="str">
        <f t="shared" si="9"/>
        <v>29-10-2024 FT- 576770898-50200085415108 - HDFC SECURITIES LTD-CLIENT DSCNB A/C -</v>
      </c>
      <c r="H584" s="2" t="s">
        <v>1335</v>
      </c>
      <c r="I584" t="s">
        <v>1310</v>
      </c>
      <c r="K584" t="s">
        <v>1322</v>
      </c>
    </row>
    <row r="585" spans="1:11" x14ac:dyDescent="0.3">
      <c r="A585" s="1">
        <v>45594</v>
      </c>
      <c r="B585" t="s">
        <v>82</v>
      </c>
      <c r="C585" t="s">
        <v>808</v>
      </c>
      <c r="D585" s="2">
        <v>345.71</v>
      </c>
      <c r="E585" s="2">
        <v>0</v>
      </c>
      <c r="F585" s="2">
        <v>64953.919999999998</v>
      </c>
      <c r="G585" s="2" t="str">
        <f t="shared" si="9"/>
        <v>29-10-2024 NET PI TO HSL SEC A/C 523686-00602340029434</v>
      </c>
      <c r="H585" s="2" t="s">
        <v>1335</v>
      </c>
      <c r="I585" t="s">
        <v>337</v>
      </c>
      <c r="K585" t="s">
        <v>1322</v>
      </c>
    </row>
    <row r="586" spans="1:11" x14ac:dyDescent="0.3">
      <c r="A586" s="1">
        <v>45594</v>
      </c>
      <c r="B586" t="s">
        <v>809</v>
      </c>
      <c r="C586" t="s">
        <v>810</v>
      </c>
      <c r="D586" s="2">
        <v>0</v>
      </c>
      <c r="E586" s="2">
        <v>84.57</v>
      </c>
      <c r="F586" s="2">
        <v>65038.49</v>
      </c>
      <c r="G586" s="2" t="str">
        <f t="shared" si="9"/>
        <v>29-10-2024 NEFT CR-UTIB0000004-AXIS MUTUAL FUND DIVIDEND A/C-SUNITA GUPTA-AXISCN0795685543</v>
      </c>
      <c r="H586" s="2" t="s">
        <v>1335</v>
      </c>
      <c r="I586" t="s">
        <v>340</v>
      </c>
      <c r="K586" t="s">
        <v>1322</v>
      </c>
    </row>
    <row r="587" spans="1:11" x14ac:dyDescent="0.3">
      <c r="A587" s="1">
        <v>45594</v>
      </c>
      <c r="B587" t="s">
        <v>82</v>
      </c>
      <c r="C587" t="s">
        <v>811</v>
      </c>
      <c r="D587" s="2">
        <v>1449.86</v>
      </c>
      <c r="E587" s="2">
        <v>0</v>
      </c>
      <c r="F587" s="2">
        <v>63588.63</v>
      </c>
      <c r="G587" s="2" t="str">
        <f t="shared" si="9"/>
        <v>29-10-2024 NET PI TO HSL SEC A/C 523686-00602340029434</v>
      </c>
      <c r="H587" s="2" t="s">
        <v>1335</v>
      </c>
      <c r="I587" t="s">
        <v>337</v>
      </c>
      <c r="K587" t="s">
        <v>1322</v>
      </c>
    </row>
    <row r="588" spans="1:11" x14ac:dyDescent="0.3">
      <c r="A588" s="1">
        <v>45595</v>
      </c>
      <c r="B588" t="s">
        <v>82</v>
      </c>
      <c r="C588" t="s">
        <v>812</v>
      </c>
      <c r="D588" s="2">
        <v>349.87</v>
      </c>
      <c r="E588" s="2">
        <v>0</v>
      </c>
      <c r="F588" s="2">
        <v>63238.76</v>
      </c>
      <c r="G588" s="2" t="str">
        <f t="shared" si="9"/>
        <v>30-10-2024 NET PI TO HSL SEC A/C 523686-00602340029434</v>
      </c>
      <c r="H588" s="2" t="s">
        <v>1335</v>
      </c>
      <c r="I588" t="s">
        <v>337</v>
      </c>
      <c r="K588" t="s">
        <v>1322</v>
      </c>
    </row>
    <row r="589" spans="1:11" x14ac:dyDescent="0.3">
      <c r="A589" s="1">
        <v>45596</v>
      </c>
      <c r="B589" t="s">
        <v>396</v>
      </c>
      <c r="C589" t="s">
        <v>23</v>
      </c>
      <c r="D589" s="2">
        <v>590</v>
      </c>
      <c r="E589" s="2">
        <v>0</v>
      </c>
      <c r="F589" s="2">
        <v>15975.37</v>
      </c>
      <c r="G589" s="2" t="str">
        <f t="shared" si="9"/>
        <v>31-10-2024 Dr Card Charges GST ANNUAL 4153XXXXXXXX5568</v>
      </c>
      <c r="H589" s="2" t="s">
        <v>1335</v>
      </c>
      <c r="I589" t="s">
        <v>47</v>
      </c>
      <c r="K589" t="s">
        <v>1323</v>
      </c>
    </row>
    <row r="590" spans="1:11" x14ac:dyDescent="0.3">
      <c r="A590" s="1">
        <v>45596</v>
      </c>
      <c r="B590" t="s">
        <v>813</v>
      </c>
      <c r="C590" t="s">
        <v>814</v>
      </c>
      <c r="D590" s="2">
        <v>0</v>
      </c>
      <c r="E590" s="2">
        <v>7424.18</v>
      </c>
      <c r="F590" s="2">
        <v>70662.94</v>
      </c>
      <c r="G590" s="2" t="str">
        <f t="shared" si="9"/>
        <v>31-10-2024 FT- 577607783-50200085415108 - HDFC SECURITIES LTD-CLIENT DSCNB A/C -</v>
      </c>
      <c r="H590" s="2" t="s">
        <v>1335</v>
      </c>
      <c r="I590" t="s">
        <v>1310</v>
      </c>
      <c r="K590" t="s">
        <v>1322</v>
      </c>
    </row>
    <row r="591" spans="1:11" x14ac:dyDescent="0.3">
      <c r="A591" s="1">
        <v>45596</v>
      </c>
      <c r="B591" t="s">
        <v>815</v>
      </c>
      <c r="C591" t="s">
        <v>816</v>
      </c>
      <c r="D591" s="2">
        <v>0</v>
      </c>
      <c r="E591" s="2">
        <v>51273.2</v>
      </c>
      <c r="F591" s="2">
        <v>121936.14</v>
      </c>
      <c r="G591" s="2" t="str">
        <f t="shared" si="9"/>
        <v>31-10-2024 FT- INVESCO MF A/C - BS77 11104515 31020891566 45871233</v>
      </c>
      <c r="H591" s="2" t="s">
        <v>1335</v>
      </c>
      <c r="I591" t="s">
        <v>1313</v>
      </c>
      <c r="K591" t="s">
        <v>1322</v>
      </c>
    </row>
    <row r="592" spans="1:11" x14ac:dyDescent="0.3">
      <c r="A592" s="1">
        <v>45596</v>
      </c>
      <c r="B592" t="s">
        <v>82</v>
      </c>
      <c r="C592" t="s">
        <v>817</v>
      </c>
      <c r="D592" s="2">
        <v>349.87</v>
      </c>
      <c r="E592" s="2">
        <v>0</v>
      </c>
      <c r="F592" s="2">
        <v>121586.27</v>
      </c>
      <c r="G592" s="2" t="str">
        <f t="shared" si="9"/>
        <v>31-10-2024 NET PI TO HSL SEC A/C 523686-00602340029434</v>
      </c>
      <c r="H592" s="2" t="s">
        <v>1335</v>
      </c>
      <c r="I592" t="s">
        <v>337</v>
      </c>
      <c r="K592" t="s">
        <v>1322</v>
      </c>
    </row>
    <row r="593" spans="1:13" x14ac:dyDescent="0.3">
      <c r="A593" s="1">
        <v>45596</v>
      </c>
      <c r="B593" t="s">
        <v>82</v>
      </c>
      <c r="C593" t="s">
        <v>818</v>
      </c>
      <c r="D593" s="2">
        <v>6912.76</v>
      </c>
      <c r="E593" s="2">
        <v>0</v>
      </c>
      <c r="F593" s="2">
        <v>114673.51</v>
      </c>
      <c r="G593" s="2" t="str">
        <f t="shared" si="9"/>
        <v>31-10-2024 NET PI TO HSL SEC A/C 523686-00602340029434</v>
      </c>
      <c r="H593" s="2" t="s">
        <v>1335</v>
      </c>
      <c r="I593" t="s">
        <v>337</v>
      </c>
      <c r="K593" t="s">
        <v>1322</v>
      </c>
    </row>
    <row r="594" spans="1:13" x14ac:dyDescent="0.3">
      <c r="A594" s="1">
        <v>45596</v>
      </c>
      <c r="B594" t="s">
        <v>82</v>
      </c>
      <c r="C594" t="s">
        <v>819</v>
      </c>
      <c r="D594" s="2">
        <v>85773.87</v>
      </c>
      <c r="E594" s="2">
        <v>0</v>
      </c>
      <c r="F594" s="2">
        <v>28899.64</v>
      </c>
      <c r="G594" s="2" t="str">
        <f t="shared" si="9"/>
        <v>31-10-2024 NET PI TO HSL SEC A/C 523686-00602340029434</v>
      </c>
      <c r="H594" s="2" t="s">
        <v>1335</v>
      </c>
      <c r="I594" t="s">
        <v>337</v>
      </c>
      <c r="K594" t="s">
        <v>1322</v>
      </c>
    </row>
    <row r="595" spans="1:13" x14ac:dyDescent="0.3">
      <c r="A595" s="1">
        <v>45597</v>
      </c>
      <c r="B595" t="s">
        <v>397</v>
      </c>
      <c r="C595" t="s">
        <v>23</v>
      </c>
      <c r="D595" s="2">
        <v>0</v>
      </c>
      <c r="E595" s="2">
        <v>25000</v>
      </c>
      <c r="F595" s="2">
        <v>40975.370000000003</v>
      </c>
      <c r="G595" s="2" t="str">
        <f t="shared" si="9"/>
        <v>01-11-2024 NEFT/YESF343062522862/ZERODHA BROKING LTD-DSCNB A//YES BANK/ad64ca2b52d2cc19a41251 Zerodh</v>
      </c>
      <c r="H595" s="2" t="s">
        <v>1335</v>
      </c>
      <c r="I595" t="s">
        <v>46</v>
      </c>
      <c r="K595" t="s">
        <v>1323</v>
      </c>
    </row>
    <row r="596" spans="1:13" x14ac:dyDescent="0.3">
      <c r="A596" s="1">
        <v>45598</v>
      </c>
      <c r="B596" t="s">
        <v>82</v>
      </c>
      <c r="C596" t="s">
        <v>820</v>
      </c>
      <c r="D596" s="2">
        <v>6890.76</v>
      </c>
      <c r="E596" s="2">
        <v>0</v>
      </c>
      <c r="F596" s="2">
        <v>22008.880000000001</v>
      </c>
      <c r="G596" s="2" t="str">
        <f t="shared" si="9"/>
        <v>02-11-2024 NET PI TO HSL SEC A/C 523686-00602340029434</v>
      </c>
      <c r="H596" s="2" t="s">
        <v>1335</v>
      </c>
      <c r="I596" t="s">
        <v>337</v>
      </c>
      <c r="K596" t="s">
        <v>1322</v>
      </c>
    </row>
    <row r="597" spans="1:13" x14ac:dyDescent="0.3">
      <c r="A597" s="1">
        <v>45600</v>
      </c>
      <c r="B597" t="s">
        <v>821</v>
      </c>
      <c r="C597" t="s">
        <v>822</v>
      </c>
      <c r="D597" s="2">
        <v>0</v>
      </c>
      <c r="E597" s="2">
        <v>10084.36</v>
      </c>
      <c r="F597" s="2">
        <v>32093.24</v>
      </c>
      <c r="G597" s="2" t="str">
        <f t="shared" si="9"/>
        <v>04-11-2024 FT- 578249626-50200085415108 - HDFC SECURITIES LTD-CLIENT DSCNB A/C -</v>
      </c>
      <c r="H597" s="2" t="s">
        <v>1335</v>
      </c>
      <c r="I597" t="s">
        <v>1310</v>
      </c>
      <c r="K597" t="s">
        <v>1322</v>
      </c>
    </row>
    <row r="598" spans="1:13" x14ac:dyDescent="0.3">
      <c r="A598" s="1">
        <v>45600</v>
      </c>
      <c r="B598" t="s">
        <v>82</v>
      </c>
      <c r="C598" t="s">
        <v>823</v>
      </c>
      <c r="D598" s="2">
        <v>1287.8800000000001</v>
      </c>
      <c r="E598" s="2">
        <v>0</v>
      </c>
      <c r="F598" s="2">
        <v>30805.360000000001</v>
      </c>
      <c r="G598" s="2" t="str">
        <f t="shared" si="9"/>
        <v>04-11-2024 NET PI TO HSL SEC A/C 523686-00602340029434</v>
      </c>
      <c r="H598" s="2" t="s">
        <v>1335</v>
      </c>
      <c r="I598" t="s">
        <v>337</v>
      </c>
      <c r="K598" t="s">
        <v>1322</v>
      </c>
    </row>
    <row r="599" spans="1:13" x14ac:dyDescent="0.3">
      <c r="A599" s="1">
        <v>45600</v>
      </c>
      <c r="B599" t="s">
        <v>82</v>
      </c>
      <c r="C599" t="s">
        <v>824</v>
      </c>
      <c r="D599" s="2">
        <v>12909.03</v>
      </c>
      <c r="E599" s="2">
        <v>0</v>
      </c>
      <c r="F599" s="2">
        <v>17896.330000000002</v>
      </c>
      <c r="G599" s="2" t="str">
        <f t="shared" si="9"/>
        <v>04-11-2024 NET PI TO HSL SEC A/C 523686-00602340029434</v>
      </c>
      <c r="H599" s="2" t="s">
        <v>1335</v>
      </c>
      <c r="I599" t="s">
        <v>337</v>
      </c>
      <c r="K599" t="s">
        <v>1322</v>
      </c>
    </row>
    <row r="600" spans="1:13" x14ac:dyDescent="0.3">
      <c r="A600" s="1">
        <v>45601</v>
      </c>
      <c r="B600" t="s">
        <v>82</v>
      </c>
      <c r="C600" t="s">
        <v>825</v>
      </c>
      <c r="D600" s="2">
        <v>384.2</v>
      </c>
      <c r="E600" s="2">
        <v>0</v>
      </c>
      <c r="F600" s="2">
        <v>17512.13</v>
      </c>
      <c r="G600" s="2" t="str">
        <f t="shared" si="9"/>
        <v>05-11-2024 NET PI TO HSL SEC A/C 523686-00602340029434</v>
      </c>
      <c r="H600" s="2" t="s">
        <v>1335</v>
      </c>
      <c r="I600" t="s">
        <v>337</v>
      </c>
      <c r="K600" t="s">
        <v>1322</v>
      </c>
    </row>
    <row r="601" spans="1:13" x14ac:dyDescent="0.3">
      <c r="A601" s="1">
        <v>45601</v>
      </c>
      <c r="B601" t="s">
        <v>826</v>
      </c>
      <c r="C601" t="s">
        <v>827</v>
      </c>
      <c r="D601" s="2">
        <v>0</v>
      </c>
      <c r="E601" s="2">
        <v>460</v>
      </c>
      <c r="F601" s="2">
        <v>17972.13</v>
      </c>
      <c r="G601" s="2" t="str">
        <f t="shared" si="9"/>
        <v>05-11-2024 ACH C- TCS2NDINTDIV051124-852371</v>
      </c>
      <c r="H601" s="2" t="s">
        <v>1335</v>
      </c>
      <c r="I601" t="s">
        <v>340</v>
      </c>
      <c r="K601" t="s">
        <v>1322</v>
      </c>
    </row>
    <row r="602" spans="1:13" x14ac:dyDescent="0.3">
      <c r="A602" s="1">
        <v>45602</v>
      </c>
      <c r="B602" t="s">
        <v>828</v>
      </c>
      <c r="C602" t="s">
        <v>829</v>
      </c>
      <c r="D602" s="2">
        <v>0</v>
      </c>
      <c r="E602" s="2">
        <v>11008.21</v>
      </c>
      <c r="F602" s="2">
        <v>28980.34</v>
      </c>
      <c r="G602" s="2" t="str">
        <f t="shared" si="9"/>
        <v>06-11-2024 FT- 579367524-50200085415108 - HDFC SECURITIES LTD-CLIENT DSCNB A/C -</v>
      </c>
      <c r="H602" s="2" t="s">
        <v>1335</v>
      </c>
      <c r="I602" t="s">
        <v>1310</v>
      </c>
      <c r="K602" t="s">
        <v>1322</v>
      </c>
    </row>
    <row r="603" spans="1:13" x14ac:dyDescent="0.3">
      <c r="A603" s="1">
        <v>45602</v>
      </c>
      <c r="B603" t="s">
        <v>82</v>
      </c>
      <c r="C603" t="s">
        <v>830</v>
      </c>
      <c r="D603" s="2">
        <v>384.2</v>
      </c>
      <c r="E603" s="2">
        <v>0</v>
      </c>
      <c r="F603" s="2">
        <v>28596.14</v>
      </c>
      <c r="G603" s="2" t="str">
        <f t="shared" si="9"/>
        <v>06-11-2024 NET PI TO HSL SEC A/C 523686-00602340029434</v>
      </c>
      <c r="H603" s="2" t="s">
        <v>1335</v>
      </c>
      <c r="I603" t="s">
        <v>337</v>
      </c>
      <c r="K603" t="s">
        <v>1322</v>
      </c>
    </row>
    <row r="604" spans="1:13" x14ac:dyDescent="0.3">
      <c r="A604" s="1">
        <v>45603</v>
      </c>
      <c r="B604" t="s">
        <v>831</v>
      </c>
      <c r="C604" t="s">
        <v>832</v>
      </c>
      <c r="D604" s="2">
        <v>0</v>
      </c>
      <c r="E604" s="2">
        <v>19933.39</v>
      </c>
      <c r="F604" s="2">
        <v>48529.53</v>
      </c>
      <c r="G604" s="2" t="str">
        <f t="shared" si="9"/>
        <v>07-11-2024 FT- 579792596-50200085415108 - HDFC SECURITIES LTD-CLIENT DSCNB A/C -</v>
      </c>
      <c r="H604" s="2" t="s">
        <v>1335</v>
      </c>
      <c r="I604" t="s">
        <v>1310</v>
      </c>
      <c r="K604" t="s">
        <v>1322</v>
      </c>
    </row>
    <row r="605" spans="1:13" x14ac:dyDescent="0.3">
      <c r="A605" s="1">
        <v>45603</v>
      </c>
      <c r="B605" t="s">
        <v>82</v>
      </c>
      <c r="C605" t="s">
        <v>833</v>
      </c>
      <c r="D605" s="2">
        <v>388.12</v>
      </c>
      <c r="E605" s="2">
        <v>0</v>
      </c>
      <c r="F605" s="2">
        <v>48141.41</v>
      </c>
      <c r="G605" s="2" t="str">
        <f t="shared" si="9"/>
        <v>07-11-2024 NET PI TO HSL SEC A/C 523686-00602340029434</v>
      </c>
      <c r="H605" s="2" t="s">
        <v>1335</v>
      </c>
      <c r="I605" t="s">
        <v>337</v>
      </c>
      <c r="K605" t="s">
        <v>1322</v>
      </c>
    </row>
    <row r="606" spans="1:13" x14ac:dyDescent="0.3">
      <c r="A606" s="1">
        <v>45603</v>
      </c>
      <c r="B606" t="s">
        <v>834</v>
      </c>
      <c r="C606" t="s">
        <v>835</v>
      </c>
      <c r="D606" s="2">
        <v>0</v>
      </c>
      <c r="E606" s="2">
        <v>700</v>
      </c>
      <c r="F606" s="2">
        <v>48841.41</v>
      </c>
      <c r="G606" s="2" t="str">
        <f t="shared" si="9"/>
        <v>07-11-2024 ACH C- LTIMIN INT 2024 25-184405</v>
      </c>
      <c r="H606" s="2" t="s">
        <v>1335</v>
      </c>
      <c r="I606" t="s">
        <v>340</v>
      </c>
      <c r="K606" t="s">
        <v>1322</v>
      </c>
    </row>
    <row r="607" spans="1:13" x14ac:dyDescent="0.3">
      <c r="A607" s="1">
        <v>45603</v>
      </c>
      <c r="B607" t="s">
        <v>836</v>
      </c>
      <c r="C607" t="s">
        <v>837</v>
      </c>
      <c r="D607" s="2">
        <v>0</v>
      </c>
      <c r="E607" s="2">
        <v>36958</v>
      </c>
      <c r="F607" s="2">
        <v>85799.41</v>
      </c>
      <c r="G607" s="2" t="str">
        <f t="shared" si="9"/>
        <v>07-11-2024 NEFT CR-SBIN0004266-SBI GENERAL INSURANCE CO LTDSBI GEN-SUNITA GUPTA 0000000002717756-SBIN224312774608</v>
      </c>
      <c r="H607" s="2" t="s">
        <v>1335</v>
      </c>
      <c r="I607" t="s">
        <v>345</v>
      </c>
      <c r="J607" t="s">
        <v>1329</v>
      </c>
      <c r="K607" t="s">
        <v>1322</v>
      </c>
      <c r="L607" s="11">
        <f>ROUND(E607/0.9,0)</f>
        <v>41064</v>
      </c>
      <c r="M607" s="11">
        <f>L607-E607</f>
        <v>4106</v>
      </c>
    </row>
    <row r="608" spans="1:13" x14ac:dyDescent="0.3">
      <c r="A608" s="1">
        <v>45603</v>
      </c>
      <c r="B608" t="s">
        <v>82</v>
      </c>
      <c r="C608" t="s">
        <v>838</v>
      </c>
      <c r="D608" s="2">
        <v>12083.67</v>
      </c>
      <c r="E608" s="2">
        <v>0</v>
      </c>
      <c r="F608" s="2">
        <v>73715.740000000005</v>
      </c>
      <c r="G608" s="2" t="str">
        <f t="shared" si="9"/>
        <v>07-11-2024 NET PI TO HSL SEC A/C 523686-00602340029434</v>
      </c>
      <c r="H608" s="2" t="s">
        <v>1335</v>
      </c>
      <c r="I608" t="s">
        <v>337</v>
      </c>
      <c r="K608" t="s">
        <v>1322</v>
      </c>
    </row>
    <row r="609" spans="1:11" x14ac:dyDescent="0.3">
      <c r="A609" s="1">
        <v>45604</v>
      </c>
      <c r="B609" t="s">
        <v>839</v>
      </c>
      <c r="C609" t="s">
        <v>840</v>
      </c>
      <c r="D609" s="2">
        <v>0</v>
      </c>
      <c r="E609" s="2">
        <v>840</v>
      </c>
      <c r="F609" s="2">
        <v>74555.740000000005</v>
      </c>
      <c r="G609" s="2" t="str">
        <f t="shared" si="9"/>
        <v>08-11-2024 0611208954 INFY INTDIV2024-25 45328804</v>
      </c>
      <c r="H609" s="2" t="s">
        <v>1335</v>
      </c>
      <c r="I609" t="s">
        <v>340</v>
      </c>
      <c r="K609" t="s">
        <v>1322</v>
      </c>
    </row>
    <row r="610" spans="1:11" x14ac:dyDescent="0.3">
      <c r="A610" s="1">
        <v>45604</v>
      </c>
      <c r="B610" t="s">
        <v>82</v>
      </c>
      <c r="C610" t="s">
        <v>841</v>
      </c>
      <c r="D610" s="2">
        <v>390.91</v>
      </c>
      <c r="E610" s="2">
        <v>0</v>
      </c>
      <c r="F610" s="2">
        <v>74164.83</v>
      </c>
      <c r="G610" s="2" t="str">
        <f t="shared" si="9"/>
        <v>08-11-2024 NET PI TO HSL SEC A/C 523686-00602340029434</v>
      </c>
      <c r="H610" s="2" t="s">
        <v>1335</v>
      </c>
      <c r="I610" t="s">
        <v>337</v>
      </c>
      <c r="K610" t="s">
        <v>1322</v>
      </c>
    </row>
    <row r="611" spans="1:11" x14ac:dyDescent="0.3">
      <c r="A611" s="1">
        <v>45604</v>
      </c>
      <c r="B611" t="s">
        <v>82</v>
      </c>
      <c r="C611" t="s">
        <v>842</v>
      </c>
      <c r="D611" s="2">
        <v>21327.23</v>
      </c>
      <c r="E611" s="2">
        <v>0</v>
      </c>
      <c r="F611" s="2">
        <v>52837.599999999999</v>
      </c>
      <c r="G611" s="2" t="str">
        <f t="shared" si="9"/>
        <v>08-11-2024 NET PI TO HSL SEC A/C 523686-00602340029434</v>
      </c>
      <c r="H611" s="2" t="s">
        <v>1335</v>
      </c>
      <c r="I611" t="s">
        <v>337</v>
      </c>
      <c r="K611" t="s">
        <v>1322</v>
      </c>
    </row>
    <row r="612" spans="1:11" x14ac:dyDescent="0.3">
      <c r="A612" s="1">
        <v>45607</v>
      </c>
      <c r="B612" t="s">
        <v>82</v>
      </c>
      <c r="C612" t="s">
        <v>843</v>
      </c>
      <c r="D612" s="2">
        <v>1149.96</v>
      </c>
      <c r="E612" s="2">
        <v>0</v>
      </c>
      <c r="F612" s="2">
        <v>51687.64</v>
      </c>
      <c r="G612" s="2" t="str">
        <f t="shared" si="9"/>
        <v>11-11-2024 NET PI TO HSL SEC A/C 523686-00602340029434</v>
      </c>
      <c r="H612" s="2" t="s">
        <v>1335</v>
      </c>
      <c r="I612" t="s">
        <v>337</v>
      </c>
      <c r="K612" t="s">
        <v>1322</v>
      </c>
    </row>
    <row r="613" spans="1:11" x14ac:dyDescent="0.3">
      <c r="A613" s="1">
        <v>45608</v>
      </c>
      <c r="B613" t="s">
        <v>398</v>
      </c>
      <c r="C613" t="s">
        <v>23</v>
      </c>
      <c r="D613" s="2">
        <v>3420</v>
      </c>
      <c r="E613" s="2">
        <v>0</v>
      </c>
      <c r="F613" s="2">
        <v>37555.370000000003</v>
      </c>
      <c r="G613" s="2" t="str">
        <f t="shared" si="9"/>
        <v>12-11-2024 UPI/P2A/431766739628/BHARTI RATAN DEVNANI /UPI/Union Bank of India</v>
      </c>
      <c r="H613" s="2" t="s">
        <v>1335</v>
      </c>
      <c r="I613" t="s">
        <v>1309</v>
      </c>
      <c r="K613" t="s">
        <v>1323</v>
      </c>
    </row>
    <row r="614" spans="1:11" x14ac:dyDescent="0.3">
      <c r="A614" s="1">
        <v>45608</v>
      </c>
      <c r="B614" t="s">
        <v>82</v>
      </c>
      <c r="C614" t="s">
        <v>844</v>
      </c>
      <c r="D614" s="2">
        <v>18988.82</v>
      </c>
      <c r="E614" s="2">
        <v>0</v>
      </c>
      <c r="F614" s="2">
        <v>32698.82</v>
      </c>
      <c r="G614" s="2" t="str">
        <f t="shared" si="9"/>
        <v>12-11-2024 NET PI TO HSL SEC A/C 523686-00602340029434</v>
      </c>
      <c r="H614" s="2" t="s">
        <v>1335</v>
      </c>
      <c r="I614" t="s">
        <v>337</v>
      </c>
      <c r="K614" t="s">
        <v>1322</v>
      </c>
    </row>
    <row r="615" spans="1:11" x14ac:dyDescent="0.3">
      <c r="A615" s="1">
        <v>45608</v>
      </c>
      <c r="B615" t="s">
        <v>845</v>
      </c>
      <c r="C615" t="s">
        <v>846</v>
      </c>
      <c r="D615" s="2">
        <v>0</v>
      </c>
      <c r="E615" s="2">
        <v>12632.07</v>
      </c>
      <c r="F615" s="2">
        <v>45330.89</v>
      </c>
      <c r="G615" s="2" t="str">
        <f t="shared" si="9"/>
        <v>12-11-2024 FT- 581299632-50200085415108 - HDFC SECURITIES LTD-CLIENT DSCNB A/C -</v>
      </c>
      <c r="H615" s="2" t="s">
        <v>1335</v>
      </c>
      <c r="I615" t="s">
        <v>1310</v>
      </c>
      <c r="K615" t="s">
        <v>1322</v>
      </c>
    </row>
    <row r="616" spans="1:11" x14ac:dyDescent="0.3">
      <c r="A616" s="1">
        <v>45608</v>
      </c>
      <c r="B616" t="s">
        <v>82</v>
      </c>
      <c r="C616" t="s">
        <v>847</v>
      </c>
      <c r="D616" s="2">
        <v>376.55</v>
      </c>
      <c r="E616" s="2">
        <v>0</v>
      </c>
      <c r="F616" s="2">
        <v>44954.34</v>
      </c>
      <c r="G616" s="2" t="str">
        <f t="shared" si="9"/>
        <v>12-11-2024 NET PI TO HSL SEC A/C 523686-00602340029434</v>
      </c>
      <c r="H616" s="2" t="s">
        <v>1335</v>
      </c>
      <c r="I616" t="s">
        <v>337</v>
      </c>
      <c r="K616" t="s">
        <v>1322</v>
      </c>
    </row>
    <row r="617" spans="1:11" x14ac:dyDescent="0.3">
      <c r="A617" s="1">
        <v>45608</v>
      </c>
      <c r="B617" t="s">
        <v>82</v>
      </c>
      <c r="C617" t="s">
        <v>848</v>
      </c>
      <c r="D617" s="2">
        <v>10252.52</v>
      </c>
      <c r="E617" s="2">
        <v>0</v>
      </c>
      <c r="F617" s="2">
        <v>34701.82</v>
      </c>
      <c r="G617" s="2" t="str">
        <f t="shared" si="9"/>
        <v>12-11-2024 NET PI TO HSL SEC A/C 523686-00602340029434</v>
      </c>
      <c r="H617" s="2" t="s">
        <v>1335</v>
      </c>
      <c r="I617" t="s">
        <v>337</v>
      </c>
      <c r="K617" t="s">
        <v>1322</v>
      </c>
    </row>
    <row r="618" spans="1:11" x14ac:dyDescent="0.3">
      <c r="A618" s="1">
        <v>45609</v>
      </c>
      <c r="B618" t="s">
        <v>399</v>
      </c>
      <c r="C618" t="s">
        <v>23</v>
      </c>
      <c r="D618" s="2">
        <v>10000</v>
      </c>
      <c r="E618" s="2">
        <v>0</v>
      </c>
      <c r="F618" s="2">
        <v>27555.37</v>
      </c>
      <c r="G618" s="2" t="str">
        <f t="shared" si="9"/>
        <v>13-11-2024 UPI/P2A/431861950461/ARCHIT GUPTA         /UPI/AXIS BANK</v>
      </c>
      <c r="H618" s="2" t="s">
        <v>1335</v>
      </c>
      <c r="I618" t="s">
        <v>1337</v>
      </c>
      <c r="K618" t="s">
        <v>1323</v>
      </c>
    </row>
    <row r="619" spans="1:11" x14ac:dyDescent="0.3">
      <c r="A619" s="1">
        <v>45609</v>
      </c>
      <c r="B619" t="s">
        <v>400</v>
      </c>
      <c r="C619" t="s">
        <v>23</v>
      </c>
      <c r="D619" s="2">
        <v>0</v>
      </c>
      <c r="E619" s="2">
        <v>5</v>
      </c>
      <c r="F619" s="2">
        <v>27560.37</v>
      </c>
      <c r="G619" s="2" t="str">
        <f t="shared" si="9"/>
        <v>13-11-2024 UPI/P2A/975907133184/GOOGLE IN/AXIS BANK/Rewarded/</v>
      </c>
      <c r="H619" s="2" t="s">
        <v>1335</v>
      </c>
      <c r="I619" t="s">
        <v>1309</v>
      </c>
      <c r="K619" t="s">
        <v>1323</v>
      </c>
    </row>
    <row r="620" spans="1:11" x14ac:dyDescent="0.3">
      <c r="A620" s="1">
        <v>45609</v>
      </c>
      <c r="B620" t="s">
        <v>401</v>
      </c>
      <c r="C620" t="s">
        <v>23</v>
      </c>
      <c r="D620" s="2">
        <v>0</v>
      </c>
      <c r="E620" s="2">
        <v>10000</v>
      </c>
      <c r="F620" s="2">
        <v>37560.370000000003</v>
      </c>
      <c r="G620" s="2" t="str">
        <f t="shared" si="9"/>
        <v>13-11-2024 UPI/P2A/431836159142/ARCHIT GU/Axis Bank/UPI/</v>
      </c>
      <c r="H620" s="2" t="s">
        <v>1335</v>
      </c>
      <c r="I620" t="s">
        <v>1337</v>
      </c>
      <c r="K620" t="s">
        <v>1323</v>
      </c>
    </row>
    <row r="621" spans="1:11" x14ac:dyDescent="0.3">
      <c r="A621" s="1">
        <v>45609</v>
      </c>
      <c r="B621" t="s">
        <v>849</v>
      </c>
      <c r="C621" t="s">
        <v>98</v>
      </c>
      <c r="D621" s="2">
        <v>507.4</v>
      </c>
      <c r="E621" s="2">
        <v>0</v>
      </c>
      <c r="F621" s="2">
        <v>34194.42</v>
      </c>
      <c r="G621" s="2" t="str">
        <f t="shared" si="9"/>
        <v>13-11-2024 DEPOSITORY CHARGES OCT24 - 41060499</v>
      </c>
      <c r="H621" s="2" t="s">
        <v>1335</v>
      </c>
      <c r="I621" t="s">
        <v>343</v>
      </c>
      <c r="K621" t="s">
        <v>1322</v>
      </c>
    </row>
    <row r="622" spans="1:11" x14ac:dyDescent="0.3">
      <c r="A622" s="1">
        <v>45609</v>
      </c>
      <c r="B622" t="s">
        <v>82</v>
      </c>
      <c r="C622" t="s">
        <v>850</v>
      </c>
      <c r="D622" s="2">
        <v>372.9</v>
      </c>
      <c r="E622" s="2">
        <v>0</v>
      </c>
      <c r="F622" s="2">
        <v>33821.519999999997</v>
      </c>
      <c r="G622" s="2" t="str">
        <f t="shared" si="9"/>
        <v>13-11-2024 NET PI TO HSL SEC A/C 523686-00602340029434</v>
      </c>
      <c r="H622" s="2" t="s">
        <v>1335</v>
      </c>
      <c r="I622" t="s">
        <v>337</v>
      </c>
      <c r="K622" t="s">
        <v>1322</v>
      </c>
    </row>
    <row r="623" spans="1:11" x14ac:dyDescent="0.3">
      <c r="A623" s="1">
        <v>45609</v>
      </c>
      <c r="B623" t="s">
        <v>82</v>
      </c>
      <c r="C623" t="s">
        <v>851</v>
      </c>
      <c r="D623" s="2">
        <v>25275.8</v>
      </c>
      <c r="E623" s="2">
        <v>0</v>
      </c>
      <c r="F623" s="2">
        <v>8545.7199999999993</v>
      </c>
      <c r="G623" s="2" t="str">
        <f t="shared" si="9"/>
        <v>13-11-2024 NET PI TO HSL SEC A/C 523686-00602340029434</v>
      </c>
      <c r="H623" s="2" t="s">
        <v>1335</v>
      </c>
      <c r="I623" t="s">
        <v>337</v>
      </c>
      <c r="K623" t="s">
        <v>1322</v>
      </c>
    </row>
    <row r="624" spans="1:11" x14ac:dyDescent="0.3">
      <c r="A624" s="1">
        <v>45610</v>
      </c>
      <c r="B624" t="s">
        <v>82</v>
      </c>
      <c r="C624" t="s">
        <v>852</v>
      </c>
      <c r="D624" s="2">
        <v>363.9</v>
      </c>
      <c r="E624" s="2">
        <v>0</v>
      </c>
      <c r="F624" s="2">
        <v>8181.82</v>
      </c>
      <c r="G624" s="2" t="str">
        <f t="shared" si="9"/>
        <v>14-11-2024 NET PI TO HSL SEC A/C 523686-00602340029434</v>
      </c>
      <c r="H624" s="2" t="s">
        <v>1335</v>
      </c>
      <c r="I624" t="s">
        <v>337</v>
      </c>
      <c r="K624" t="s">
        <v>1322</v>
      </c>
    </row>
    <row r="625" spans="1:11" x14ac:dyDescent="0.3">
      <c r="A625" s="1">
        <v>45610</v>
      </c>
      <c r="B625" t="s">
        <v>82</v>
      </c>
      <c r="C625" t="s">
        <v>853</v>
      </c>
      <c r="D625" s="2">
        <v>4836.18</v>
      </c>
      <c r="E625" s="2">
        <v>0</v>
      </c>
      <c r="F625" s="2">
        <v>3345.64</v>
      </c>
      <c r="G625" s="2" t="str">
        <f t="shared" si="9"/>
        <v>14-11-2024 NET PI TO HSL SEC A/C 523686-00602340029434</v>
      </c>
      <c r="H625" s="2" t="s">
        <v>1335</v>
      </c>
      <c r="I625" t="s">
        <v>337</v>
      </c>
      <c r="K625" t="s">
        <v>1322</v>
      </c>
    </row>
    <row r="626" spans="1:11" x14ac:dyDescent="0.3">
      <c r="A626" s="1">
        <v>45611</v>
      </c>
      <c r="B626" t="s">
        <v>854</v>
      </c>
      <c r="C626" t="s">
        <v>855</v>
      </c>
      <c r="D626" s="2">
        <v>0</v>
      </c>
      <c r="E626" s="2">
        <v>25000</v>
      </c>
      <c r="F626" s="2">
        <v>28345.64</v>
      </c>
      <c r="G626" s="2" t="str">
        <f t="shared" si="9"/>
        <v>15-11-2024 01671000085930-TPT-BORROW FROM AJAY HDFC-AJAY KUMAR GUPTA</v>
      </c>
      <c r="H626" s="2" t="s">
        <v>1335</v>
      </c>
      <c r="I626" t="s">
        <v>1300</v>
      </c>
      <c r="K626" t="s">
        <v>1322</v>
      </c>
    </row>
    <row r="627" spans="1:11" x14ac:dyDescent="0.3">
      <c r="A627" s="1">
        <v>45612</v>
      </c>
      <c r="B627" t="s">
        <v>856</v>
      </c>
      <c r="C627" t="s">
        <v>857</v>
      </c>
      <c r="D627" s="2">
        <v>0</v>
      </c>
      <c r="E627" s="2">
        <v>210</v>
      </c>
      <c r="F627" s="2">
        <v>28555.64</v>
      </c>
      <c r="G627" s="2" t="str">
        <f t="shared" si="9"/>
        <v>16-11-2024 DR LAL PATH DIV24 2500000000000000008238</v>
      </c>
      <c r="H627" s="2" t="s">
        <v>1335</v>
      </c>
      <c r="I627" t="s">
        <v>340</v>
      </c>
      <c r="K627" t="s">
        <v>1322</v>
      </c>
    </row>
    <row r="628" spans="1:11" x14ac:dyDescent="0.3">
      <c r="A628" s="1">
        <v>45614</v>
      </c>
      <c r="B628" t="s">
        <v>114</v>
      </c>
      <c r="C628" t="s">
        <v>858</v>
      </c>
      <c r="D628" s="2">
        <v>5000</v>
      </c>
      <c r="E628" s="2">
        <v>0</v>
      </c>
      <c r="F628" s="2">
        <v>23555.64</v>
      </c>
      <c r="G628" s="2" t="str">
        <f t="shared" si="9"/>
        <v>18-11-2024 ACH D- INDIAN CLEARING CORP-P25847643X05</v>
      </c>
      <c r="H628" s="2" t="s">
        <v>1335</v>
      </c>
      <c r="I628" t="s">
        <v>341</v>
      </c>
      <c r="K628" t="s">
        <v>1322</v>
      </c>
    </row>
    <row r="629" spans="1:11" x14ac:dyDescent="0.3">
      <c r="A629" s="1">
        <v>45614</v>
      </c>
      <c r="B629" t="s">
        <v>82</v>
      </c>
      <c r="C629" t="s">
        <v>859</v>
      </c>
      <c r="D629" s="2">
        <v>1448.72</v>
      </c>
      <c r="E629" s="2">
        <v>0</v>
      </c>
      <c r="F629" s="2">
        <v>22106.92</v>
      </c>
      <c r="G629" s="2" t="str">
        <f t="shared" si="9"/>
        <v>18-11-2024 NET PI TO HSL SEC A/C 523686-00602340029434</v>
      </c>
      <c r="H629" s="2" t="s">
        <v>1335</v>
      </c>
      <c r="I629" t="s">
        <v>337</v>
      </c>
      <c r="K629" t="s">
        <v>1322</v>
      </c>
    </row>
    <row r="630" spans="1:11" x14ac:dyDescent="0.3">
      <c r="A630" s="1">
        <v>45615</v>
      </c>
      <c r="B630" t="s">
        <v>860</v>
      </c>
      <c r="C630" t="s">
        <v>861</v>
      </c>
      <c r="D630" s="2">
        <v>0</v>
      </c>
      <c r="E630" s="2">
        <v>1130.97</v>
      </c>
      <c r="F630" s="2">
        <v>23237.89</v>
      </c>
      <c r="G630" s="2" t="str">
        <f t="shared" si="9"/>
        <v>19-11-2024 FT- 583186864-50200085415108 - HDFC SECURITIES LTD-CLIENT DSCNB A/C -</v>
      </c>
      <c r="H630" s="2" t="s">
        <v>1335</v>
      </c>
      <c r="I630" t="s">
        <v>1310</v>
      </c>
      <c r="K630" t="s">
        <v>1322</v>
      </c>
    </row>
    <row r="631" spans="1:11" x14ac:dyDescent="0.3">
      <c r="A631" s="1">
        <v>45615</v>
      </c>
      <c r="B631" t="s">
        <v>82</v>
      </c>
      <c r="C631" t="s">
        <v>862</v>
      </c>
      <c r="D631" s="2">
        <v>362.18</v>
      </c>
      <c r="E631" s="2">
        <v>0</v>
      </c>
      <c r="F631" s="2">
        <v>22875.71</v>
      </c>
      <c r="G631" s="2" t="str">
        <f t="shared" si="9"/>
        <v>19-11-2024 NET PI TO HSL SEC A/C 523686-00602340029434</v>
      </c>
      <c r="H631" s="2" t="s">
        <v>1335</v>
      </c>
      <c r="I631" t="s">
        <v>337</v>
      </c>
      <c r="K631" t="s">
        <v>1322</v>
      </c>
    </row>
    <row r="632" spans="1:11" x14ac:dyDescent="0.3">
      <c r="A632" s="1">
        <v>45615</v>
      </c>
      <c r="B632" t="s">
        <v>863</v>
      </c>
      <c r="C632" t="s">
        <v>864</v>
      </c>
      <c r="D632" s="2">
        <v>0</v>
      </c>
      <c r="E632" s="2">
        <v>375</v>
      </c>
      <c r="F632" s="2">
        <v>23250.71</v>
      </c>
      <c r="G632" s="2" t="str">
        <f t="shared" si="9"/>
        <v>19-11-2024 ACH C- CAMS 2ND INT 2024 25-162211</v>
      </c>
      <c r="H632" s="2" t="s">
        <v>1335</v>
      </c>
      <c r="I632" t="s">
        <v>340</v>
      </c>
      <c r="K632" t="s">
        <v>1322</v>
      </c>
    </row>
    <row r="633" spans="1:11" x14ac:dyDescent="0.3">
      <c r="A633" s="1">
        <v>45615</v>
      </c>
      <c r="B633" t="s">
        <v>865</v>
      </c>
      <c r="C633" t="s">
        <v>866</v>
      </c>
      <c r="D633" s="2">
        <v>0</v>
      </c>
      <c r="E633" s="2">
        <v>704</v>
      </c>
      <c r="F633" s="2">
        <v>23954.71</v>
      </c>
      <c r="G633" s="2" t="str">
        <f t="shared" si="9"/>
        <v>19-11-2024 ACH C- SHRIRAM.FINLTD IDV25-STFCIN300476</v>
      </c>
      <c r="H633" s="2" t="s">
        <v>1335</v>
      </c>
      <c r="I633" t="s">
        <v>340</v>
      </c>
      <c r="K633" t="s">
        <v>1322</v>
      </c>
    </row>
    <row r="634" spans="1:11" x14ac:dyDescent="0.3">
      <c r="A634" s="1">
        <v>45617</v>
      </c>
      <c r="B634" t="s">
        <v>867</v>
      </c>
      <c r="C634" t="s">
        <v>868</v>
      </c>
      <c r="D634" s="2">
        <v>0</v>
      </c>
      <c r="E634" s="2">
        <v>4778.92</v>
      </c>
      <c r="F634" s="2">
        <v>28733.63</v>
      </c>
      <c r="G634" s="2" t="str">
        <f t="shared" si="9"/>
        <v>21-11-2024 FT- 583585295-50200085415108 - HDFC SECURITIES LTD-CLIENT DSCNB A/C -</v>
      </c>
      <c r="H634" s="2" t="s">
        <v>1335</v>
      </c>
      <c r="I634" t="s">
        <v>1310</v>
      </c>
      <c r="K634" t="s">
        <v>1322</v>
      </c>
    </row>
    <row r="635" spans="1:11" x14ac:dyDescent="0.3">
      <c r="A635" s="1">
        <v>45617</v>
      </c>
      <c r="B635" t="s">
        <v>82</v>
      </c>
      <c r="C635" t="s">
        <v>869</v>
      </c>
      <c r="D635" s="2">
        <v>725.16</v>
      </c>
      <c r="E635" s="2">
        <v>0</v>
      </c>
      <c r="F635" s="2">
        <v>28008.47</v>
      </c>
      <c r="G635" s="2" t="str">
        <f t="shared" si="9"/>
        <v>21-11-2024 NET PI TO HSL SEC A/C 523686-00602340029434</v>
      </c>
      <c r="H635" s="2" t="s">
        <v>1335</v>
      </c>
      <c r="I635" t="s">
        <v>337</v>
      </c>
      <c r="K635" t="s">
        <v>1322</v>
      </c>
    </row>
    <row r="636" spans="1:11" x14ac:dyDescent="0.3">
      <c r="A636" s="1">
        <v>45617</v>
      </c>
      <c r="B636" t="s">
        <v>870</v>
      </c>
      <c r="C636" t="s">
        <v>871</v>
      </c>
      <c r="D636" s="2">
        <v>0</v>
      </c>
      <c r="E636" s="2">
        <v>47</v>
      </c>
      <c r="F636" s="2">
        <v>28055.47</v>
      </c>
      <c r="G636" s="2" t="str">
        <f t="shared" si="9"/>
        <v>21-11-2024 ACH C- COAL INDIA LTD-1619328</v>
      </c>
      <c r="H636" s="2" t="s">
        <v>1335</v>
      </c>
      <c r="I636" t="s">
        <v>340</v>
      </c>
      <c r="K636" t="s">
        <v>1322</v>
      </c>
    </row>
    <row r="637" spans="1:11" x14ac:dyDescent="0.3">
      <c r="A637" s="1">
        <v>45617</v>
      </c>
      <c r="B637" t="s">
        <v>872</v>
      </c>
      <c r="C637" t="s">
        <v>873</v>
      </c>
      <c r="D637" s="2">
        <v>0</v>
      </c>
      <c r="E637" s="2">
        <v>870</v>
      </c>
      <c r="F637" s="2">
        <v>28925.47</v>
      </c>
      <c r="G637" s="2" t="str">
        <f t="shared" si="9"/>
        <v>21-11-2024 ACH C- HUL INT AND SPLDIV24-000000000000</v>
      </c>
      <c r="H637" s="2" t="s">
        <v>1335</v>
      </c>
      <c r="I637" t="s">
        <v>340</v>
      </c>
      <c r="K637" t="s">
        <v>1322</v>
      </c>
    </row>
    <row r="638" spans="1:11" x14ac:dyDescent="0.3">
      <c r="A638" s="1">
        <v>45617</v>
      </c>
      <c r="B638" t="s">
        <v>874</v>
      </c>
      <c r="C638" t="s">
        <v>875</v>
      </c>
      <c r="D638" s="2">
        <v>0</v>
      </c>
      <c r="E638" s="2">
        <v>250</v>
      </c>
      <c r="F638" s="2">
        <v>29175.47</v>
      </c>
      <c r="G638" s="2" t="str">
        <f t="shared" si="9"/>
        <v>21-11-2024 ACH C- NAVIN FLUORINE-000000000000037301</v>
      </c>
      <c r="H638" s="2" t="s">
        <v>1335</v>
      </c>
      <c r="I638" t="s">
        <v>340</v>
      </c>
      <c r="K638" t="s">
        <v>1322</v>
      </c>
    </row>
    <row r="639" spans="1:11" x14ac:dyDescent="0.3">
      <c r="A639" s="1">
        <v>45617</v>
      </c>
      <c r="B639" t="s">
        <v>82</v>
      </c>
      <c r="C639" t="s">
        <v>876</v>
      </c>
      <c r="D639" s="2">
        <v>8025.47</v>
      </c>
      <c r="E639" s="2">
        <v>0</v>
      </c>
      <c r="F639" s="2">
        <v>21150</v>
      </c>
      <c r="G639" s="2" t="str">
        <f t="shared" si="9"/>
        <v>21-11-2024 NET PI TO HSL SEC A/C 523686-00602340029434</v>
      </c>
      <c r="H639" s="2" t="s">
        <v>1335</v>
      </c>
      <c r="I639" t="s">
        <v>337</v>
      </c>
      <c r="K639" t="s">
        <v>1322</v>
      </c>
    </row>
    <row r="640" spans="1:11" x14ac:dyDescent="0.3">
      <c r="A640" s="1">
        <v>45618</v>
      </c>
      <c r="B640" t="s">
        <v>82</v>
      </c>
      <c r="C640" t="s">
        <v>877</v>
      </c>
      <c r="D640" s="2">
        <v>361.42</v>
      </c>
      <c r="E640" s="2">
        <v>0</v>
      </c>
      <c r="F640" s="2">
        <v>20788.580000000002</v>
      </c>
      <c r="G640" s="2" t="str">
        <f t="shared" si="9"/>
        <v>22-11-2024 NET PI TO HSL SEC A/C 523686-00602340029434</v>
      </c>
      <c r="H640" s="2" t="s">
        <v>1335</v>
      </c>
      <c r="I640" t="s">
        <v>337</v>
      </c>
      <c r="K640" t="s">
        <v>1322</v>
      </c>
    </row>
    <row r="641" spans="1:11" x14ac:dyDescent="0.3">
      <c r="A641" s="1">
        <v>45618</v>
      </c>
      <c r="B641" t="s">
        <v>878</v>
      </c>
      <c r="C641" t="s">
        <v>879</v>
      </c>
      <c r="D641" s="2">
        <v>0</v>
      </c>
      <c r="E641" s="2">
        <v>206.25</v>
      </c>
      <c r="F641" s="2">
        <v>20994.83</v>
      </c>
      <c r="G641" s="2" t="str">
        <f t="shared" si="9"/>
        <v>22-11-2024 ACH C- DABUR INDIA LIMITED-9118516</v>
      </c>
      <c r="H641" s="2" t="s">
        <v>1335</v>
      </c>
      <c r="I641" t="s">
        <v>340</v>
      </c>
      <c r="K641" t="s">
        <v>1322</v>
      </c>
    </row>
    <row r="642" spans="1:11" x14ac:dyDescent="0.3">
      <c r="A642" s="1">
        <v>45618</v>
      </c>
      <c r="B642" t="s">
        <v>880</v>
      </c>
      <c r="C642" t="s">
        <v>881</v>
      </c>
      <c r="D642" s="2">
        <v>15773</v>
      </c>
      <c r="E642" s="2">
        <v>0</v>
      </c>
      <c r="F642" s="2">
        <v>5221.83</v>
      </c>
      <c r="G642" s="2" t="str">
        <f t="shared" si="9"/>
        <v>22-11-2024 YHDF2482557867/BILLDKTHECALCUTTAELE</v>
      </c>
      <c r="H642" s="2" t="s">
        <v>1335</v>
      </c>
      <c r="I642" t="s">
        <v>1326</v>
      </c>
      <c r="K642" t="s">
        <v>1322</v>
      </c>
    </row>
    <row r="643" spans="1:11" x14ac:dyDescent="0.3">
      <c r="A643" s="1">
        <v>45621</v>
      </c>
      <c r="B643" t="s">
        <v>882</v>
      </c>
      <c r="C643" t="s">
        <v>883</v>
      </c>
      <c r="D643" s="2">
        <v>0</v>
      </c>
      <c r="E643" s="2">
        <v>16228.32</v>
      </c>
      <c r="F643" s="2">
        <v>21450.15</v>
      </c>
      <c r="G643" s="2" t="str">
        <f t="shared" si="9"/>
        <v>25-11-2024 FT- 584504407-50200085415108 - HDFC SECURITIES LTD-CLIENT DSCNB A/C -</v>
      </c>
      <c r="H643" s="2" t="s">
        <v>1335</v>
      </c>
      <c r="I643" t="s">
        <v>1310</v>
      </c>
      <c r="K643" t="s">
        <v>1322</v>
      </c>
    </row>
    <row r="644" spans="1:11" x14ac:dyDescent="0.3">
      <c r="A644" s="1">
        <v>45621</v>
      </c>
      <c r="B644" t="s">
        <v>884</v>
      </c>
      <c r="C644" t="s">
        <v>885</v>
      </c>
      <c r="D644" s="2">
        <v>0</v>
      </c>
      <c r="E644" s="2">
        <v>54843.1</v>
      </c>
      <c r="F644" s="2">
        <v>76293.25</v>
      </c>
      <c r="G644" s="2" t="str">
        <f t="shared" si="9"/>
        <v>25-11-2024 FT- 584540072-50200085415108 - HDFC SECURITIES LTD-CLIENT DSCNB A/C -</v>
      </c>
      <c r="H644" s="2" t="s">
        <v>1335</v>
      </c>
      <c r="I644" t="s">
        <v>1310</v>
      </c>
      <c r="K644" t="s">
        <v>1322</v>
      </c>
    </row>
    <row r="645" spans="1:11" x14ac:dyDescent="0.3">
      <c r="A645" s="1">
        <v>45621</v>
      </c>
      <c r="B645" t="s">
        <v>114</v>
      </c>
      <c r="C645" t="s">
        <v>886</v>
      </c>
      <c r="D645" s="2">
        <v>10000</v>
      </c>
      <c r="E645" s="2">
        <v>0</v>
      </c>
      <c r="F645" s="2">
        <v>66293.25</v>
      </c>
      <c r="G645" s="2" t="str">
        <f t="shared" ref="G645:G708" si="10">TEXT(A645,"DD")&amp;"-"&amp;TEXT(A645,"MM")&amp;"-"&amp;TEXT(A645,"YYYY")&amp;" "&amp;B645</f>
        <v>25-11-2024 ACH D- INDIAN CLEARING CORP-P25847643X05</v>
      </c>
      <c r="H645" s="2" t="s">
        <v>1335</v>
      </c>
      <c r="I645" t="s">
        <v>342</v>
      </c>
      <c r="K645" t="s">
        <v>1322</v>
      </c>
    </row>
    <row r="646" spans="1:11" x14ac:dyDescent="0.3">
      <c r="A646" s="1">
        <v>45621</v>
      </c>
      <c r="B646" t="s">
        <v>887</v>
      </c>
      <c r="C646" t="s">
        <v>888</v>
      </c>
      <c r="D646" s="2">
        <v>0</v>
      </c>
      <c r="E646" s="2">
        <v>438.75</v>
      </c>
      <c r="F646" s="2">
        <v>66732</v>
      </c>
      <c r="G646" s="2" t="str">
        <f t="shared" si="10"/>
        <v>25-11-2024 ACH C- CONCOR 2ND INT DIV 2-CN1511240039</v>
      </c>
      <c r="H646" s="2" t="s">
        <v>1335</v>
      </c>
      <c r="I646" t="s">
        <v>340</v>
      </c>
      <c r="K646" t="s">
        <v>1322</v>
      </c>
    </row>
    <row r="647" spans="1:11" x14ac:dyDescent="0.3">
      <c r="A647" s="1">
        <v>45621</v>
      </c>
      <c r="B647" t="s">
        <v>82</v>
      </c>
      <c r="C647" t="s">
        <v>889</v>
      </c>
      <c r="D647" s="2">
        <v>1084.26</v>
      </c>
      <c r="E647" s="2">
        <v>0</v>
      </c>
      <c r="F647" s="2">
        <v>65647.740000000005</v>
      </c>
      <c r="G647" s="2" t="str">
        <f t="shared" si="10"/>
        <v>25-11-2024 NET PI TO HSL SEC A/C 523686-00602340029434</v>
      </c>
      <c r="H647" s="2" t="s">
        <v>1335</v>
      </c>
      <c r="I647" t="s">
        <v>337</v>
      </c>
      <c r="K647" t="s">
        <v>1322</v>
      </c>
    </row>
    <row r="648" spans="1:11" x14ac:dyDescent="0.3">
      <c r="A648" s="1">
        <v>45622</v>
      </c>
      <c r="B648" t="s">
        <v>890</v>
      </c>
      <c r="C648" t="s">
        <v>891</v>
      </c>
      <c r="D648" s="2">
        <v>0</v>
      </c>
      <c r="E648" s="2">
        <v>21888.959999999999</v>
      </c>
      <c r="F648" s="2">
        <v>87536.7</v>
      </c>
      <c r="G648" s="2" t="str">
        <f t="shared" si="10"/>
        <v>26-11-2024 FT- 584941938-50200085415108 - HDFC SECURITIES LTD-CLIENT DSCNB A/C -</v>
      </c>
      <c r="H648" s="2" t="s">
        <v>1335</v>
      </c>
      <c r="I648" t="s">
        <v>1310</v>
      </c>
      <c r="K648" t="s">
        <v>1322</v>
      </c>
    </row>
    <row r="649" spans="1:11" x14ac:dyDescent="0.3">
      <c r="A649" s="1">
        <v>45622</v>
      </c>
      <c r="B649" t="s">
        <v>82</v>
      </c>
      <c r="C649" t="s">
        <v>892</v>
      </c>
      <c r="D649" s="2">
        <v>367.2</v>
      </c>
      <c r="E649" s="2">
        <v>0</v>
      </c>
      <c r="F649" s="2">
        <v>87169.5</v>
      </c>
      <c r="G649" s="2" t="str">
        <f t="shared" si="10"/>
        <v>26-11-2024 NET PI TO HSL SEC A/C 523686-00602340029434</v>
      </c>
      <c r="H649" s="2" t="s">
        <v>1335</v>
      </c>
      <c r="I649" t="s">
        <v>337</v>
      </c>
      <c r="K649" t="s">
        <v>1322</v>
      </c>
    </row>
    <row r="650" spans="1:11" x14ac:dyDescent="0.3">
      <c r="A650" s="1">
        <v>45622</v>
      </c>
      <c r="B650" t="s">
        <v>893</v>
      </c>
      <c r="C650" t="s">
        <v>894</v>
      </c>
      <c r="D650" s="2">
        <v>0</v>
      </c>
      <c r="E650" s="2">
        <v>240</v>
      </c>
      <c r="F650" s="2">
        <v>87409.5</v>
      </c>
      <c r="G650" s="2" t="str">
        <f t="shared" si="10"/>
        <v>26-11-2024 ACH C- IRFC LTD-IR1511240142832</v>
      </c>
      <c r="H650" s="2" t="s">
        <v>1335</v>
      </c>
      <c r="I650" t="s">
        <v>340</v>
      </c>
      <c r="K650" t="s">
        <v>1322</v>
      </c>
    </row>
    <row r="651" spans="1:11" x14ac:dyDescent="0.3">
      <c r="A651" s="1">
        <v>45623</v>
      </c>
      <c r="B651" t="s">
        <v>402</v>
      </c>
      <c r="C651" t="s">
        <v>23</v>
      </c>
      <c r="D651" s="2">
        <v>2280</v>
      </c>
      <c r="E651" s="2">
        <v>0</v>
      </c>
      <c r="F651" s="2">
        <v>35280.370000000003</v>
      </c>
      <c r="G651" s="2" t="str">
        <f t="shared" si="10"/>
        <v>27-11-2024 UPI/P2M/469858954034/Shiv Shakti Saundarya/jewell/Yes Bank Ltd</v>
      </c>
      <c r="H651" s="2" t="s">
        <v>1335</v>
      </c>
      <c r="I651" t="s">
        <v>1309</v>
      </c>
      <c r="K651" t="s">
        <v>1323</v>
      </c>
    </row>
    <row r="652" spans="1:11" x14ac:dyDescent="0.3">
      <c r="A652" s="1">
        <v>45623</v>
      </c>
      <c r="B652" t="s">
        <v>895</v>
      </c>
      <c r="C652" t="s">
        <v>896</v>
      </c>
      <c r="D652" s="2">
        <v>0</v>
      </c>
      <c r="E652" s="2">
        <v>31742.95</v>
      </c>
      <c r="F652" s="2">
        <v>119152.45</v>
      </c>
      <c r="G652" s="2" t="str">
        <f t="shared" si="10"/>
        <v>27-11-2024 FT- 585351267-50200085415108 - HDFC SECURITIES LTD-CLIENT DSCNB A/C -</v>
      </c>
      <c r="H652" s="2" t="s">
        <v>1335</v>
      </c>
      <c r="I652" t="s">
        <v>1310</v>
      </c>
      <c r="K652" t="s">
        <v>1322</v>
      </c>
    </row>
    <row r="653" spans="1:11" x14ac:dyDescent="0.3">
      <c r="A653" s="1">
        <v>45623</v>
      </c>
      <c r="B653" t="s">
        <v>82</v>
      </c>
      <c r="C653" t="s">
        <v>897</v>
      </c>
      <c r="D653" s="2">
        <v>375</v>
      </c>
      <c r="E653" s="2">
        <v>0</v>
      </c>
      <c r="F653" s="2">
        <v>118777.45</v>
      </c>
      <c r="G653" s="2" t="str">
        <f t="shared" si="10"/>
        <v>27-11-2024 NET PI TO HSL SEC A/C 523686-00602340029434</v>
      </c>
      <c r="H653" s="2" t="s">
        <v>1335</v>
      </c>
      <c r="I653" t="s">
        <v>337</v>
      </c>
      <c r="K653" t="s">
        <v>1322</v>
      </c>
    </row>
    <row r="654" spans="1:11" x14ac:dyDescent="0.3">
      <c r="A654" s="1">
        <v>45624</v>
      </c>
      <c r="B654" t="s">
        <v>898</v>
      </c>
      <c r="C654" t="s">
        <v>899</v>
      </c>
      <c r="D654" s="2">
        <v>0</v>
      </c>
      <c r="E654" s="2">
        <v>7204.86</v>
      </c>
      <c r="F654" s="2">
        <v>125982.31</v>
      </c>
      <c r="G654" s="2" t="str">
        <f t="shared" si="10"/>
        <v>28-11-2024 FT- 585750863-50200085415108 - HDFC SECURITIES LTD-CLIENT DSCNB A/C -</v>
      </c>
      <c r="H654" s="2" t="s">
        <v>1335</v>
      </c>
      <c r="I654" t="s">
        <v>1310</v>
      </c>
      <c r="K654" t="s">
        <v>1322</v>
      </c>
    </row>
    <row r="655" spans="1:11" x14ac:dyDescent="0.3">
      <c r="A655" s="1">
        <v>45624</v>
      </c>
      <c r="B655" t="s">
        <v>82</v>
      </c>
      <c r="C655" t="s">
        <v>900</v>
      </c>
      <c r="D655" s="2">
        <v>355.63</v>
      </c>
      <c r="E655" s="2">
        <v>0</v>
      </c>
      <c r="F655" s="2">
        <v>125626.68</v>
      </c>
      <c r="G655" s="2" t="str">
        <f t="shared" si="10"/>
        <v>28-11-2024 NET PI TO HSL SEC A/C 523686-00602340029434</v>
      </c>
      <c r="H655" s="2" t="s">
        <v>1335</v>
      </c>
      <c r="I655" t="s">
        <v>337</v>
      </c>
      <c r="K655" t="s">
        <v>1322</v>
      </c>
    </row>
    <row r="656" spans="1:11" x14ac:dyDescent="0.3">
      <c r="A656" s="1">
        <v>45624</v>
      </c>
      <c r="B656" t="s">
        <v>901</v>
      </c>
      <c r="C656" t="s">
        <v>902</v>
      </c>
      <c r="D656" s="2">
        <v>0</v>
      </c>
      <c r="E656" s="2">
        <v>84.57</v>
      </c>
      <c r="F656" s="2">
        <v>125711.25</v>
      </c>
      <c r="G656" s="2" t="str">
        <f t="shared" si="10"/>
        <v>28-11-2024 NEFT CR-UTIB0000004-AXIS ASSET MANAGEMENT COMPANY LTD-SUNITA GUPTA-AXISP00576026071</v>
      </c>
      <c r="H656" s="2" t="s">
        <v>1335</v>
      </c>
      <c r="I656" t="s">
        <v>340</v>
      </c>
      <c r="K656" t="s">
        <v>1322</v>
      </c>
    </row>
    <row r="657" spans="1:11" x14ac:dyDescent="0.3">
      <c r="A657" s="1">
        <v>45625</v>
      </c>
      <c r="B657" t="s">
        <v>82</v>
      </c>
      <c r="C657" t="s">
        <v>903</v>
      </c>
      <c r="D657" s="2">
        <v>3154.24</v>
      </c>
      <c r="E657" s="2">
        <v>0</v>
      </c>
      <c r="F657" s="2">
        <v>122557.01</v>
      </c>
      <c r="G657" s="2" t="str">
        <f t="shared" si="10"/>
        <v>29-11-2024 NET PI TO HSL SEC A/C 523686-00602340029434</v>
      </c>
      <c r="H657" s="2" t="s">
        <v>1335</v>
      </c>
      <c r="I657" t="s">
        <v>337</v>
      </c>
      <c r="K657" t="s">
        <v>1322</v>
      </c>
    </row>
    <row r="658" spans="1:11" x14ac:dyDescent="0.3">
      <c r="A658" s="1">
        <v>45625</v>
      </c>
      <c r="B658" t="s">
        <v>82</v>
      </c>
      <c r="C658" t="s">
        <v>904</v>
      </c>
      <c r="D658" s="2">
        <v>357.07</v>
      </c>
      <c r="E658" s="2">
        <v>0</v>
      </c>
      <c r="F658" s="2">
        <v>122199.94</v>
      </c>
      <c r="G658" s="2" t="str">
        <f t="shared" si="10"/>
        <v>29-11-2024 NET PI TO HSL SEC A/C 523686-00602340029434</v>
      </c>
      <c r="H658" s="2" t="s">
        <v>1335</v>
      </c>
      <c r="I658" t="s">
        <v>337</v>
      </c>
      <c r="K658" t="s">
        <v>1322</v>
      </c>
    </row>
    <row r="659" spans="1:11" x14ac:dyDescent="0.3">
      <c r="A659" s="1">
        <v>45626</v>
      </c>
      <c r="B659" t="s">
        <v>82</v>
      </c>
      <c r="C659" t="s">
        <v>905</v>
      </c>
      <c r="D659" s="2">
        <v>876.99</v>
      </c>
      <c r="E659" s="2">
        <v>0</v>
      </c>
      <c r="F659" s="2">
        <v>121322.95</v>
      </c>
      <c r="G659" s="2" t="str">
        <f t="shared" si="10"/>
        <v>30-11-2024 NET PI TO HSL SEC A/C 523686-00602340029434</v>
      </c>
      <c r="H659" s="2" t="s">
        <v>1335</v>
      </c>
      <c r="I659" t="s">
        <v>337</v>
      </c>
      <c r="K659" t="s">
        <v>1322</v>
      </c>
    </row>
    <row r="660" spans="1:11" x14ac:dyDescent="0.3">
      <c r="A660" s="1">
        <v>45627</v>
      </c>
      <c r="B660" t="s">
        <v>761</v>
      </c>
      <c r="C660" t="s">
        <v>906</v>
      </c>
      <c r="D660" s="2">
        <v>20000</v>
      </c>
      <c r="E660" s="2">
        <v>0</v>
      </c>
      <c r="F660" s="2">
        <v>101322.95</v>
      </c>
      <c r="G660" s="2" t="str">
        <f t="shared" si="10"/>
        <v>01-12-2024 ATW-498792XXXXXX0500-S1ANRS37-KOTA</v>
      </c>
      <c r="H660" s="2" t="s">
        <v>1335</v>
      </c>
      <c r="I660" t="s">
        <v>50</v>
      </c>
      <c r="K660" t="s">
        <v>1322</v>
      </c>
    </row>
    <row r="661" spans="1:11" x14ac:dyDescent="0.3">
      <c r="A661" s="1">
        <v>45628</v>
      </c>
      <c r="B661" t="s">
        <v>82</v>
      </c>
      <c r="C661" t="s">
        <v>907</v>
      </c>
      <c r="D661" s="2">
        <v>1070.28</v>
      </c>
      <c r="E661" s="2">
        <v>0</v>
      </c>
      <c r="F661" s="2">
        <v>100252.67</v>
      </c>
      <c r="G661" s="2" t="str">
        <f t="shared" si="10"/>
        <v>02-12-2024 NET PI TO HSL SEC A/C 523686-00602340029434</v>
      </c>
      <c r="H661" s="2" t="s">
        <v>1335</v>
      </c>
      <c r="I661" t="s">
        <v>337</v>
      </c>
      <c r="K661" t="s">
        <v>1322</v>
      </c>
    </row>
    <row r="662" spans="1:11" x14ac:dyDescent="0.3">
      <c r="A662" s="1">
        <v>45629</v>
      </c>
      <c r="B662" t="s">
        <v>908</v>
      </c>
      <c r="C662" t="s">
        <v>909</v>
      </c>
      <c r="D662" s="2">
        <v>0</v>
      </c>
      <c r="E662" s="2">
        <v>6899.68</v>
      </c>
      <c r="F662" s="2">
        <v>107152.35</v>
      </c>
      <c r="G662" s="2" t="str">
        <f t="shared" si="10"/>
        <v>03-12-2024 FT- 587120347-50200085415108 - HDFC SECURITIES LTD-CLIENT DSCNB A/C -</v>
      </c>
      <c r="H662" s="2" t="s">
        <v>1335</v>
      </c>
      <c r="I662" t="s">
        <v>1310</v>
      </c>
      <c r="K662" t="s">
        <v>1322</v>
      </c>
    </row>
    <row r="663" spans="1:11" x14ac:dyDescent="0.3">
      <c r="A663" s="1">
        <v>45629</v>
      </c>
      <c r="B663" t="s">
        <v>82</v>
      </c>
      <c r="C663" t="s">
        <v>910</v>
      </c>
      <c r="D663" s="2">
        <v>356.76</v>
      </c>
      <c r="E663" s="2">
        <v>0</v>
      </c>
      <c r="F663" s="2">
        <v>106795.59</v>
      </c>
      <c r="G663" s="2" t="str">
        <f t="shared" si="10"/>
        <v>03-12-2024 NET PI TO HSL SEC A/C 523686-00602340029434</v>
      </c>
      <c r="H663" s="2" t="s">
        <v>1335</v>
      </c>
      <c r="I663" t="s">
        <v>337</v>
      </c>
      <c r="K663" t="s">
        <v>1322</v>
      </c>
    </row>
    <row r="664" spans="1:11" x14ac:dyDescent="0.3">
      <c r="A664" s="1">
        <v>45629</v>
      </c>
      <c r="B664" t="s">
        <v>82</v>
      </c>
      <c r="C664" t="s">
        <v>911</v>
      </c>
      <c r="D664" s="2">
        <v>3144.23</v>
      </c>
      <c r="E664" s="2">
        <v>0</v>
      </c>
      <c r="F664" s="2">
        <v>103651.36</v>
      </c>
      <c r="G664" s="2" t="str">
        <f t="shared" si="10"/>
        <v>03-12-2024 NET PI TO HSL SEC A/C 523686-00602340029434</v>
      </c>
      <c r="H664" s="2" t="s">
        <v>1335</v>
      </c>
      <c r="I664" t="s">
        <v>337</v>
      </c>
      <c r="K664" t="s">
        <v>1322</v>
      </c>
    </row>
    <row r="665" spans="1:11" x14ac:dyDescent="0.3">
      <c r="A665" s="1">
        <v>45630</v>
      </c>
      <c r="B665" t="s">
        <v>912</v>
      </c>
      <c r="C665" t="s">
        <v>913</v>
      </c>
      <c r="D665" s="2">
        <v>0</v>
      </c>
      <c r="E665" s="2">
        <v>62818.16</v>
      </c>
      <c r="F665" s="2">
        <v>166469.51999999999</v>
      </c>
      <c r="G665" s="2" t="str">
        <f t="shared" si="10"/>
        <v>04-12-2024 FT- 587569592-50200085415108 - HDFC SECURITIES LTD-CLIENT DSCNB A/C -</v>
      </c>
      <c r="H665" s="2" t="s">
        <v>1335</v>
      </c>
      <c r="I665" t="s">
        <v>1310</v>
      </c>
      <c r="K665" t="s">
        <v>1322</v>
      </c>
    </row>
    <row r="666" spans="1:11" x14ac:dyDescent="0.3">
      <c r="A666" s="1">
        <v>45630</v>
      </c>
      <c r="B666" t="s">
        <v>82</v>
      </c>
      <c r="C666" t="s">
        <v>914</v>
      </c>
      <c r="D666" s="2">
        <v>358.1</v>
      </c>
      <c r="E666" s="2">
        <v>0</v>
      </c>
      <c r="F666" s="2">
        <v>166111.42000000001</v>
      </c>
      <c r="G666" s="2" t="str">
        <f t="shared" si="10"/>
        <v>04-12-2024 NET PI TO HSL SEC A/C 523686-00602340029434</v>
      </c>
      <c r="H666" s="2" t="s">
        <v>1335</v>
      </c>
      <c r="I666" t="s">
        <v>337</v>
      </c>
      <c r="K666" t="s">
        <v>1322</v>
      </c>
    </row>
    <row r="667" spans="1:11" x14ac:dyDescent="0.3">
      <c r="A667" s="1">
        <v>45630</v>
      </c>
      <c r="B667" t="s">
        <v>915</v>
      </c>
      <c r="C667" t="s">
        <v>916</v>
      </c>
      <c r="D667" s="2">
        <v>0</v>
      </c>
      <c r="E667" s="2">
        <v>450</v>
      </c>
      <c r="F667" s="2">
        <v>166561.42000000001</v>
      </c>
      <c r="G667" s="2" t="str">
        <f t="shared" si="10"/>
        <v>04-12-2024 ACH C- POWER GRID CORPORATI-96351445</v>
      </c>
      <c r="H667" s="2" t="s">
        <v>1335</v>
      </c>
      <c r="I667" t="s">
        <v>340</v>
      </c>
      <c r="K667" t="s">
        <v>1322</v>
      </c>
    </row>
    <row r="668" spans="1:11" x14ac:dyDescent="0.3">
      <c r="A668" s="1">
        <v>45630</v>
      </c>
      <c r="B668" t="s">
        <v>82</v>
      </c>
      <c r="C668" t="s">
        <v>917</v>
      </c>
      <c r="D668" s="2">
        <v>53239.43</v>
      </c>
      <c r="E668" s="2">
        <v>0</v>
      </c>
      <c r="F668" s="2">
        <v>113321.99</v>
      </c>
      <c r="G668" s="2" t="str">
        <f t="shared" si="10"/>
        <v>04-12-2024 NET PI TO HSL SEC A/C 523686-00602340029434</v>
      </c>
      <c r="H668" s="2" t="s">
        <v>1335</v>
      </c>
      <c r="I668" t="s">
        <v>337</v>
      </c>
      <c r="K668" t="s">
        <v>1322</v>
      </c>
    </row>
    <row r="669" spans="1:11" x14ac:dyDescent="0.3">
      <c r="A669" s="1">
        <v>45631</v>
      </c>
      <c r="B669" t="s">
        <v>82</v>
      </c>
      <c r="C669" t="s">
        <v>918</v>
      </c>
      <c r="D669" s="2">
        <v>339.13</v>
      </c>
      <c r="E669" s="2">
        <v>0</v>
      </c>
      <c r="F669" s="2">
        <v>112982.86</v>
      </c>
      <c r="G669" s="2" t="str">
        <f t="shared" si="10"/>
        <v>05-12-2024 NET PI TO HSL SEC A/C 523686-00602340029434</v>
      </c>
      <c r="H669" s="2" t="s">
        <v>1335</v>
      </c>
      <c r="I669" t="s">
        <v>337</v>
      </c>
      <c r="K669" t="s">
        <v>1322</v>
      </c>
    </row>
    <row r="670" spans="1:11" x14ac:dyDescent="0.3">
      <c r="A670" s="1">
        <v>45632</v>
      </c>
      <c r="B670" t="s">
        <v>919</v>
      </c>
      <c r="C670" t="s">
        <v>920</v>
      </c>
      <c r="D670" s="2">
        <v>0</v>
      </c>
      <c r="E670" s="2">
        <v>9868.4699999999993</v>
      </c>
      <c r="F670" s="2">
        <v>122851.33</v>
      </c>
      <c r="G670" s="2" t="str">
        <f t="shared" si="10"/>
        <v>06-12-2024 FT- 588392744-50200085415108 - HDFC SECURITIES LTD-CLIENT DSCNB A/C -</v>
      </c>
      <c r="H670" s="2" t="s">
        <v>1335</v>
      </c>
      <c r="I670" t="s">
        <v>1310</v>
      </c>
      <c r="K670" t="s">
        <v>1322</v>
      </c>
    </row>
    <row r="671" spans="1:11" x14ac:dyDescent="0.3">
      <c r="A671" s="1">
        <v>45632</v>
      </c>
      <c r="B671" t="s">
        <v>82</v>
      </c>
      <c r="C671" t="s">
        <v>921</v>
      </c>
      <c r="D671" s="2">
        <v>392.31</v>
      </c>
      <c r="E671" s="2">
        <v>0</v>
      </c>
      <c r="F671" s="2">
        <v>122459.02</v>
      </c>
      <c r="G671" s="2" t="str">
        <f t="shared" si="10"/>
        <v>06-12-2024 NET PI TO HSL SEC A/C 523686-00602340029434</v>
      </c>
      <c r="H671" s="2" t="s">
        <v>1335</v>
      </c>
      <c r="I671" t="s">
        <v>337</v>
      </c>
      <c r="K671" t="s">
        <v>1322</v>
      </c>
    </row>
    <row r="672" spans="1:11" x14ac:dyDescent="0.3">
      <c r="A672" s="1">
        <v>45632</v>
      </c>
      <c r="B672" t="s">
        <v>84</v>
      </c>
      <c r="C672" t="s">
        <v>922</v>
      </c>
      <c r="D672" s="2">
        <v>0</v>
      </c>
      <c r="E672" s="2">
        <v>3335.15</v>
      </c>
      <c r="F672" s="2">
        <v>125794.17</v>
      </c>
      <c r="G672" s="2" t="str">
        <f t="shared" si="10"/>
        <v>06-12-2024 NET PO FROM HSL A/C 523686-50200085415108</v>
      </c>
      <c r="H672" s="2" t="s">
        <v>1335</v>
      </c>
      <c r="I672" t="s">
        <v>337</v>
      </c>
      <c r="K672" t="s">
        <v>1322</v>
      </c>
    </row>
    <row r="673" spans="1:13" x14ac:dyDescent="0.3">
      <c r="A673" s="1">
        <v>45633</v>
      </c>
      <c r="B673" t="s">
        <v>923</v>
      </c>
      <c r="C673" t="s">
        <v>924</v>
      </c>
      <c r="D673" s="2">
        <v>0</v>
      </c>
      <c r="E673" s="2">
        <v>34220</v>
      </c>
      <c r="F673" s="2">
        <v>160014.17000000001</v>
      </c>
      <c r="G673" s="2" t="str">
        <f t="shared" si="10"/>
        <v>07-12-2024 NEFT CR-SBIN0004266-SBI GENERAL INSURANCE CO LTDSBI GEN-SUNITA GUPTA 0000000002717756-SBIN324342428946</v>
      </c>
      <c r="H673" s="2" t="s">
        <v>1335</v>
      </c>
      <c r="I673" t="s">
        <v>345</v>
      </c>
      <c r="J673" t="s">
        <v>1329</v>
      </c>
      <c r="K673" t="s">
        <v>1322</v>
      </c>
      <c r="L673" s="11">
        <f>ROUND(E673/0.9,0)</f>
        <v>38022</v>
      </c>
      <c r="M673" s="11">
        <f>L673-E673</f>
        <v>3802</v>
      </c>
    </row>
    <row r="674" spans="1:13" x14ac:dyDescent="0.3">
      <c r="A674" s="1">
        <v>45635</v>
      </c>
      <c r="B674" t="s">
        <v>403</v>
      </c>
      <c r="C674" t="s">
        <v>23</v>
      </c>
      <c r="D674" s="2">
        <v>2700</v>
      </c>
      <c r="E674" s="2">
        <v>0</v>
      </c>
      <c r="F674" s="2">
        <v>32580.37</v>
      </c>
      <c r="G674" s="2" t="str">
        <f t="shared" si="10"/>
        <v>09-12-2024 UPI/P2M/471025503720/GHANSHYAM ABHUSHAN BH/jewell/Yes Bank Ltd</v>
      </c>
      <c r="H674" s="2" t="s">
        <v>1335</v>
      </c>
      <c r="I674" t="s">
        <v>1309</v>
      </c>
      <c r="K674" t="s">
        <v>1323</v>
      </c>
    </row>
    <row r="675" spans="1:13" x14ac:dyDescent="0.3">
      <c r="A675" s="1">
        <v>45635</v>
      </c>
      <c r="B675" t="s">
        <v>82</v>
      </c>
      <c r="C675" t="s">
        <v>925</v>
      </c>
      <c r="D675" s="2">
        <v>1191.03</v>
      </c>
      <c r="E675" s="2">
        <v>0</v>
      </c>
      <c r="F675" s="2">
        <v>158823.14000000001</v>
      </c>
      <c r="G675" s="2" t="str">
        <f t="shared" si="10"/>
        <v>09-12-2024 NET PI TO HSL SEC A/C 523686-00602340029434</v>
      </c>
      <c r="H675" s="2" t="s">
        <v>1335</v>
      </c>
      <c r="I675" t="s">
        <v>337</v>
      </c>
      <c r="K675" t="s">
        <v>1322</v>
      </c>
    </row>
    <row r="676" spans="1:13" x14ac:dyDescent="0.3">
      <c r="A676" s="1">
        <v>45636</v>
      </c>
      <c r="B676" t="s">
        <v>926</v>
      </c>
      <c r="C676" t="s">
        <v>927</v>
      </c>
      <c r="D676" s="2">
        <v>0</v>
      </c>
      <c r="E676" s="2">
        <v>41450.870000000003</v>
      </c>
      <c r="F676" s="2">
        <v>200274.01</v>
      </c>
      <c r="G676" s="2" t="str">
        <f t="shared" si="10"/>
        <v>10-12-2024 FT- 589344583-50200085415108 - HDFC SECURITIES LTD-CLIENT DSCNB A/C -</v>
      </c>
      <c r="H676" s="2" t="s">
        <v>1335</v>
      </c>
      <c r="I676" t="s">
        <v>1310</v>
      </c>
      <c r="K676" t="s">
        <v>1322</v>
      </c>
    </row>
    <row r="677" spans="1:13" x14ac:dyDescent="0.3">
      <c r="A677" s="1">
        <v>45636</v>
      </c>
      <c r="B677" t="s">
        <v>82</v>
      </c>
      <c r="C677" t="s">
        <v>928</v>
      </c>
      <c r="D677" s="2">
        <v>397.01</v>
      </c>
      <c r="E677" s="2">
        <v>0</v>
      </c>
      <c r="F677" s="2">
        <v>199877</v>
      </c>
      <c r="G677" s="2" t="str">
        <f t="shared" si="10"/>
        <v>10-12-2024 NET PI TO HSL SEC A/C 523686-00602340029434</v>
      </c>
      <c r="H677" s="2" t="s">
        <v>1335</v>
      </c>
      <c r="I677" t="s">
        <v>337</v>
      </c>
      <c r="K677" t="s">
        <v>1322</v>
      </c>
    </row>
    <row r="678" spans="1:13" x14ac:dyDescent="0.3">
      <c r="A678" s="1">
        <v>45636</v>
      </c>
      <c r="B678" t="s">
        <v>82</v>
      </c>
      <c r="C678" t="s">
        <v>929</v>
      </c>
      <c r="D678" s="2">
        <v>11845.93</v>
      </c>
      <c r="E678" s="2">
        <v>0</v>
      </c>
      <c r="F678" s="2">
        <v>188031.07</v>
      </c>
      <c r="G678" s="2" t="str">
        <f t="shared" si="10"/>
        <v>10-12-2024 NET PI TO HSL SEC A/C 523686-00602340029434</v>
      </c>
      <c r="H678" s="2" t="s">
        <v>1335</v>
      </c>
      <c r="I678" t="s">
        <v>337</v>
      </c>
      <c r="K678" t="s">
        <v>1322</v>
      </c>
    </row>
    <row r="679" spans="1:13" x14ac:dyDescent="0.3">
      <c r="A679" s="1">
        <v>45636</v>
      </c>
      <c r="B679" t="s">
        <v>930</v>
      </c>
      <c r="C679" t="s">
        <v>931</v>
      </c>
      <c r="D679" s="2">
        <v>0</v>
      </c>
      <c r="E679" s="2">
        <v>15773</v>
      </c>
      <c r="F679" s="2">
        <v>203804.07</v>
      </c>
      <c r="G679" s="2" t="str">
        <f t="shared" si="10"/>
        <v>10-12-2024 NEFT CR-SBIN0004266-SBI GENERAL INSURANCE CO LTDSBI GEN-SUNITA GUPTA 0000000002717756-SBIN124345927368</v>
      </c>
      <c r="H679" s="2" t="s">
        <v>1335</v>
      </c>
      <c r="I679" t="s">
        <v>1326</v>
      </c>
      <c r="K679" t="s">
        <v>1322</v>
      </c>
    </row>
    <row r="680" spans="1:13" x14ac:dyDescent="0.3">
      <c r="A680" s="1">
        <v>45637</v>
      </c>
      <c r="B680" t="s">
        <v>932</v>
      </c>
      <c r="C680" t="s">
        <v>933</v>
      </c>
      <c r="D680" s="2">
        <v>0</v>
      </c>
      <c r="E680" s="2">
        <v>2195.46</v>
      </c>
      <c r="F680" s="2">
        <v>205999.53</v>
      </c>
      <c r="G680" s="2" t="str">
        <f t="shared" si="10"/>
        <v>11-12-2024 FT- 589801141-50200085415108 - HDFC SECURITIES LTD-CLIENT DSCNB A/C -</v>
      </c>
      <c r="H680" s="2" t="s">
        <v>1335</v>
      </c>
      <c r="I680" t="s">
        <v>1310</v>
      </c>
      <c r="K680" t="s">
        <v>1322</v>
      </c>
    </row>
    <row r="681" spans="1:13" x14ac:dyDescent="0.3">
      <c r="A681" s="1">
        <v>45637</v>
      </c>
      <c r="B681" t="s">
        <v>82</v>
      </c>
      <c r="C681" t="s">
        <v>934</v>
      </c>
      <c r="D681" s="2">
        <v>380.71</v>
      </c>
      <c r="E681" s="2">
        <v>0</v>
      </c>
      <c r="F681" s="2">
        <v>205618.82</v>
      </c>
      <c r="G681" s="2" t="str">
        <f t="shared" si="10"/>
        <v>11-12-2024 NET PI TO HSL SEC A/C 523686-00602340029434</v>
      </c>
      <c r="H681" s="2" t="s">
        <v>1335</v>
      </c>
      <c r="I681" t="s">
        <v>337</v>
      </c>
      <c r="K681" t="s">
        <v>1322</v>
      </c>
    </row>
    <row r="682" spans="1:13" x14ac:dyDescent="0.3">
      <c r="A682" s="1">
        <v>45638</v>
      </c>
      <c r="B682" t="s">
        <v>935</v>
      </c>
      <c r="C682" t="s">
        <v>936</v>
      </c>
      <c r="D682" s="2">
        <v>0</v>
      </c>
      <c r="E682" s="2">
        <v>35515.74</v>
      </c>
      <c r="F682" s="2">
        <v>241134.56</v>
      </c>
      <c r="G682" s="2" t="str">
        <f t="shared" si="10"/>
        <v>12-12-2024 FT- 590196612-50200085415108 - HDFC SECURITIES LTD-CLIENT DSCNB A/C -</v>
      </c>
      <c r="H682" s="2" t="s">
        <v>1335</v>
      </c>
      <c r="I682" t="s">
        <v>1310</v>
      </c>
      <c r="K682" t="s">
        <v>1322</v>
      </c>
    </row>
    <row r="683" spans="1:13" x14ac:dyDescent="0.3">
      <c r="A683" s="1">
        <v>45638</v>
      </c>
      <c r="B683" t="s">
        <v>82</v>
      </c>
      <c r="C683" t="s">
        <v>937</v>
      </c>
      <c r="D683" s="2">
        <v>381.49</v>
      </c>
      <c r="E683" s="2">
        <v>0</v>
      </c>
      <c r="F683" s="2">
        <v>240753.07</v>
      </c>
      <c r="G683" s="2" t="str">
        <f t="shared" si="10"/>
        <v>12-12-2024 NET PI TO HSL SEC A/C 523686-00602340029434</v>
      </c>
      <c r="H683" s="2" t="s">
        <v>1335</v>
      </c>
      <c r="I683" t="s">
        <v>337</v>
      </c>
      <c r="K683" t="s">
        <v>1322</v>
      </c>
    </row>
    <row r="684" spans="1:13" x14ac:dyDescent="0.3">
      <c r="A684" s="1">
        <v>45638</v>
      </c>
      <c r="B684" t="s">
        <v>82</v>
      </c>
      <c r="C684" t="s">
        <v>938</v>
      </c>
      <c r="D684" s="2">
        <v>28834.959999999999</v>
      </c>
      <c r="E684" s="2">
        <v>0</v>
      </c>
      <c r="F684" s="2">
        <v>211918.11</v>
      </c>
      <c r="G684" s="2" t="str">
        <f t="shared" si="10"/>
        <v>12-12-2024 NET PI TO HSL SEC A/C 523686-00602340029434</v>
      </c>
      <c r="H684" s="2" t="s">
        <v>1335</v>
      </c>
      <c r="I684" t="s">
        <v>337</v>
      </c>
      <c r="K684" t="s">
        <v>1322</v>
      </c>
    </row>
    <row r="685" spans="1:13" x14ac:dyDescent="0.3">
      <c r="A685" s="1">
        <v>45638</v>
      </c>
      <c r="B685" t="s">
        <v>82</v>
      </c>
      <c r="C685" t="s">
        <v>939</v>
      </c>
      <c r="D685" s="2">
        <v>102886.18</v>
      </c>
      <c r="E685" s="2">
        <v>0</v>
      </c>
      <c r="F685" s="2">
        <v>109031.93</v>
      </c>
      <c r="G685" s="2" t="str">
        <f t="shared" si="10"/>
        <v>12-12-2024 NET PI TO HSL SEC A/C 523686-00602340029434</v>
      </c>
      <c r="H685" s="2" t="s">
        <v>1335</v>
      </c>
      <c r="I685" t="s">
        <v>337</v>
      </c>
      <c r="K685" t="s">
        <v>1322</v>
      </c>
    </row>
    <row r="686" spans="1:13" x14ac:dyDescent="0.3">
      <c r="A686" s="1">
        <v>45639</v>
      </c>
      <c r="B686" t="s">
        <v>82</v>
      </c>
      <c r="C686" t="s">
        <v>940</v>
      </c>
      <c r="D686" s="2">
        <v>332.45</v>
      </c>
      <c r="E686" s="2">
        <v>0</v>
      </c>
      <c r="F686" s="2">
        <v>108699.48</v>
      </c>
      <c r="G686" s="2" t="str">
        <f t="shared" si="10"/>
        <v>13-12-2024 NET PI TO HSL SEC A/C 523686-00602340029434</v>
      </c>
      <c r="H686" s="2" t="s">
        <v>1335</v>
      </c>
      <c r="I686" t="s">
        <v>337</v>
      </c>
      <c r="K686" t="s">
        <v>1322</v>
      </c>
    </row>
    <row r="687" spans="1:13" x14ac:dyDescent="0.3">
      <c r="A687" s="1">
        <v>45639</v>
      </c>
      <c r="B687" t="s">
        <v>941</v>
      </c>
      <c r="C687" t="s">
        <v>98</v>
      </c>
      <c r="D687" s="2">
        <v>0</v>
      </c>
      <c r="E687" s="2">
        <v>20000</v>
      </c>
      <c r="F687" s="2">
        <v>128699.48</v>
      </c>
      <c r="G687" s="2" t="str">
        <f t="shared" si="10"/>
        <v>13-12-2024 CASH DEPOSIT BY - SELF - VISHWAKARMA CIRCLE</v>
      </c>
      <c r="H687" s="2" t="s">
        <v>1335</v>
      </c>
      <c r="I687" t="s">
        <v>1305</v>
      </c>
      <c r="K687" t="s">
        <v>1322</v>
      </c>
    </row>
    <row r="688" spans="1:13" x14ac:dyDescent="0.3">
      <c r="A688" s="1">
        <v>45639</v>
      </c>
      <c r="B688" t="s">
        <v>82</v>
      </c>
      <c r="C688" t="s">
        <v>942</v>
      </c>
      <c r="D688" s="2">
        <v>25530.01</v>
      </c>
      <c r="E688" s="2">
        <v>0</v>
      </c>
      <c r="F688" s="2">
        <v>103169.47</v>
      </c>
      <c r="G688" s="2" t="str">
        <f t="shared" si="10"/>
        <v>13-12-2024 NET PI TO HSL SEC A/C 523686-00602340029434</v>
      </c>
      <c r="H688" s="2" t="s">
        <v>1335</v>
      </c>
      <c r="I688" t="s">
        <v>337</v>
      </c>
      <c r="K688" t="s">
        <v>1322</v>
      </c>
    </row>
    <row r="689" spans="1:13" x14ac:dyDescent="0.3">
      <c r="A689" s="1">
        <v>45639</v>
      </c>
      <c r="B689" t="s">
        <v>82</v>
      </c>
      <c r="C689" t="s">
        <v>943</v>
      </c>
      <c r="D689" s="2">
        <v>3981.96</v>
      </c>
      <c r="E689" s="2">
        <v>0</v>
      </c>
      <c r="F689" s="2">
        <v>99187.51</v>
      </c>
      <c r="G689" s="2" t="str">
        <f t="shared" si="10"/>
        <v>13-12-2024 NET PI TO HSL SEC A/C 523686-00602340029434</v>
      </c>
      <c r="H689" s="2" t="s">
        <v>1335</v>
      </c>
      <c r="I689" t="s">
        <v>337</v>
      </c>
      <c r="K689" t="s">
        <v>1322</v>
      </c>
    </row>
    <row r="690" spans="1:13" x14ac:dyDescent="0.3">
      <c r="A690" s="1">
        <v>45642</v>
      </c>
      <c r="B690" t="s">
        <v>404</v>
      </c>
      <c r="C690" t="s">
        <v>23</v>
      </c>
      <c r="D690" s="2">
        <v>500</v>
      </c>
      <c r="E690" s="2">
        <v>0</v>
      </c>
      <c r="F690" s="2">
        <v>32080.37</v>
      </c>
      <c r="G690" s="2" t="str">
        <f t="shared" si="10"/>
        <v>16-12-2024 UPI/P2M/435186763971/SHIVANJALI           /UPI/Yes Bank Ltd</v>
      </c>
      <c r="H690" s="2" t="s">
        <v>1335</v>
      </c>
      <c r="I690" t="s">
        <v>1309</v>
      </c>
      <c r="K690" t="s">
        <v>1323</v>
      </c>
    </row>
    <row r="691" spans="1:13" x14ac:dyDescent="0.3">
      <c r="A691" s="1">
        <v>45642</v>
      </c>
      <c r="B691" t="s">
        <v>114</v>
      </c>
      <c r="C691" t="s">
        <v>944</v>
      </c>
      <c r="D691" s="2">
        <v>5000</v>
      </c>
      <c r="E691" s="2">
        <v>0</v>
      </c>
      <c r="F691" s="2">
        <v>94187.51</v>
      </c>
      <c r="G691" s="2" t="str">
        <f t="shared" si="10"/>
        <v>16-12-2024 ACH D- INDIAN CLEARING CORP-P25847643X05</v>
      </c>
      <c r="H691" s="2" t="s">
        <v>1335</v>
      </c>
      <c r="I691" t="s">
        <v>341</v>
      </c>
      <c r="K691" t="s">
        <v>1322</v>
      </c>
    </row>
    <row r="692" spans="1:13" x14ac:dyDescent="0.3">
      <c r="A692" s="1">
        <v>45642</v>
      </c>
      <c r="B692" t="s">
        <v>82</v>
      </c>
      <c r="C692" t="s">
        <v>945</v>
      </c>
      <c r="D692" s="2">
        <v>1265.3399999999999</v>
      </c>
      <c r="E692" s="2">
        <v>0</v>
      </c>
      <c r="F692" s="2">
        <v>92922.17</v>
      </c>
      <c r="G692" s="2" t="str">
        <f t="shared" si="10"/>
        <v>16-12-2024 NET PI TO HSL SEC A/C 523686-00602340029434</v>
      </c>
      <c r="H692" s="2" t="s">
        <v>1335</v>
      </c>
      <c r="I692" t="s">
        <v>337</v>
      </c>
      <c r="K692" t="s">
        <v>1322</v>
      </c>
    </row>
    <row r="693" spans="1:13" x14ac:dyDescent="0.3">
      <c r="A693" s="1">
        <v>45642</v>
      </c>
      <c r="B693" t="s">
        <v>82</v>
      </c>
      <c r="C693" t="s">
        <v>946</v>
      </c>
      <c r="D693" s="2">
        <v>4528.87</v>
      </c>
      <c r="E693" s="2">
        <v>0</v>
      </c>
      <c r="F693" s="2">
        <v>88393.3</v>
      </c>
      <c r="G693" s="2" t="str">
        <f t="shared" si="10"/>
        <v>16-12-2024 NET PI TO HSL SEC A/C 523686-00602340029434</v>
      </c>
      <c r="H693" s="2" t="s">
        <v>1335</v>
      </c>
      <c r="I693" t="s">
        <v>337</v>
      </c>
      <c r="K693" t="s">
        <v>1322</v>
      </c>
    </row>
    <row r="694" spans="1:13" x14ac:dyDescent="0.3">
      <c r="A694" s="1">
        <v>45643</v>
      </c>
      <c r="B694" t="s">
        <v>82</v>
      </c>
      <c r="C694" t="s">
        <v>947</v>
      </c>
      <c r="D694" s="2">
        <v>420.17</v>
      </c>
      <c r="E694" s="2">
        <v>0</v>
      </c>
      <c r="F694" s="2">
        <v>87973.13</v>
      </c>
      <c r="G694" s="2" t="str">
        <f t="shared" si="10"/>
        <v>17-12-2024 NET PI TO HSL SEC A/C 523686-00602340029434</v>
      </c>
      <c r="H694" s="2" t="s">
        <v>1335</v>
      </c>
      <c r="I694" t="s">
        <v>337</v>
      </c>
      <c r="K694" t="s">
        <v>1322</v>
      </c>
    </row>
    <row r="695" spans="1:13" x14ac:dyDescent="0.3">
      <c r="A695" s="1">
        <v>45643</v>
      </c>
      <c r="B695" t="s">
        <v>948</v>
      </c>
      <c r="C695" t="s">
        <v>98</v>
      </c>
      <c r="D695" s="2">
        <v>318.60000000000002</v>
      </c>
      <c r="E695" s="2">
        <v>0</v>
      </c>
      <c r="F695" s="2">
        <v>87654.53</v>
      </c>
      <c r="G695" s="2" t="str">
        <f t="shared" si="10"/>
        <v>17-12-2024 DEPOSITORY CHARGES NOV24 - 41060499</v>
      </c>
      <c r="H695" s="2" t="s">
        <v>1335</v>
      </c>
      <c r="I695" t="s">
        <v>343</v>
      </c>
      <c r="K695" t="s">
        <v>1322</v>
      </c>
    </row>
    <row r="696" spans="1:13" x14ac:dyDescent="0.3">
      <c r="A696" s="1">
        <v>45643</v>
      </c>
      <c r="B696" t="s">
        <v>82</v>
      </c>
      <c r="C696" t="s">
        <v>949</v>
      </c>
      <c r="D696" s="2">
        <v>26795.86</v>
      </c>
      <c r="E696" s="2">
        <v>0</v>
      </c>
      <c r="F696" s="2">
        <v>60858.67</v>
      </c>
      <c r="G696" s="2" t="str">
        <f t="shared" si="10"/>
        <v>17-12-2024 NET PI TO HSL SEC A/C 523686-00602340029434</v>
      </c>
      <c r="H696" s="2" t="s">
        <v>1335</v>
      </c>
      <c r="I696" t="s">
        <v>337</v>
      </c>
      <c r="K696" t="s">
        <v>1322</v>
      </c>
    </row>
    <row r="697" spans="1:13" x14ac:dyDescent="0.3">
      <c r="A697" s="1">
        <v>45644</v>
      </c>
      <c r="B697" t="s">
        <v>950</v>
      </c>
      <c r="C697" t="s">
        <v>951</v>
      </c>
      <c r="D697" s="2">
        <v>0</v>
      </c>
      <c r="E697" s="2">
        <v>30411.38</v>
      </c>
      <c r="F697" s="2">
        <v>91270.05</v>
      </c>
      <c r="G697" s="2" t="str">
        <f t="shared" si="10"/>
        <v>18-12-2024 FT- 591999594-50200085415108 - HDFC SECURITIES LTD-CLIENT DSCNB A/C -</v>
      </c>
      <c r="H697" s="2" t="s">
        <v>1335</v>
      </c>
      <c r="I697" t="s">
        <v>1310</v>
      </c>
      <c r="K697" t="s">
        <v>1322</v>
      </c>
    </row>
    <row r="698" spans="1:13" x14ac:dyDescent="0.3">
      <c r="A698" s="1">
        <v>45644</v>
      </c>
      <c r="B698" t="s">
        <v>82</v>
      </c>
      <c r="C698" t="s">
        <v>952</v>
      </c>
      <c r="D698" s="2">
        <v>410.63</v>
      </c>
      <c r="E698" s="2">
        <v>0</v>
      </c>
      <c r="F698" s="2">
        <v>90859.42</v>
      </c>
      <c r="G698" s="2" t="str">
        <f t="shared" si="10"/>
        <v>18-12-2024 NET PI TO HSL SEC A/C 523686-00602340029434</v>
      </c>
      <c r="H698" s="2" t="s">
        <v>1335</v>
      </c>
      <c r="I698" t="s">
        <v>337</v>
      </c>
      <c r="K698" t="s">
        <v>1322</v>
      </c>
    </row>
    <row r="699" spans="1:13" x14ac:dyDescent="0.3">
      <c r="A699" s="1">
        <v>45644</v>
      </c>
      <c r="B699" t="s">
        <v>82</v>
      </c>
      <c r="C699" t="s">
        <v>953</v>
      </c>
      <c r="D699" s="2">
        <v>19885.93</v>
      </c>
      <c r="E699" s="2">
        <v>0</v>
      </c>
      <c r="F699" s="2">
        <v>70973.490000000005</v>
      </c>
      <c r="G699" s="2" t="str">
        <f t="shared" si="10"/>
        <v>18-12-2024 NET PI TO HSL SEC A/C 523686-00602340029434</v>
      </c>
      <c r="H699" s="2" t="s">
        <v>1335</v>
      </c>
      <c r="I699" t="s">
        <v>337</v>
      </c>
      <c r="K699" t="s">
        <v>1322</v>
      </c>
    </row>
    <row r="700" spans="1:13" x14ac:dyDescent="0.3">
      <c r="A700" s="1">
        <v>45645</v>
      </c>
      <c r="B700" t="s">
        <v>82</v>
      </c>
      <c r="C700" t="s">
        <v>954</v>
      </c>
      <c r="D700" s="2">
        <v>414.42</v>
      </c>
      <c r="E700" s="2">
        <v>0</v>
      </c>
      <c r="F700" s="2">
        <v>70559.070000000007</v>
      </c>
      <c r="G700" s="2" t="str">
        <f t="shared" si="10"/>
        <v>19-12-2024 NET PI TO HSL SEC A/C 523686-00602340029434</v>
      </c>
      <c r="H700" s="2" t="s">
        <v>1335</v>
      </c>
      <c r="I700" t="s">
        <v>337</v>
      </c>
      <c r="K700" t="s">
        <v>1322</v>
      </c>
    </row>
    <row r="701" spans="1:13" x14ac:dyDescent="0.3">
      <c r="A701" s="1">
        <v>45645</v>
      </c>
      <c r="B701" t="s">
        <v>955</v>
      </c>
      <c r="C701" t="s">
        <v>956</v>
      </c>
      <c r="D701" s="2">
        <v>0</v>
      </c>
      <c r="E701" s="2">
        <v>2738</v>
      </c>
      <c r="F701" s="2">
        <v>73297.070000000007</v>
      </c>
      <c r="G701" s="2" t="str">
        <f t="shared" si="10"/>
        <v>19-12-2024 NEFT CR-SBIN0004266-SBI GENERAL INSURANCE CO LTDSBI GEN-SUNITA GUPTA 0000000002717756-SBIN224354335526</v>
      </c>
      <c r="H701" s="2" t="s">
        <v>1335</v>
      </c>
      <c r="I701" t="s">
        <v>345</v>
      </c>
      <c r="J701" t="s">
        <v>1329</v>
      </c>
      <c r="K701" t="s">
        <v>1322</v>
      </c>
      <c r="L701" s="11">
        <f>ROUND(E701/0.9,0)</f>
        <v>3042</v>
      </c>
      <c r="M701" s="11">
        <f>L701-E701</f>
        <v>304</v>
      </c>
    </row>
    <row r="702" spans="1:13" x14ac:dyDescent="0.3">
      <c r="A702" s="1">
        <v>45645</v>
      </c>
      <c r="B702" t="s">
        <v>82</v>
      </c>
      <c r="C702" t="s">
        <v>957</v>
      </c>
      <c r="D702" s="2">
        <v>18958.63</v>
      </c>
      <c r="E702" s="2">
        <v>0</v>
      </c>
      <c r="F702" s="2">
        <v>54338.44</v>
      </c>
      <c r="G702" s="2" t="str">
        <f t="shared" si="10"/>
        <v>19-12-2024 NET PI TO HSL SEC A/C 523686-00602340029434</v>
      </c>
      <c r="H702" s="2" t="s">
        <v>1335</v>
      </c>
      <c r="I702" t="s">
        <v>337</v>
      </c>
      <c r="K702" t="s">
        <v>1322</v>
      </c>
    </row>
    <row r="703" spans="1:13" x14ac:dyDescent="0.3">
      <c r="A703" s="1">
        <v>45646</v>
      </c>
      <c r="B703" t="s">
        <v>82</v>
      </c>
      <c r="C703" t="s">
        <v>958</v>
      </c>
      <c r="D703" s="2">
        <v>417.69</v>
      </c>
      <c r="E703" s="2">
        <v>0</v>
      </c>
      <c r="F703" s="2">
        <v>53920.75</v>
      </c>
      <c r="G703" s="2" t="str">
        <f t="shared" si="10"/>
        <v>20-12-2024 NET PI TO HSL SEC A/C 523686-00602340029434</v>
      </c>
      <c r="H703" s="2" t="s">
        <v>1335</v>
      </c>
      <c r="I703" t="s">
        <v>337</v>
      </c>
      <c r="K703" t="s">
        <v>1322</v>
      </c>
    </row>
    <row r="704" spans="1:13" x14ac:dyDescent="0.3">
      <c r="A704" s="1">
        <v>45646</v>
      </c>
      <c r="B704" t="s">
        <v>82</v>
      </c>
      <c r="C704" t="s">
        <v>959</v>
      </c>
      <c r="D704" s="2">
        <v>38644.959999999999</v>
      </c>
      <c r="E704" s="2">
        <v>0</v>
      </c>
      <c r="F704" s="2">
        <v>15275.79</v>
      </c>
      <c r="G704" s="2" t="str">
        <f t="shared" si="10"/>
        <v>20-12-2024 NET PI TO HSL SEC A/C 523686-00602340029434</v>
      </c>
      <c r="H704" s="2" t="s">
        <v>1335</v>
      </c>
      <c r="I704" t="s">
        <v>337</v>
      </c>
      <c r="K704" t="s">
        <v>1322</v>
      </c>
    </row>
    <row r="705" spans="1:11" x14ac:dyDescent="0.3">
      <c r="A705" s="1">
        <v>45649</v>
      </c>
      <c r="B705" t="s">
        <v>82</v>
      </c>
      <c r="C705" t="s">
        <v>960</v>
      </c>
      <c r="D705" s="2">
        <v>1263.93</v>
      </c>
      <c r="E705" s="2">
        <v>0</v>
      </c>
      <c r="F705" s="2">
        <v>14011.86</v>
      </c>
      <c r="G705" s="2" t="str">
        <f t="shared" si="10"/>
        <v>23-12-2024 NET PI TO HSL SEC A/C 523686-00602340029434</v>
      </c>
      <c r="H705" s="2" t="s">
        <v>1335</v>
      </c>
      <c r="I705" t="s">
        <v>337</v>
      </c>
      <c r="K705" t="s">
        <v>1322</v>
      </c>
    </row>
    <row r="706" spans="1:11" x14ac:dyDescent="0.3">
      <c r="A706" s="1">
        <v>45649</v>
      </c>
      <c r="B706" t="s">
        <v>82</v>
      </c>
      <c r="C706" t="s">
        <v>961</v>
      </c>
      <c r="D706" s="2">
        <v>11981.51</v>
      </c>
      <c r="E706" s="2">
        <v>0</v>
      </c>
      <c r="F706" s="2">
        <v>2030.35</v>
      </c>
      <c r="G706" s="2" t="str">
        <f t="shared" si="10"/>
        <v>23-12-2024 NET PI TO HSL SEC A/C 523686-00602340029434</v>
      </c>
      <c r="H706" s="2" t="s">
        <v>1335</v>
      </c>
      <c r="I706" t="s">
        <v>337</v>
      </c>
      <c r="K706" t="s">
        <v>1322</v>
      </c>
    </row>
    <row r="707" spans="1:11" x14ac:dyDescent="0.3">
      <c r="A707" s="1">
        <v>45650</v>
      </c>
      <c r="B707" t="s">
        <v>82</v>
      </c>
      <c r="C707" t="s">
        <v>962</v>
      </c>
      <c r="D707" s="2">
        <v>425.67</v>
      </c>
      <c r="E707" s="2">
        <v>0</v>
      </c>
      <c r="F707" s="2">
        <v>1604.68</v>
      </c>
      <c r="G707" s="2" t="str">
        <f t="shared" si="10"/>
        <v>24-12-2024 NET PI TO HSL SEC A/C 523686-00602340029434</v>
      </c>
      <c r="H707" s="2" t="s">
        <v>1335</v>
      </c>
      <c r="I707" t="s">
        <v>337</v>
      </c>
      <c r="K707" t="s">
        <v>1322</v>
      </c>
    </row>
    <row r="708" spans="1:11" x14ac:dyDescent="0.3">
      <c r="A708" s="1">
        <v>45651</v>
      </c>
      <c r="B708" t="s">
        <v>963</v>
      </c>
      <c r="C708" t="s">
        <v>964</v>
      </c>
      <c r="D708" s="2">
        <v>0</v>
      </c>
      <c r="E708" s="2">
        <v>20000</v>
      </c>
      <c r="F708" s="2">
        <v>21604.68</v>
      </c>
      <c r="G708" s="2" t="str">
        <f t="shared" si="10"/>
        <v>25-12-2024 01671000085930-TPT-BORROW FROM AKG-AJAY KUMAR GUPTA</v>
      </c>
      <c r="H708" s="2" t="s">
        <v>1335</v>
      </c>
      <c r="I708" t="s">
        <v>1300</v>
      </c>
      <c r="K708" t="s">
        <v>1322</v>
      </c>
    </row>
    <row r="709" spans="1:11" x14ac:dyDescent="0.3">
      <c r="A709" s="1">
        <v>45651</v>
      </c>
      <c r="B709" t="s">
        <v>965</v>
      </c>
      <c r="C709" t="s">
        <v>966</v>
      </c>
      <c r="D709" s="2">
        <v>11832</v>
      </c>
      <c r="E709" s="2">
        <v>0</v>
      </c>
      <c r="F709" s="2">
        <v>9772.68</v>
      </c>
      <c r="G709" s="2" t="str">
        <f t="shared" ref="G709:G772" si="11">TEXT(A709,"DD")&amp;"-"&amp;TEXT(A709,"MM")&amp;"-"&amp;TEXT(A709,"YYYY")&amp;" "&amp;B709</f>
        <v>25-12-2024 YHDF2500679849/BILLDKTHECALCUTTAELE</v>
      </c>
      <c r="H709" s="2" t="s">
        <v>1335</v>
      </c>
      <c r="I709" t="s">
        <v>1326</v>
      </c>
      <c r="K709" t="s">
        <v>1322</v>
      </c>
    </row>
    <row r="710" spans="1:11" x14ac:dyDescent="0.3">
      <c r="A710" s="9">
        <v>45651</v>
      </c>
      <c r="B710" t="s">
        <v>1281</v>
      </c>
      <c r="D710" s="2">
        <v>0</v>
      </c>
      <c r="E710" s="2">
        <v>149</v>
      </c>
      <c r="F710" s="2">
        <v>22354.7</v>
      </c>
      <c r="G710" s="2" t="str">
        <f t="shared" si="11"/>
        <v>25-12-2024    CREDIT INTEREST---</v>
      </c>
      <c r="H710" s="2" t="s">
        <v>1335</v>
      </c>
      <c r="I710" t="s">
        <v>344</v>
      </c>
      <c r="K710" t="s">
        <v>1324</v>
      </c>
    </row>
    <row r="711" spans="1:11" x14ac:dyDescent="0.3">
      <c r="A711" s="1">
        <v>45652</v>
      </c>
      <c r="B711" t="s">
        <v>967</v>
      </c>
      <c r="C711" t="s">
        <v>968</v>
      </c>
      <c r="D711" s="2">
        <v>0</v>
      </c>
      <c r="E711" s="2">
        <v>1057.24</v>
      </c>
      <c r="F711" s="2">
        <v>10829.92</v>
      </c>
      <c r="G711" s="2" t="str">
        <f t="shared" si="11"/>
        <v>26-12-2024 FT- 594273619-50200085415108 - HDFC SECURITIES LTD-CLIENT DSCNB A/C -</v>
      </c>
      <c r="H711" s="2" t="s">
        <v>1335</v>
      </c>
      <c r="I711" t="s">
        <v>1310</v>
      </c>
      <c r="K711" t="s">
        <v>1322</v>
      </c>
    </row>
    <row r="712" spans="1:11" x14ac:dyDescent="0.3">
      <c r="A712" s="1">
        <v>45652</v>
      </c>
      <c r="B712" t="s">
        <v>969</v>
      </c>
      <c r="C712" t="s">
        <v>970</v>
      </c>
      <c r="D712" s="2">
        <v>10000</v>
      </c>
      <c r="E712" s="2">
        <v>0</v>
      </c>
      <c r="F712" s="2">
        <v>829.92</v>
      </c>
      <c r="G712" s="2" t="str">
        <f t="shared" si="11"/>
        <v>26-12-2024 ACH D- TP ACH INDIANESIGN-1660009188</v>
      </c>
      <c r="H712" s="2" t="s">
        <v>1335</v>
      </c>
      <c r="I712" t="s">
        <v>342</v>
      </c>
      <c r="K712" t="s">
        <v>1322</v>
      </c>
    </row>
    <row r="713" spans="1:11" x14ac:dyDescent="0.3">
      <c r="A713" s="1">
        <v>45652</v>
      </c>
      <c r="B713" t="s">
        <v>82</v>
      </c>
      <c r="C713" t="s">
        <v>971</v>
      </c>
      <c r="D713" s="2">
        <v>829.92</v>
      </c>
      <c r="E713" s="2">
        <v>0</v>
      </c>
      <c r="F713" s="2">
        <v>0</v>
      </c>
      <c r="G713" s="2" t="str">
        <f t="shared" si="11"/>
        <v>26-12-2024 NET PI TO HSL SEC A/C 523686-00602340029434</v>
      </c>
      <c r="H713" s="2" t="s">
        <v>1335</v>
      </c>
      <c r="I713" t="s">
        <v>337</v>
      </c>
      <c r="K713" t="s">
        <v>1322</v>
      </c>
    </row>
    <row r="714" spans="1:11" x14ac:dyDescent="0.3">
      <c r="A714" s="1">
        <v>45656</v>
      </c>
      <c r="B714" t="s">
        <v>972</v>
      </c>
      <c r="C714" t="s">
        <v>973</v>
      </c>
      <c r="D714" s="2">
        <v>0</v>
      </c>
      <c r="E714" s="2">
        <v>84.57</v>
      </c>
      <c r="F714" s="2">
        <v>84.57</v>
      </c>
      <c r="G714" s="2" t="str">
        <f t="shared" si="11"/>
        <v>30-12-2024 NEFT CR-UTIB0000004-AXIS MUTUAL FUND DIVIDEND A/C-SUNITA GUPTA-AXISCN0872204867</v>
      </c>
      <c r="H714" s="2" t="s">
        <v>1335</v>
      </c>
      <c r="I714" t="s">
        <v>340</v>
      </c>
      <c r="K714" t="s">
        <v>1322</v>
      </c>
    </row>
    <row r="715" spans="1:11" x14ac:dyDescent="0.3">
      <c r="A715" s="1">
        <v>45656</v>
      </c>
      <c r="B715" t="s">
        <v>82</v>
      </c>
      <c r="C715" t="s">
        <v>974</v>
      </c>
      <c r="D715" s="2">
        <v>84.57</v>
      </c>
      <c r="E715" s="2">
        <v>0</v>
      </c>
      <c r="F715" s="2">
        <v>0</v>
      </c>
      <c r="G715" s="2" t="str">
        <f t="shared" si="11"/>
        <v>30-12-2024 NET PI TO HSL SEC A/C 523686-00602340029434</v>
      </c>
      <c r="H715" s="2" t="s">
        <v>1335</v>
      </c>
      <c r="I715" t="s">
        <v>337</v>
      </c>
      <c r="K715" t="s">
        <v>1322</v>
      </c>
    </row>
    <row r="716" spans="1:11" x14ac:dyDescent="0.3">
      <c r="A716" s="1">
        <v>45657</v>
      </c>
      <c r="B716" t="s">
        <v>975</v>
      </c>
      <c r="C716" t="s">
        <v>976</v>
      </c>
      <c r="D716" s="2">
        <v>0</v>
      </c>
      <c r="E716" s="2">
        <v>24950.15</v>
      </c>
      <c r="F716" s="2">
        <v>24950.15</v>
      </c>
      <c r="G716" s="2" t="str">
        <f t="shared" si="11"/>
        <v>31-12-2024 FT- 595680118-50200085415108 - HDFC SECURITIES LTD-CLIENT DSCNB A/C -</v>
      </c>
      <c r="H716" s="2" t="s">
        <v>1335</v>
      </c>
      <c r="I716" t="s">
        <v>1310</v>
      </c>
      <c r="K716" t="s">
        <v>1322</v>
      </c>
    </row>
    <row r="717" spans="1:11" x14ac:dyDescent="0.3">
      <c r="A717" s="1">
        <v>45657</v>
      </c>
      <c r="B717" t="s">
        <v>82</v>
      </c>
      <c r="C717" t="s">
        <v>977</v>
      </c>
      <c r="D717" s="2">
        <v>426.63</v>
      </c>
      <c r="E717" s="2">
        <v>0</v>
      </c>
      <c r="F717" s="2">
        <v>24523.52</v>
      </c>
      <c r="G717" s="2" t="str">
        <f t="shared" si="11"/>
        <v>31-12-2024 NET PI TO HSL SEC A/C 523686-00602340029434</v>
      </c>
      <c r="H717" s="2" t="s">
        <v>1335</v>
      </c>
      <c r="I717" t="s">
        <v>337</v>
      </c>
      <c r="K717" t="s">
        <v>1322</v>
      </c>
    </row>
    <row r="718" spans="1:11" x14ac:dyDescent="0.3">
      <c r="A718" s="1">
        <v>45657</v>
      </c>
      <c r="B718" t="s">
        <v>82</v>
      </c>
      <c r="C718" t="s">
        <v>978</v>
      </c>
      <c r="D718" s="2">
        <v>6300.62</v>
      </c>
      <c r="E718" s="2">
        <v>0</v>
      </c>
      <c r="F718" s="2">
        <v>18222.900000000001</v>
      </c>
      <c r="G718" s="2" t="str">
        <f t="shared" si="11"/>
        <v>31-12-2024 NET PI TO HSL SEC A/C 523686-00602340029434</v>
      </c>
      <c r="H718" s="2" t="s">
        <v>1335</v>
      </c>
      <c r="I718" t="s">
        <v>337</v>
      </c>
      <c r="K718" t="s">
        <v>1322</v>
      </c>
    </row>
    <row r="719" spans="1:11" x14ac:dyDescent="0.3">
      <c r="A719" s="1">
        <v>45657</v>
      </c>
      <c r="B719" t="s">
        <v>979</v>
      </c>
      <c r="C719" t="s">
        <v>98</v>
      </c>
      <c r="D719" s="2">
        <v>0</v>
      </c>
      <c r="E719" s="2">
        <v>534</v>
      </c>
      <c r="F719" s="2">
        <v>18756.900000000001</v>
      </c>
      <c r="G719" s="2" t="str">
        <f t="shared" si="11"/>
        <v>31-12-2024 INTEREST PAID TILL 31-DEC-2024</v>
      </c>
      <c r="H719" s="2" t="s">
        <v>1335</v>
      </c>
      <c r="I719" t="s">
        <v>344</v>
      </c>
      <c r="K719" t="s">
        <v>1322</v>
      </c>
    </row>
    <row r="720" spans="1:11" x14ac:dyDescent="0.3">
      <c r="A720" s="1">
        <v>45658</v>
      </c>
      <c r="B720" t="s">
        <v>405</v>
      </c>
      <c r="C720" t="s">
        <v>23</v>
      </c>
      <c r="D720" s="2">
        <v>0</v>
      </c>
      <c r="E720" s="2">
        <v>505</v>
      </c>
      <c r="F720" s="2">
        <v>32585.37</v>
      </c>
      <c r="G720" s="2" t="str">
        <f t="shared" si="11"/>
        <v>01-01-2025 SB:919010088767042:Int.Pd:01-10-2024 to 31-12-2024</v>
      </c>
      <c r="H720" s="2" t="s">
        <v>1335</v>
      </c>
      <c r="I720" t="s">
        <v>344</v>
      </c>
      <c r="K720" t="s">
        <v>1323</v>
      </c>
    </row>
    <row r="721" spans="1:13" x14ac:dyDescent="0.3">
      <c r="A721" s="1">
        <v>45658</v>
      </c>
      <c r="B721" t="s">
        <v>82</v>
      </c>
      <c r="C721" t="s">
        <v>980</v>
      </c>
      <c r="D721" s="2">
        <v>419.42</v>
      </c>
      <c r="E721" s="2">
        <v>0</v>
      </c>
      <c r="F721" s="2">
        <v>18337.48</v>
      </c>
      <c r="G721" s="2" t="str">
        <f t="shared" si="11"/>
        <v>01-01-2025 NET PI TO HSL SEC A/C 523686-00602340029434</v>
      </c>
      <c r="H721" s="2" t="s">
        <v>1335</v>
      </c>
      <c r="I721" t="s">
        <v>337</v>
      </c>
      <c r="K721" t="s">
        <v>1322</v>
      </c>
    </row>
    <row r="722" spans="1:13" x14ac:dyDescent="0.3">
      <c r="A722" s="1">
        <v>45659</v>
      </c>
      <c r="B722" t="s">
        <v>981</v>
      </c>
      <c r="C722" t="s">
        <v>982</v>
      </c>
      <c r="D722" s="2">
        <v>0</v>
      </c>
      <c r="E722" s="2">
        <v>1992.67</v>
      </c>
      <c r="F722" s="2">
        <v>20330.150000000001</v>
      </c>
      <c r="G722" s="2" t="str">
        <f t="shared" si="11"/>
        <v>02-01-2025 FT- 596476875-50200085415108 - HDFC SECURITIES LTD-CLIENT DSCNB A/C -</v>
      </c>
      <c r="H722" s="2" t="s">
        <v>1335</v>
      </c>
      <c r="I722" t="s">
        <v>1310</v>
      </c>
      <c r="K722" t="s">
        <v>1322</v>
      </c>
    </row>
    <row r="723" spans="1:13" x14ac:dyDescent="0.3">
      <c r="A723" s="1">
        <v>45659</v>
      </c>
      <c r="B723" t="s">
        <v>82</v>
      </c>
      <c r="C723" t="s">
        <v>983</v>
      </c>
      <c r="D723" s="2">
        <v>419.42</v>
      </c>
      <c r="E723" s="2">
        <v>0</v>
      </c>
      <c r="F723" s="2">
        <v>19910.73</v>
      </c>
      <c r="G723" s="2" t="str">
        <f t="shared" si="11"/>
        <v>02-01-2025 NET PI TO HSL SEC A/C 523686-00602340029434</v>
      </c>
      <c r="H723" s="2" t="s">
        <v>1335</v>
      </c>
      <c r="I723" t="s">
        <v>337</v>
      </c>
      <c r="K723" t="s">
        <v>1322</v>
      </c>
    </row>
    <row r="724" spans="1:13" x14ac:dyDescent="0.3">
      <c r="A724" s="1">
        <v>45659</v>
      </c>
      <c r="B724" t="s">
        <v>984</v>
      </c>
      <c r="C724" t="s">
        <v>985</v>
      </c>
      <c r="D724" s="2">
        <v>0</v>
      </c>
      <c r="E724" s="2">
        <v>100000</v>
      </c>
      <c r="F724" s="2">
        <v>119910.73</v>
      </c>
      <c r="G724" s="2" t="str">
        <f t="shared" si="11"/>
        <v>02-01-2025 01671000085930-TPT-TRANSFER FROM AJAY-AJAY KUMAR GUPTA</v>
      </c>
      <c r="H724" s="2" t="s">
        <v>1335</v>
      </c>
      <c r="I724" t="s">
        <v>1300</v>
      </c>
      <c r="K724" t="s">
        <v>1322</v>
      </c>
    </row>
    <row r="725" spans="1:13" x14ac:dyDescent="0.3">
      <c r="A725" s="1">
        <v>45660</v>
      </c>
      <c r="B725" t="s">
        <v>986</v>
      </c>
      <c r="C725" t="s">
        <v>987</v>
      </c>
      <c r="D725" s="2">
        <v>0</v>
      </c>
      <c r="E725" s="2">
        <v>20756.78</v>
      </c>
      <c r="F725" s="2">
        <v>140667.51</v>
      </c>
      <c r="G725" s="2" t="str">
        <f t="shared" si="11"/>
        <v>03-01-2025 FT- 596877830-50200085415108 - HDFC SECURITIES LTD-CLIENT DSCNB A/C -</v>
      </c>
      <c r="H725" s="2" t="s">
        <v>1335</v>
      </c>
      <c r="I725" t="s">
        <v>1310</v>
      </c>
      <c r="K725" t="s">
        <v>1322</v>
      </c>
    </row>
    <row r="726" spans="1:13" x14ac:dyDescent="0.3">
      <c r="A726" s="1">
        <v>45660</v>
      </c>
      <c r="B726" t="s">
        <v>82</v>
      </c>
      <c r="C726" t="s">
        <v>988</v>
      </c>
      <c r="D726" s="2">
        <v>420.13</v>
      </c>
      <c r="E726" s="2">
        <v>0</v>
      </c>
      <c r="F726" s="2">
        <v>140247.38</v>
      </c>
      <c r="G726" s="2" t="str">
        <f t="shared" si="11"/>
        <v>03-01-2025 NET PI TO HSL SEC A/C 523686-00602340029434</v>
      </c>
      <c r="H726" s="2" t="s">
        <v>1335</v>
      </c>
      <c r="I726" t="s">
        <v>337</v>
      </c>
      <c r="K726" t="s">
        <v>1322</v>
      </c>
    </row>
    <row r="727" spans="1:13" x14ac:dyDescent="0.3">
      <c r="A727" s="1">
        <v>45660</v>
      </c>
      <c r="B727" t="s">
        <v>82</v>
      </c>
      <c r="C727" t="s">
        <v>989</v>
      </c>
      <c r="D727" s="2">
        <v>4805.21</v>
      </c>
      <c r="E727" s="2">
        <v>0</v>
      </c>
      <c r="F727" s="2">
        <v>135442.17000000001</v>
      </c>
      <c r="G727" s="2" t="str">
        <f t="shared" si="11"/>
        <v>03-01-2025 NET PI TO HSL SEC A/C 523686-00602340029434</v>
      </c>
      <c r="H727" s="2" t="s">
        <v>1335</v>
      </c>
      <c r="I727" t="s">
        <v>337</v>
      </c>
      <c r="K727" t="s">
        <v>1322</v>
      </c>
    </row>
    <row r="728" spans="1:13" x14ac:dyDescent="0.3">
      <c r="A728" s="1">
        <v>45661</v>
      </c>
      <c r="B728" t="s">
        <v>406</v>
      </c>
      <c r="C728" t="s">
        <v>23</v>
      </c>
      <c r="D728" s="2">
        <v>0</v>
      </c>
      <c r="E728" s="2">
        <v>24454.02</v>
      </c>
      <c r="F728" s="2">
        <v>57039.39</v>
      </c>
      <c r="G728" s="2" t="str">
        <f t="shared" si="11"/>
        <v>04-01-2025 NEFT/YESF350044351321/ZERODHA BROKING LTD-DSCNB A//YES BANK/5c107df8698e45fda08666:Zerodh</v>
      </c>
      <c r="H728" s="2" t="s">
        <v>1335</v>
      </c>
      <c r="I728" t="s">
        <v>46</v>
      </c>
      <c r="K728" t="s">
        <v>1323</v>
      </c>
    </row>
    <row r="729" spans="1:13" x14ac:dyDescent="0.3">
      <c r="A729" s="1">
        <v>45661</v>
      </c>
      <c r="B729" t="s">
        <v>990</v>
      </c>
      <c r="C729" t="s">
        <v>991</v>
      </c>
      <c r="D729" s="2">
        <v>0</v>
      </c>
      <c r="E729" s="2">
        <v>11832</v>
      </c>
      <c r="F729" s="2">
        <v>147274.17000000001</v>
      </c>
      <c r="G729" s="2" t="str">
        <f t="shared" si="11"/>
        <v>04-01-2025 NEFT CR-SBIN0004266-SBI GENERAL INSURANCE CO LTDSBI GEN-SUNITA GUPTA 0000000002717756-SBIN225004018693</v>
      </c>
      <c r="H729" s="2" t="s">
        <v>1335</v>
      </c>
      <c r="I729" t="s">
        <v>1326</v>
      </c>
      <c r="K729" t="s">
        <v>1322</v>
      </c>
    </row>
    <row r="730" spans="1:13" x14ac:dyDescent="0.3">
      <c r="A730" s="1">
        <v>45663</v>
      </c>
      <c r="B730" t="s">
        <v>82</v>
      </c>
      <c r="C730" t="s">
        <v>992</v>
      </c>
      <c r="D730" s="2">
        <v>1238.55</v>
      </c>
      <c r="E730" s="2">
        <v>0</v>
      </c>
      <c r="F730" s="2">
        <v>146035.62</v>
      </c>
      <c r="G730" s="2" t="str">
        <f t="shared" si="11"/>
        <v>06-01-2025 NET PI TO HSL SEC A/C 523686-00602340029434</v>
      </c>
      <c r="H730" s="2" t="s">
        <v>1335</v>
      </c>
      <c r="I730" t="s">
        <v>337</v>
      </c>
      <c r="K730" t="s">
        <v>1322</v>
      </c>
    </row>
    <row r="731" spans="1:13" x14ac:dyDescent="0.3">
      <c r="A731" s="1">
        <v>45663</v>
      </c>
      <c r="B731" t="s">
        <v>993</v>
      </c>
      <c r="C731" t="s">
        <v>994</v>
      </c>
      <c r="D731" s="2">
        <v>50000</v>
      </c>
      <c r="E731" s="2">
        <v>0</v>
      </c>
      <c r="F731" s="2">
        <v>96035.62</v>
      </c>
      <c r="G731" s="2" t="str">
        <f t="shared" si="11"/>
        <v>06-01-2025 NEFT DR-CBIN0281641-MEGHA GUPTA-NETBANK, MUM-N006253497197898-EXPENSES FOR EVENT</v>
      </c>
      <c r="H731" s="2" t="s">
        <v>1335</v>
      </c>
      <c r="I731" t="s">
        <v>1306</v>
      </c>
      <c r="K731" t="s">
        <v>1322</v>
      </c>
    </row>
    <row r="732" spans="1:13" x14ac:dyDescent="0.3">
      <c r="A732" s="1">
        <v>45663</v>
      </c>
      <c r="B732" t="s">
        <v>82</v>
      </c>
      <c r="C732" t="s">
        <v>995</v>
      </c>
      <c r="D732" s="2">
        <v>28608.17</v>
      </c>
      <c r="E732" s="2">
        <v>0</v>
      </c>
      <c r="F732" s="2">
        <v>67427.45</v>
      </c>
      <c r="G732" s="2" t="str">
        <f t="shared" si="11"/>
        <v>06-01-2025 NET PI TO HSL SEC A/C 523686-00602340029434</v>
      </c>
      <c r="H732" s="2" t="s">
        <v>1335</v>
      </c>
      <c r="I732" t="s">
        <v>337</v>
      </c>
      <c r="K732" t="s">
        <v>1322</v>
      </c>
    </row>
    <row r="733" spans="1:13" x14ac:dyDescent="0.3">
      <c r="A733" s="1">
        <v>45664</v>
      </c>
      <c r="B733" t="s">
        <v>82</v>
      </c>
      <c r="C733" t="s">
        <v>996</v>
      </c>
      <c r="D733" s="2">
        <v>402.67</v>
      </c>
      <c r="E733" s="2">
        <v>0</v>
      </c>
      <c r="F733" s="2">
        <v>67024.78</v>
      </c>
      <c r="G733" s="2" t="str">
        <f t="shared" si="11"/>
        <v>07-01-2025 NET PI TO HSL SEC A/C 523686-00602340029434</v>
      </c>
      <c r="H733" s="2" t="s">
        <v>1335</v>
      </c>
      <c r="I733" t="s">
        <v>337</v>
      </c>
      <c r="K733" t="s">
        <v>1322</v>
      </c>
    </row>
    <row r="734" spans="1:13" x14ac:dyDescent="0.3">
      <c r="A734" s="1">
        <v>45664</v>
      </c>
      <c r="B734" t="s">
        <v>997</v>
      </c>
      <c r="C734" t="s">
        <v>998</v>
      </c>
      <c r="D734" s="2">
        <v>0</v>
      </c>
      <c r="E734" s="2">
        <v>34220</v>
      </c>
      <c r="F734" s="2">
        <v>101244.78</v>
      </c>
      <c r="G734" s="2" t="str">
        <f t="shared" si="11"/>
        <v>07-01-2025 NEFT CR-SBIN0004266-SBI GENERAL INSURANCE CO LTDSBI GEN-SUNITA GUPTA 0000000002717756-SBIN125007600924</v>
      </c>
      <c r="H734" s="2" t="s">
        <v>1335</v>
      </c>
      <c r="I734" t="s">
        <v>345</v>
      </c>
      <c r="J734" t="s">
        <v>1330</v>
      </c>
      <c r="K734" t="s">
        <v>1322</v>
      </c>
      <c r="L734" s="11">
        <f>ROUND(E734/0.9,0)</f>
        <v>38022</v>
      </c>
      <c r="M734" s="11">
        <f>L734-E734</f>
        <v>3802</v>
      </c>
    </row>
    <row r="735" spans="1:13" x14ac:dyDescent="0.3">
      <c r="A735" s="1">
        <v>45665</v>
      </c>
      <c r="B735" t="s">
        <v>999</v>
      </c>
      <c r="C735" t="s">
        <v>1000</v>
      </c>
      <c r="D735" s="2">
        <v>0</v>
      </c>
      <c r="E735" s="2">
        <v>9537.74</v>
      </c>
      <c r="F735" s="2">
        <v>110782.52</v>
      </c>
      <c r="G735" s="2" t="str">
        <f t="shared" si="11"/>
        <v>08-01-2025 FT- 598464901-50200085415108 - HDFC SECURITIES LTD-CLIENT DSCNB A/C -</v>
      </c>
      <c r="H735" s="2" t="s">
        <v>1335</v>
      </c>
      <c r="I735" t="s">
        <v>1310</v>
      </c>
      <c r="K735" t="s">
        <v>1322</v>
      </c>
    </row>
    <row r="736" spans="1:13" x14ac:dyDescent="0.3">
      <c r="A736" s="1">
        <v>45665</v>
      </c>
      <c r="B736" t="s">
        <v>82</v>
      </c>
      <c r="C736" t="s">
        <v>1001</v>
      </c>
      <c r="D736" s="2">
        <v>402.67</v>
      </c>
      <c r="E736" s="2">
        <v>0</v>
      </c>
      <c r="F736" s="2">
        <v>110379.85</v>
      </c>
      <c r="G736" s="2" t="str">
        <f t="shared" si="11"/>
        <v>08-01-2025 NET PI TO HSL SEC A/C 523686-00602340029434</v>
      </c>
      <c r="H736" s="2" t="s">
        <v>1335</v>
      </c>
      <c r="I736" t="s">
        <v>337</v>
      </c>
      <c r="K736" t="s">
        <v>1322</v>
      </c>
    </row>
    <row r="737" spans="1:11" x14ac:dyDescent="0.3">
      <c r="A737" s="1">
        <v>45665</v>
      </c>
      <c r="B737" t="s">
        <v>82</v>
      </c>
      <c r="C737" t="s">
        <v>1002</v>
      </c>
      <c r="D737" s="2">
        <v>5884.13</v>
      </c>
      <c r="E737" s="2">
        <v>0</v>
      </c>
      <c r="F737" s="2">
        <v>104495.72</v>
      </c>
      <c r="G737" s="2" t="str">
        <f t="shared" si="11"/>
        <v>08-01-2025 NET PI TO HSL SEC A/C 523686-00602340029434</v>
      </c>
      <c r="H737" s="2" t="s">
        <v>1335</v>
      </c>
      <c r="I737" t="s">
        <v>337</v>
      </c>
      <c r="K737" t="s">
        <v>1322</v>
      </c>
    </row>
    <row r="738" spans="1:11" x14ac:dyDescent="0.3">
      <c r="A738" s="1">
        <v>45666</v>
      </c>
      <c r="B738" t="s">
        <v>82</v>
      </c>
      <c r="C738" t="s">
        <v>1003</v>
      </c>
      <c r="D738" s="2">
        <v>403.97</v>
      </c>
      <c r="E738" s="2">
        <v>0</v>
      </c>
      <c r="F738" s="2">
        <v>104091.75</v>
      </c>
      <c r="G738" s="2" t="str">
        <f t="shared" si="11"/>
        <v>09-01-2025 NET PI TO HSL SEC A/C 523686-00602340029434</v>
      </c>
      <c r="H738" s="2" t="s">
        <v>1335</v>
      </c>
      <c r="I738" t="s">
        <v>337</v>
      </c>
      <c r="K738" t="s">
        <v>1322</v>
      </c>
    </row>
    <row r="739" spans="1:11" x14ac:dyDescent="0.3">
      <c r="A739" s="1">
        <v>45666</v>
      </c>
      <c r="B739" t="s">
        <v>82</v>
      </c>
      <c r="C739" t="s">
        <v>1004</v>
      </c>
      <c r="D739" s="2">
        <v>8119.52</v>
      </c>
      <c r="E739" s="2">
        <v>0</v>
      </c>
      <c r="F739" s="2">
        <v>95972.23</v>
      </c>
      <c r="G739" s="2" t="str">
        <f t="shared" si="11"/>
        <v>09-01-2025 NET PI TO HSL SEC A/C 523686-00602340029434</v>
      </c>
      <c r="H739" s="2" t="s">
        <v>1335</v>
      </c>
      <c r="I739" t="s">
        <v>337</v>
      </c>
      <c r="K739" t="s">
        <v>1322</v>
      </c>
    </row>
    <row r="740" spans="1:11" x14ac:dyDescent="0.3">
      <c r="A740" s="1">
        <v>45667</v>
      </c>
      <c r="B740" t="s">
        <v>761</v>
      </c>
      <c r="C740" t="s">
        <v>1005</v>
      </c>
      <c r="D740" s="2">
        <v>20000</v>
      </c>
      <c r="E740" s="2">
        <v>0</v>
      </c>
      <c r="F740" s="2">
        <v>75972.23</v>
      </c>
      <c r="G740" s="2" t="str">
        <f t="shared" si="11"/>
        <v>10-01-2025 ATW-498792XXXXXX0500-S1ANRS37-KOTA</v>
      </c>
      <c r="H740" s="2" t="s">
        <v>1335</v>
      </c>
      <c r="I740" t="s">
        <v>50</v>
      </c>
      <c r="K740" t="s">
        <v>1322</v>
      </c>
    </row>
    <row r="741" spans="1:11" x14ac:dyDescent="0.3">
      <c r="A741" s="1">
        <v>45667</v>
      </c>
      <c r="B741" t="s">
        <v>82</v>
      </c>
      <c r="C741" t="s">
        <v>1006</v>
      </c>
      <c r="D741" s="2">
        <v>401.07</v>
      </c>
      <c r="E741" s="2">
        <v>0</v>
      </c>
      <c r="F741" s="2">
        <v>75571.16</v>
      </c>
      <c r="G741" s="2" t="str">
        <f t="shared" si="11"/>
        <v>10-01-2025 NET PI TO HSL SEC A/C 523686-00602340029434</v>
      </c>
      <c r="H741" s="2" t="s">
        <v>1335</v>
      </c>
      <c r="I741" t="s">
        <v>337</v>
      </c>
      <c r="K741" t="s">
        <v>1322</v>
      </c>
    </row>
    <row r="742" spans="1:11" x14ac:dyDescent="0.3">
      <c r="A742" s="1">
        <v>45667</v>
      </c>
      <c r="B742" t="s">
        <v>82</v>
      </c>
      <c r="C742" t="s">
        <v>1007</v>
      </c>
      <c r="D742" s="2">
        <v>19082.759999999998</v>
      </c>
      <c r="E742" s="2">
        <v>0</v>
      </c>
      <c r="F742" s="2">
        <v>56488.4</v>
      </c>
      <c r="G742" s="2" t="str">
        <f t="shared" si="11"/>
        <v>10-01-2025 NET PI TO HSL SEC A/C 523686-00602340029434</v>
      </c>
      <c r="H742" s="2" t="s">
        <v>1335</v>
      </c>
      <c r="I742" t="s">
        <v>337</v>
      </c>
      <c r="K742" t="s">
        <v>1322</v>
      </c>
    </row>
    <row r="743" spans="1:11" x14ac:dyDescent="0.3">
      <c r="A743" s="1">
        <v>45670</v>
      </c>
      <c r="B743" t="s">
        <v>82</v>
      </c>
      <c r="C743" t="s">
        <v>1008</v>
      </c>
      <c r="D743" s="2">
        <v>1182.8399999999999</v>
      </c>
      <c r="E743" s="2">
        <v>0</v>
      </c>
      <c r="F743" s="2">
        <v>55305.56</v>
      </c>
      <c r="G743" s="2" t="str">
        <f t="shared" si="11"/>
        <v>13-01-2025 NET PI TO HSL SEC A/C 523686-00602340029434</v>
      </c>
      <c r="H743" s="2" t="s">
        <v>1335</v>
      </c>
      <c r="I743" t="s">
        <v>337</v>
      </c>
      <c r="K743" t="s">
        <v>1322</v>
      </c>
    </row>
    <row r="744" spans="1:11" x14ac:dyDescent="0.3">
      <c r="A744" s="1">
        <v>45670</v>
      </c>
      <c r="B744" t="s">
        <v>1009</v>
      </c>
      <c r="C744" t="s">
        <v>98</v>
      </c>
      <c r="D744" s="2">
        <v>672.6</v>
      </c>
      <c r="E744" s="2">
        <v>0</v>
      </c>
      <c r="F744" s="2">
        <v>54632.959999999999</v>
      </c>
      <c r="G744" s="2" t="str">
        <f t="shared" si="11"/>
        <v>13-01-2025 DEPOSITORY CHARGES DEC24 - 41060499</v>
      </c>
      <c r="H744" s="2" t="s">
        <v>1335</v>
      </c>
      <c r="I744" t="s">
        <v>343</v>
      </c>
      <c r="K744" t="s">
        <v>1322</v>
      </c>
    </row>
    <row r="745" spans="1:11" x14ac:dyDescent="0.3">
      <c r="A745" s="1">
        <v>45670</v>
      </c>
      <c r="B745" t="s">
        <v>82</v>
      </c>
      <c r="C745" t="s">
        <v>1010</v>
      </c>
      <c r="D745" s="2">
        <v>34962.559999999998</v>
      </c>
      <c r="E745" s="2">
        <v>0</v>
      </c>
      <c r="F745" s="2">
        <v>19670.400000000001</v>
      </c>
      <c r="G745" s="2" t="str">
        <f t="shared" si="11"/>
        <v>13-01-2025 NET PI TO HSL SEC A/C 523686-00602340029434</v>
      </c>
      <c r="H745" s="2" t="s">
        <v>1335</v>
      </c>
      <c r="I745" t="s">
        <v>337</v>
      </c>
      <c r="K745" t="s">
        <v>1322</v>
      </c>
    </row>
    <row r="746" spans="1:11" x14ac:dyDescent="0.3">
      <c r="A746" s="1">
        <v>45671</v>
      </c>
      <c r="B746" t="s">
        <v>82</v>
      </c>
      <c r="C746" t="s">
        <v>1011</v>
      </c>
      <c r="D746" s="2">
        <v>381.83</v>
      </c>
      <c r="E746" s="2">
        <v>0</v>
      </c>
      <c r="F746" s="2">
        <v>19288.57</v>
      </c>
      <c r="G746" s="2" t="str">
        <f t="shared" si="11"/>
        <v>14-01-2025 NET PI TO HSL SEC A/C 523686-00602340029434</v>
      </c>
      <c r="H746" s="2" t="s">
        <v>1335</v>
      </c>
      <c r="I746" t="s">
        <v>337</v>
      </c>
      <c r="K746" t="s">
        <v>1322</v>
      </c>
    </row>
    <row r="747" spans="1:11" x14ac:dyDescent="0.3">
      <c r="A747" s="1">
        <v>45672</v>
      </c>
      <c r="B747" t="s">
        <v>1012</v>
      </c>
      <c r="C747" t="s">
        <v>1013</v>
      </c>
      <c r="D747" s="2">
        <v>0</v>
      </c>
      <c r="E747" s="2">
        <v>24711.87</v>
      </c>
      <c r="F747" s="2">
        <v>44000.44</v>
      </c>
      <c r="G747" s="2" t="str">
        <f t="shared" si="11"/>
        <v>15-01-2025 FT- 600825987-50200085415108 - HDFC SECURITIES LTD-CLIENT DSCNB A/C -</v>
      </c>
      <c r="H747" s="2" t="s">
        <v>1335</v>
      </c>
      <c r="I747" t="s">
        <v>1310</v>
      </c>
      <c r="K747" t="s">
        <v>1322</v>
      </c>
    </row>
    <row r="748" spans="1:11" x14ac:dyDescent="0.3">
      <c r="A748" s="1">
        <v>45672</v>
      </c>
      <c r="B748" t="s">
        <v>1014</v>
      </c>
      <c r="C748" t="s">
        <v>1015</v>
      </c>
      <c r="D748" s="2">
        <v>5000</v>
      </c>
      <c r="E748" s="2">
        <v>0</v>
      </c>
      <c r="F748" s="2">
        <v>39000.44</v>
      </c>
      <c r="G748" s="2" t="str">
        <f t="shared" si="11"/>
        <v>15-01-2025 ACH D- TP ACH INDIANESIGN-1689209396</v>
      </c>
      <c r="H748" s="2" t="s">
        <v>1335</v>
      </c>
      <c r="I748" t="s">
        <v>341</v>
      </c>
      <c r="K748" t="s">
        <v>1322</v>
      </c>
    </row>
    <row r="749" spans="1:11" x14ac:dyDescent="0.3">
      <c r="A749" s="1">
        <v>45672</v>
      </c>
      <c r="B749" t="s">
        <v>82</v>
      </c>
      <c r="C749" t="s">
        <v>1016</v>
      </c>
      <c r="D749" s="2">
        <v>381.83</v>
      </c>
      <c r="E749" s="2">
        <v>0</v>
      </c>
      <c r="F749" s="2">
        <v>38618.61</v>
      </c>
      <c r="G749" s="2" t="str">
        <f t="shared" si="11"/>
        <v>15-01-2025 NET PI TO HSL SEC A/C 523686-00602340029434</v>
      </c>
      <c r="H749" s="2" t="s">
        <v>1335</v>
      </c>
      <c r="I749" t="s">
        <v>337</v>
      </c>
      <c r="K749" t="s">
        <v>1322</v>
      </c>
    </row>
    <row r="750" spans="1:11" x14ac:dyDescent="0.3">
      <c r="A750" s="1">
        <v>45673</v>
      </c>
      <c r="B750" t="s">
        <v>1017</v>
      </c>
      <c r="C750" t="s">
        <v>1018</v>
      </c>
      <c r="D750" s="2">
        <v>0</v>
      </c>
      <c r="E750" s="2">
        <v>1280.3900000000001</v>
      </c>
      <c r="F750" s="2">
        <v>39899</v>
      </c>
      <c r="G750" s="2" t="str">
        <f t="shared" si="11"/>
        <v>16-01-2025 FT- 601273702-50200085415108 - HDFC SECURITIES LTD-CLIENT DSCNB A/C -</v>
      </c>
      <c r="H750" s="2" t="s">
        <v>1335</v>
      </c>
      <c r="I750" t="s">
        <v>1310</v>
      </c>
      <c r="K750" t="s">
        <v>1322</v>
      </c>
    </row>
    <row r="751" spans="1:11" x14ac:dyDescent="0.3">
      <c r="A751" s="1">
        <v>45673</v>
      </c>
      <c r="B751" t="s">
        <v>82</v>
      </c>
      <c r="C751" t="s">
        <v>1019</v>
      </c>
      <c r="D751" s="2">
        <v>390.63</v>
      </c>
      <c r="E751" s="2">
        <v>0</v>
      </c>
      <c r="F751" s="2">
        <v>39508.370000000003</v>
      </c>
      <c r="G751" s="2" t="str">
        <f t="shared" si="11"/>
        <v>16-01-2025 NET PI TO HSL SEC A/C 523686-00602340029434</v>
      </c>
      <c r="H751" s="2" t="s">
        <v>1335</v>
      </c>
      <c r="I751" t="s">
        <v>337</v>
      </c>
      <c r="K751" t="s">
        <v>1322</v>
      </c>
    </row>
    <row r="752" spans="1:11" x14ac:dyDescent="0.3">
      <c r="A752" s="1">
        <v>45674</v>
      </c>
      <c r="B752" t="s">
        <v>1020</v>
      </c>
      <c r="C752" t="s">
        <v>1021</v>
      </c>
      <c r="D752" s="2">
        <v>0</v>
      </c>
      <c r="E752" s="2">
        <v>16238.56</v>
      </c>
      <c r="F752" s="2">
        <v>55746.93</v>
      </c>
      <c r="G752" s="2" t="str">
        <f t="shared" si="11"/>
        <v>17-01-2025 FT- 601652980-50200085415108 - HDFC SECURITIES LTD-CLIENT DSCNB A/C -</v>
      </c>
      <c r="H752" s="2" t="s">
        <v>1335</v>
      </c>
      <c r="I752" t="s">
        <v>1310</v>
      </c>
      <c r="K752" t="s">
        <v>1322</v>
      </c>
    </row>
    <row r="753" spans="1:11" x14ac:dyDescent="0.3">
      <c r="A753" s="1">
        <v>45674</v>
      </c>
      <c r="B753" t="s">
        <v>82</v>
      </c>
      <c r="C753" t="s">
        <v>1022</v>
      </c>
      <c r="D753" s="2">
        <v>391.08</v>
      </c>
      <c r="E753" s="2">
        <v>0</v>
      </c>
      <c r="F753" s="2">
        <v>55355.85</v>
      </c>
      <c r="G753" s="2" t="str">
        <f t="shared" si="11"/>
        <v>17-01-2025 NET PI TO HSL SEC A/C 523686-00602340029434</v>
      </c>
      <c r="H753" s="2" t="s">
        <v>1335</v>
      </c>
      <c r="I753" t="s">
        <v>337</v>
      </c>
      <c r="K753" t="s">
        <v>1322</v>
      </c>
    </row>
    <row r="754" spans="1:11" x14ac:dyDescent="0.3">
      <c r="A754" s="1">
        <v>45677</v>
      </c>
      <c r="B754" t="s">
        <v>1023</v>
      </c>
      <c r="C754" t="s">
        <v>1024</v>
      </c>
      <c r="D754" s="2">
        <v>0</v>
      </c>
      <c r="E754" s="2">
        <v>1432.58</v>
      </c>
      <c r="F754" s="2">
        <v>56788.43</v>
      </c>
      <c r="G754" s="2" t="str">
        <f t="shared" si="11"/>
        <v>20-01-2025 FT- 602049692-50200085415108 - HDFC SECURITIES LTD-CLIENT DSCNB A/C -</v>
      </c>
      <c r="H754" s="2" t="s">
        <v>1335</v>
      </c>
      <c r="I754" t="s">
        <v>1310</v>
      </c>
      <c r="K754" t="s">
        <v>1322</v>
      </c>
    </row>
    <row r="755" spans="1:11" x14ac:dyDescent="0.3">
      <c r="A755" s="1">
        <v>45677</v>
      </c>
      <c r="B755" t="s">
        <v>82</v>
      </c>
      <c r="C755" t="s">
        <v>1025</v>
      </c>
      <c r="D755" s="2">
        <v>1190.6099999999999</v>
      </c>
      <c r="E755" s="2">
        <v>0</v>
      </c>
      <c r="F755" s="2">
        <v>55597.82</v>
      </c>
      <c r="G755" s="2" t="str">
        <f t="shared" si="11"/>
        <v>20-01-2025 NET PI TO HSL SEC A/C 523686-00602340029434</v>
      </c>
      <c r="H755" s="2" t="s">
        <v>1335</v>
      </c>
      <c r="I755" t="s">
        <v>337</v>
      </c>
      <c r="K755" t="s">
        <v>1322</v>
      </c>
    </row>
    <row r="756" spans="1:11" x14ac:dyDescent="0.3">
      <c r="A756" s="1">
        <v>45678</v>
      </c>
      <c r="B756" t="s">
        <v>1026</v>
      </c>
      <c r="C756" t="s">
        <v>1027</v>
      </c>
      <c r="D756" s="2">
        <v>0</v>
      </c>
      <c r="E756" s="2">
        <v>1579.59</v>
      </c>
      <c r="F756" s="2">
        <v>57177.41</v>
      </c>
      <c r="G756" s="2" t="str">
        <f t="shared" si="11"/>
        <v>21-01-2025 FT- 602479922-50200085415108 - HDFC SECURITIES LTD-CLIENT DSCNB A/C -</v>
      </c>
      <c r="H756" s="2" t="s">
        <v>1335</v>
      </c>
      <c r="I756" t="s">
        <v>1310</v>
      </c>
      <c r="K756" t="s">
        <v>1322</v>
      </c>
    </row>
    <row r="757" spans="1:11" x14ac:dyDescent="0.3">
      <c r="A757" s="1">
        <v>45678</v>
      </c>
      <c r="B757" t="s">
        <v>82</v>
      </c>
      <c r="C757" t="s">
        <v>1028</v>
      </c>
      <c r="D757" s="2">
        <v>397.38</v>
      </c>
      <c r="E757" s="2">
        <v>0</v>
      </c>
      <c r="F757" s="2">
        <v>56780.03</v>
      </c>
      <c r="G757" s="2" t="str">
        <f t="shared" si="11"/>
        <v>21-01-2025 NET PI TO HSL SEC A/C 523686-00602340029434</v>
      </c>
      <c r="H757" s="2" t="s">
        <v>1335</v>
      </c>
      <c r="I757" t="s">
        <v>337</v>
      </c>
      <c r="K757" t="s">
        <v>1322</v>
      </c>
    </row>
    <row r="758" spans="1:11" x14ac:dyDescent="0.3">
      <c r="A758" s="1">
        <v>45678</v>
      </c>
      <c r="B758" t="s">
        <v>1029</v>
      </c>
      <c r="C758" t="s">
        <v>1030</v>
      </c>
      <c r="D758" s="2">
        <v>0</v>
      </c>
      <c r="E758" s="2">
        <v>905.21</v>
      </c>
      <c r="F758" s="2">
        <v>57685.24</v>
      </c>
      <c r="G758" s="2" t="str">
        <f t="shared" si="11"/>
        <v>21-01-2025 NEFT CR-UTIB0000004-AXIS MUTUAL FUND DIVIDEND A/C-SUNITA GUPTA-UTIBN62025012165110745</v>
      </c>
      <c r="H758" s="2" t="s">
        <v>1335</v>
      </c>
      <c r="I758" t="s">
        <v>340</v>
      </c>
      <c r="K758" t="s">
        <v>1322</v>
      </c>
    </row>
    <row r="759" spans="1:11" x14ac:dyDescent="0.3">
      <c r="A759" s="1">
        <v>45678</v>
      </c>
      <c r="B759" t="s">
        <v>82</v>
      </c>
      <c r="C759" t="s">
        <v>1031</v>
      </c>
      <c r="D759" s="2">
        <v>14686.8</v>
      </c>
      <c r="E759" s="2">
        <v>0</v>
      </c>
      <c r="F759" s="2">
        <v>42998.44</v>
      </c>
      <c r="G759" s="2" t="str">
        <f t="shared" si="11"/>
        <v>21-01-2025 NET PI TO HSL SEC A/C 523686-00602340029434</v>
      </c>
      <c r="H759" s="2" t="s">
        <v>1335</v>
      </c>
      <c r="I759" t="s">
        <v>337</v>
      </c>
      <c r="K759" t="s">
        <v>1322</v>
      </c>
    </row>
    <row r="760" spans="1:11" x14ac:dyDescent="0.3">
      <c r="A760" s="1">
        <v>45679</v>
      </c>
      <c r="B760" t="s">
        <v>82</v>
      </c>
      <c r="C760" t="s">
        <v>1032</v>
      </c>
      <c r="D760" s="2">
        <v>392.71</v>
      </c>
      <c r="E760" s="2">
        <v>0</v>
      </c>
      <c r="F760" s="2">
        <v>42605.73</v>
      </c>
      <c r="G760" s="2" t="str">
        <f t="shared" si="11"/>
        <v>22-01-2025 NET PI TO HSL SEC A/C 523686-00602340029434</v>
      </c>
      <c r="H760" s="2" t="s">
        <v>1335</v>
      </c>
      <c r="I760" t="s">
        <v>337</v>
      </c>
      <c r="K760" t="s">
        <v>1322</v>
      </c>
    </row>
    <row r="761" spans="1:11" x14ac:dyDescent="0.3">
      <c r="A761" s="1">
        <v>45679</v>
      </c>
      <c r="B761" t="s">
        <v>82</v>
      </c>
      <c r="C761" t="s">
        <v>1033</v>
      </c>
      <c r="D761" s="2">
        <v>4737.9399999999996</v>
      </c>
      <c r="E761" s="2">
        <v>0</v>
      </c>
      <c r="F761" s="2">
        <v>37867.79</v>
      </c>
      <c r="G761" s="2" t="str">
        <f t="shared" si="11"/>
        <v>22-01-2025 NET PI TO HSL SEC A/C 523686-00602340029434</v>
      </c>
      <c r="H761" s="2" t="s">
        <v>1335</v>
      </c>
      <c r="I761" t="s">
        <v>337</v>
      </c>
      <c r="K761" t="s">
        <v>1322</v>
      </c>
    </row>
    <row r="762" spans="1:11" x14ac:dyDescent="0.3">
      <c r="A762" s="1">
        <v>45680</v>
      </c>
      <c r="B762" t="s">
        <v>82</v>
      </c>
      <c r="C762" t="s">
        <v>1034</v>
      </c>
      <c r="D762" s="2">
        <v>391.02</v>
      </c>
      <c r="E762" s="2">
        <v>0</v>
      </c>
      <c r="F762" s="2">
        <v>37476.769999999997</v>
      </c>
      <c r="G762" s="2" t="str">
        <f t="shared" si="11"/>
        <v>23-01-2025 NET PI TO HSL SEC A/C 523686-00602340029434</v>
      </c>
      <c r="H762" s="2" t="s">
        <v>1335</v>
      </c>
      <c r="I762" t="s">
        <v>337</v>
      </c>
      <c r="K762" t="s">
        <v>1322</v>
      </c>
    </row>
    <row r="763" spans="1:11" x14ac:dyDescent="0.3">
      <c r="A763" s="1">
        <v>45681</v>
      </c>
      <c r="B763" t="s">
        <v>1035</v>
      </c>
      <c r="C763" t="s">
        <v>1036</v>
      </c>
      <c r="D763" s="2">
        <v>0</v>
      </c>
      <c r="E763" s="2">
        <v>17068.84</v>
      </c>
      <c r="F763" s="2">
        <v>54545.61</v>
      </c>
      <c r="G763" s="2" t="str">
        <f t="shared" si="11"/>
        <v>24-01-2025 FT- 603769079-50200085415108 - HDFC SECURITIES LTD-CLIENT DSCNB A/C -</v>
      </c>
      <c r="H763" s="2" t="s">
        <v>1335</v>
      </c>
      <c r="I763" t="s">
        <v>1310</v>
      </c>
      <c r="K763" t="s">
        <v>1322</v>
      </c>
    </row>
    <row r="764" spans="1:11" x14ac:dyDescent="0.3">
      <c r="A764" s="1">
        <v>45681</v>
      </c>
      <c r="B764" t="s">
        <v>82</v>
      </c>
      <c r="C764" t="s">
        <v>1037</v>
      </c>
      <c r="D764" s="2">
        <v>391.02</v>
      </c>
      <c r="E764" s="2">
        <v>0</v>
      </c>
      <c r="F764" s="2">
        <v>54154.59</v>
      </c>
      <c r="G764" s="2" t="str">
        <f t="shared" si="11"/>
        <v>24-01-2025 NET PI TO HSL SEC A/C 523686-00602340029434</v>
      </c>
      <c r="H764" s="2" t="s">
        <v>1335</v>
      </c>
      <c r="I764" t="s">
        <v>337</v>
      </c>
      <c r="K764" t="s">
        <v>1322</v>
      </c>
    </row>
    <row r="765" spans="1:11" x14ac:dyDescent="0.3">
      <c r="A765" s="1">
        <v>45681</v>
      </c>
      <c r="B765" t="s">
        <v>1038</v>
      </c>
      <c r="C765" t="s">
        <v>1039</v>
      </c>
      <c r="D765" s="2">
        <v>20000</v>
      </c>
      <c r="E765" s="2">
        <v>0</v>
      </c>
      <c r="F765" s="2">
        <v>34154.589999999997</v>
      </c>
      <c r="G765" s="2" t="str">
        <f t="shared" si="11"/>
        <v>24-01-2025 UPI-BIDYUT  HALDAR-7014298146@AXL-SBIN0031251-220367711683-LEMON TEA</v>
      </c>
      <c r="H765" s="2" t="s">
        <v>1335</v>
      </c>
      <c r="I765" t="s">
        <v>1306</v>
      </c>
      <c r="K765" t="s">
        <v>1322</v>
      </c>
    </row>
    <row r="766" spans="1:11" x14ac:dyDescent="0.3">
      <c r="A766" s="1">
        <v>45681</v>
      </c>
      <c r="B766" t="s">
        <v>82</v>
      </c>
      <c r="C766" t="s">
        <v>1040</v>
      </c>
      <c r="D766" s="2">
        <v>7692.58</v>
      </c>
      <c r="E766" s="2">
        <v>0</v>
      </c>
      <c r="F766" s="2">
        <v>26462.01</v>
      </c>
      <c r="G766" s="2" t="str">
        <f t="shared" si="11"/>
        <v>24-01-2025 NET PI TO HSL SEC A/C 523686-00602340029434</v>
      </c>
      <c r="H766" s="2" t="s">
        <v>1335</v>
      </c>
      <c r="I766" t="s">
        <v>337</v>
      </c>
      <c r="K766" t="s">
        <v>1322</v>
      </c>
    </row>
    <row r="767" spans="1:11" x14ac:dyDescent="0.3">
      <c r="A767" s="1">
        <v>45681</v>
      </c>
      <c r="B767" t="s">
        <v>1041</v>
      </c>
      <c r="C767" t="s">
        <v>1042</v>
      </c>
      <c r="D767" s="2">
        <v>10164</v>
      </c>
      <c r="E767" s="2">
        <v>0</v>
      </c>
      <c r="F767" s="2">
        <v>16298.01</v>
      </c>
      <c r="G767" s="2" t="str">
        <f t="shared" si="11"/>
        <v>24-01-2025 YHDF2518408318/BILLDKTHECALCUTTAELE</v>
      </c>
      <c r="H767" s="2" t="s">
        <v>1335</v>
      </c>
      <c r="I767" t="s">
        <v>1326</v>
      </c>
      <c r="K767" t="s">
        <v>1322</v>
      </c>
    </row>
    <row r="768" spans="1:11" x14ac:dyDescent="0.3">
      <c r="A768" s="1">
        <v>45684</v>
      </c>
      <c r="B768" t="s">
        <v>407</v>
      </c>
      <c r="C768" t="s">
        <v>23</v>
      </c>
      <c r="D768" s="2">
        <v>20000</v>
      </c>
      <c r="E768" s="2">
        <v>0</v>
      </c>
      <c r="F768" s="2">
        <v>37039.39</v>
      </c>
      <c r="G768" s="2" t="str">
        <f t="shared" si="11"/>
        <v>27-01-2025 UPI/P2A/539337800613/MADHURI SEN          /UPI/BANK OF INDIA</v>
      </c>
      <c r="H768" s="2" t="s">
        <v>1335</v>
      </c>
      <c r="I768" t="s">
        <v>1309</v>
      </c>
      <c r="K768" t="s">
        <v>1323</v>
      </c>
    </row>
    <row r="769" spans="1:13" x14ac:dyDescent="0.3">
      <c r="A769" s="1">
        <v>45684</v>
      </c>
      <c r="B769" t="s">
        <v>1043</v>
      </c>
      <c r="C769" t="s">
        <v>1044</v>
      </c>
      <c r="D769" s="2">
        <v>10000</v>
      </c>
      <c r="E769" s="2">
        <v>0</v>
      </c>
      <c r="F769" s="2">
        <v>6298.01</v>
      </c>
      <c r="G769" s="2" t="str">
        <f t="shared" si="11"/>
        <v>27-01-2025 ACH D- TP ACH INDIANESIGN-1692517311</v>
      </c>
      <c r="H769" s="2" t="s">
        <v>1335</v>
      </c>
      <c r="I769" t="s">
        <v>342</v>
      </c>
      <c r="K769" t="s">
        <v>1322</v>
      </c>
    </row>
    <row r="770" spans="1:13" x14ac:dyDescent="0.3">
      <c r="A770" s="1">
        <v>45684</v>
      </c>
      <c r="B770" t="s">
        <v>82</v>
      </c>
      <c r="C770" t="s">
        <v>1045</v>
      </c>
      <c r="D770" s="2">
        <v>1183.08</v>
      </c>
      <c r="E770" s="2">
        <v>0</v>
      </c>
      <c r="F770" s="2">
        <v>5114.93</v>
      </c>
      <c r="G770" s="2" t="str">
        <f t="shared" si="11"/>
        <v>27-01-2025 NET PI TO HSL SEC A/C 523686-00602340029434</v>
      </c>
      <c r="H770" s="2" t="s">
        <v>1335</v>
      </c>
      <c r="I770" t="s">
        <v>337</v>
      </c>
      <c r="K770" t="s">
        <v>1322</v>
      </c>
    </row>
    <row r="771" spans="1:13" x14ac:dyDescent="0.3">
      <c r="A771" s="1">
        <v>45684</v>
      </c>
      <c r="B771" t="s">
        <v>82</v>
      </c>
      <c r="C771" t="s">
        <v>1046</v>
      </c>
      <c r="D771" s="2">
        <v>5114.93</v>
      </c>
      <c r="E771" s="2">
        <v>0</v>
      </c>
      <c r="F771" s="2">
        <v>0</v>
      </c>
      <c r="G771" s="2" t="str">
        <f t="shared" si="11"/>
        <v>27-01-2025 NET PI TO HSL SEC A/C 523686-00602340029434</v>
      </c>
      <c r="H771" s="2" t="s">
        <v>1335</v>
      </c>
      <c r="I771" t="s">
        <v>337</v>
      </c>
      <c r="K771" t="s">
        <v>1322</v>
      </c>
    </row>
    <row r="772" spans="1:13" x14ac:dyDescent="0.3">
      <c r="A772" s="1">
        <v>45686</v>
      </c>
      <c r="B772" t="s">
        <v>1047</v>
      </c>
      <c r="C772" t="s">
        <v>1048</v>
      </c>
      <c r="D772" s="2">
        <v>0</v>
      </c>
      <c r="E772" s="2">
        <v>84.57</v>
      </c>
      <c r="F772" s="2">
        <v>84.57</v>
      </c>
      <c r="G772" s="2" t="str">
        <f t="shared" si="11"/>
        <v>29-01-2025 NEFT CR-UTIB0000004-AXIS MUTUAL FUND DIVIDEND A/C-SUNITA GUPTA-UTIBN62025012940337499</v>
      </c>
      <c r="H772" s="2" t="s">
        <v>1335</v>
      </c>
      <c r="I772" t="s">
        <v>340</v>
      </c>
      <c r="K772" t="s">
        <v>1322</v>
      </c>
    </row>
    <row r="773" spans="1:13" x14ac:dyDescent="0.3">
      <c r="A773" s="1">
        <v>45686</v>
      </c>
      <c r="B773" t="s">
        <v>82</v>
      </c>
      <c r="C773" t="s">
        <v>1049</v>
      </c>
      <c r="D773" s="2">
        <v>84.57</v>
      </c>
      <c r="E773" s="2">
        <v>0</v>
      </c>
      <c r="F773" s="2">
        <v>0</v>
      </c>
      <c r="G773" s="2" t="str">
        <f t="shared" ref="G773:G836" si="12">TEXT(A773,"DD")&amp;"-"&amp;TEXT(A773,"MM")&amp;"-"&amp;TEXT(A773,"YYYY")&amp;" "&amp;B773</f>
        <v>29-01-2025 NET PI TO HSL SEC A/C 523686-00602340029434</v>
      </c>
      <c r="H773" s="2" t="s">
        <v>1335</v>
      </c>
      <c r="I773" t="s">
        <v>337</v>
      </c>
      <c r="K773" t="s">
        <v>1322</v>
      </c>
    </row>
    <row r="774" spans="1:13" x14ac:dyDescent="0.3">
      <c r="A774" s="1">
        <v>45687</v>
      </c>
      <c r="B774" t="s">
        <v>1050</v>
      </c>
      <c r="C774" t="s">
        <v>1051</v>
      </c>
      <c r="D774" s="2">
        <v>0</v>
      </c>
      <c r="E774" s="2">
        <v>28044.51</v>
      </c>
      <c r="F774" s="2">
        <v>28044.51</v>
      </c>
      <c r="G774" s="2" t="str">
        <f t="shared" si="12"/>
        <v>30-01-2025 FT- 605558165-50200085415108 - HDFC SECURITIES LTD-CLIENT DSCNB A/C -</v>
      </c>
      <c r="H774" s="2" t="s">
        <v>1335</v>
      </c>
      <c r="I774" t="s">
        <v>1310</v>
      </c>
      <c r="K774" t="s">
        <v>1322</v>
      </c>
    </row>
    <row r="775" spans="1:13" x14ac:dyDescent="0.3">
      <c r="A775" s="1">
        <v>45687</v>
      </c>
      <c r="B775" t="s">
        <v>1052</v>
      </c>
      <c r="C775" t="s">
        <v>1053</v>
      </c>
      <c r="D775" s="2">
        <v>0</v>
      </c>
      <c r="E775" s="2">
        <v>20000</v>
      </c>
      <c r="F775" s="2">
        <v>48044.51</v>
      </c>
      <c r="G775" s="2" t="str">
        <f t="shared" si="12"/>
        <v>30-01-2025 UPI-AJAY KUMAR GUPTA-AJAYGUPTANEL@IBL-HDFC0000167-810561957614-PAYMENT FROM PHONE</v>
      </c>
      <c r="H775" s="2" t="s">
        <v>1335</v>
      </c>
      <c r="I775" t="s">
        <v>1336</v>
      </c>
      <c r="K775" t="s">
        <v>1322</v>
      </c>
    </row>
    <row r="776" spans="1:13" x14ac:dyDescent="0.3">
      <c r="A776" s="1">
        <v>45687</v>
      </c>
      <c r="B776" t="s">
        <v>82</v>
      </c>
      <c r="C776" t="s">
        <v>1054</v>
      </c>
      <c r="D776" s="2">
        <v>392.82</v>
      </c>
      <c r="E776" s="2">
        <v>0</v>
      </c>
      <c r="F776" s="2">
        <v>47651.69</v>
      </c>
      <c r="G776" s="2" t="str">
        <f t="shared" si="12"/>
        <v>30-01-2025 NET PI TO HSL SEC A/C 523686-00602340029434</v>
      </c>
      <c r="H776" s="2" t="s">
        <v>1335</v>
      </c>
      <c r="I776" t="s">
        <v>337</v>
      </c>
      <c r="K776" t="s">
        <v>1322</v>
      </c>
    </row>
    <row r="777" spans="1:13" x14ac:dyDescent="0.3">
      <c r="A777" s="1">
        <v>45687</v>
      </c>
      <c r="B777" t="s">
        <v>82</v>
      </c>
      <c r="C777" t="s">
        <v>1055</v>
      </c>
      <c r="D777" s="2">
        <v>19819.29</v>
      </c>
      <c r="E777" s="2">
        <v>0</v>
      </c>
      <c r="F777" s="2">
        <v>27832.400000000001</v>
      </c>
      <c r="G777" s="2" t="str">
        <f t="shared" si="12"/>
        <v>30-01-2025 NET PI TO HSL SEC A/C 523686-00602340029434</v>
      </c>
      <c r="H777" s="2" t="s">
        <v>1335</v>
      </c>
      <c r="I777" t="s">
        <v>337</v>
      </c>
      <c r="K777" t="s">
        <v>1322</v>
      </c>
    </row>
    <row r="778" spans="1:13" x14ac:dyDescent="0.3">
      <c r="A778" s="1">
        <v>45687</v>
      </c>
      <c r="B778" t="s">
        <v>1056</v>
      </c>
      <c r="C778" t="s">
        <v>1057</v>
      </c>
      <c r="D778" s="2">
        <v>0</v>
      </c>
      <c r="E778" s="2">
        <v>2738</v>
      </c>
      <c r="F778" s="2">
        <v>30570.400000000001</v>
      </c>
      <c r="G778" s="2" t="str">
        <f t="shared" si="12"/>
        <v>30-01-2025 NEFT CR-SBIN0004266-SBI GENERAL INSURANCE CO LTDSBI GEN-SUNITA GUPTA 0000000002717756-SBINN52025013077176630</v>
      </c>
      <c r="H778" s="2" t="s">
        <v>1335</v>
      </c>
      <c r="I778" t="s">
        <v>345</v>
      </c>
      <c r="J778" t="s">
        <v>1330</v>
      </c>
      <c r="K778" t="s">
        <v>1322</v>
      </c>
      <c r="L778" s="11">
        <f>ROUND(E778/0.9,0)</f>
        <v>3042</v>
      </c>
      <c r="M778" s="11">
        <f>L778-E778</f>
        <v>304</v>
      </c>
    </row>
    <row r="779" spans="1:13" x14ac:dyDescent="0.3">
      <c r="A779" s="1">
        <v>45687</v>
      </c>
      <c r="B779" t="s">
        <v>82</v>
      </c>
      <c r="C779" t="s">
        <v>1058</v>
      </c>
      <c r="D779" s="2">
        <v>3162.79</v>
      </c>
      <c r="E779" s="2">
        <v>0</v>
      </c>
      <c r="F779" s="2">
        <v>27407.61</v>
      </c>
      <c r="G779" s="2" t="str">
        <f t="shared" si="12"/>
        <v>30-01-2025 NET PI TO HSL SEC A/C 523686-00602340029434</v>
      </c>
      <c r="H779" s="2" t="s">
        <v>1335</v>
      </c>
      <c r="I779" t="s">
        <v>337</v>
      </c>
      <c r="K779" t="s">
        <v>1322</v>
      </c>
    </row>
    <row r="780" spans="1:13" x14ac:dyDescent="0.3">
      <c r="A780" s="1">
        <v>45688</v>
      </c>
      <c r="B780" t="s">
        <v>1059</v>
      </c>
      <c r="C780" t="s">
        <v>1060</v>
      </c>
      <c r="D780" s="2">
        <v>0</v>
      </c>
      <c r="E780" s="2">
        <v>5948.06</v>
      </c>
      <c r="F780" s="2">
        <v>33355.67</v>
      </c>
      <c r="G780" s="2" t="str">
        <f t="shared" si="12"/>
        <v>31-01-2025 FT- 606018689-50200085415108 - HDFC SECURITIES LTD-CLIENT DSCNB A/C -</v>
      </c>
      <c r="H780" s="2" t="s">
        <v>1335</v>
      </c>
      <c r="I780" t="s">
        <v>1310</v>
      </c>
      <c r="K780" t="s">
        <v>1322</v>
      </c>
    </row>
    <row r="781" spans="1:13" x14ac:dyDescent="0.3">
      <c r="A781" s="1">
        <v>45688</v>
      </c>
      <c r="B781" t="s">
        <v>82</v>
      </c>
      <c r="C781" t="s">
        <v>1061</v>
      </c>
      <c r="D781" s="2">
        <v>366.51</v>
      </c>
      <c r="E781" s="2">
        <v>0</v>
      </c>
      <c r="F781" s="2">
        <v>32989.160000000003</v>
      </c>
      <c r="G781" s="2" t="str">
        <f t="shared" si="12"/>
        <v>31-01-2025 NET PI TO HSL SEC A/C 523686-00602340029434</v>
      </c>
      <c r="H781" s="2" t="s">
        <v>1335</v>
      </c>
      <c r="I781" t="s">
        <v>337</v>
      </c>
      <c r="K781" t="s">
        <v>1322</v>
      </c>
    </row>
    <row r="782" spans="1:13" x14ac:dyDescent="0.3">
      <c r="A782" s="1">
        <v>45691</v>
      </c>
      <c r="B782" t="s">
        <v>1062</v>
      </c>
      <c r="C782" t="s">
        <v>1063</v>
      </c>
      <c r="D782" s="2">
        <v>0</v>
      </c>
      <c r="E782" s="2">
        <v>105.23</v>
      </c>
      <c r="F782" s="2">
        <v>33094.39</v>
      </c>
      <c r="G782" s="2" t="str">
        <f t="shared" si="12"/>
        <v>03-02-2025 FT- 606603295-50200085415108 - HDFC SECURITIES LTD-CLIENT DSCNB A/C -</v>
      </c>
      <c r="H782" s="2" t="s">
        <v>1335</v>
      </c>
      <c r="I782" t="s">
        <v>1310</v>
      </c>
      <c r="K782" t="s">
        <v>1322</v>
      </c>
    </row>
    <row r="783" spans="1:13" x14ac:dyDescent="0.3">
      <c r="A783" s="1">
        <v>45691</v>
      </c>
      <c r="B783" t="s">
        <v>1064</v>
      </c>
      <c r="C783" t="s">
        <v>1065</v>
      </c>
      <c r="D783" s="2">
        <v>0</v>
      </c>
      <c r="E783" s="2">
        <v>34295.839999999997</v>
      </c>
      <c r="F783" s="2">
        <v>67390.23</v>
      </c>
      <c r="G783" s="2" t="str">
        <f t="shared" si="12"/>
        <v>03-02-2025 FT- 606642758-50200085415108 - HDFC SECURITIES LTD-CLIENT DSCNB A/C -</v>
      </c>
      <c r="H783" s="2" t="s">
        <v>1335</v>
      </c>
      <c r="I783" t="s">
        <v>1310</v>
      </c>
      <c r="K783" t="s">
        <v>1322</v>
      </c>
    </row>
    <row r="784" spans="1:13" x14ac:dyDescent="0.3">
      <c r="A784" s="1">
        <v>45691</v>
      </c>
      <c r="B784" t="s">
        <v>1066</v>
      </c>
      <c r="C784" t="s">
        <v>1067</v>
      </c>
      <c r="D784" s="2">
        <v>0</v>
      </c>
      <c r="E784" s="2">
        <v>3496</v>
      </c>
      <c r="F784" s="2">
        <v>70886.23</v>
      </c>
      <c r="G784" s="2" t="str">
        <f t="shared" si="12"/>
        <v>03-02-2025 ACH C- TCS3INTSPLDIV030225-789082</v>
      </c>
      <c r="H784" s="2" t="s">
        <v>1335</v>
      </c>
      <c r="I784" t="s">
        <v>340</v>
      </c>
      <c r="K784" t="s">
        <v>1322</v>
      </c>
    </row>
    <row r="785" spans="1:13" x14ac:dyDescent="0.3">
      <c r="A785" s="1">
        <v>45691</v>
      </c>
      <c r="B785" t="s">
        <v>82</v>
      </c>
      <c r="C785" t="s">
        <v>1068</v>
      </c>
      <c r="D785" s="2">
        <v>28353.38</v>
      </c>
      <c r="E785" s="2">
        <v>0</v>
      </c>
      <c r="F785" s="2">
        <v>42532.85</v>
      </c>
      <c r="G785" s="2" t="str">
        <f t="shared" si="12"/>
        <v>03-02-2025 NET PI TO HSL SEC A/C 523686-00602340029434</v>
      </c>
      <c r="H785" s="2" t="s">
        <v>1335</v>
      </c>
      <c r="I785" t="s">
        <v>337</v>
      </c>
      <c r="K785" t="s">
        <v>1322</v>
      </c>
    </row>
    <row r="786" spans="1:13" x14ac:dyDescent="0.3">
      <c r="A786" s="1">
        <v>45692</v>
      </c>
      <c r="B786" t="s">
        <v>1069</v>
      </c>
      <c r="C786" t="s">
        <v>1070</v>
      </c>
      <c r="D786" s="2">
        <v>0</v>
      </c>
      <c r="E786" s="2">
        <v>46286.58</v>
      </c>
      <c r="F786" s="2">
        <v>88819.43</v>
      </c>
      <c r="G786" s="2" t="str">
        <f t="shared" si="12"/>
        <v>04-02-2025 FT- 607119671-50200085415108 - HDFC SECURITIES LTD-CLIENT DSCNB A/C -</v>
      </c>
      <c r="H786" s="2" t="s">
        <v>1335</v>
      </c>
      <c r="I786" t="s">
        <v>1310</v>
      </c>
      <c r="K786" t="s">
        <v>1322</v>
      </c>
    </row>
    <row r="787" spans="1:13" x14ac:dyDescent="0.3">
      <c r="A787" s="1">
        <v>45692</v>
      </c>
      <c r="B787" t="s">
        <v>82</v>
      </c>
      <c r="C787" t="s">
        <v>1071</v>
      </c>
      <c r="D787" s="2">
        <v>357.49</v>
      </c>
      <c r="E787" s="2">
        <v>0</v>
      </c>
      <c r="F787" s="2">
        <v>88461.94</v>
      </c>
      <c r="G787" s="2" t="str">
        <f t="shared" si="12"/>
        <v>04-02-2025 NET PI TO HSL SEC A/C 523686-00602340029434</v>
      </c>
      <c r="H787" s="2" t="s">
        <v>1335</v>
      </c>
      <c r="I787" t="s">
        <v>337</v>
      </c>
      <c r="K787" t="s">
        <v>1322</v>
      </c>
    </row>
    <row r="788" spans="1:13" x14ac:dyDescent="0.3">
      <c r="A788" s="1">
        <v>45692</v>
      </c>
      <c r="B788" t="s">
        <v>82</v>
      </c>
      <c r="C788" t="s">
        <v>1072</v>
      </c>
      <c r="D788" s="2">
        <v>7755.45</v>
      </c>
      <c r="E788" s="2">
        <v>0</v>
      </c>
      <c r="F788" s="2">
        <v>80706.490000000005</v>
      </c>
      <c r="G788" s="2" t="str">
        <f t="shared" si="12"/>
        <v>04-02-2025 NET PI TO HSL SEC A/C 523686-00602340029434</v>
      </c>
      <c r="H788" s="2" t="s">
        <v>1335</v>
      </c>
      <c r="I788" t="s">
        <v>337</v>
      </c>
      <c r="K788" t="s">
        <v>1322</v>
      </c>
    </row>
    <row r="789" spans="1:13" x14ac:dyDescent="0.3">
      <c r="A789" s="1">
        <v>45693</v>
      </c>
      <c r="B789" t="s">
        <v>82</v>
      </c>
      <c r="C789" t="s">
        <v>1073</v>
      </c>
      <c r="D789" s="2">
        <v>366.99</v>
      </c>
      <c r="E789" s="2">
        <v>0</v>
      </c>
      <c r="F789" s="2">
        <v>80339.5</v>
      </c>
      <c r="G789" s="2" t="str">
        <f t="shared" si="12"/>
        <v>05-02-2025 NET PI TO HSL SEC A/C 523686-00602340029434</v>
      </c>
      <c r="H789" s="2" t="s">
        <v>1335</v>
      </c>
      <c r="I789" t="s">
        <v>337</v>
      </c>
      <c r="K789" t="s">
        <v>1322</v>
      </c>
    </row>
    <row r="790" spans="1:13" x14ac:dyDescent="0.3">
      <c r="A790" s="1">
        <v>45693</v>
      </c>
      <c r="B790" t="s">
        <v>1074</v>
      </c>
      <c r="C790" t="s">
        <v>1075</v>
      </c>
      <c r="D790" s="2">
        <v>0</v>
      </c>
      <c r="E790" s="2">
        <v>10164</v>
      </c>
      <c r="F790" s="2">
        <v>90503.5</v>
      </c>
      <c r="G790" s="2" t="str">
        <f t="shared" si="12"/>
        <v>05-02-2025 NEFT CR-SBIN0004266-SBI GENERAL INSURANCE CO LTDSBI GEN-SUNITA GUPTA 0000000002717756-SBINN52025020592093945</v>
      </c>
      <c r="H790" s="2" t="s">
        <v>1335</v>
      </c>
      <c r="I790" t="s">
        <v>1326</v>
      </c>
      <c r="K790" t="s">
        <v>1322</v>
      </c>
    </row>
    <row r="791" spans="1:13" x14ac:dyDescent="0.3">
      <c r="A791" s="1">
        <v>45693</v>
      </c>
      <c r="B791" t="s">
        <v>82</v>
      </c>
      <c r="C791" t="s">
        <v>1076</v>
      </c>
      <c r="D791" s="2">
        <v>28518.15</v>
      </c>
      <c r="E791" s="2">
        <v>0</v>
      </c>
      <c r="F791" s="2">
        <v>61985.35</v>
      </c>
      <c r="G791" s="2" t="str">
        <f t="shared" si="12"/>
        <v>05-02-2025 NET PI TO HSL SEC A/C 523686-00602340029434</v>
      </c>
      <c r="H791" s="2" t="s">
        <v>1335</v>
      </c>
      <c r="I791" t="s">
        <v>337</v>
      </c>
      <c r="K791" t="s">
        <v>1322</v>
      </c>
    </row>
    <row r="792" spans="1:13" x14ac:dyDescent="0.3">
      <c r="A792" s="1">
        <v>45694</v>
      </c>
      <c r="B792" t="s">
        <v>1077</v>
      </c>
      <c r="C792" t="s">
        <v>1078</v>
      </c>
      <c r="D792" s="2">
        <v>0</v>
      </c>
      <c r="E792" s="2">
        <v>42371.199999999997</v>
      </c>
      <c r="F792" s="2">
        <v>104356.55</v>
      </c>
      <c r="G792" s="2" t="str">
        <f t="shared" si="12"/>
        <v>06-02-2025 FT- 607956203-50200085415108 - HDFC SECURITIES LTD-CLIENT DSCNB A/C -</v>
      </c>
      <c r="H792" s="2" t="s">
        <v>1335</v>
      </c>
      <c r="I792" t="s">
        <v>1310</v>
      </c>
      <c r="K792" t="s">
        <v>1322</v>
      </c>
    </row>
    <row r="793" spans="1:13" x14ac:dyDescent="0.3">
      <c r="A793" s="1">
        <v>45694</v>
      </c>
      <c r="B793" t="s">
        <v>82</v>
      </c>
      <c r="C793" t="s">
        <v>1079</v>
      </c>
      <c r="D793" s="2">
        <v>379.21</v>
      </c>
      <c r="E793" s="2">
        <v>0</v>
      </c>
      <c r="F793" s="2">
        <v>103977.34</v>
      </c>
      <c r="G793" s="2" t="str">
        <f t="shared" si="12"/>
        <v>06-02-2025 NET PI TO HSL SEC A/C 523686-00602340029434</v>
      </c>
      <c r="H793" s="2" t="s">
        <v>1335</v>
      </c>
      <c r="I793" t="s">
        <v>337</v>
      </c>
      <c r="K793" t="s">
        <v>1322</v>
      </c>
    </row>
    <row r="794" spans="1:13" x14ac:dyDescent="0.3">
      <c r="A794" s="1">
        <v>45694</v>
      </c>
      <c r="B794" t="s">
        <v>82</v>
      </c>
      <c r="C794" t="s">
        <v>1080</v>
      </c>
      <c r="D794" s="2">
        <v>3322.57</v>
      </c>
      <c r="E794" s="2">
        <v>0</v>
      </c>
      <c r="F794" s="2">
        <v>100654.77</v>
      </c>
      <c r="G794" s="2" t="str">
        <f t="shared" si="12"/>
        <v>06-02-2025 NET PI TO HSL SEC A/C 523686-00602340029434</v>
      </c>
      <c r="H794" s="2" t="s">
        <v>1335</v>
      </c>
      <c r="I794" t="s">
        <v>337</v>
      </c>
      <c r="K794" t="s">
        <v>1322</v>
      </c>
    </row>
    <row r="795" spans="1:13" x14ac:dyDescent="0.3">
      <c r="A795" s="1">
        <v>45695</v>
      </c>
      <c r="B795" t="s">
        <v>82</v>
      </c>
      <c r="C795" t="s">
        <v>1081</v>
      </c>
      <c r="D795" s="2">
        <v>378.02</v>
      </c>
      <c r="E795" s="2">
        <v>0</v>
      </c>
      <c r="F795" s="2">
        <v>100276.75</v>
      </c>
      <c r="G795" s="2" t="str">
        <f t="shared" si="12"/>
        <v>07-02-2025 NET PI TO HSL SEC A/C 523686-00602340029434</v>
      </c>
      <c r="H795" s="2" t="s">
        <v>1335</v>
      </c>
      <c r="I795" t="s">
        <v>337</v>
      </c>
      <c r="K795" t="s">
        <v>1322</v>
      </c>
    </row>
    <row r="796" spans="1:13" x14ac:dyDescent="0.3">
      <c r="A796" s="1">
        <v>45695</v>
      </c>
      <c r="B796" t="s">
        <v>1082</v>
      </c>
      <c r="C796" t="s">
        <v>1083</v>
      </c>
      <c r="D796" s="2">
        <v>0</v>
      </c>
      <c r="E796" s="2">
        <v>34220</v>
      </c>
      <c r="F796" s="2">
        <v>134496.75</v>
      </c>
      <c r="G796" s="2" t="str">
        <f t="shared" si="12"/>
        <v>07-02-2025 NEFT CR-SBIN0004266-SBI GENERAL INSURANCE CO LTDSBI GEN-SUNITA GUPTA 0000000002717756-SBINN52025020795304462</v>
      </c>
      <c r="H796" s="2" t="s">
        <v>1335</v>
      </c>
      <c r="I796" t="s">
        <v>345</v>
      </c>
      <c r="J796" t="s">
        <v>1330</v>
      </c>
      <c r="K796" t="s">
        <v>1322</v>
      </c>
      <c r="L796" s="11">
        <f>ROUND(E796/0.9,0)</f>
        <v>38022</v>
      </c>
      <c r="M796" s="11">
        <f>L796-E796</f>
        <v>3802</v>
      </c>
    </row>
    <row r="797" spans="1:13" x14ac:dyDescent="0.3">
      <c r="A797" s="1">
        <v>45695</v>
      </c>
      <c r="B797" t="s">
        <v>82</v>
      </c>
      <c r="C797" t="s">
        <v>1084</v>
      </c>
      <c r="D797" s="2">
        <v>33071.58</v>
      </c>
      <c r="E797" s="2">
        <v>0</v>
      </c>
      <c r="F797" s="2">
        <v>101425.17</v>
      </c>
      <c r="G797" s="2" t="str">
        <f t="shared" si="12"/>
        <v>07-02-2025 NET PI TO HSL SEC A/C 523686-00602340029434</v>
      </c>
      <c r="H797" s="2" t="s">
        <v>1335</v>
      </c>
      <c r="I797" t="s">
        <v>337</v>
      </c>
      <c r="K797" t="s">
        <v>1322</v>
      </c>
    </row>
    <row r="798" spans="1:13" x14ac:dyDescent="0.3">
      <c r="A798" s="1">
        <v>45698</v>
      </c>
      <c r="B798" t="s">
        <v>408</v>
      </c>
      <c r="C798" t="s">
        <v>23</v>
      </c>
      <c r="D798" s="2">
        <v>1200</v>
      </c>
      <c r="E798" s="2">
        <v>0</v>
      </c>
      <c r="F798" s="2">
        <v>35839.39</v>
      </c>
      <c r="G798" s="2" t="str">
        <f t="shared" si="12"/>
        <v>10-02-2025 UPI/P2A/540741534158/ASHLESHA RAMDAS  WAGH/UPI/State Bank Of India</v>
      </c>
      <c r="H798" s="2" t="s">
        <v>1335</v>
      </c>
      <c r="I798" t="s">
        <v>1309</v>
      </c>
      <c r="K798" t="s">
        <v>1323</v>
      </c>
    </row>
    <row r="799" spans="1:13" x14ac:dyDescent="0.3">
      <c r="A799" s="1">
        <v>45698</v>
      </c>
      <c r="B799" t="s">
        <v>1085</v>
      </c>
      <c r="C799" t="s">
        <v>1086</v>
      </c>
      <c r="D799" s="2">
        <v>0</v>
      </c>
      <c r="E799" s="2">
        <v>86601.53</v>
      </c>
      <c r="F799" s="2">
        <v>188026.7</v>
      </c>
      <c r="G799" s="2" t="str">
        <f t="shared" si="12"/>
        <v>10-02-2025 FT- 608796900-50200085415108 - HDFC SECURITIES LTD-CLIENT DSCNB A/C -</v>
      </c>
      <c r="H799" s="2" t="s">
        <v>1335</v>
      </c>
      <c r="I799" t="s">
        <v>1310</v>
      </c>
      <c r="K799" t="s">
        <v>1322</v>
      </c>
    </row>
    <row r="800" spans="1:13" x14ac:dyDescent="0.3">
      <c r="A800" s="1">
        <v>45698</v>
      </c>
      <c r="B800" t="s">
        <v>82</v>
      </c>
      <c r="C800" t="s">
        <v>1087</v>
      </c>
      <c r="D800" s="2">
        <v>1098.72</v>
      </c>
      <c r="E800" s="2">
        <v>0</v>
      </c>
      <c r="F800" s="2">
        <v>186927.98</v>
      </c>
      <c r="G800" s="2" t="str">
        <f t="shared" si="12"/>
        <v>10-02-2025 NET PI TO HSL SEC A/C 523686-00602340029434</v>
      </c>
      <c r="H800" s="2" t="s">
        <v>1335</v>
      </c>
      <c r="I800" t="s">
        <v>337</v>
      </c>
      <c r="K800" t="s">
        <v>1322</v>
      </c>
    </row>
    <row r="801" spans="1:11" x14ac:dyDescent="0.3">
      <c r="A801" s="1">
        <v>45699</v>
      </c>
      <c r="B801" t="s">
        <v>82</v>
      </c>
      <c r="C801" t="s">
        <v>1088</v>
      </c>
      <c r="D801" s="2">
        <v>32793.15</v>
      </c>
      <c r="E801" s="2">
        <v>0</v>
      </c>
      <c r="F801" s="2">
        <v>154134.82999999999</v>
      </c>
      <c r="G801" s="2" t="str">
        <f t="shared" si="12"/>
        <v>11-02-2025 NET PI TO HSL SEC A/C 523686-00602340029434</v>
      </c>
      <c r="H801" s="2" t="s">
        <v>1335</v>
      </c>
      <c r="I801" t="s">
        <v>337</v>
      </c>
      <c r="K801" t="s">
        <v>1322</v>
      </c>
    </row>
    <row r="802" spans="1:11" x14ac:dyDescent="0.3">
      <c r="A802" s="1">
        <v>45699</v>
      </c>
      <c r="B802" t="s">
        <v>82</v>
      </c>
      <c r="C802" t="s">
        <v>1089</v>
      </c>
      <c r="D802" s="2">
        <v>378.42</v>
      </c>
      <c r="E802" s="2">
        <v>0</v>
      </c>
      <c r="F802" s="2">
        <v>153756.41</v>
      </c>
      <c r="G802" s="2" t="str">
        <f t="shared" si="12"/>
        <v>11-02-2025 NET PI TO HSL SEC A/C 523686-00602340029434</v>
      </c>
      <c r="H802" s="2" t="s">
        <v>1335</v>
      </c>
      <c r="I802" t="s">
        <v>337</v>
      </c>
      <c r="K802" t="s">
        <v>1322</v>
      </c>
    </row>
    <row r="803" spans="1:11" x14ac:dyDescent="0.3">
      <c r="A803" s="1">
        <v>45699</v>
      </c>
      <c r="B803" t="s">
        <v>82</v>
      </c>
      <c r="C803" t="s">
        <v>1090</v>
      </c>
      <c r="D803" s="2">
        <v>37144.79</v>
      </c>
      <c r="E803" s="2">
        <v>0</v>
      </c>
      <c r="F803" s="2">
        <v>116611.62</v>
      </c>
      <c r="G803" s="2" t="str">
        <f t="shared" si="12"/>
        <v>11-02-2025 NET PI TO HSL SEC A/C 523686-00602340029434</v>
      </c>
      <c r="H803" s="2" t="s">
        <v>1335</v>
      </c>
      <c r="I803" t="s">
        <v>337</v>
      </c>
      <c r="K803" t="s">
        <v>1322</v>
      </c>
    </row>
    <row r="804" spans="1:11" x14ac:dyDescent="0.3">
      <c r="A804" s="1">
        <v>45700</v>
      </c>
      <c r="B804" t="s">
        <v>82</v>
      </c>
      <c r="C804" t="s">
        <v>1091</v>
      </c>
      <c r="D804" s="2">
        <v>379.99</v>
      </c>
      <c r="E804" s="2">
        <v>0</v>
      </c>
      <c r="F804" s="2">
        <v>116231.63</v>
      </c>
      <c r="G804" s="2" t="str">
        <f t="shared" si="12"/>
        <v>12-02-2025 NET PI TO HSL SEC A/C 523686-00602340029434</v>
      </c>
      <c r="H804" s="2" t="s">
        <v>1335</v>
      </c>
      <c r="I804" t="s">
        <v>337</v>
      </c>
      <c r="K804" t="s">
        <v>1322</v>
      </c>
    </row>
    <row r="805" spans="1:11" x14ac:dyDescent="0.3">
      <c r="A805" s="1">
        <v>45700</v>
      </c>
      <c r="B805" t="s">
        <v>82</v>
      </c>
      <c r="C805" t="s">
        <v>1092</v>
      </c>
      <c r="D805" s="2">
        <v>43612.42</v>
      </c>
      <c r="E805" s="2">
        <v>0</v>
      </c>
      <c r="F805" s="2">
        <v>72619.210000000006</v>
      </c>
      <c r="G805" s="2" t="str">
        <f t="shared" si="12"/>
        <v>12-02-2025 NET PI TO HSL SEC A/C 523686-00602340029434</v>
      </c>
      <c r="H805" s="2" t="s">
        <v>1335</v>
      </c>
      <c r="I805" t="s">
        <v>337</v>
      </c>
      <c r="K805" t="s">
        <v>1322</v>
      </c>
    </row>
    <row r="806" spans="1:11" x14ac:dyDescent="0.3">
      <c r="A806" s="1">
        <v>45701</v>
      </c>
      <c r="B806" t="s">
        <v>82</v>
      </c>
      <c r="C806" t="s">
        <v>1093</v>
      </c>
      <c r="D806" s="2">
        <v>369.32</v>
      </c>
      <c r="E806" s="2">
        <v>0</v>
      </c>
      <c r="F806" s="2">
        <v>72249.89</v>
      </c>
      <c r="G806" s="2" t="str">
        <f t="shared" si="12"/>
        <v>13-02-2025 NET PI TO HSL SEC A/C 523686-00602340029434</v>
      </c>
      <c r="H806" s="2" t="s">
        <v>1335</v>
      </c>
      <c r="I806" t="s">
        <v>337</v>
      </c>
      <c r="K806" t="s">
        <v>1322</v>
      </c>
    </row>
    <row r="807" spans="1:11" x14ac:dyDescent="0.3">
      <c r="A807" s="1">
        <v>45701</v>
      </c>
      <c r="B807" t="s">
        <v>1094</v>
      </c>
      <c r="C807" t="s">
        <v>1095</v>
      </c>
      <c r="D807" s="2">
        <v>0</v>
      </c>
      <c r="E807" s="2">
        <v>627</v>
      </c>
      <c r="F807" s="2">
        <v>72876.89</v>
      </c>
      <c r="G807" s="2" t="str">
        <f t="shared" si="12"/>
        <v>13-02-2025 ACH C- COFORGE LTD-95252</v>
      </c>
      <c r="H807" s="2" t="s">
        <v>1335</v>
      </c>
      <c r="I807" t="s">
        <v>340</v>
      </c>
      <c r="K807" t="s">
        <v>1322</v>
      </c>
    </row>
    <row r="808" spans="1:11" x14ac:dyDescent="0.3">
      <c r="A808" s="1">
        <v>45701</v>
      </c>
      <c r="B808" t="s">
        <v>82</v>
      </c>
      <c r="C808" t="s">
        <v>1096</v>
      </c>
      <c r="D808" s="2">
        <v>3599.59</v>
      </c>
      <c r="E808" s="2">
        <v>0</v>
      </c>
      <c r="F808" s="2">
        <v>69277.3</v>
      </c>
      <c r="G808" s="2" t="str">
        <f t="shared" si="12"/>
        <v>13-02-2025 NET PI TO HSL SEC A/C 523686-00602340029434</v>
      </c>
      <c r="H808" s="2" t="s">
        <v>1335</v>
      </c>
      <c r="I808" t="s">
        <v>337</v>
      </c>
      <c r="K808" t="s">
        <v>1322</v>
      </c>
    </row>
    <row r="809" spans="1:11" x14ac:dyDescent="0.3">
      <c r="A809" s="1">
        <v>45702</v>
      </c>
      <c r="B809" t="s">
        <v>409</v>
      </c>
      <c r="C809" t="s">
        <v>23</v>
      </c>
      <c r="D809" s="2">
        <v>320</v>
      </c>
      <c r="E809" s="2">
        <v>0</v>
      </c>
      <c r="F809" s="2">
        <v>35519.39</v>
      </c>
      <c r="G809" s="2" t="str">
        <f t="shared" si="12"/>
        <v>14-02-2025 UPI/P2A/504523848997/BHARTI RATAN DEVNANI /UPI/UNION BANK OF INDIA</v>
      </c>
      <c r="H809" s="2" t="s">
        <v>1335</v>
      </c>
      <c r="I809" t="s">
        <v>1309</v>
      </c>
      <c r="K809" t="s">
        <v>1323</v>
      </c>
    </row>
    <row r="810" spans="1:11" x14ac:dyDescent="0.3">
      <c r="A810" s="1">
        <v>45702</v>
      </c>
      <c r="B810" t="s">
        <v>1097</v>
      </c>
      <c r="C810" t="s">
        <v>1098</v>
      </c>
      <c r="D810" s="2">
        <v>0</v>
      </c>
      <c r="E810" s="2">
        <v>210</v>
      </c>
      <c r="F810" s="2">
        <v>69487.3</v>
      </c>
      <c r="G810" s="2" t="str">
        <f t="shared" si="12"/>
        <v>14-02-2025 DR LAL PATHLDIV24 2500000000000000008368</v>
      </c>
      <c r="H810" s="2" t="s">
        <v>1335</v>
      </c>
      <c r="I810" t="s">
        <v>340</v>
      </c>
      <c r="K810" t="s">
        <v>1322</v>
      </c>
    </row>
    <row r="811" spans="1:11" x14ac:dyDescent="0.3">
      <c r="A811" s="1">
        <v>45702</v>
      </c>
      <c r="B811" t="s">
        <v>82</v>
      </c>
      <c r="C811" t="s">
        <v>1099</v>
      </c>
      <c r="D811" s="2">
        <v>402.64</v>
      </c>
      <c r="E811" s="2">
        <v>0</v>
      </c>
      <c r="F811" s="2">
        <v>69084.66</v>
      </c>
      <c r="G811" s="2" t="str">
        <f t="shared" si="12"/>
        <v>14-02-2025 NET PI TO HSL SEC A/C 523686-00602340029434</v>
      </c>
      <c r="H811" s="2" t="s">
        <v>1335</v>
      </c>
      <c r="I811" t="s">
        <v>337</v>
      </c>
      <c r="K811" t="s">
        <v>1322</v>
      </c>
    </row>
    <row r="812" spans="1:11" x14ac:dyDescent="0.3">
      <c r="A812" s="1">
        <v>45702</v>
      </c>
      <c r="B812" t="s">
        <v>1100</v>
      </c>
      <c r="C812" t="s">
        <v>98</v>
      </c>
      <c r="D812" s="2">
        <v>247.8</v>
      </c>
      <c r="E812" s="2">
        <v>0</v>
      </c>
      <c r="F812" s="2">
        <v>68836.86</v>
      </c>
      <c r="G812" s="2" t="str">
        <f t="shared" si="12"/>
        <v>14-02-2025 DEPOSITORY CHARGES JAN25 - 41060499</v>
      </c>
      <c r="H812" s="2" t="s">
        <v>1335</v>
      </c>
      <c r="I812" t="s">
        <v>343</v>
      </c>
      <c r="K812" t="s">
        <v>1322</v>
      </c>
    </row>
    <row r="813" spans="1:11" x14ac:dyDescent="0.3">
      <c r="A813" s="1">
        <v>45702</v>
      </c>
      <c r="B813" t="s">
        <v>82</v>
      </c>
      <c r="C813" t="s">
        <v>1101</v>
      </c>
      <c r="D813" s="2">
        <v>21070.58</v>
      </c>
      <c r="E813" s="2">
        <v>0</v>
      </c>
      <c r="F813" s="2">
        <v>47766.28</v>
      </c>
      <c r="G813" s="2" t="str">
        <f t="shared" si="12"/>
        <v>14-02-2025 NET PI TO HSL SEC A/C 523686-00602340029434</v>
      </c>
      <c r="H813" s="2" t="s">
        <v>1335</v>
      </c>
      <c r="I813" t="s">
        <v>337</v>
      </c>
      <c r="K813" t="s">
        <v>1322</v>
      </c>
    </row>
    <row r="814" spans="1:11" x14ac:dyDescent="0.3">
      <c r="A814" s="1">
        <v>45703</v>
      </c>
      <c r="B814" t="s">
        <v>82</v>
      </c>
      <c r="C814" t="s">
        <v>1102</v>
      </c>
      <c r="D814" s="2">
        <v>5298.4</v>
      </c>
      <c r="E814" s="2">
        <v>0</v>
      </c>
      <c r="F814" s="2">
        <v>42467.88</v>
      </c>
      <c r="G814" s="2" t="str">
        <f t="shared" si="12"/>
        <v>15-02-2025 NET PI TO HSL SEC A/C 523686-00602340029434</v>
      </c>
      <c r="H814" s="2" t="s">
        <v>1335</v>
      </c>
      <c r="I814" t="s">
        <v>337</v>
      </c>
      <c r="K814" t="s">
        <v>1322</v>
      </c>
    </row>
    <row r="815" spans="1:11" x14ac:dyDescent="0.3">
      <c r="A815" s="1">
        <v>45705</v>
      </c>
      <c r="B815" t="s">
        <v>1103</v>
      </c>
      <c r="C815" t="s">
        <v>1104</v>
      </c>
      <c r="D815" s="2">
        <v>0</v>
      </c>
      <c r="E815" s="2">
        <v>834.62</v>
      </c>
      <c r="F815" s="2">
        <v>43302.5</v>
      </c>
      <c r="G815" s="2" t="str">
        <f t="shared" si="12"/>
        <v>17-02-2025 FT- 611101706-50200085415108 - HDFC SECURITIES LTD-CLIENT DSCNB A/C -</v>
      </c>
      <c r="H815" s="2" t="s">
        <v>1335</v>
      </c>
      <c r="I815" t="s">
        <v>1310</v>
      </c>
      <c r="K815" t="s">
        <v>1322</v>
      </c>
    </row>
    <row r="816" spans="1:11" x14ac:dyDescent="0.3">
      <c r="A816" s="1">
        <v>45705</v>
      </c>
      <c r="B816" t="s">
        <v>1105</v>
      </c>
      <c r="C816" t="s">
        <v>1106</v>
      </c>
      <c r="D816" s="2">
        <v>0</v>
      </c>
      <c r="E816" s="2">
        <v>5298.4</v>
      </c>
      <c r="F816" s="2">
        <v>48600.9</v>
      </c>
      <c r="G816" s="2" t="str">
        <f t="shared" si="12"/>
        <v>17-02-2025 FT- 611101707-50200085415108 - HDFC SECURITIES LTD-CLIENT DSCNB A/C -</v>
      </c>
      <c r="H816" s="2" t="s">
        <v>1335</v>
      </c>
      <c r="I816" t="s">
        <v>1310</v>
      </c>
      <c r="K816" t="s">
        <v>1322</v>
      </c>
    </row>
    <row r="817" spans="1:11" x14ac:dyDescent="0.3">
      <c r="A817" s="1">
        <v>45705</v>
      </c>
      <c r="B817" t="s">
        <v>1107</v>
      </c>
      <c r="C817" t="s">
        <v>1108</v>
      </c>
      <c r="D817" s="2">
        <v>5000</v>
      </c>
      <c r="E817" s="2">
        <v>0</v>
      </c>
      <c r="F817" s="2">
        <v>43600.9</v>
      </c>
      <c r="G817" s="2" t="str">
        <f t="shared" si="12"/>
        <v>17-02-2025 ACH D- TP ACH INDIANESIGN-1720937443</v>
      </c>
      <c r="H817" s="2" t="s">
        <v>1335</v>
      </c>
      <c r="I817" t="s">
        <v>341</v>
      </c>
      <c r="K817" t="s">
        <v>1322</v>
      </c>
    </row>
    <row r="818" spans="1:11" x14ac:dyDescent="0.3">
      <c r="A818" s="1">
        <v>45705</v>
      </c>
      <c r="B818" t="s">
        <v>82</v>
      </c>
      <c r="C818" t="s">
        <v>1109</v>
      </c>
      <c r="D818" s="2">
        <v>1179.75</v>
      </c>
      <c r="E818" s="2">
        <v>0</v>
      </c>
      <c r="F818" s="2">
        <v>42421.15</v>
      </c>
      <c r="G818" s="2" t="str">
        <f t="shared" si="12"/>
        <v>17-02-2025 NET PI TO HSL SEC A/C 523686-00602340029434</v>
      </c>
      <c r="H818" s="2" t="s">
        <v>1335</v>
      </c>
      <c r="I818" t="s">
        <v>337</v>
      </c>
      <c r="K818" t="s">
        <v>1322</v>
      </c>
    </row>
    <row r="819" spans="1:11" x14ac:dyDescent="0.3">
      <c r="A819" s="1">
        <v>45705</v>
      </c>
      <c r="B819" t="s">
        <v>1110</v>
      </c>
      <c r="C819" t="s">
        <v>1111</v>
      </c>
      <c r="D819" s="2">
        <v>0</v>
      </c>
      <c r="E819" s="2">
        <v>475</v>
      </c>
      <c r="F819" s="2">
        <v>42896.15</v>
      </c>
      <c r="G819" s="2" t="str">
        <f t="shared" si="12"/>
        <v>17-02-2025 ACH C- SHRIRAM.FINLTD I2DV2-STFIN3004764</v>
      </c>
      <c r="H819" s="2" t="s">
        <v>1335</v>
      </c>
      <c r="I819" t="s">
        <v>340</v>
      </c>
      <c r="K819" t="s">
        <v>1322</v>
      </c>
    </row>
    <row r="820" spans="1:11" x14ac:dyDescent="0.3">
      <c r="A820" s="1">
        <v>45705</v>
      </c>
      <c r="B820" t="s">
        <v>82</v>
      </c>
      <c r="C820" t="s">
        <v>1112</v>
      </c>
      <c r="D820" s="2">
        <v>17237.03</v>
      </c>
      <c r="E820" s="2">
        <v>0</v>
      </c>
      <c r="F820" s="2">
        <v>25659.119999999999</v>
      </c>
      <c r="G820" s="2" t="str">
        <f t="shared" si="12"/>
        <v>17-02-2025 NET PI TO HSL SEC A/C 523686-00602340029434</v>
      </c>
      <c r="H820" s="2" t="s">
        <v>1335</v>
      </c>
      <c r="I820" t="s">
        <v>337</v>
      </c>
      <c r="K820" t="s">
        <v>1322</v>
      </c>
    </row>
    <row r="821" spans="1:11" x14ac:dyDescent="0.3">
      <c r="A821" s="1">
        <v>45705</v>
      </c>
      <c r="B821" t="s">
        <v>82</v>
      </c>
      <c r="C821" t="s">
        <v>1113</v>
      </c>
      <c r="D821" s="2">
        <v>6502.29</v>
      </c>
      <c r="E821" s="2">
        <v>0</v>
      </c>
      <c r="F821" s="2">
        <v>19156.830000000002</v>
      </c>
      <c r="G821" s="2" t="str">
        <f t="shared" si="12"/>
        <v>17-02-2025 NET PI TO HSL SEC A/C 523686-00602340029434</v>
      </c>
      <c r="H821" s="2" t="s">
        <v>1335</v>
      </c>
      <c r="I821" t="s">
        <v>337</v>
      </c>
      <c r="K821" t="s">
        <v>1322</v>
      </c>
    </row>
    <row r="822" spans="1:11" x14ac:dyDescent="0.3">
      <c r="A822" s="1">
        <v>45706</v>
      </c>
      <c r="B822" t="s">
        <v>1114</v>
      </c>
      <c r="C822" t="s">
        <v>1115</v>
      </c>
      <c r="D822" s="2">
        <v>0</v>
      </c>
      <c r="E822" s="2">
        <v>40874.93</v>
      </c>
      <c r="F822" s="2">
        <v>60031.76</v>
      </c>
      <c r="G822" s="2" t="str">
        <f t="shared" si="12"/>
        <v>18-02-2025 FT- 611623287-50200085415108 - HDFC SECURITIES LTD-CLIENT DSCNB A/C -</v>
      </c>
      <c r="H822" s="2" t="s">
        <v>1335</v>
      </c>
      <c r="I822" t="s">
        <v>1310</v>
      </c>
      <c r="K822" t="s">
        <v>1322</v>
      </c>
    </row>
    <row r="823" spans="1:11" x14ac:dyDescent="0.3">
      <c r="A823" s="1">
        <v>45706</v>
      </c>
      <c r="B823" t="s">
        <v>82</v>
      </c>
      <c r="C823" t="s">
        <v>1116</v>
      </c>
      <c r="D823" s="2">
        <v>386.68</v>
      </c>
      <c r="E823" s="2">
        <v>0</v>
      </c>
      <c r="F823" s="2">
        <v>59645.08</v>
      </c>
      <c r="G823" s="2" t="str">
        <f t="shared" si="12"/>
        <v>18-02-2025 NET PI TO HSL SEC A/C 523686-00602340029434</v>
      </c>
      <c r="H823" s="2" t="s">
        <v>1335</v>
      </c>
      <c r="I823" t="s">
        <v>337</v>
      </c>
      <c r="K823" t="s">
        <v>1322</v>
      </c>
    </row>
    <row r="824" spans="1:11" x14ac:dyDescent="0.3">
      <c r="A824" s="1">
        <v>45706</v>
      </c>
      <c r="B824" t="s">
        <v>1117</v>
      </c>
      <c r="C824" t="s">
        <v>1118</v>
      </c>
      <c r="D824" s="2">
        <v>0</v>
      </c>
      <c r="E824" s="2">
        <v>17</v>
      </c>
      <c r="F824" s="2">
        <v>59662.080000000002</v>
      </c>
      <c r="G824" s="2" t="str">
        <f t="shared" si="12"/>
        <v>18-02-2025 ACH C- COAL INDIA LTD-1765532</v>
      </c>
      <c r="H824" s="2" t="s">
        <v>1335</v>
      </c>
      <c r="I824" t="s">
        <v>340</v>
      </c>
      <c r="K824" t="s">
        <v>1322</v>
      </c>
    </row>
    <row r="825" spans="1:11" x14ac:dyDescent="0.3">
      <c r="A825" s="1">
        <v>45706</v>
      </c>
      <c r="B825" t="s">
        <v>1119</v>
      </c>
      <c r="C825" t="s">
        <v>1120</v>
      </c>
      <c r="D825" s="2">
        <v>0</v>
      </c>
      <c r="E825" s="2">
        <v>525</v>
      </c>
      <c r="F825" s="2">
        <v>60187.08</v>
      </c>
      <c r="G825" s="2" t="str">
        <f t="shared" si="12"/>
        <v>18-02-2025 ACH C- CAMS 3INTDIV 24 25-179387</v>
      </c>
      <c r="H825" s="2" t="s">
        <v>1335</v>
      </c>
      <c r="I825" t="s">
        <v>340</v>
      </c>
      <c r="K825" t="s">
        <v>1322</v>
      </c>
    </row>
    <row r="826" spans="1:11" x14ac:dyDescent="0.3">
      <c r="A826" s="1">
        <v>45706</v>
      </c>
      <c r="B826" t="s">
        <v>82</v>
      </c>
      <c r="C826" t="s">
        <v>1121</v>
      </c>
      <c r="D826" s="2">
        <v>10680.72</v>
      </c>
      <c r="E826" s="2">
        <v>0</v>
      </c>
      <c r="F826" s="2">
        <v>49506.36</v>
      </c>
      <c r="G826" s="2" t="str">
        <f t="shared" si="12"/>
        <v>18-02-2025 NET PI TO HSL SEC A/C 523686-00602340029434</v>
      </c>
      <c r="H826" s="2" t="s">
        <v>1335</v>
      </c>
      <c r="I826" t="s">
        <v>337</v>
      </c>
      <c r="K826" t="s">
        <v>1322</v>
      </c>
    </row>
    <row r="827" spans="1:11" x14ac:dyDescent="0.3">
      <c r="A827" s="1">
        <v>45706</v>
      </c>
      <c r="B827" t="s">
        <v>82</v>
      </c>
      <c r="C827" t="s">
        <v>1122</v>
      </c>
      <c r="D827" s="2">
        <v>32910.82</v>
      </c>
      <c r="E827" s="2">
        <v>0</v>
      </c>
      <c r="F827" s="2">
        <v>16595.54</v>
      </c>
      <c r="G827" s="2" t="str">
        <f t="shared" si="12"/>
        <v>18-02-2025 NET PI TO HSL SEC A/C 523686-00602340029434</v>
      </c>
      <c r="H827" s="2" t="s">
        <v>1335</v>
      </c>
      <c r="I827" t="s">
        <v>337</v>
      </c>
      <c r="K827" t="s">
        <v>1322</v>
      </c>
    </row>
    <row r="828" spans="1:11" x14ac:dyDescent="0.3">
      <c r="A828" s="1">
        <v>45707</v>
      </c>
      <c r="B828" t="s">
        <v>82</v>
      </c>
      <c r="C828" t="s">
        <v>1123</v>
      </c>
      <c r="D828" s="2">
        <v>397.02</v>
      </c>
      <c r="E828" s="2">
        <v>0</v>
      </c>
      <c r="F828" s="2">
        <v>16198.52</v>
      </c>
      <c r="G828" s="2" t="str">
        <f t="shared" si="12"/>
        <v>19-02-2025 NET PI TO HSL SEC A/C 523686-00602340029434</v>
      </c>
      <c r="H828" s="2" t="s">
        <v>1335</v>
      </c>
      <c r="I828" t="s">
        <v>337</v>
      </c>
      <c r="K828" t="s">
        <v>1322</v>
      </c>
    </row>
    <row r="829" spans="1:11" x14ac:dyDescent="0.3">
      <c r="A829" s="1">
        <v>45707</v>
      </c>
      <c r="B829" t="s">
        <v>82</v>
      </c>
      <c r="C829" t="s">
        <v>1124</v>
      </c>
      <c r="D829" s="2">
        <v>13065.24</v>
      </c>
      <c r="E829" s="2">
        <v>0</v>
      </c>
      <c r="F829" s="2">
        <v>3133.28</v>
      </c>
      <c r="G829" s="2" t="str">
        <f t="shared" si="12"/>
        <v>19-02-2025 NET PI TO HSL SEC A/C 523686-00602340029434</v>
      </c>
      <c r="H829" s="2" t="s">
        <v>1335</v>
      </c>
      <c r="I829" t="s">
        <v>337</v>
      </c>
      <c r="K829" t="s">
        <v>1322</v>
      </c>
    </row>
    <row r="830" spans="1:11" x14ac:dyDescent="0.3">
      <c r="A830" s="1">
        <v>45708</v>
      </c>
      <c r="B830" t="s">
        <v>1125</v>
      </c>
      <c r="C830" t="s">
        <v>1126</v>
      </c>
      <c r="D830" s="2">
        <v>0</v>
      </c>
      <c r="E830" s="2">
        <v>12303.96</v>
      </c>
      <c r="F830" s="2">
        <v>15437.24</v>
      </c>
      <c r="G830" s="2" t="str">
        <f t="shared" si="12"/>
        <v>20-02-2025 FT- 612389928-50200085415108 - HDFC SECURITIES LTD-CLIENT DSCNB A/C -</v>
      </c>
      <c r="H830" s="2" t="s">
        <v>1335</v>
      </c>
      <c r="I830" t="s">
        <v>1310</v>
      </c>
      <c r="K830" t="s">
        <v>1322</v>
      </c>
    </row>
    <row r="831" spans="1:11" x14ac:dyDescent="0.3">
      <c r="A831" s="1">
        <v>45708</v>
      </c>
      <c r="B831" t="s">
        <v>1127</v>
      </c>
      <c r="C831" t="s">
        <v>1128</v>
      </c>
      <c r="D831" s="2">
        <v>0</v>
      </c>
      <c r="E831" s="2">
        <v>573.75</v>
      </c>
      <c r="F831" s="2">
        <v>16010.99</v>
      </c>
      <c r="G831" s="2" t="str">
        <f t="shared" si="12"/>
        <v>20-02-2025 ACH C- CONCOR 3RD INT DIV-CN060225004173</v>
      </c>
      <c r="H831" s="2" t="s">
        <v>1335</v>
      </c>
      <c r="I831" t="s">
        <v>340</v>
      </c>
      <c r="K831" t="s">
        <v>1322</v>
      </c>
    </row>
    <row r="832" spans="1:11" x14ac:dyDescent="0.3">
      <c r="A832" s="1">
        <v>45708</v>
      </c>
      <c r="B832" t="s">
        <v>82</v>
      </c>
      <c r="C832" t="s">
        <v>1129</v>
      </c>
      <c r="D832" s="2">
        <v>392.37</v>
      </c>
      <c r="E832" s="2">
        <v>0</v>
      </c>
      <c r="F832" s="2">
        <v>15618.62</v>
      </c>
      <c r="G832" s="2" t="str">
        <f t="shared" si="12"/>
        <v>20-02-2025 NET PI TO HSL SEC A/C 523686-00602340029434</v>
      </c>
      <c r="H832" s="2" t="s">
        <v>1335</v>
      </c>
      <c r="I832" t="s">
        <v>337</v>
      </c>
      <c r="K832" t="s">
        <v>1322</v>
      </c>
    </row>
    <row r="833" spans="1:11" x14ac:dyDescent="0.3">
      <c r="A833" s="1">
        <v>45708</v>
      </c>
      <c r="B833" t="s">
        <v>1130</v>
      </c>
      <c r="C833" t="s">
        <v>1131</v>
      </c>
      <c r="D833" s="2">
        <v>7632</v>
      </c>
      <c r="E833" s="2">
        <v>0</v>
      </c>
      <c r="F833" s="2">
        <v>7986.62</v>
      </c>
      <c r="G833" s="2" t="str">
        <f t="shared" si="12"/>
        <v>20-02-2025 YHDF2532495131/BILLDKTHECALCUTTAELE</v>
      </c>
      <c r="H833" s="2" t="s">
        <v>1335</v>
      </c>
      <c r="I833" t="s">
        <v>1326</v>
      </c>
      <c r="K833" t="s">
        <v>1322</v>
      </c>
    </row>
    <row r="834" spans="1:11" x14ac:dyDescent="0.3">
      <c r="A834" s="9">
        <v>45708</v>
      </c>
      <c r="B834" t="s">
        <v>1284</v>
      </c>
      <c r="C834" t="s">
        <v>1285</v>
      </c>
      <c r="D834" s="2">
        <v>0</v>
      </c>
      <c r="E834" s="2">
        <v>100000</v>
      </c>
      <c r="F834" s="2">
        <v>122354.7</v>
      </c>
      <c r="G834" s="2" t="str">
        <f t="shared" si="12"/>
        <v>20-02-2025    BY TRANSFER-INB borrow--</v>
      </c>
      <c r="H834" s="2" t="s">
        <v>1335</v>
      </c>
      <c r="I834" t="s">
        <v>52</v>
      </c>
      <c r="K834" t="s">
        <v>1324</v>
      </c>
    </row>
    <row r="835" spans="1:11" x14ac:dyDescent="0.3">
      <c r="A835" s="1">
        <v>45709</v>
      </c>
      <c r="B835" t="s">
        <v>1132</v>
      </c>
      <c r="C835" t="s">
        <v>1133</v>
      </c>
      <c r="D835" s="2">
        <v>0</v>
      </c>
      <c r="E835" s="2">
        <v>14833.79</v>
      </c>
      <c r="F835" s="2">
        <v>22820.41</v>
      </c>
      <c r="G835" s="2" t="str">
        <f t="shared" si="12"/>
        <v>21-02-2025 FT- 612817930-50200085415108 - HDFC SECURITIES LTD-CLIENT DSCNB A/C -</v>
      </c>
      <c r="H835" s="2" t="s">
        <v>1335</v>
      </c>
      <c r="I835" t="s">
        <v>1310</v>
      </c>
      <c r="K835" t="s">
        <v>1322</v>
      </c>
    </row>
    <row r="836" spans="1:11" x14ac:dyDescent="0.3">
      <c r="A836" s="1">
        <v>45709</v>
      </c>
      <c r="B836" t="s">
        <v>1134</v>
      </c>
      <c r="C836" t="s">
        <v>1135</v>
      </c>
      <c r="D836" s="2">
        <v>0</v>
      </c>
      <c r="E836" s="2">
        <v>15852.28</v>
      </c>
      <c r="F836" s="2">
        <v>38672.69</v>
      </c>
      <c r="G836" s="2" t="str">
        <f t="shared" si="12"/>
        <v>21-02-2025 FT- 612789373-50200085415108 - HDFC SECURITIES LTD-CLIENT DSCNB A/C -</v>
      </c>
      <c r="H836" s="2" t="s">
        <v>1335</v>
      </c>
      <c r="I836" t="s">
        <v>1310</v>
      </c>
      <c r="K836" t="s">
        <v>1322</v>
      </c>
    </row>
    <row r="837" spans="1:11" x14ac:dyDescent="0.3">
      <c r="A837" s="1">
        <v>45709</v>
      </c>
      <c r="B837" t="s">
        <v>82</v>
      </c>
      <c r="C837" t="s">
        <v>1136</v>
      </c>
      <c r="D837" s="2">
        <v>413.13</v>
      </c>
      <c r="E837" s="2">
        <v>0</v>
      </c>
      <c r="F837" s="2">
        <v>38259.56</v>
      </c>
      <c r="G837" s="2" t="str">
        <f t="shared" ref="G837:G900" si="13">TEXT(A837,"DD")&amp;"-"&amp;TEXT(A837,"MM")&amp;"-"&amp;TEXT(A837,"YYYY")&amp;" "&amp;B837</f>
        <v>21-02-2025 NET PI TO HSL SEC A/C 523686-00602340029434</v>
      </c>
      <c r="H837" s="2" t="s">
        <v>1335</v>
      </c>
      <c r="I837" t="s">
        <v>337</v>
      </c>
      <c r="K837" t="s">
        <v>1322</v>
      </c>
    </row>
    <row r="838" spans="1:11" x14ac:dyDescent="0.3">
      <c r="A838" s="1">
        <v>45709</v>
      </c>
      <c r="B838" t="s">
        <v>82</v>
      </c>
      <c r="C838" t="s">
        <v>1137</v>
      </c>
      <c r="D838" s="2">
        <v>591.59</v>
      </c>
      <c r="E838" s="2">
        <v>0</v>
      </c>
      <c r="F838" s="2">
        <v>37667.97</v>
      </c>
      <c r="G838" s="2" t="str">
        <f t="shared" si="13"/>
        <v>21-02-2025 NET PI TO HSL SEC A/C 523686-00602340029434</v>
      </c>
      <c r="H838" s="2" t="s">
        <v>1335</v>
      </c>
      <c r="I838" t="s">
        <v>337</v>
      </c>
      <c r="K838" t="s">
        <v>1322</v>
      </c>
    </row>
    <row r="839" spans="1:11" x14ac:dyDescent="0.3">
      <c r="A839" s="1">
        <v>45709</v>
      </c>
      <c r="B839" t="s">
        <v>82</v>
      </c>
      <c r="C839" t="s">
        <v>1138</v>
      </c>
      <c r="D839" s="2">
        <v>14592.03</v>
      </c>
      <c r="E839" s="2">
        <v>0</v>
      </c>
      <c r="F839" s="2">
        <v>23075.94</v>
      </c>
      <c r="G839" s="2" t="str">
        <f t="shared" si="13"/>
        <v>21-02-2025 NET PI TO HSL SEC A/C 523686-00602340029434</v>
      </c>
      <c r="H839" s="2" t="s">
        <v>1335</v>
      </c>
      <c r="I839" t="s">
        <v>337</v>
      </c>
      <c r="K839" t="s">
        <v>1322</v>
      </c>
    </row>
    <row r="840" spans="1:11" x14ac:dyDescent="0.3">
      <c r="A840" s="9">
        <v>45709</v>
      </c>
      <c r="B840" t="s">
        <v>1286</v>
      </c>
      <c r="C840" t="s">
        <v>1287</v>
      </c>
      <c r="D840" s="2">
        <v>100000</v>
      </c>
      <c r="E840" s="2">
        <v>0</v>
      </c>
      <c r="F840" s="2">
        <v>22354.7</v>
      </c>
      <c r="G840" s="2" t="str">
        <f t="shared" si="13"/>
        <v>21-02-2025    TO TRANSFER-INB Security deposit return--</v>
      </c>
      <c r="H840" s="2" t="s">
        <v>1335</v>
      </c>
      <c r="I840" t="s">
        <v>1297</v>
      </c>
      <c r="K840" t="s">
        <v>1324</v>
      </c>
    </row>
    <row r="841" spans="1:11" x14ac:dyDescent="0.3">
      <c r="A841" s="1">
        <v>45712</v>
      </c>
      <c r="B841" t="s">
        <v>82</v>
      </c>
      <c r="C841" t="s">
        <v>1139</v>
      </c>
      <c r="D841" s="2">
        <v>1240.1099999999999</v>
      </c>
      <c r="E841" s="2">
        <v>0</v>
      </c>
      <c r="F841" s="2">
        <v>21835.83</v>
      </c>
      <c r="G841" s="2" t="str">
        <f t="shared" si="13"/>
        <v>24-02-2025 NET PI TO HSL SEC A/C 523686-00602340029434</v>
      </c>
      <c r="H841" s="2" t="s">
        <v>1335</v>
      </c>
      <c r="I841" t="s">
        <v>337</v>
      </c>
      <c r="K841" t="s">
        <v>1322</v>
      </c>
    </row>
    <row r="842" spans="1:11" x14ac:dyDescent="0.3">
      <c r="A842" s="1">
        <v>45712</v>
      </c>
      <c r="B842" t="s">
        <v>1140</v>
      </c>
      <c r="C842" t="s">
        <v>1141</v>
      </c>
      <c r="D842" s="2">
        <v>0</v>
      </c>
      <c r="E842" s="2">
        <v>144</v>
      </c>
      <c r="F842" s="2">
        <v>21979.83</v>
      </c>
      <c r="G842" s="2" t="str">
        <f t="shared" si="13"/>
        <v>24-02-2025 ACH C- PI INDUSTRIES LTD-3738446</v>
      </c>
      <c r="H842" s="2" t="s">
        <v>1335</v>
      </c>
      <c r="I842" t="s">
        <v>340</v>
      </c>
      <c r="K842" t="s">
        <v>1322</v>
      </c>
    </row>
    <row r="843" spans="1:11" x14ac:dyDescent="0.3">
      <c r="A843" s="1">
        <v>45712</v>
      </c>
      <c r="B843" t="s">
        <v>82</v>
      </c>
      <c r="C843" t="s">
        <v>1142</v>
      </c>
      <c r="D843" s="2">
        <v>20231.34</v>
      </c>
      <c r="E843" s="2">
        <v>0</v>
      </c>
      <c r="F843" s="2">
        <v>1748.49</v>
      </c>
      <c r="G843" s="2" t="str">
        <f t="shared" si="13"/>
        <v>24-02-2025 NET PI TO HSL SEC A/C 523686-00602340029434</v>
      </c>
      <c r="H843" s="2" t="s">
        <v>1335</v>
      </c>
      <c r="I843" t="s">
        <v>337</v>
      </c>
      <c r="K843" t="s">
        <v>1322</v>
      </c>
    </row>
    <row r="844" spans="1:11" x14ac:dyDescent="0.3">
      <c r="A844" s="1">
        <v>45713</v>
      </c>
      <c r="B844" t="s">
        <v>1143</v>
      </c>
      <c r="C844" t="s">
        <v>1144</v>
      </c>
      <c r="D844" s="2">
        <v>10000</v>
      </c>
      <c r="E844" s="2">
        <v>0</v>
      </c>
      <c r="F844" s="2">
        <v>-8251.51</v>
      </c>
      <c r="G844" s="2" t="str">
        <f t="shared" si="13"/>
        <v>25-02-2025 ACH D- TP ACH INDIANESIGN-1724388224</v>
      </c>
      <c r="H844" s="2" t="s">
        <v>1335</v>
      </c>
      <c r="I844" t="s">
        <v>1304</v>
      </c>
      <c r="K844" t="s">
        <v>1322</v>
      </c>
    </row>
    <row r="845" spans="1:11" x14ac:dyDescent="0.3">
      <c r="A845" s="1">
        <v>45713</v>
      </c>
      <c r="B845" t="s">
        <v>1143</v>
      </c>
      <c r="C845" t="s">
        <v>1144</v>
      </c>
      <c r="D845" s="2">
        <v>0</v>
      </c>
      <c r="E845" s="2">
        <v>10000</v>
      </c>
      <c r="F845" s="2">
        <v>1748.49</v>
      </c>
      <c r="G845" s="2" t="str">
        <f t="shared" si="13"/>
        <v>25-02-2025 ACH D- TP ACH INDIANESIGN-1724388224</v>
      </c>
      <c r="H845" s="2" t="s">
        <v>1335</v>
      </c>
      <c r="I845" t="s">
        <v>1304</v>
      </c>
      <c r="K845" t="s">
        <v>1322</v>
      </c>
    </row>
    <row r="846" spans="1:11" x14ac:dyDescent="0.3">
      <c r="A846" s="1">
        <v>45713</v>
      </c>
      <c r="B846" t="s">
        <v>82</v>
      </c>
      <c r="C846" t="s">
        <v>1145</v>
      </c>
      <c r="D846" s="2">
        <v>411.36</v>
      </c>
      <c r="E846" s="2">
        <v>0</v>
      </c>
      <c r="F846" s="2">
        <v>1337.13</v>
      </c>
      <c r="G846" s="2" t="str">
        <f t="shared" si="13"/>
        <v>25-02-2025 NET PI TO HSL SEC A/C 523686-00602340029434</v>
      </c>
      <c r="H846" s="2" t="s">
        <v>1335</v>
      </c>
      <c r="I846" t="s">
        <v>337</v>
      </c>
      <c r="K846" t="s">
        <v>1322</v>
      </c>
    </row>
    <row r="847" spans="1:11" x14ac:dyDescent="0.3">
      <c r="A847" s="1">
        <v>45713</v>
      </c>
      <c r="B847" t="s">
        <v>1146</v>
      </c>
      <c r="C847" t="s">
        <v>1147</v>
      </c>
      <c r="D847" s="2">
        <v>0</v>
      </c>
      <c r="E847" s="2">
        <v>300</v>
      </c>
      <c r="F847" s="2">
        <v>1637.13</v>
      </c>
      <c r="G847" s="2" t="str">
        <f t="shared" si="13"/>
        <v>25-02-2025 ACH C- HEROMOTOCORPLTD-00000000000007133</v>
      </c>
      <c r="H847" s="2" t="s">
        <v>1335</v>
      </c>
      <c r="I847" t="s">
        <v>340</v>
      </c>
      <c r="K847" t="s">
        <v>1322</v>
      </c>
    </row>
    <row r="848" spans="1:11" x14ac:dyDescent="0.3">
      <c r="A848" s="1">
        <v>45714</v>
      </c>
      <c r="B848" t="s">
        <v>82</v>
      </c>
      <c r="C848" t="s">
        <v>1148</v>
      </c>
      <c r="D848" s="2">
        <v>1637.13</v>
      </c>
      <c r="E848" s="2">
        <v>0</v>
      </c>
      <c r="F848" s="2">
        <v>0</v>
      </c>
      <c r="G848" s="2" t="str">
        <f t="shared" si="13"/>
        <v>26-02-2025 NET PI TO HSL SEC A/C 523686-00602340029434</v>
      </c>
      <c r="H848" s="2" t="s">
        <v>1335</v>
      </c>
      <c r="I848" t="s">
        <v>337</v>
      </c>
      <c r="K848" t="s">
        <v>1322</v>
      </c>
    </row>
    <row r="849" spans="1:13" x14ac:dyDescent="0.3">
      <c r="A849" s="1">
        <v>45716</v>
      </c>
      <c r="B849" t="s">
        <v>1149</v>
      </c>
      <c r="C849" t="s">
        <v>1150</v>
      </c>
      <c r="D849" s="2">
        <v>0</v>
      </c>
      <c r="E849" s="2">
        <v>5258.39</v>
      </c>
      <c r="F849" s="2">
        <v>5258.39</v>
      </c>
      <c r="G849" s="2" t="str">
        <f t="shared" si="13"/>
        <v>28-02-2025 FT- 614513900-50200085415108 - HDFC SECURITIES LTD-CLIENT DSCNB A/C -</v>
      </c>
      <c r="H849" s="2" t="s">
        <v>1335</v>
      </c>
      <c r="I849" t="s">
        <v>1310</v>
      </c>
      <c r="K849" t="s">
        <v>1322</v>
      </c>
    </row>
    <row r="850" spans="1:13" x14ac:dyDescent="0.3">
      <c r="A850" s="1">
        <v>45716</v>
      </c>
      <c r="B850" t="s">
        <v>82</v>
      </c>
      <c r="C850" t="s">
        <v>1151</v>
      </c>
      <c r="D850" s="2">
        <v>411.07</v>
      </c>
      <c r="E850" s="2">
        <v>0</v>
      </c>
      <c r="F850" s="2">
        <v>4847.32</v>
      </c>
      <c r="G850" s="2" t="str">
        <f t="shared" si="13"/>
        <v>28-02-2025 NET PI TO HSL SEC A/C 523686-00602340029434</v>
      </c>
      <c r="H850" s="2" t="s">
        <v>1335</v>
      </c>
      <c r="I850" t="s">
        <v>337</v>
      </c>
      <c r="K850" t="s">
        <v>1322</v>
      </c>
    </row>
    <row r="851" spans="1:13" x14ac:dyDescent="0.3">
      <c r="A851" s="1">
        <v>45716</v>
      </c>
      <c r="B851" t="s">
        <v>1152</v>
      </c>
      <c r="C851" t="s">
        <v>1153</v>
      </c>
      <c r="D851" s="2">
        <v>0</v>
      </c>
      <c r="E851" s="2">
        <v>325</v>
      </c>
      <c r="F851" s="2">
        <v>5172.32</v>
      </c>
      <c r="G851" s="2" t="str">
        <f t="shared" si="13"/>
        <v>28-02-2025 ACH C- POWER GRID CORPORATI-98355423</v>
      </c>
      <c r="H851" s="2" t="s">
        <v>1335</v>
      </c>
      <c r="I851" t="s">
        <v>340</v>
      </c>
      <c r="K851" t="s">
        <v>1322</v>
      </c>
    </row>
    <row r="852" spans="1:13" x14ac:dyDescent="0.3">
      <c r="A852" s="1">
        <v>45716</v>
      </c>
      <c r="B852" t="s">
        <v>1154</v>
      </c>
      <c r="C852" t="s">
        <v>1155</v>
      </c>
      <c r="D852" s="2">
        <v>0</v>
      </c>
      <c r="E852" s="2">
        <v>2738</v>
      </c>
      <c r="F852" s="2">
        <v>7910.32</v>
      </c>
      <c r="G852" s="2" t="str">
        <f t="shared" si="13"/>
        <v>28-02-2025 NEFT CR-SBIN0004266-SBI GENERAL INSURANCE CO LTDSBI GEN-SUNITA GUPTA 0000000002717756-SBINN52025022832582513</v>
      </c>
      <c r="H852" s="2" t="s">
        <v>1335</v>
      </c>
      <c r="I852" t="s">
        <v>345</v>
      </c>
      <c r="J852" t="s">
        <v>1330</v>
      </c>
      <c r="K852" t="s">
        <v>1322</v>
      </c>
      <c r="L852" s="11">
        <f>ROUND(E852/0.9,0)</f>
        <v>3042</v>
      </c>
      <c r="M852" s="11">
        <f>L852-E852</f>
        <v>304</v>
      </c>
    </row>
    <row r="853" spans="1:13" x14ac:dyDescent="0.3">
      <c r="A853" s="1">
        <v>45716</v>
      </c>
      <c r="B853" t="s">
        <v>1156</v>
      </c>
      <c r="C853" t="s">
        <v>1157</v>
      </c>
      <c r="D853" s="2">
        <v>0</v>
      </c>
      <c r="E853" s="2">
        <v>84.57</v>
      </c>
      <c r="F853" s="2">
        <v>7994.89</v>
      </c>
      <c r="G853" s="2" t="str">
        <f t="shared" si="13"/>
        <v>28-02-2025 NEFT CR-UTIB0000004-AXIS MUTUAL FUND DIVIDEND A/C-SUNITA GUPTA-UTIBN62025022834402533</v>
      </c>
      <c r="H853" s="2" t="s">
        <v>1335</v>
      </c>
      <c r="I853" t="s">
        <v>340</v>
      </c>
      <c r="K853" t="s">
        <v>1322</v>
      </c>
    </row>
    <row r="854" spans="1:13" x14ac:dyDescent="0.3">
      <c r="A854" s="1">
        <v>45716</v>
      </c>
      <c r="B854" t="s">
        <v>1158</v>
      </c>
      <c r="C854" t="s">
        <v>1159</v>
      </c>
      <c r="D854" s="2">
        <v>0</v>
      </c>
      <c r="E854" s="2">
        <v>7632</v>
      </c>
      <c r="F854" s="2">
        <v>15626.89</v>
      </c>
      <c r="G854" s="2" t="str">
        <f t="shared" si="13"/>
        <v>28-02-2025 NEFT CR-SBIN0004266-SBI GENERAL INSURANCE CO LTDSBI GEN-SUNITA GUPTA 0000000002717756-SBINN52025022834304792</v>
      </c>
      <c r="H854" s="2" t="s">
        <v>1335</v>
      </c>
      <c r="I854" t="s">
        <v>1326</v>
      </c>
      <c r="K854" t="s">
        <v>1322</v>
      </c>
    </row>
    <row r="855" spans="1:13" x14ac:dyDescent="0.3">
      <c r="A855" s="1">
        <v>45717</v>
      </c>
      <c r="B855" t="s">
        <v>82</v>
      </c>
      <c r="C855" t="s">
        <v>1160</v>
      </c>
      <c r="D855" s="2">
        <v>15626.89</v>
      </c>
      <c r="E855" s="2">
        <v>0</v>
      </c>
      <c r="F855" s="2">
        <v>0</v>
      </c>
      <c r="G855" s="2" t="str">
        <f t="shared" si="13"/>
        <v>01-03-2025 NET PI TO HSL SEC A/C 523686-00602340029434</v>
      </c>
      <c r="H855" s="2" t="s">
        <v>1335</v>
      </c>
      <c r="I855" t="s">
        <v>337</v>
      </c>
      <c r="K855" t="s">
        <v>1322</v>
      </c>
    </row>
    <row r="856" spans="1:13" x14ac:dyDescent="0.3">
      <c r="A856" s="1">
        <v>45717</v>
      </c>
      <c r="B856" t="s">
        <v>1161</v>
      </c>
      <c r="C856" t="s">
        <v>1162</v>
      </c>
      <c r="D856" s="2">
        <v>0</v>
      </c>
      <c r="E856" s="2">
        <v>950</v>
      </c>
      <c r="F856" s="2">
        <v>950</v>
      </c>
      <c r="G856" s="2" t="str">
        <f t="shared" si="13"/>
        <v>01-03-2025 ACH C- HINDUSTAN AERONAUTIC-5997828</v>
      </c>
      <c r="H856" s="2" t="s">
        <v>1335</v>
      </c>
      <c r="I856" t="s">
        <v>340</v>
      </c>
      <c r="K856" t="s">
        <v>1322</v>
      </c>
    </row>
    <row r="857" spans="1:13" x14ac:dyDescent="0.3">
      <c r="A857" s="1">
        <v>45718</v>
      </c>
      <c r="B857" t="s">
        <v>577</v>
      </c>
      <c r="C857" t="s">
        <v>1163</v>
      </c>
      <c r="D857" s="2">
        <v>0</v>
      </c>
      <c r="E857" s="2">
        <v>25000</v>
      </c>
      <c r="F857" s="2">
        <v>25950</v>
      </c>
      <c r="G857" s="2" t="str">
        <f t="shared" si="13"/>
        <v>02-03-2025 01671000085930-TPT-BORROW FROM SUNITA-AJAY KUMAR GUPTA</v>
      </c>
      <c r="H857" s="2" t="s">
        <v>1335</v>
      </c>
      <c r="I857" t="s">
        <v>1300</v>
      </c>
      <c r="K857" t="s">
        <v>1322</v>
      </c>
    </row>
    <row r="858" spans="1:13" x14ac:dyDescent="0.3">
      <c r="A858" s="1">
        <v>45719</v>
      </c>
      <c r="B858" t="s">
        <v>410</v>
      </c>
      <c r="C858" t="s">
        <v>23</v>
      </c>
      <c r="D858" s="2">
        <v>50</v>
      </c>
      <c r="E858" s="2">
        <v>0</v>
      </c>
      <c r="F858" s="2">
        <v>35469.39</v>
      </c>
      <c r="G858" s="2" t="str">
        <f t="shared" si="13"/>
        <v>03-03-2025 UPI/P2M/542808073747/K V GAYATHRI         /milk/YES BANK LIMITED YBS</v>
      </c>
      <c r="H858" s="2" t="s">
        <v>1335</v>
      </c>
      <c r="I858" t="s">
        <v>1309</v>
      </c>
      <c r="K858" t="s">
        <v>1323</v>
      </c>
    </row>
    <row r="859" spans="1:13" x14ac:dyDescent="0.3">
      <c r="A859" s="1">
        <v>45719</v>
      </c>
      <c r="B859" t="s">
        <v>411</v>
      </c>
      <c r="C859" t="s">
        <v>23</v>
      </c>
      <c r="D859" s="2">
        <v>1270</v>
      </c>
      <c r="E859" s="2">
        <v>0</v>
      </c>
      <c r="F859" s="2">
        <v>34199.39</v>
      </c>
      <c r="G859" s="2" t="str">
        <f t="shared" si="13"/>
        <v>03-03-2025 UPI/P2M/542879469211/Flipkart Payments    /UPI/YES BANK LIMITED YBS</v>
      </c>
      <c r="H859" s="2" t="s">
        <v>1335</v>
      </c>
      <c r="I859" t="s">
        <v>1309</v>
      </c>
      <c r="K859" t="s">
        <v>1323</v>
      </c>
    </row>
    <row r="860" spans="1:13" x14ac:dyDescent="0.3">
      <c r="A860" s="1">
        <v>45719</v>
      </c>
      <c r="B860" t="s">
        <v>412</v>
      </c>
      <c r="C860" t="s">
        <v>23</v>
      </c>
      <c r="D860" s="2">
        <v>0</v>
      </c>
      <c r="E860" s="2">
        <v>965</v>
      </c>
      <c r="F860" s="2">
        <v>35164.39</v>
      </c>
      <c r="G860" s="2" t="str">
        <f t="shared" si="13"/>
        <v>03-03-2025 UPI/P2A/506209457462/Flipkart /YES BANK /express/</v>
      </c>
      <c r="H860" s="2" t="s">
        <v>1335</v>
      </c>
      <c r="I860" t="s">
        <v>1309</v>
      </c>
      <c r="K860" t="s">
        <v>1323</v>
      </c>
    </row>
    <row r="861" spans="1:13" x14ac:dyDescent="0.3">
      <c r="A861" s="1">
        <v>45719</v>
      </c>
      <c r="B861" t="s">
        <v>413</v>
      </c>
      <c r="C861" t="s">
        <v>23</v>
      </c>
      <c r="D861" s="2">
        <v>0</v>
      </c>
      <c r="E861" s="2">
        <v>305</v>
      </c>
      <c r="F861" s="2">
        <v>35469.39</v>
      </c>
      <c r="G861" s="2" t="str">
        <f t="shared" si="13"/>
        <v>03-03-2025 UPI/P2A/506209459641/Flipkart /YES BANK /express/</v>
      </c>
      <c r="H861" s="2" t="s">
        <v>1335</v>
      </c>
      <c r="I861" t="s">
        <v>1309</v>
      </c>
      <c r="K861" t="s">
        <v>1323</v>
      </c>
    </row>
    <row r="862" spans="1:13" x14ac:dyDescent="0.3">
      <c r="A862" s="1">
        <v>45719</v>
      </c>
      <c r="B862" t="s">
        <v>414</v>
      </c>
      <c r="C862" t="s">
        <v>23</v>
      </c>
      <c r="D862" s="2">
        <v>305</v>
      </c>
      <c r="E862" s="2">
        <v>0</v>
      </c>
      <c r="F862" s="2">
        <v>35164.39</v>
      </c>
      <c r="G862" s="2" t="str">
        <f t="shared" si="13"/>
        <v>03-03-2025 UPI/P2M/542807574465/FLIPKART PAYMENTS    /UPIInt/HDFC BANK LTD</v>
      </c>
      <c r="H862" s="2" t="s">
        <v>1335</v>
      </c>
      <c r="I862" t="s">
        <v>1309</v>
      </c>
      <c r="K862" t="s">
        <v>1323</v>
      </c>
    </row>
    <row r="863" spans="1:13" x14ac:dyDescent="0.3">
      <c r="A863" s="1">
        <v>45719</v>
      </c>
      <c r="B863" t="s">
        <v>415</v>
      </c>
      <c r="C863" t="s">
        <v>23</v>
      </c>
      <c r="D863" s="2">
        <v>1258</v>
      </c>
      <c r="E863" s="2">
        <v>0</v>
      </c>
      <c r="F863" s="2">
        <v>33906.39</v>
      </c>
      <c r="G863" s="2" t="str">
        <f t="shared" si="13"/>
        <v>03-03-2025 UPI/P2M/506269427837/Flipkart Payments    /UPI/YES BANK LIMITED YBS</v>
      </c>
      <c r="H863" s="2" t="s">
        <v>1335</v>
      </c>
      <c r="I863" t="s">
        <v>1309</v>
      </c>
      <c r="K863" t="s">
        <v>1323</v>
      </c>
    </row>
    <row r="864" spans="1:13" x14ac:dyDescent="0.3">
      <c r="A864" s="1">
        <v>45719</v>
      </c>
      <c r="B864" t="s">
        <v>82</v>
      </c>
      <c r="C864" t="s">
        <v>1164</v>
      </c>
      <c r="D864" s="2">
        <v>18225.8</v>
      </c>
      <c r="E864" s="2">
        <v>0</v>
      </c>
      <c r="F864" s="2">
        <v>7724.2</v>
      </c>
      <c r="G864" s="2" t="str">
        <f t="shared" si="13"/>
        <v>03-03-2025 NET PI TO HSL SEC A/C 523686-00602340029434</v>
      </c>
      <c r="H864" s="2" t="s">
        <v>1335</v>
      </c>
      <c r="I864" t="s">
        <v>337</v>
      </c>
      <c r="K864" t="s">
        <v>1322</v>
      </c>
    </row>
    <row r="865" spans="1:19" x14ac:dyDescent="0.3">
      <c r="A865" s="1">
        <v>45719</v>
      </c>
      <c r="B865" t="s">
        <v>1165</v>
      </c>
      <c r="C865" t="s">
        <v>1166</v>
      </c>
      <c r="D865" s="2">
        <v>0</v>
      </c>
      <c r="E865" s="2">
        <v>180</v>
      </c>
      <c r="F865" s="2">
        <v>7904.2</v>
      </c>
      <c r="G865" s="2" t="str">
        <f t="shared" si="13"/>
        <v>03-03-2025 CUMMINS IND DIV24 2500000000000000009129</v>
      </c>
      <c r="H865" s="2" t="s">
        <v>1335</v>
      </c>
      <c r="I865" t="s">
        <v>340</v>
      </c>
      <c r="K865" t="s">
        <v>1322</v>
      </c>
    </row>
    <row r="866" spans="1:19" x14ac:dyDescent="0.3">
      <c r="A866" s="1">
        <v>45719</v>
      </c>
      <c r="B866" t="s">
        <v>82</v>
      </c>
      <c r="C866" t="s">
        <v>1167</v>
      </c>
      <c r="D866" s="2">
        <v>1190.49</v>
      </c>
      <c r="E866" s="2">
        <v>0</v>
      </c>
      <c r="F866" s="2">
        <v>6713.71</v>
      </c>
      <c r="G866" s="2" t="str">
        <f t="shared" si="13"/>
        <v>03-03-2025 NET PI TO HSL SEC A/C 523686-00602340029434</v>
      </c>
      <c r="H866" s="2" t="s">
        <v>1335</v>
      </c>
      <c r="I866" t="s">
        <v>337</v>
      </c>
      <c r="K866" t="s">
        <v>1322</v>
      </c>
    </row>
    <row r="867" spans="1:19" x14ac:dyDescent="0.3">
      <c r="A867" s="1">
        <v>45719</v>
      </c>
      <c r="B867" t="s">
        <v>82</v>
      </c>
      <c r="C867" t="s">
        <v>1168</v>
      </c>
      <c r="D867" s="2">
        <v>6444.18</v>
      </c>
      <c r="E867" s="2">
        <v>0</v>
      </c>
      <c r="F867" s="2">
        <v>269.52999999999997</v>
      </c>
      <c r="G867" s="2" t="str">
        <f t="shared" si="13"/>
        <v>03-03-2025 NET PI TO HSL SEC A/C 523686-00602340029434</v>
      </c>
      <c r="H867" s="2" t="s">
        <v>1335</v>
      </c>
      <c r="I867" t="s">
        <v>337</v>
      </c>
      <c r="K867" t="s">
        <v>1322</v>
      </c>
    </row>
    <row r="868" spans="1:19" x14ac:dyDescent="0.3">
      <c r="A868" s="1">
        <v>45720</v>
      </c>
      <c r="B868" t="s">
        <v>82</v>
      </c>
      <c r="C868" t="s">
        <v>1169</v>
      </c>
      <c r="D868" s="2">
        <v>269.52999999999997</v>
      </c>
      <c r="E868" s="2">
        <v>0</v>
      </c>
      <c r="F868" s="2">
        <v>0</v>
      </c>
      <c r="G868" s="2" t="str">
        <f t="shared" si="13"/>
        <v>04-03-2025 NET PI TO HSL SEC A/C 523686-00602340029434</v>
      </c>
      <c r="H868" s="2" t="s">
        <v>1335</v>
      </c>
      <c r="I868" t="s">
        <v>337</v>
      </c>
      <c r="K868" t="s">
        <v>1322</v>
      </c>
    </row>
    <row r="869" spans="1:19" x14ac:dyDescent="0.3">
      <c r="A869" s="1">
        <v>45721</v>
      </c>
      <c r="B869" t="s">
        <v>1170</v>
      </c>
      <c r="C869" t="s">
        <v>1171</v>
      </c>
      <c r="D869" s="2">
        <v>0</v>
      </c>
      <c r="E869" s="2">
        <v>27222.37</v>
      </c>
      <c r="F869" s="2">
        <v>27222.37</v>
      </c>
      <c r="G869" s="2" t="str">
        <f t="shared" si="13"/>
        <v>05-03-2025 FT- 615954992-50200085415108 - HDFC SECURITIES LTD-CLIENT DSCNB A/C -</v>
      </c>
      <c r="H869" s="2" t="s">
        <v>1335</v>
      </c>
      <c r="I869" t="s">
        <v>1310</v>
      </c>
      <c r="K869" t="s">
        <v>1322</v>
      </c>
    </row>
    <row r="870" spans="1:19" x14ac:dyDescent="0.3">
      <c r="A870" s="1">
        <v>45721</v>
      </c>
      <c r="B870" t="s">
        <v>82</v>
      </c>
      <c r="C870" t="s">
        <v>1172</v>
      </c>
      <c r="D870" s="2">
        <v>388.08</v>
      </c>
      <c r="E870" s="2">
        <v>0</v>
      </c>
      <c r="F870" s="2">
        <v>26834.29</v>
      </c>
      <c r="G870" s="2" t="str">
        <f t="shared" si="13"/>
        <v>05-03-2025 NET PI TO HSL SEC A/C 523686-00602340029434</v>
      </c>
      <c r="H870" s="2" t="s">
        <v>1335</v>
      </c>
      <c r="I870" t="s">
        <v>337</v>
      </c>
      <c r="K870" t="s">
        <v>1322</v>
      </c>
    </row>
    <row r="871" spans="1:19" x14ac:dyDescent="0.3">
      <c r="A871" s="1">
        <v>45722</v>
      </c>
      <c r="B871" t="s">
        <v>1173</v>
      </c>
      <c r="C871" t="s">
        <v>1174</v>
      </c>
      <c r="D871" s="2">
        <v>0</v>
      </c>
      <c r="E871" s="2">
        <v>30246.560000000001</v>
      </c>
      <c r="F871" s="2">
        <v>57080.85</v>
      </c>
      <c r="G871" s="2" t="str">
        <f t="shared" si="13"/>
        <v>06-03-2025 FT- 616353489-50200085415108 - HDFC SECURITIES LTD-CLIENT DSCNB A/C -</v>
      </c>
      <c r="H871" s="2" t="s">
        <v>1335</v>
      </c>
      <c r="I871" t="s">
        <v>1310</v>
      </c>
      <c r="K871" t="s">
        <v>1322</v>
      </c>
    </row>
    <row r="872" spans="1:19" x14ac:dyDescent="0.3">
      <c r="A872" s="1">
        <v>45722</v>
      </c>
      <c r="B872" t="s">
        <v>82</v>
      </c>
      <c r="C872" t="s">
        <v>1175</v>
      </c>
      <c r="D872" s="2">
        <v>367.7</v>
      </c>
      <c r="E872" s="2">
        <v>0</v>
      </c>
      <c r="F872" s="2">
        <v>56713.15</v>
      </c>
      <c r="G872" s="2" t="str">
        <f t="shared" si="13"/>
        <v>06-03-2025 NET PI TO HSL SEC A/C 523686-00602340029434</v>
      </c>
      <c r="H872" s="2" t="s">
        <v>1335</v>
      </c>
      <c r="I872" t="s">
        <v>337</v>
      </c>
      <c r="K872" t="s">
        <v>1322</v>
      </c>
    </row>
    <row r="873" spans="1:19" x14ac:dyDescent="0.3">
      <c r="A873" s="1">
        <v>45723</v>
      </c>
      <c r="B873" t="s">
        <v>1176</v>
      </c>
      <c r="C873" t="s">
        <v>1177</v>
      </c>
      <c r="D873" s="2">
        <v>0</v>
      </c>
      <c r="E873" s="2">
        <v>14134.77</v>
      </c>
      <c r="F873" s="2">
        <v>70847.92</v>
      </c>
      <c r="G873" s="2" t="str">
        <f t="shared" si="13"/>
        <v>07-03-2025 FT- 616737413-50200085415108 - HDFC SECURITIES LTD-CLIENT DSCNB A/C -</v>
      </c>
      <c r="H873" s="2" t="s">
        <v>1335</v>
      </c>
      <c r="I873" t="s">
        <v>1310</v>
      </c>
      <c r="K873" t="s">
        <v>1322</v>
      </c>
    </row>
    <row r="874" spans="1:19" x14ac:dyDescent="0.3">
      <c r="A874" s="1">
        <v>45723</v>
      </c>
      <c r="B874" t="s">
        <v>82</v>
      </c>
      <c r="C874" t="s">
        <v>1178</v>
      </c>
      <c r="D874" s="2">
        <v>378.47</v>
      </c>
      <c r="E874" s="2">
        <v>0</v>
      </c>
      <c r="F874" s="2">
        <v>70469.45</v>
      </c>
      <c r="G874" s="2" t="str">
        <f t="shared" si="13"/>
        <v>07-03-2025 NET PI TO HSL SEC A/C 523686-00602340029434</v>
      </c>
      <c r="H874" s="2" t="s">
        <v>1335</v>
      </c>
      <c r="I874" t="s">
        <v>337</v>
      </c>
      <c r="K874" t="s">
        <v>1322</v>
      </c>
    </row>
    <row r="875" spans="1:19" x14ac:dyDescent="0.3">
      <c r="A875" s="1">
        <v>45723</v>
      </c>
      <c r="B875" t="s">
        <v>82</v>
      </c>
      <c r="C875" t="s">
        <v>1179</v>
      </c>
      <c r="D875" s="2">
        <v>25484.58</v>
      </c>
      <c r="E875" s="2">
        <v>0</v>
      </c>
      <c r="F875" s="2">
        <v>44984.87</v>
      </c>
      <c r="G875" s="2" t="str">
        <f t="shared" si="13"/>
        <v>07-03-2025 NET PI TO HSL SEC A/C 523686-00602340029434</v>
      </c>
      <c r="H875" s="2" t="s">
        <v>1335</v>
      </c>
      <c r="I875" t="s">
        <v>337</v>
      </c>
      <c r="K875" t="s">
        <v>1322</v>
      </c>
    </row>
    <row r="876" spans="1:19" x14ac:dyDescent="0.3">
      <c r="A876" s="9">
        <v>45724</v>
      </c>
      <c r="B876" t="s">
        <v>1288</v>
      </c>
      <c r="C876" t="s">
        <v>1289</v>
      </c>
      <c r="D876" s="2">
        <v>0</v>
      </c>
      <c r="E876" s="2">
        <v>32000</v>
      </c>
      <c r="F876" s="2">
        <v>54354.7</v>
      </c>
      <c r="G876" s="2" t="str">
        <f t="shared" si="13"/>
        <v>08-03-2025    BY TRANSFER-INB borrow from Sunita--</v>
      </c>
      <c r="H876" s="2" t="s">
        <v>1335</v>
      </c>
      <c r="I876" t="s">
        <v>52</v>
      </c>
      <c r="K876" t="s">
        <v>1324</v>
      </c>
    </row>
    <row r="877" spans="1:19" x14ac:dyDescent="0.3">
      <c r="A877" s="9">
        <v>45724</v>
      </c>
      <c r="B877" t="s">
        <v>1290</v>
      </c>
      <c r="C877" t="s">
        <v>1291</v>
      </c>
      <c r="D877" s="2">
        <v>43000</v>
      </c>
      <c r="E877" s="2">
        <v>0</v>
      </c>
      <c r="F877" s="2">
        <v>11354.7</v>
      </c>
      <c r="G877" s="2" t="str">
        <f t="shared" si="13"/>
        <v>08-03-2025    TO TRANSFER-INB Pymt twrds scrap material--</v>
      </c>
      <c r="H877" s="2" t="s">
        <v>1335</v>
      </c>
      <c r="I877" t="s">
        <v>1296</v>
      </c>
      <c r="K877" t="s">
        <v>1324</v>
      </c>
    </row>
    <row r="878" spans="1:19" x14ac:dyDescent="0.3">
      <c r="A878" s="1">
        <v>45725</v>
      </c>
      <c r="B878" t="s">
        <v>1180</v>
      </c>
      <c r="C878" t="s">
        <v>1181</v>
      </c>
      <c r="D878" s="2">
        <v>0</v>
      </c>
      <c r="E878" s="2">
        <v>34220</v>
      </c>
      <c r="F878" s="2">
        <v>79204.87</v>
      </c>
      <c r="G878" s="2" t="str">
        <f t="shared" si="13"/>
        <v>09-03-2025 NEFT CR-SBIN0004266-SBI GENERAL INSURANCE CO LTDSBI GEN-SUNITA GUPTA 0000000002717756-SBINN52025030852329749</v>
      </c>
      <c r="H878" s="2" t="s">
        <v>1335</v>
      </c>
      <c r="I878" t="s">
        <v>345</v>
      </c>
      <c r="J878" t="s">
        <v>1330</v>
      </c>
      <c r="K878" t="s">
        <v>1322</v>
      </c>
      <c r="L878" s="8">
        <f>ROUND(E878/0.9,0)</f>
        <v>38022</v>
      </c>
      <c r="M878" s="8">
        <f>L878-E878</f>
        <v>3802</v>
      </c>
      <c r="P878">
        <f>3042+12262+981+3042</f>
        <v>19327</v>
      </c>
      <c r="Q878">
        <f>98.1+1226.2+304.2+304.2</f>
        <v>1932.7</v>
      </c>
      <c r="R878">
        <f>P878-Q878</f>
        <v>17394.3</v>
      </c>
      <c r="S878">
        <f>R878-M2</f>
        <v>17394.3</v>
      </c>
    </row>
    <row r="879" spans="1:19" x14ac:dyDescent="0.3">
      <c r="A879" s="1">
        <v>45726</v>
      </c>
      <c r="B879" t="s">
        <v>416</v>
      </c>
      <c r="C879" t="s">
        <v>23</v>
      </c>
      <c r="D879" s="2">
        <v>960</v>
      </c>
      <c r="E879" s="2">
        <v>0</v>
      </c>
      <c r="F879" s="2">
        <v>32946.39</v>
      </c>
      <c r="G879" s="2" t="str">
        <f t="shared" si="13"/>
        <v>10-03-2025 UPI/P2A/506968468841/BHARTI RATAN DEVNANI /tiffin/UNION BANK OF INDIA</v>
      </c>
      <c r="H879" s="2" t="s">
        <v>1335</v>
      </c>
      <c r="I879" t="s">
        <v>1309</v>
      </c>
      <c r="K879" t="s">
        <v>1323</v>
      </c>
    </row>
    <row r="880" spans="1:19" x14ac:dyDescent="0.3">
      <c r="A880" s="1">
        <v>45726</v>
      </c>
      <c r="B880" t="s">
        <v>1182</v>
      </c>
      <c r="C880" t="s">
        <v>1183</v>
      </c>
      <c r="D880" s="2">
        <v>531</v>
      </c>
      <c r="E880" s="2">
        <v>0</v>
      </c>
      <c r="F880" s="2">
        <v>78673.87</v>
      </c>
      <c r="G880" s="2" t="str">
        <f t="shared" si="13"/>
        <v>10-03-2025 .ACH DEBIT RETURN CHARGES 250225 250225-MIR2506812943710</v>
      </c>
      <c r="H880" s="2" t="s">
        <v>1335</v>
      </c>
      <c r="I880" t="s">
        <v>47</v>
      </c>
      <c r="K880" t="s">
        <v>1322</v>
      </c>
    </row>
    <row r="881" spans="1:11" x14ac:dyDescent="0.3">
      <c r="A881" s="1">
        <v>45726</v>
      </c>
      <c r="B881" t="s">
        <v>82</v>
      </c>
      <c r="C881" t="s">
        <v>1184</v>
      </c>
      <c r="D881" s="2">
        <v>1123.29</v>
      </c>
      <c r="E881" s="2">
        <v>0</v>
      </c>
      <c r="F881" s="2">
        <v>77550.58</v>
      </c>
      <c r="G881" s="2" t="str">
        <f t="shared" si="13"/>
        <v>10-03-2025 NET PI TO HSL SEC A/C 523686-00602340029434</v>
      </c>
      <c r="H881" s="2" t="s">
        <v>1335</v>
      </c>
      <c r="I881" t="s">
        <v>337</v>
      </c>
      <c r="K881" t="s">
        <v>1322</v>
      </c>
    </row>
    <row r="882" spans="1:11" x14ac:dyDescent="0.3">
      <c r="A882" s="1">
        <v>45726</v>
      </c>
      <c r="B882" t="s">
        <v>1185</v>
      </c>
      <c r="C882" t="s">
        <v>1186</v>
      </c>
      <c r="D882" s="2">
        <v>30000</v>
      </c>
      <c r="E882" s="2">
        <v>0</v>
      </c>
      <c r="F882" s="2">
        <v>47550.58</v>
      </c>
      <c r="G882" s="2" t="str">
        <f t="shared" si="13"/>
        <v>10-03-2025 NEFT DR-SBIN0011669-SUNITA GUPTA-NETBANK, MUM-HDFCN52025031010201759-TRFR FR SUNITA HDF</v>
      </c>
      <c r="H882" s="2" t="s">
        <v>1335</v>
      </c>
      <c r="I882" t="s">
        <v>51</v>
      </c>
      <c r="K882" t="s">
        <v>1322</v>
      </c>
    </row>
    <row r="883" spans="1:11" x14ac:dyDescent="0.3">
      <c r="A883" s="1">
        <v>45726</v>
      </c>
      <c r="B883" t="s">
        <v>82</v>
      </c>
      <c r="C883" t="s">
        <v>1187</v>
      </c>
      <c r="D883" s="2">
        <v>15384.37</v>
      </c>
      <c r="E883" s="2">
        <v>0</v>
      </c>
      <c r="F883" s="2">
        <v>32166.21</v>
      </c>
      <c r="G883" s="2" t="str">
        <f t="shared" si="13"/>
        <v>10-03-2025 NET PI TO HSL SEC A/C 523686-00602340029434</v>
      </c>
      <c r="H883" s="2" t="s">
        <v>1335</v>
      </c>
      <c r="I883" t="s">
        <v>337</v>
      </c>
      <c r="K883" t="s">
        <v>1322</v>
      </c>
    </row>
    <row r="884" spans="1:11" x14ac:dyDescent="0.3">
      <c r="A884" s="9">
        <v>45726</v>
      </c>
      <c r="B884" t="s">
        <v>1292</v>
      </c>
      <c r="C884" t="s">
        <v>1293</v>
      </c>
      <c r="D884" s="2">
        <v>0</v>
      </c>
      <c r="E884" s="2">
        <v>30000</v>
      </c>
      <c r="F884" s="2">
        <v>41354.699999999997</v>
      </c>
      <c r="G884" s="2" t="str">
        <f t="shared" si="13"/>
        <v>10-03-2025    BY TRANSFER-NEFT*HDFC0000001*HDFCH00113163511*SUNITA GUPTA*BAT--</v>
      </c>
      <c r="H884" s="2" t="s">
        <v>1335</v>
      </c>
      <c r="I884" t="s">
        <v>51</v>
      </c>
      <c r="K884" t="s">
        <v>1324</v>
      </c>
    </row>
    <row r="885" spans="1:11" x14ac:dyDescent="0.3">
      <c r="A885" s="9">
        <v>45726</v>
      </c>
      <c r="B885" t="s">
        <v>1294</v>
      </c>
      <c r="C885" t="s">
        <v>1295</v>
      </c>
      <c r="D885" s="2">
        <v>21955</v>
      </c>
      <c r="E885" s="2">
        <v>0</v>
      </c>
      <c r="F885" s="2">
        <v>19399.7</v>
      </c>
      <c r="G885" s="2" t="str">
        <f t="shared" si="13"/>
        <v>10-03-2025    TO TRANSFER-INB Rent--</v>
      </c>
      <c r="H885" s="2" t="s">
        <v>1335</v>
      </c>
      <c r="I885" t="s">
        <v>345</v>
      </c>
      <c r="K885" t="s">
        <v>1324</v>
      </c>
    </row>
    <row r="886" spans="1:11" x14ac:dyDescent="0.3">
      <c r="A886" s="1">
        <v>45727</v>
      </c>
      <c r="B886" t="s">
        <v>82</v>
      </c>
      <c r="C886" t="s">
        <v>1188</v>
      </c>
      <c r="D886" s="2">
        <v>368.95</v>
      </c>
      <c r="E886" s="2">
        <v>0</v>
      </c>
      <c r="F886" s="2">
        <v>31797.26</v>
      </c>
      <c r="G886" s="2" t="str">
        <f t="shared" si="13"/>
        <v>11-03-2025 NET PI TO HSL SEC A/C 523686-00602340029434</v>
      </c>
      <c r="H886" s="2" t="s">
        <v>1335</v>
      </c>
      <c r="I886" t="s">
        <v>337</v>
      </c>
      <c r="K886" t="s">
        <v>1322</v>
      </c>
    </row>
    <row r="887" spans="1:11" x14ac:dyDescent="0.3">
      <c r="A887" s="1">
        <v>45727</v>
      </c>
      <c r="B887" t="s">
        <v>82</v>
      </c>
      <c r="C887" t="s">
        <v>1189</v>
      </c>
      <c r="D887" s="2">
        <v>12503.5</v>
      </c>
      <c r="E887" s="2">
        <v>0</v>
      </c>
      <c r="F887" s="2">
        <v>19293.759999999998</v>
      </c>
      <c r="G887" s="2" t="str">
        <f t="shared" si="13"/>
        <v>11-03-2025 NET PI TO HSL SEC A/C 523686-00602340029434</v>
      </c>
      <c r="H887" s="2" t="s">
        <v>1335</v>
      </c>
      <c r="I887" t="s">
        <v>337</v>
      </c>
      <c r="K887" t="s">
        <v>1322</v>
      </c>
    </row>
    <row r="888" spans="1:11" x14ac:dyDescent="0.3">
      <c r="A888" s="1">
        <v>45728</v>
      </c>
      <c r="B888" t="s">
        <v>417</v>
      </c>
      <c r="C888" t="s">
        <v>23</v>
      </c>
      <c r="D888" s="2">
        <v>2499</v>
      </c>
      <c r="E888" s="2">
        <v>0</v>
      </c>
      <c r="F888" s="2">
        <v>30447.39</v>
      </c>
      <c r="G888" s="2" t="str">
        <f t="shared" si="13"/>
        <v>12-03-2025 ECS/1009552582/Max Bupa Health Insurance Company</v>
      </c>
      <c r="H888" s="2" t="s">
        <v>1335</v>
      </c>
      <c r="I888" t="s">
        <v>1316</v>
      </c>
      <c r="K888" t="s">
        <v>1323</v>
      </c>
    </row>
    <row r="889" spans="1:11" x14ac:dyDescent="0.3">
      <c r="A889" s="1">
        <v>45728</v>
      </c>
      <c r="B889" t="s">
        <v>82</v>
      </c>
      <c r="C889" t="s">
        <v>1190</v>
      </c>
      <c r="D889" s="2">
        <v>364.5</v>
      </c>
      <c r="E889" s="2">
        <v>0</v>
      </c>
      <c r="F889" s="2">
        <v>18929.259999999998</v>
      </c>
      <c r="G889" s="2" t="str">
        <f t="shared" si="13"/>
        <v>12-03-2025 NET PI TO HSL SEC A/C 523686-00602340029434</v>
      </c>
      <c r="H889" s="2" t="s">
        <v>1335</v>
      </c>
      <c r="I889" t="s">
        <v>337</v>
      </c>
      <c r="K889" t="s">
        <v>1322</v>
      </c>
    </row>
    <row r="890" spans="1:11" x14ac:dyDescent="0.3">
      <c r="A890" s="1">
        <v>45728</v>
      </c>
      <c r="B890" t="s">
        <v>82</v>
      </c>
      <c r="C890" t="s">
        <v>1191</v>
      </c>
      <c r="D890" s="2">
        <v>9109.33</v>
      </c>
      <c r="E890" s="2">
        <v>0</v>
      </c>
      <c r="F890" s="2">
        <v>9819.93</v>
      </c>
      <c r="G890" s="2" t="str">
        <f t="shared" si="13"/>
        <v>12-03-2025 NET PI TO HSL SEC A/C 523686-00602340029434</v>
      </c>
      <c r="H890" s="2" t="s">
        <v>1335</v>
      </c>
      <c r="I890" t="s">
        <v>337</v>
      </c>
      <c r="K890" t="s">
        <v>1322</v>
      </c>
    </row>
    <row r="891" spans="1:11" x14ac:dyDescent="0.3">
      <c r="A891" s="1">
        <v>45729</v>
      </c>
      <c r="B891" t="s">
        <v>82</v>
      </c>
      <c r="C891" t="s">
        <v>1192</v>
      </c>
      <c r="D891" s="2">
        <v>361.26</v>
      </c>
      <c r="E891" s="2">
        <v>0</v>
      </c>
      <c r="F891" s="2">
        <v>9458.67</v>
      </c>
      <c r="G891" s="2" t="str">
        <f t="shared" si="13"/>
        <v>13-03-2025 NET PI TO HSL SEC A/C 523686-00602340029434</v>
      </c>
      <c r="H891" s="2" t="s">
        <v>1335</v>
      </c>
      <c r="I891" t="s">
        <v>337</v>
      </c>
      <c r="K891" t="s">
        <v>1322</v>
      </c>
    </row>
    <row r="892" spans="1:11" x14ac:dyDescent="0.3">
      <c r="A892" s="1">
        <v>45731</v>
      </c>
      <c r="B892" t="s">
        <v>1193</v>
      </c>
      <c r="C892" t="s">
        <v>98</v>
      </c>
      <c r="D892" s="2">
        <v>861.4</v>
      </c>
      <c r="E892" s="2">
        <v>0</v>
      </c>
      <c r="F892" s="2">
        <v>8597.27</v>
      </c>
      <c r="G892" s="2" t="str">
        <f t="shared" si="13"/>
        <v>15-03-2025 DEPOSITORY CHARGES FEB25 - 41060499</v>
      </c>
      <c r="H892" s="2" t="s">
        <v>1335</v>
      </c>
      <c r="I892" t="s">
        <v>343</v>
      </c>
      <c r="K892" t="s">
        <v>1322</v>
      </c>
    </row>
    <row r="893" spans="1:11" x14ac:dyDescent="0.3">
      <c r="A893" s="1">
        <v>45733</v>
      </c>
      <c r="B893" t="s">
        <v>1194</v>
      </c>
      <c r="C893" t="s">
        <v>1195</v>
      </c>
      <c r="D893" s="2">
        <v>0</v>
      </c>
      <c r="E893" s="2">
        <v>5950.61</v>
      </c>
      <c r="F893" s="2">
        <v>14547.88</v>
      </c>
      <c r="G893" s="2" t="str">
        <f t="shared" si="13"/>
        <v>17-03-2025 FT- 618929987-50200085415108 - HDFC SECURITIES LTD-CLIENT DSCNB A/C -</v>
      </c>
      <c r="H893" s="2" t="s">
        <v>1335</v>
      </c>
      <c r="I893" t="s">
        <v>1310</v>
      </c>
      <c r="K893" t="s">
        <v>1322</v>
      </c>
    </row>
    <row r="894" spans="1:11" x14ac:dyDescent="0.3">
      <c r="A894" s="1">
        <v>45733</v>
      </c>
      <c r="B894" t="s">
        <v>1196</v>
      </c>
      <c r="C894" t="s">
        <v>1197</v>
      </c>
      <c r="D894" s="2">
        <v>5000</v>
      </c>
      <c r="E894" s="2">
        <v>0</v>
      </c>
      <c r="F894" s="2">
        <v>9547.8799999999992</v>
      </c>
      <c r="G894" s="2" t="str">
        <f t="shared" si="13"/>
        <v>17-03-2025 ACH D- TP ACH INDIANESIGN-1752676394</v>
      </c>
      <c r="H894" s="2" t="s">
        <v>1335</v>
      </c>
      <c r="I894" t="s">
        <v>341</v>
      </c>
      <c r="K894" t="s">
        <v>1322</v>
      </c>
    </row>
    <row r="895" spans="1:11" x14ac:dyDescent="0.3">
      <c r="A895" s="1">
        <v>45733</v>
      </c>
      <c r="B895" t="s">
        <v>82</v>
      </c>
      <c r="C895" t="s">
        <v>1198</v>
      </c>
      <c r="D895" s="2">
        <v>1445.04</v>
      </c>
      <c r="E895" s="2">
        <v>0</v>
      </c>
      <c r="F895" s="2">
        <v>8102.84</v>
      </c>
      <c r="G895" s="2" t="str">
        <f t="shared" si="13"/>
        <v>17-03-2025 NET PI TO HSL SEC A/C 523686-00602340029434</v>
      </c>
      <c r="H895" s="2" t="s">
        <v>1335</v>
      </c>
      <c r="I895" t="s">
        <v>337</v>
      </c>
      <c r="K895" t="s">
        <v>1322</v>
      </c>
    </row>
    <row r="896" spans="1:11" x14ac:dyDescent="0.3">
      <c r="A896" s="1">
        <v>45734</v>
      </c>
      <c r="B896" t="s">
        <v>418</v>
      </c>
      <c r="C896" t="s">
        <v>23</v>
      </c>
      <c r="D896" s="2">
        <v>1</v>
      </c>
      <c r="E896" s="2">
        <v>0</v>
      </c>
      <c r="F896" s="2">
        <v>30446.39</v>
      </c>
      <c r="G896" s="2" t="str">
        <f t="shared" si="13"/>
        <v>18-03-2025 UPI/P2A/507761157224/MADHU GUPTA          /UPI/ICICI Bank</v>
      </c>
      <c r="H896" s="2" t="s">
        <v>1335</v>
      </c>
      <c r="I896" t="s">
        <v>1309</v>
      </c>
      <c r="K896" t="s">
        <v>1323</v>
      </c>
    </row>
    <row r="897" spans="1:11" x14ac:dyDescent="0.3">
      <c r="A897" s="1">
        <v>45734</v>
      </c>
      <c r="B897" t="s">
        <v>419</v>
      </c>
      <c r="C897" t="s">
        <v>23</v>
      </c>
      <c r="D897" s="2">
        <v>17550</v>
      </c>
      <c r="E897" s="2">
        <v>0</v>
      </c>
      <c r="F897" s="2">
        <v>12896.39</v>
      </c>
      <c r="G897" s="2" t="str">
        <f t="shared" si="13"/>
        <v>18-03-2025 UPI/P2A/507753564612/MADHU GUPTA          /neckle/ICICI Bank</v>
      </c>
      <c r="H897" s="2" t="s">
        <v>1335</v>
      </c>
      <c r="I897" t="s">
        <v>1309</v>
      </c>
      <c r="K897" t="s">
        <v>1323</v>
      </c>
    </row>
    <row r="898" spans="1:11" x14ac:dyDescent="0.3">
      <c r="A898" s="1">
        <v>45734</v>
      </c>
      <c r="B898" t="s">
        <v>1199</v>
      </c>
      <c r="C898" t="s">
        <v>1200</v>
      </c>
      <c r="D898" s="2">
        <v>0</v>
      </c>
      <c r="E898" s="2">
        <v>1118.28</v>
      </c>
      <c r="F898" s="2">
        <v>9221.1200000000008</v>
      </c>
      <c r="G898" s="2" t="str">
        <f t="shared" si="13"/>
        <v>18-03-2025 FT- 619390903-50200085415108 - HDFC SECURITIES LTD-CLIENT DSCNB A/C -</v>
      </c>
      <c r="H898" s="2" t="s">
        <v>1335</v>
      </c>
      <c r="I898" t="s">
        <v>1310</v>
      </c>
      <c r="K898" t="s">
        <v>1322</v>
      </c>
    </row>
    <row r="899" spans="1:11" x14ac:dyDescent="0.3">
      <c r="A899" s="1">
        <v>45734</v>
      </c>
      <c r="B899" t="s">
        <v>82</v>
      </c>
      <c r="C899" t="s">
        <v>1201</v>
      </c>
      <c r="D899" s="2">
        <v>351.67</v>
      </c>
      <c r="E899" s="2">
        <v>0</v>
      </c>
      <c r="F899" s="2">
        <v>8869.4500000000007</v>
      </c>
      <c r="G899" s="2" t="str">
        <f t="shared" si="13"/>
        <v>18-03-2025 NET PI TO HSL SEC A/C 523686-00602340029434</v>
      </c>
      <c r="H899" s="2" t="s">
        <v>1335</v>
      </c>
      <c r="I899" t="s">
        <v>337</v>
      </c>
      <c r="K899" t="s">
        <v>1322</v>
      </c>
    </row>
    <row r="900" spans="1:11" x14ac:dyDescent="0.3">
      <c r="A900" s="1">
        <v>45734</v>
      </c>
      <c r="B900" t="s">
        <v>82</v>
      </c>
      <c r="C900" t="s">
        <v>1202</v>
      </c>
      <c r="D900" s="2">
        <v>7670.71</v>
      </c>
      <c r="E900" s="2">
        <v>0</v>
      </c>
      <c r="F900" s="2">
        <v>1198.74</v>
      </c>
      <c r="G900" s="2" t="str">
        <f t="shared" si="13"/>
        <v>18-03-2025 NET PI TO HSL SEC A/C 523686-00602340029434</v>
      </c>
      <c r="H900" s="2" t="s">
        <v>1335</v>
      </c>
      <c r="I900" t="s">
        <v>337</v>
      </c>
      <c r="K900" t="s">
        <v>1322</v>
      </c>
    </row>
    <row r="901" spans="1:11" x14ac:dyDescent="0.3">
      <c r="A901" s="1">
        <v>45735</v>
      </c>
      <c r="B901" t="s">
        <v>82</v>
      </c>
      <c r="C901" t="s">
        <v>1203</v>
      </c>
      <c r="D901" s="2">
        <v>349.34</v>
      </c>
      <c r="E901" s="2">
        <v>0</v>
      </c>
      <c r="F901" s="2">
        <v>849.4</v>
      </c>
      <c r="G901" s="2" t="str">
        <f t="shared" ref="G901:G931" si="14">TEXT(A901,"DD")&amp;"-"&amp;TEXT(A901,"MM")&amp;"-"&amp;TEXT(A901,"YYYY")&amp;" "&amp;B901</f>
        <v>19-03-2025 NET PI TO HSL SEC A/C 523686-00602340029434</v>
      </c>
      <c r="H901" s="2" t="s">
        <v>1335</v>
      </c>
      <c r="I901" t="s">
        <v>337</v>
      </c>
      <c r="K901" t="s">
        <v>1322</v>
      </c>
    </row>
    <row r="902" spans="1:11" x14ac:dyDescent="0.3">
      <c r="A902" s="1">
        <v>45736</v>
      </c>
      <c r="B902" t="s">
        <v>1204</v>
      </c>
      <c r="C902" t="s">
        <v>1205</v>
      </c>
      <c r="D902" s="2">
        <v>0</v>
      </c>
      <c r="E902" s="2">
        <v>15924.95</v>
      </c>
      <c r="F902" s="2">
        <v>16774.349999999999</v>
      </c>
      <c r="G902" s="2" t="str">
        <f t="shared" si="14"/>
        <v>20-03-2025 FT- 620122043-50200085415108 - HDFC SECURITIES LTD-CLIENT DSCNB A/C -</v>
      </c>
      <c r="H902" s="2" t="s">
        <v>1335</v>
      </c>
      <c r="I902" t="s">
        <v>1310</v>
      </c>
      <c r="K902" t="s">
        <v>1322</v>
      </c>
    </row>
    <row r="903" spans="1:11" x14ac:dyDescent="0.3">
      <c r="A903" s="1">
        <v>45736</v>
      </c>
      <c r="B903" t="s">
        <v>577</v>
      </c>
      <c r="C903" t="s">
        <v>1206</v>
      </c>
      <c r="D903" s="2">
        <v>0</v>
      </c>
      <c r="E903" s="2">
        <v>75000</v>
      </c>
      <c r="F903" s="2">
        <v>91774.35</v>
      </c>
      <c r="G903" s="2" t="str">
        <f t="shared" si="14"/>
        <v>20-03-2025 01671000085930-TPT-BORROW FROM SUNITA-AJAY KUMAR GUPTA</v>
      </c>
      <c r="H903" s="2" t="s">
        <v>1335</v>
      </c>
      <c r="I903" t="s">
        <v>1300</v>
      </c>
      <c r="K903" t="s">
        <v>1322</v>
      </c>
    </row>
    <row r="904" spans="1:11" x14ac:dyDescent="0.3">
      <c r="A904" s="1">
        <v>45736</v>
      </c>
      <c r="B904" t="s">
        <v>82</v>
      </c>
      <c r="C904" t="s">
        <v>1207</v>
      </c>
      <c r="D904" s="2">
        <v>377.93</v>
      </c>
      <c r="E904" s="2">
        <v>0</v>
      </c>
      <c r="F904" s="2">
        <v>91396.42</v>
      </c>
      <c r="G904" s="2" t="str">
        <f t="shared" si="14"/>
        <v>20-03-2025 NET PI TO HSL SEC A/C 523686-00602340029434</v>
      </c>
      <c r="H904" s="2" t="s">
        <v>1335</v>
      </c>
      <c r="I904" t="s">
        <v>337</v>
      </c>
      <c r="K904" t="s">
        <v>1322</v>
      </c>
    </row>
    <row r="905" spans="1:11" x14ac:dyDescent="0.3">
      <c r="A905" s="1">
        <v>45736</v>
      </c>
      <c r="B905" t="s">
        <v>82</v>
      </c>
      <c r="C905" t="s">
        <v>1208</v>
      </c>
      <c r="D905" s="2">
        <v>16460.12</v>
      </c>
      <c r="E905" s="2">
        <v>0</v>
      </c>
      <c r="F905" s="2">
        <v>74936.3</v>
      </c>
      <c r="G905" s="2" t="str">
        <f t="shared" si="14"/>
        <v>20-03-2025 NET PI TO HSL SEC A/C 523686-00602340029434</v>
      </c>
      <c r="H905" s="2" t="s">
        <v>1335</v>
      </c>
      <c r="I905" t="s">
        <v>337</v>
      </c>
      <c r="K905" t="s">
        <v>1322</v>
      </c>
    </row>
    <row r="906" spans="1:11" x14ac:dyDescent="0.3">
      <c r="A906" s="1">
        <v>45736</v>
      </c>
      <c r="B906" t="s">
        <v>1209</v>
      </c>
      <c r="C906" t="s">
        <v>1210</v>
      </c>
      <c r="D906" s="2">
        <v>0</v>
      </c>
      <c r="E906" s="2">
        <v>1</v>
      </c>
      <c r="F906" s="2">
        <v>74937.3</v>
      </c>
      <c r="G906" s="2" t="str">
        <f t="shared" si="14"/>
        <v>20-03-2025 IMPS-507918394917-SBI GENERAL INSURANC-IDFB-XXXXXXX8671-IMPSTXN</v>
      </c>
      <c r="H906" s="2" t="s">
        <v>1335</v>
      </c>
      <c r="I906" t="s">
        <v>1308</v>
      </c>
      <c r="K906" t="s">
        <v>1322</v>
      </c>
    </row>
    <row r="907" spans="1:11" x14ac:dyDescent="0.3">
      <c r="A907" s="1">
        <v>45737</v>
      </c>
      <c r="B907" t="s">
        <v>82</v>
      </c>
      <c r="C907" t="s">
        <v>1211</v>
      </c>
      <c r="D907" s="2">
        <v>54024.08</v>
      </c>
      <c r="E907" s="2">
        <v>0</v>
      </c>
      <c r="F907" s="2">
        <v>20913.22</v>
      </c>
      <c r="G907" s="2" t="str">
        <f t="shared" si="14"/>
        <v>21-03-2025 NET PI TO HSL SEC A/C 523686-00602340029434</v>
      </c>
      <c r="H907" s="2" t="s">
        <v>1335</v>
      </c>
      <c r="I907" t="s">
        <v>337</v>
      </c>
      <c r="K907" t="s">
        <v>1322</v>
      </c>
    </row>
    <row r="908" spans="1:11" x14ac:dyDescent="0.3">
      <c r="A908" s="1">
        <v>45737</v>
      </c>
      <c r="B908" t="s">
        <v>82</v>
      </c>
      <c r="C908" t="s">
        <v>1212</v>
      </c>
      <c r="D908" s="2">
        <v>20913.22</v>
      </c>
      <c r="E908" s="2">
        <v>0</v>
      </c>
      <c r="F908" s="2">
        <v>0</v>
      </c>
      <c r="G908" s="2" t="str">
        <f t="shared" si="14"/>
        <v>21-03-2025 NET PI TO HSL SEC A/C 523686-00602340029434</v>
      </c>
      <c r="H908" s="2" t="s">
        <v>1335</v>
      </c>
      <c r="I908" t="s">
        <v>337</v>
      </c>
      <c r="K908" t="s">
        <v>1322</v>
      </c>
    </row>
    <row r="909" spans="1:11" x14ac:dyDescent="0.3">
      <c r="A909" s="1">
        <v>45737</v>
      </c>
      <c r="B909" t="s">
        <v>84</v>
      </c>
      <c r="C909" t="s">
        <v>1213</v>
      </c>
      <c r="D909" s="2">
        <v>0</v>
      </c>
      <c r="E909" s="2">
        <v>18737.64</v>
      </c>
      <c r="F909" s="2">
        <v>18737.64</v>
      </c>
      <c r="G909" s="2" t="str">
        <f t="shared" si="14"/>
        <v>21-03-2025 NET PO FROM HSL A/C 523686-50200085415108</v>
      </c>
      <c r="H909" s="2" t="s">
        <v>1335</v>
      </c>
      <c r="I909" t="s">
        <v>337</v>
      </c>
      <c r="K909" t="s">
        <v>1322</v>
      </c>
    </row>
    <row r="910" spans="1:11" x14ac:dyDescent="0.3">
      <c r="A910" s="1">
        <v>45738</v>
      </c>
      <c r="B910" t="s">
        <v>1214</v>
      </c>
      <c r="C910" t="s">
        <v>1215</v>
      </c>
      <c r="D910" s="2">
        <v>2732</v>
      </c>
      <c r="E910" s="2">
        <v>0</v>
      </c>
      <c r="F910" s="2">
        <v>16005.64</v>
      </c>
      <c r="G910" s="2" t="str">
        <f t="shared" si="14"/>
        <v>22-03-2025 YHDF2547685358/BILLDKTHECALCUTTAELE</v>
      </c>
      <c r="H910" s="2" t="s">
        <v>1335</v>
      </c>
      <c r="I910" t="s">
        <v>347</v>
      </c>
      <c r="K910" t="s">
        <v>1322</v>
      </c>
    </row>
    <row r="911" spans="1:11" x14ac:dyDescent="0.3">
      <c r="A911" s="1">
        <v>45740</v>
      </c>
      <c r="B911" t="s">
        <v>82</v>
      </c>
      <c r="C911" t="s">
        <v>1216</v>
      </c>
      <c r="D911" s="2">
        <v>1278.96</v>
      </c>
      <c r="E911" s="2">
        <v>0</v>
      </c>
      <c r="F911" s="2">
        <v>14726.68</v>
      </c>
      <c r="G911" s="2" t="str">
        <f t="shared" si="14"/>
        <v>24-03-2025 NET PI TO HSL SEC A/C 523686-00602340029434</v>
      </c>
      <c r="H911" s="2" t="s">
        <v>1335</v>
      </c>
      <c r="I911" t="s">
        <v>337</v>
      </c>
      <c r="K911" t="s">
        <v>1322</v>
      </c>
    </row>
    <row r="912" spans="1:11" x14ac:dyDescent="0.3">
      <c r="A912" s="1">
        <v>45741</v>
      </c>
      <c r="B912" t="s">
        <v>1217</v>
      </c>
      <c r="C912" t="s">
        <v>1218</v>
      </c>
      <c r="D912" s="2">
        <v>0</v>
      </c>
      <c r="E912" s="2">
        <v>27412.47</v>
      </c>
      <c r="F912" s="2">
        <v>42139.15</v>
      </c>
      <c r="G912" s="2" t="str">
        <f t="shared" si="14"/>
        <v>25-03-2025 FT- 621348015-50200085415108 - HDFC SECURITIES LTD-CLIENT DSCNB A/C -</v>
      </c>
      <c r="H912" s="2" t="s">
        <v>1335</v>
      </c>
      <c r="I912" t="s">
        <v>1310</v>
      </c>
      <c r="K912" t="s">
        <v>1322</v>
      </c>
    </row>
    <row r="913" spans="1:11" x14ac:dyDescent="0.3">
      <c r="A913" s="1">
        <v>45741</v>
      </c>
      <c r="B913" t="s">
        <v>1219</v>
      </c>
      <c r="C913" t="s">
        <v>1220</v>
      </c>
      <c r="D913" s="2">
        <v>10000</v>
      </c>
      <c r="E913" s="2">
        <v>0</v>
      </c>
      <c r="F913" s="2">
        <v>32139.15</v>
      </c>
      <c r="G913" s="2" t="str">
        <f t="shared" si="14"/>
        <v>25-03-2025 ACH D- TP ACH INDIANESIGN-1756309312</v>
      </c>
      <c r="H913" s="2" t="s">
        <v>1335</v>
      </c>
      <c r="I913" t="s">
        <v>342</v>
      </c>
      <c r="K913" t="s">
        <v>1322</v>
      </c>
    </row>
    <row r="914" spans="1:11" x14ac:dyDescent="0.3">
      <c r="A914" s="1">
        <v>45741</v>
      </c>
      <c r="B914" t="s">
        <v>82</v>
      </c>
      <c r="C914" t="s">
        <v>1221</v>
      </c>
      <c r="D914" s="2">
        <v>437.86</v>
      </c>
      <c r="E914" s="2">
        <v>0</v>
      </c>
      <c r="F914" s="2">
        <v>31701.29</v>
      </c>
      <c r="G914" s="2" t="str">
        <f t="shared" si="14"/>
        <v>25-03-2025 NET PI TO HSL SEC A/C 523686-00602340029434</v>
      </c>
      <c r="H914" s="2" t="s">
        <v>1335</v>
      </c>
      <c r="I914" t="s">
        <v>337</v>
      </c>
      <c r="K914" t="s">
        <v>1322</v>
      </c>
    </row>
    <row r="915" spans="1:11" x14ac:dyDescent="0.3">
      <c r="A915" s="1">
        <v>45741</v>
      </c>
      <c r="B915" t="s">
        <v>82</v>
      </c>
      <c r="C915" t="s">
        <v>1222</v>
      </c>
      <c r="D915" s="2">
        <v>5764.56</v>
      </c>
      <c r="E915" s="2">
        <v>0</v>
      </c>
      <c r="F915" s="2">
        <v>25936.73</v>
      </c>
      <c r="G915" s="2" t="str">
        <f t="shared" si="14"/>
        <v>25-03-2025 NET PI TO HSL SEC A/C 523686-00602340029434</v>
      </c>
      <c r="H915" s="2" t="s">
        <v>1335</v>
      </c>
      <c r="I915" t="s">
        <v>337</v>
      </c>
      <c r="K915" t="s">
        <v>1322</v>
      </c>
    </row>
    <row r="916" spans="1:11" x14ac:dyDescent="0.3">
      <c r="A916" s="9">
        <v>45741</v>
      </c>
      <c r="B916" t="s">
        <v>1281</v>
      </c>
      <c r="D916" s="2">
        <v>0</v>
      </c>
      <c r="E916" s="2">
        <v>151</v>
      </c>
      <c r="F916" s="2">
        <v>19550.7</v>
      </c>
      <c r="G916" s="2" t="str">
        <f t="shared" si="14"/>
        <v>25-03-2025    CREDIT INTEREST---</v>
      </c>
      <c r="H916" s="2" t="s">
        <v>1335</v>
      </c>
      <c r="I916" t="s">
        <v>344</v>
      </c>
      <c r="K916" t="s">
        <v>1324</v>
      </c>
    </row>
    <row r="917" spans="1:11" x14ac:dyDescent="0.3">
      <c r="A917" s="1">
        <v>45742</v>
      </c>
      <c r="B917" t="s">
        <v>1223</v>
      </c>
      <c r="C917" t="s">
        <v>1224</v>
      </c>
      <c r="D917" s="2">
        <v>0</v>
      </c>
      <c r="E917" s="2">
        <v>911.1</v>
      </c>
      <c r="F917" s="2">
        <v>26847.83</v>
      </c>
      <c r="G917" s="2" t="str">
        <f t="shared" si="14"/>
        <v>26-03-2025 FT- 621799157-50200085415108 - HDFC SECURITIES LTD-CLIENT DSCNB A/C -</v>
      </c>
      <c r="H917" s="2" t="s">
        <v>1335</v>
      </c>
      <c r="I917" t="s">
        <v>1310</v>
      </c>
      <c r="K917" t="s">
        <v>1322</v>
      </c>
    </row>
    <row r="918" spans="1:11" x14ac:dyDescent="0.3">
      <c r="A918" s="1">
        <v>45742</v>
      </c>
      <c r="B918" t="s">
        <v>1225</v>
      </c>
      <c r="C918" t="s">
        <v>1226</v>
      </c>
      <c r="D918" s="2">
        <v>0</v>
      </c>
      <c r="E918" s="2">
        <v>17430.400000000001</v>
      </c>
      <c r="F918" s="2">
        <v>44278.23</v>
      </c>
      <c r="G918" s="2" t="str">
        <f t="shared" si="14"/>
        <v>26-03-2025 FT- 621822800-50200085415108 - HDFC SECURITIES LTD-CLIENT DSCNB A/C -</v>
      </c>
      <c r="H918" s="2" t="s">
        <v>1335</v>
      </c>
      <c r="I918" t="s">
        <v>1310</v>
      </c>
      <c r="K918" t="s">
        <v>1322</v>
      </c>
    </row>
    <row r="919" spans="1:11" x14ac:dyDescent="0.3">
      <c r="A919" s="1">
        <v>45742</v>
      </c>
      <c r="B919" t="s">
        <v>82</v>
      </c>
      <c r="C919" t="s">
        <v>1227</v>
      </c>
      <c r="D919" s="2">
        <v>433.89</v>
      </c>
      <c r="E919" s="2">
        <v>0</v>
      </c>
      <c r="F919" s="2">
        <v>43844.34</v>
      </c>
      <c r="G919" s="2" t="str">
        <f t="shared" si="14"/>
        <v>26-03-2025 NET PI TO HSL SEC A/C 523686-00602340029434</v>
      </c>
      <c r="H919" s="2" t="s">
        <v>1335</v>
      </c>
      <c r="I919" t="s">
        <v>337</v>
      </c>
      <c r="K919" t="s">
        <v>1322</v>
      </c>
    </row>
    <row r="920" spans="1:11" x14ac:dyDescent="0.3">
      <c r="A920" s="1">
        <v>45742</v>
      </c>
      <c r="B920" t="s">
        <v>82</v>
      </c>
      <c r="C920" t="s">
        <v>1228</v>
      </c>
      <c r="D920" s="2">
        <v>8577.92</v>
      </c>
      <c r="E920" s="2">
        <v>0</v>
      </c>
      <c r="F920" s="2">
        <v>35266.42</v>
      </c>
      <c r="G920" s="2" t="str">
        <f t="shared" si="14"/>
        <v>26-03-2025 NET PI TO HSL SEC A/C 523686-00602340029434</v>
      </c>
      <c r="H920" s="2" t="s">
        <v>1335</v>
      </c>
      <c r="I920" t="s">
        <v>337</v>
      </c>
      <c r="K920" t="s">
        <v>1322</v>
      </c>
    </row>
    <row r="921" spans="1:11" x14ac:dyDescent="0.3">
      <c r="A921" s="1">
        <v>45743</v>
      </c>
      <c r="B921" t="s">
        <v>82</v>
      </c>
      <c r="C921" t="s">
        <v>1229</v>
      </c>
      <c r="D921" s="2">
        <v>426.77</v>
      </c>
      <c r="E921" s="2">
        <v>0</v>
      </c>
      <c r="F921" s="2">
        <v>34839.65</v>
      </c>
      <c r="G921" s="2" t="str">
        <f t="shared" si="14"/>
        <v>27-03-2025 NET PI TO HSL SEC A/C 523686-00602340029434</v>
      </c>
      <c r="H921" s="2" t="s">
        <v>1335</v>
      </c>
      <c r="I921" t="s">
        <v>337</v>
      </c>
      <c r="K921" t="s">
        <v>1322</v>
      </c>
    </row>
    <row r="922" spans="1:11" x14ac:dyDescent="0.3">
      <c r="A922" s="1">
        <v>45743</v>
      </c>
      <c r="B922" t="s">
        <v>1230</v>
      </c>
      <c r="C922" t="s">
        <v>1231</v>
      </c>
      <c r="D922" s="2">
        <v>0</v>
      </c>
      <c r="E922" s="2">
        <v>240</v>
      </c>
      <c r="F922" s="2">
        <v>35079.65</v>
      </c>
      <c r="G922" s="2" t="str">
        <f t="shared" si="14"/>
        <v>27-03-2025 ACH C- IRFC LTD-IR2103250146332</v>
      </c>
      <c r="H922" s="2" t="s">
        <v>1335</v>
      </c>
      <c r="I922" t="s">
        <v>340</v>
      </c>
      <c r="K922" t="s">
        <v>1322</v>
      </c>
    </row>
    <row r="923" spans="1:11" x14ac:dyDescent="0.3">
      <c r="A923" s="1">
        <v>45743</v>
      </c>
      <c r="B923" t="s">
        <v>82</v>
      </c>
      <c r="C923" t="s">
        <v>1232</v>
      </c>
      <c r="D923" s="2">
        <v>1302.6099999999999</v>
      </c>
      <c r="E923" s="2">
        <v>0</v>
      </c>
      <c r="F923" s="2">
        <v>33777.040000000001</v>
      </c>
      <c r="G923" s="2" t="str">
        <f t="shared" si="14"/>
        <v>27-03-2025 NET PI TO HSL SEC A/C 523686-00602340029434</v>
      </c>
      <c r="H923" s="2" t="s">
        <v>1335</v>
      </c>
      <c r="I923" t="s">
        <v>337</v>
      </c>
      <c r="K923" t="s">
        <v>1322</v>
      </c>
    </row>
    <row r="924" spans="1:11" x14ac:dyDescent="0.3">
      <c r="A924" s="1">
        <v>45744</v>
      </c>
      <c r="B924" t="s">
        <v>1233</v>
      </c>
      <c r="C924" t="s">
        <v>1234</v>
      </c>
      <c r="D924" s="2">
        <v>0</v>
      </c>
      <c r="E924" s="2">
        <v>32508.09</v>
      </c>
      <c r="F924" s="2">
        <v>66285.13</v>
      </c>
      <c r="G924" s="2" t="str">
        <f t="shared" si="14"/>
        <v>28-03-2025 FT- 622645959-50200085415108 - HDFC SECURITIES LTD-CLIENT DSCNB A/C -</v>
      </c>
      <c r="H924" s="2" t="s">
        <v>1335</v>
      </c>
      <c r="I924" t="s">
        <v>1310</v>
      </c>
      <c r="K924" t="s">
        <v>1322</v>
      </c>
    </row>
    <row r="925" spans="1:11" x14ac:dyDescent="0.3">
      <c r="A925" s="1">
        <v>45744</v>
      </c>
      <c r="B925" t="s">
        <v>1235</v>
      </c>
      <c r="C925" t="s">
        <v>1236</v>
      </c>
      <c r="D925" s="2">
        <v>0</v>
      </c>
      <c r="E925" s="2">
        <v>4065</v>
      </c>
      <c r="F925" s="2">
        <v>70350.13</v>
      </c>
      <c r="G925" s="2" t="str">
        <f t="shared" si="14"/>
        <v>28-03-2025 ACH C- NMDC LTD-0000030388452</v>
      </c>
      <c r="H925" s="2" t="s">
        <v>1335</v>
      </c>
      <c r="I925" t="s">
        <v>340</v>
      </c>
      <c r="K925" t="s">
        <v>1322</v>
      </c>
    </row>
    <row r="926" spans="1:11" x14ac:dyDescent="0.3">
      <c r="A926" s="1">
        <v>45744</v>
      </c>
      <c r="B926" t="s">
        <v>82</v>
      </c>
      <c r="C926" t="s">
        <v>1237</v>
      </c>
      <c r="D926" s="2">
        <v>426.31</v>
      </c>
      <c r="E926" s="2">
        <v>0</v>
      </c>
      <c r="F926" s="2">
        <v>69923.820000000007</v>
      </c>
      <c r="G926" s="2" t="str">
        <f t="shared" si="14"/>
        <v>28-03-2025 NET PI TO HSL SEC A/C 523686-00602340029434</v>
      </c>
      <c r="H926" s="2" t="s">
        <v>1335</v>
      </c>
      <c r="I926" t="s">
        <v>337</v>
      </c>
      <c r="K926" t="s">
        <v>1322</v>
      </c>
    </row>
    <row r="927" spans="1:11" x14ac:dyDescent="0.3">
      <c r="A927" s="1">
        <v>45744</v>
      </c>
      <c r="B927" t="s">
        <v>1238</v>
      </c>
      <c r="C927" t="s">
        <v>1239</v>
      </c>
      <c r="D927" s="2">
        <v>0</v>
      </c>
      <c r="E927" s="2">
        <v>84.57</v>
      </c>
      <c r="F927" s="2">
        <v>70008.39</v>
      </c>
      <c r="G927" s="2" t="str">
        <f t="shared" si="14"/>
        <v>28-03-2025 NEFT CR-UTIB0000004-AXIS MUTUAL FUND DIVIDEND A/C-SUNITA GUPTA-UTIBN62025032810896860</v>
      </c>
      <c r="H927" s="2" t="s">
        <v>1335</v>
      </c>
      <c r="I927" t="s">
        <v>340</v>
      </c>
      <c r="K927" t="s">
        <v>1322</v>
      </c>
    </row>
    <row r="928" spans="1:11" x14ac:dyDescent="0.3">
      <c r="A928" s="1">
        <v>45744</v>
      </c>
      <c r="B928" t="s">
        <v>82</v>
      </c>
      <c r="C928" t="s">
        <v>1240</v>
      </c>
      <c r="D928" s="2">
        <v>6570.74</v>
      </c>
      <c r="E928" s="2">
        <v>0</v>
      </c>
      <c r="F928" s="2">
        <v>63437.65</v>
      </c>
      <c r="G928" s="2" t="str">
        <f t="shared" si="14"/>
        <v>28-03-2025 NET PI TO HSL SEC A/C 523686-00602340029434</v>
      </c>
      <c r="H928" s="2" t="s">
        <v>1335</v>
      </c>
      <c r="I928" t="s">
        <v>337</v>
      </c>
      <c r="K928" t="s">
        <v>1322</v>
      </c>
    </row>
    <row r="929" spans="1:11" x14ac:dyDescent="0.3">
      <c r="A929" s="1">
        <v>45745</v>
      </c>
      <c r="B929" t="s">
        <v>1241</v>
      </c>
      <c r="C929" t="s">
        <v>1242</v>
      </c>
      <c r="D929" s="2">
        <v>295</v>
      </c>
      <c r="E929" s="2">
        <v>0</v>
      </c>
      <c r="F929" s="2">
        <v>63142.65</v>
      </c>
      <c r="G929" s="2" t="str">
        <f t="shared" si="14"/>
        <v>29-03-2025 ISAQMC-JUL-SEP24-323600 070325-MIR2508872188526</v>
      </c>
      <c r="H929" s="2" t="s">
        <v>1335</v>
      </c>
      <c r="I929" t="s">
        <v>47</v>
      </c>
      <c r="K929" t="s">
        <v>1322</v>
      </c>
    </row>
    <row r="930" spans="1:11" x14ac:dyDescent="0.3">
      <c r="A930" s="1">
        <v>45747</v>
      </c>
      <c r="B930" t="s">
        <v>1332</v>
      </c>
      <c r="C930" t="s">
        <v>23</v>
      </c>
      <c r="D930" s="2">
        <v>0</v>
      </c>
      <c r="E930" s="2">
        <v>275</v>
      </c>
      <c r="F930" s="12">
        <v>13171.39</v>
      </c>
      <c r="G930" s="2" t="str">
        <f t="shared" si="14"/>
        <v>31-03-2025 SB:919010088767042:Int.Pd:01-01-2025 to 31-03-2025</v>
      </c>
      <c r="H930" s="12" t="s">
        <v>1335</v>
      </c>
      <c r="I930" t="s">
        <v>344</v>
      </c>
      <c r="K930" t="s">
        <v>1323</v>
      </c>
    </row>
    <row r="931" spans="1:11" x14ac:dyDescent="0.3">
      <c r="A931" s="1">
        <v>45747</v>
      </c>
      <c r="B931" t="s">
        <v>1333</v>
      </c>
      <c r="C931" s="13" t="s">
        <v>98</v>
      </c>
      <c r="D931" s="2">
        <v>0</v>
      </c>
      <c r="E931">
        <v>327</v>
      </c>
      <c r="F931">
        <v>63469.65</v>
      </c>
      <c r="G931" s="2" t="str">
        <f t="shared" si="14"/>
        <v>31-03-2025 INTEREST PAID TILL 31-MAR-2025</v>
      </c>
      <c r="H931" t="s">
        <v>1335</v>
      </c>
      <c r="I931" t="s">
        <v>344</v>
      </c>
      <c r="K931" t="s">
        <v>1322</v>
      </c>
    </row>
    <row r="932" spans="1:11" x14ac:dyDescent="0.3">
      <c r="F932" s="12"/>
      <c r="G932" s="12"/>
      <c r="H932" s="12"/>
    </row>
    <row r="933" spans="1:11" x14ac:dyDescent="0.3">
      <c r="F933" s="12"/>
    </row>
  </sheetData>
  <autoFilter ref="A4:K931" xr:uid="{39C56F0F-B065-496E-9BFD-C4249AE6436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9E77-843E-4D79-A006-D1C84EAD5DF7}">
  <dimension ref="A1:H34"/>
  <sheetViews>
    <sheetView workbookViewId="0">
      <selection activeCell="G21" sqref="G21"/>
    </sheetView>
  </sheetViews>
  <sheetFormatPr defaultRowHeight="14.4" x14ac:dyDescent="0.3"/>
  <cols>
    <col min="1" max="2" width="9.6640625" bestFit="1" customWidth="1"/>
    <col min="5" max="7" width="11.33203125" bestFit="1" customWidth="1"/>
  </cols>
  <sheetData>
    <row r="1" spans="1:2" x14ac:dyDescent="0.3">
      <c r="A1" t="s">
        <v>1243</v>
      </c>
      <c r="B1" t="s">
        <v>1244</v>
      </c>
    </row>
    <row r="2" spans="1:2" x14ac:dyDescent="0.3">
      <c r="A2" t="s">
        <v>1245</v>
      </c>
      <c r="B2" t="s">
        <v>1246</v>
      </c>
    </row>
    <row r="3" spans="1:2" x14ac:dyDescent="0.3">
      <c r="A3" t="s">
        <v>1247</v>
      </c>
      <c r="B3" t="s">
        <v>1248</v>
      </c>
    </row>
    <row r="4" spans="1:2" x14ac:dyDescent="0.3">
      <c r="A4" t="s">
        <v>1247</v>
      </c>
      <c r="B4" t="s">
        <v>1249</v>
      </c>
    </row>
    <row r="5" spans="1:2" x14ac:dyDescent="0.3">
      <c r="A5" t="s">
        <v>1247</v>
      </c>
      <c r="B5" t="s">
        <v>1250</v>
      </c>
    </row>
    <row r="6" spans="1:2" x14ac:dyDescent="0.3">
      <c r="A6" t="s">
        <v>1251</v>
      </c>
      <c r="B6" s="9">
        <v>45747</v>
      </c>
    </row>
    <row r="7" spans="1:2" x14ac:dyDescent="0.3">
      <c r="A7" t="s">
        <v>1252</v>
      </c>
      <c r="B7" t="s">
        <v>1253</v>
      </c>
    </row>
    <row r="8" spans="1:2" x14ac:dyDescent="0.3">
      <c r="A8" t="s">
        <v>1254</v>
      </c>
      <c r="B8" t="s">
        <v>1255</v>
      </c>
    </row>
    <row r="9" spans="1:2" x14ac:dyDescent="0.3">
      <c r="A9" t="s">
        <v>1256</v>
      </c>
      <c r="B9" t="s">
        <v>1257</v>
      </c>
    </row>
    <row r="10" spans="1:2" x14ac:dyDescent="0.3">
      <c r="A10" t="s">
        <v>1258</v>
      </c>
      <c r="B10">
        <v>0</v>
      </c>
    </row>
    <row r="11" spans="1:2" x14ac:dyDescent="0.3">
      <c r="A11" t="s">
        <v>1259</v>
      </c>
      <c r="B11">
        <v>2.7</v>
      </c>
    </row>
    <row r="12" spans="1:2" x14ac:dyDescent="0.3">
      <c r="A12" t="s">
        <v>1260</v>
      </c>
      <c r="B12">
        <v>0</v>
      </c>
    </row>
    <row r="13" spans="1:2" x14ac:dyDescent="0.3">
      <c r="A13" t="s">
        <v>1261</v>
      </c>
      <c r="B13" t="s">
        <v>1262</v>
      </c>
    </row>
    <row r="14" spans="1:2" x14ac:dyDescent="0.3">
      <c r="A14" t="s">
        <v>1263</v>
      </c>
      <c r="B14" t="s">
        <v>1264</v>
      </c>
    </row>
    <row r="15" spans="1:2" x14ac:dyDescent="0.3">
      <c r="A15" t="s">
        <v>1265</v>
      </c>
    </row>
    <row r="16" spans="1:2" x14ac:dyDescent="0.3">
      <c r="A16" t="s">
        <v>1266</v>
      </c>
      <c r="B16" t="s">
        <v>1267</v>
      </c>
    </row>
    <row r="17" spans="1:8" x14ac:dyDescent="0.3">
      <c r="A17" t="s">
        <v>1268</v>
      </c>
      <c r="B17" t="s">
        <v>1269</v>
      </c>
    </row>
    <row r="18" spans="1:8" x14ac:dyDescent="0.3">
      <c r="A18" t="s">
        <v>1270</v>
      </c>
      <c r="B18" s="10">
        <v>26120.7</v>
      </c>
    </row>
    <row r="19" spans="1:8" x14ac:dyDescent="0.3">
      <c r="A19" t="s">
        <v>1271</v>
      </c>
      <c r="B19" s="9">
        <v>45383</v>
      </c>
    </row>
    <row r="20" spans="1:8" x14ac:dyDescent="0.3">
      <c r="A20" t="s">
        <v>1272</v>
      </c>
      <c r="B20" s="9">
        <v>45747</v>
      </c>
    </row>
    <row r="21" spans="1:8" x14ac:dyDescent="0.3">
      <c r="A21" t="s">
        <v>1273</v>
      </c>
      <c r="B21" t="s">
        <v>1274</v>
      </c>
      <c r="C21" t="s">
        <v>1275</v>
      </c>
      <c r="D21" t="s">
        <v>1276</v>
      </c>
      <c r="E21" t="s">
        <v>1277</v>
      </c>
      <c r="F21" t="s">
        <v>1278</v>
      </c>
      <c r="G21" t="s">
        <v>1279</v>
      </c>
      <c r="H21" t="s">
        <v>45</v>
      </c>
    </row>
    <row r="22" spans="1:8" x14ac:dyDescent="0.3">
      <c r="A22" s="9">
        <v>45415</v>
      </c>
      <c r="B22" s="9">
        <v>45415</v>
      </c>
      <c r="C22" t="s">
        <v>1280</v>
      </c>
      <c r="E22" s="2">
        <v>2000</v>
      </c>
      <c r="F22" s="2">
        <v>0</v>
      </c>
      <c r="G22" s="2">
        <v>24120.7</v>
      </c>
      <c r="H22" t="s">
        <v>50</v>
      </c>
    </row>
    <row r="23" spans="1:8" x14ac:dyDescent="0.3">
      <c r="A23" s="9">
        <v>45468</v>
      </c>
      <c r="B23" s="9">
        <v>45468</v>
      </c>
      <c r="C23" t="s">
        <v>1281</v>
      </c>
      <c r="E23" s="2">
        <v>0</v>
      </c>
      <c r="F23" s="2">
        <v>169</v>
      </c>
      <c r="G23" s="2">
        <v>24289.7</v>
      </c>
      <c r="H23" t="s">
        <v>344</v>
      </c>
    </row>
    <row r="24" spans="1:8" x14ac:dyDescent="0.3">
      <c r="A24" s="9">
        <v>45474</v>
      </c>
      <c r="B24" s="9">
        <v>45474</v>
      </c>
      <c r="C24" t="s">
        <v>1282</v>
      </c>
      <c r="E24" s="2">
        <v>2000</v>
      </c>
      <c r="F24" s="2">
        <v>0</v>
      </c>
      <c r="G24" s="2">
        <v>22289.7</v>
      </c>
      <c r="H24" t="s">
        <v>50</v>
      </c>
    </row>
    <row r="25" spans="1:8" x14ac:dyDescent="0.3">
      <c r="A25" s="9">
        <v>45554</v>
      </c>
      <c r="B25" s="9">
        <v>45554</v>
      </c>
      <c r="C25" t="s">
        <v>1283</v>
      </c>
      <c r="E25" s="2">
        <v>236</v>
      </c>
      <c r="F25" s="2">
        <v>0</v>
      </c>
      <c r="G25" s="2">
        <v>22053.7</v>
      </c>
      <c r="H25" t="s">
        <v>47</v>
      </c>
    </row>
    <row r="26" spans="1:8" x14ac:dyDescent="0.3">
      <c r="A26" s="9">
        <v>45560</v>
      </c>
      <c r="B26" s="9">
        <v>45560</v>
      </c>
      <c r="C26" t="s">
        <v>1281</v>
      </c>
      <c r="E26" s="2">
        <v>0</v>
      </c>
      <c r="F26" s="2">
        <v>152</v>
      </c>
      <c r="G26" s="2">
        <v>22205.7</v>
      </c>
      <c r="H26" t="s">
        <v>344</v>
      </c>
    </row>
    <row r="27" spans="1:8" x14ac:dyDescent="0.3">
      <c r="A27" s="9">
        <v>45651</v>
      </c>
      <c r="B27" s="9">
        <v>45651</v>
      </c>
      <c r="C27" t="s">
        <v>1281</v>
      </c>
      <c r="E27" s="2">
        <v>0</v>
      </c>
      <c r="F27" s="2">
        <v>149</v>
      </c>
      <c r="G27" s="2">
        <v>22354.7</v>
      </c>
      <c r="H27" t="s">
        <v>344</v>
      </c>
    </row>
    <row r="28" spans="1:8" x14ac:dyDescent="0.3">
      <c r="A28" s="9">
        <v>45708</v>
      </c>
      <c r="B28" s="9">
        <v>45708</v>
      </c>
      <c r="C28" t="s">
        <v>1284</v>
      </c>
      <c r="D28" t="s">
        <v>1285</v>
      </c>
      <c r="E28" s="2">
        <v>0</v>
      </c>
      <c r="F28" s="2">
        <v>100000</v>
      </c>
      <c r="G28" s="2">
        <v>122354.7</v>
      </c>
      <c r="H28" t="s">
        <v>52</v>
      </c>
    </row>
    <row r="29" spans="1:8" x14ac:dyDescent="0.3">
      <c r="A29" s="9">
        <v>45709</v>
      </c>
      <c r="B29" s="9">
        <v>45709</v>
      </c>
      <c r="C29" t="s">
        <v>1286</v>
      </c>
      <c r="D29" t="s">
        <v>1287</v>
      </c>
      <c r="E29" s="2">
        <v>100000</v>
      </c>
      <c r="F29" s="2">
        <v>0</v>
      </c>
      <c r="G29" s="2">
        <v>22354.7</v>
      </c>
      <c r="H29" t="s">
        <v>1297</v>
      </c>
    </row>
    <row r="30" spans="1:8" x14ac:dyDescent="0.3">
      <c r="A30" s="9">
        <v>45724</v>
      </c>
      <c r="B30" s="9">
        <v>45724</v>
      </c>
      <c r="C30" t="s">
        <v>1288</v>
      </c>
      <c r="D30" t="s">
        <v>1289</v>
      </c>
      <c r="E30" s="2">
        <v>0</v>
      </c>
      <c r="F30" s="2">
        <v>32000</v>
      </c>
      <c r="G30" s="2">
        <v>54354.7</v>
      </c>
      <c r="H30" t="s">
        <v>52</v>
      </c>
    </row>
    <row r="31" spans="1:8" x14ac:dyDescent="0.3">
      <c r="A31" s="9">
        <v>45724</v>
      </c>
      <c r="B31" s="9">
        <v>45724</v>
      </c>
      <c r="C31" t="s">
        <v>1290</v>
      </c>
      <c r="D31" t="s">
        <v>1291</v>
      </c>
      <c r="E31" s="2">
        <v>43000</v>
      </c>
      <c r="F31" s="2">
        <v>0</v>
      </c>
      <c r="G31" s="2">
        <v>11354.7</v>
      </c>
      <c r="H31" t="s">
        <v>1296</v>
      </c>
    </row>
    <row r="32" spans="1:8" x14ac:dyDescent="0.3">
      <c r="A32" s="9">
        <v>45726</v>
      </c>
      <c r="B32" s="9">
        <v>45726</v>
      </c>
      <c r="C32" t="s">
        <v>1292</v>
      </c>
      <c r="D32" t="s">
        <v>1293</v>
      </c>
      <c r="E32" s="2">
        <v>0</v>
      </c>
      <c r="F32" s="2">
        <v>30000</v>
      </c>
      <c r="G32" s="2">
        <v>41354.699999999997</v>
      </c>
      <c r="H32" t="s">
        <v>1299</v>
      </c>
    </row>
    <row r="33" spans="1:8" x14ac:dyDescent="0.3">
      <c r="A33" s="9">
        <v>45726</v>
      </c>
      <c r="B33" s="9">
        <v>45726</v>
      </c>
      <c r="C33" t="s">
        <v>1294</v>
      </c>
      <c r="D33" t="s">
        <v>1295</v>
      </c>
      <c r="E33" s="2">
        <v>21955</v>
      </c>
      <c r="F33" s="2">
        <v>0</v>
      </c>
      <c r="G33" s="2">
        <v>19399.7</v>
      </c>
    </row>
    <row r="34" spans="1:8" x14ac:dyDescent="0.3">
      <c r="A34" s="9">
        <v>45741</v>
      </c>
      <c r="B34" s="9">
        <v>45741</v>
      </c>
      <c r="C34" t="s">
        <v>1281</v>
      </c>
      <c r="E34" s="2">
        <v>0</v>
      </c>
      <c r="F34" s="2">
        <v>151</v>
      </c>
      <c r="G34" s="2">
        <v>19550.7</v>
      </c>
      <c r="H34" t="s">
        <v>344</v>
      </c>
    </row>
  </sheetData>
  <autoFilter ref="A21:H34" xr:uid="{21389E77-843E-4D79-A006-D1C84EAD5D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AXIS</vt:lpstr>
      <vt:lpstr>HDFC</vt:lpstr>
      <vt:lpstr>Conso</vt:lpstr>
      <vt:lpstr>SBI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dcterms:created xsi:type="dcterms:W3CDTF">2024-07-05T04:25:12Z</dcterms:created>
  <dcterms:modified xsi:type="dcterms:W3CDTF">2025-08-23T08:05:16Z</dcterms:modified>
</cp:coreProperties>
</file>