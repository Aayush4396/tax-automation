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 Bank" sheetId="1" state="visible" r:id="rId1"/>
    <sheet name="For Tally" sheetId="2" state="visible" r:id="rId2"/>
    <sheet name="Conso" sheetId="3" state="visible" r:id="rId3"/>
    <sheet name="Bank Summary" sheetId="4" state="visible" r:id="rId4"/>
    <sheet name="Monthly Pivot" sheetId="5" state="visible" r:id="rId5"/>
    <sheet name="Colour Legend" sheetId="6" state="visible" r:id="rId6"/>
  </sheets>
  <definedNames>
    <definedName name="_xlnm._FilterDatabase" localSheetId="0" hidden="1">'HDFC Bank'!$A$5:$J$6</definedName>
    <definedName name="_xlnm._FilterDatabase" localSheetId="1" hidden="1">'For Tally'!$A$1:$L$2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i val="1"/>
      <sz val="9"/>
    </font>
    <font>
      <b val="1"/>
      <color rgb="00FFFFFF"/>
      <sz val="1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  <font>
      <color rgb="00888888"/>
      <sz val="9"/>
    </font>
  </fonts>
  <fills count="3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B8F0C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D5F0E8"/>
      </patternFill>
    </fill>
    <fill>
      <patternFill patternType="solid">
        <fgColor rgb="00D5F5CC"/>
      </patternFill>
    </fill>
    <fill>
      <patternFill patternType="solid">
        <fgColor rgb="00FFD5CC"/>
      </patternFill>
    </fill>
    <fill>
      <patternFill patternType="solid">
        <fgColor rgb="00FDDCB5"/>
      </patternFill>
    </fill>
    <fill>
      <patternFill patternType="solid">
        <fgColor rgb="00CCE8FF"/>
      </patternFill>
    </fill>
    <fill>
      <patternFill patternType="solid">
        <fgColor rgb="00FFF5CC"/>
      </patternFill>
    </fill>
    <fill>
      <patternFill patternType="solid">
        <fgColor rgb="00CCF0FF"/>
      </patternFill>
    </fill>
    <fill>
      <patternFill patternType="solid">
        <fgColor rgb="00F5C6CB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F5EDD5"/>
      </patternFill>
    </fill>
    <fill>
      <patternFill patternType="solid">
        <fgColor rgb="00D0ECF8"/>
      </patternFill>
    </fill>
    <fill>
      <patternFill patternType="solid">
        <fgColor rgb="00EDE9F6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D0F5C8"/>
      </patternFill>
    </fill>
    <fill>
      <patternFill patternType="solid">
        <fgColor rgb="00C4EBF0"/>
      </patternFill>
    </fill>
    <fill>
      <patternFill patternType="solid">
        <fgColor rgb="00C8F5C8"/>
      </patternFill>
    </fill>
    <fill>
      <patternFill patternType="solid">
        <fgColor rgb="00C8DCF5"/>
      </patternFill>
    </fill>
    <fill>
      <patternFill patternType="solid">
        <fgColor rgb="00D6F5D6"/>
      </patternFill>
    </fill>
    <fill>
      <patternFill patternType="solid">
        <fgColor rgb="001F618D"/>
      </patternFill>
    </fill>
    <fill>
      <patternFill patternType="solid">
        <fgColor rgb="007F8C8D"/>
      </patternFill>
    </fill>
    <fill>
      <patternFill patternType="solid">
        <fgColor rgb="00FFE8CC"/>
      </patternFill>
    </fill>
    <fill>
      <patternFill patternType="solid">
        <fgColor rgb="00616A6B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center"/>
    </xf>
    <xf numFmtId="0" fontId="9" fillId="0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8" fillId="6" borderId="0" pivotButton="0" quotePrefix="0" xfId="0"/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0" fontId="6" fillId="10" borderId="2" applyAlignment="1" pivotButton="0" quotePrefix="0" xfId="0">
      <alignment horizontal="center"/>
    </xf>
    <xf numFmtId="0" fontId="10" fillId="11" borderId="2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8" fillId="26" borderId="1" pivotButton="0" quotePrefix="0" xfId="0"/>
    <xf numFmtId="0" fontId="8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8" fillId="33" borderId="1" pivotButton="0" quotePrefix="0" xfId="0"/>
    <xf numFmtId="0" fontId="8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vertical="center"/>
    </xf>
    <xf numFmtId="0" fontId="8" fillId="36" borderId="1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30" borderId="1" applyAlignment="1" pivotButton="0" quotePrefix="0" xfId="0">
      <alignment horizontal="center" vertical="center"/>
    </xf>
    <xf numFmtId="0" fontId="13" fillId="29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5" customWidth="1" min="2" max="2"/>
    <col hidden="1" width="7" customWidth="1" min="3" max="3"/>
    <col hidden="1" width="14" customWidth="1" min="4" max="4"/>
    <col width="11" customWidth="1" min="5" max="5"/>
    <col width="7" customWidth="1" min="6" max="6"/>
    <col hidden="1" width="11" customWidth="1" min="7" max="7"/>
    <col width="18" customWidth="1" min="8" max="8"/>
    <col width="16" customWidth="1" min="9" max="9"/>
    <col width="14" customWidth="1" min="10" max="10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No specific category colours used in this sheet.</t>
        </is>
      </c>
    </row>
    <row r="5">
      <c r="A5" s="4" t="inlineStr">
        <is>
          <t>Date</t>
        </is>
      </c>
      <c r="B5" s="4" t="inlineStr">
        <is>
          <t>Particulars</t>
        </is>
      </c>
      <c r="C5" s="4" t="inlineStr">
        <is>
          <t>Ref</t>
        </is>
      </c>
      <c r="D5" s="4" t="inlineStr">
        <is>
          <t>Value_Date</t>
        </is>
      </c>
      <c r="E5" s="4" t="inlineStr">
        <is>
          <t>DR</t>
        </is>
      </c>
      <c r="F5" s="4" t="inlineStr">
        <is>
          <t>CR</t>
        </is>
      </c>
      <c r="G5" s="4" t="inlineStr">
        <is>
          <t>Balance</t>
        </is>
      </c>
      <c r="H5" s="4" t="inlineStr">
        <is>
          <t>Auto_Narration</t>
        </is>
      </c>
      <c r="I5" s="4" t="inlineStr">
        <is>
          <t>Account_Head</t>
        </is>
      </c>
      <c r="J5" s="4" t="inlineStr">
        <is>
          <t>Confidence</t>
        </is>
      </c>
    </row>
    <row r="6">
      <c r="A6" s="5" t="n"/>
      <c r="B6" s="5" t="inlineStr">
        <is>
          <t>Salary</t>
        </is>
      </c>
      <c r="C6" s="5" t="n"/>
      <c r="D6" s="5" t="n"/>
      <c r="E6" s="5" t="n">
        <v>50000</v>
      </c>
      <c r="F6" s="5" t="n">
        <v>0</v>
      </c>
      <c r="G6" s="5" t="n"/>
      <c r="H6" s="5" t="inlineStr">
        <is>
          <t>What is this?</t>
        </is>
      </c>
      <c r="I6" s="5" t="inlineStr">
        <is>
          <t>Suspense</t>
        </is>
      </c>
      <c r="J6" s="6" t="n">
        <v>0</v>
      </c>
    </row>
  </sheetData>
  <autoFilter ref="A5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8" customWidth="1" min="2" max="2"/>
    <col width="11" customWidth="1" min="3" max="3"/>
    <col width="7" customWidth="1" min="4" max="4"/>
    <col width="17" customWidth="1" min="5" max="5"/>
    <col width="14" customWidth="1" min="6" max="6"/>
    <col width="16" customWidth="1" min="7" max="7"/>
    <col width="14" customWidth="1" min="8" max="8"/>
    <col width="15" customWidth="1" min="9" max="9"/>
    <col width="13" customWidth="1" min="10" max="10"/>
    <col width="13" customWidth="1" min="11" max="11"/>
    <col hidden="1" width="24" customWidth="1" min="12" max="12"/>
  </cols>
  <sheetData>
    <row r="1">
      <c r="A1" s="4" t="inlineStr">
        <is>
          <t>TX Date</t>
        </is>
      </c>
      <c r="B1" s="4" t="inlineStr">
        <is>
          <t>Date</t>
        </is>
      </c>
      <c r="C1" s="4" t="inlineStr">
        <is>
          <t>DR</t>
        </is>
      </c>
      <c r="D1" s="4" t="inlineStr">
        <is>
          <t>CR</t>
        </is>
      </c>
      <c r="E1" s="4" t="inlineStr">
        <is>
          <t>Narration</t>
        </is>
      </c>
      <c r="F1" s="4" t="inlineStr">
        <is>
          <t>Confidence</t>
        </is>
      </c>
      <c r="G1" s="4" t="inlineStr">
        <is>
          <t>Account Head</t>
        </is>
      </c>
      <c r="H1" s="4" t="inlineStr">
        <is>
          <t>Account No</t>
        </is>
      </c>
      <c r="I1" s="4" t="inlineStr">
        <is>
          <t>Particulars</t>
        </is>
      </c>
      <c r="J1" s="4" t="inlineStr">
        <is>
          <t>Bank</t>
        </is>
      </c>
      <c r="K1" s="4" t="inlineStr">
        <is>
          <t>Duplicate</t>
        </is>
      </c>
      <c r="L1" s="4" t="inlineStr">
        <is>
          <t>Pivot Category</t>
        </is>
      </c>
    </row>
    <row r="2">
      <c r="A2" s="5" t="n"/>
      <c r="B2" s="5" t="n"/>
      <c r="C2" s="5" t="n">
        <v>50000</v>
      </c>
      <c r="D2" s="5" t="n">
        <v>0</v>
      </c>
      <c r="E2" s="5" t="inlineStr">
        <is>
          <t>What is this?</t>
        </is>
      </c>
      <c r="F2" s="6" t="n">
        <v>0</v>
      </c>
      <c r="G2" s="5" t="inlineStr">
        <is>
          <t>Suspense</t>
        </is>
      </c>
      <c r="H2" s="5" t="inlineStr">
        <is>
          <t>123456789</t>
        </is>
      </c>
      <c r="I2" s="5" t="inlineStr">
        <is>
          <t>Salary</t>
        </is>
      </c>
      <c r="J2" s="5" t="inlineStr">
        <is>
          <t>HDFC Bank</t>
        </is>
      </c>
      <c r="K2" s="5" t="inlineStr"/>
      <c r="L2" s="5" t="inlineStr">
        <is>
          <t>General/Other Spends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7" t="inlineStr">
        <is>
          <t>Test Entity</t>
        </is>
      </c>
    </row>
    <row r="2">
      <c r="A2" s="8" t="inlineStr">
        <is>
          <t>Account of Statements from FY26</t>
        </is>
      </c>
      <c r="D2">
        <f>SUBTOTAL(9, D5:D5)</f>
        <v/>
      </c>
      <c r="E2">
        <f>SUBTOTAL(9, E5:E5)</f>
        <v/>
      </c>
      <c r="F2">
        <f>E2-D2</f>
        <v/>
      </c>
    </row>
    <row r="4">
      <c r="A4" s="4" t="inlineStr">
        <is>
          <t>TX Date</t>
        </is>
      </c>
      <c r="B4" s="4" t="inlineStr">
        <is>
          <t>Particulars</t>
        </is>
      </c>
      <c r="C4" s="4" t="inlineStr">
        <is>
          <t>Ref</t>
        </is>
      </c>
      <c r="D4" s="4" t="inlineStr">
        <is>
          <t>DR</t>
        </is>
      </c>
      <c r="E4" s="4" t="inlineStr">
        <is>
          <t>CR</t>
        </is>
      </c>
      <c r="F4" s="4" t="inlineStr">
        <is>
          <t>Balance</t>
        </is>
      </c>
      <c r="G4" s="4" t="inlineStr">
        <is>
          <t>Account Head</t>
        </is>
      </c>
      <c r="H4" s="4" t="inlineStr">
        <is>
          <t>Account No</t>
        </is>
      </c>
    </row>
    <row r="5">
      <c r="A5" s="9" t="n"/>
      <c r="B5" s="9" t="inlineStr">
        <is>
          <t>Salary</t>
        </is>
      </c>
      <c r="C5" s="9" t="n"/>
      <c r="D5" s="9" t="n">
        <v>50000</v>
      </c>
      <c r="E5" s="9" t="n">
        <v>0</v>
      </c>
      <c r="F5" s="9" t="n"/>
      <c r="G5" s="9" t="inlineStr">
        <is>
          <t>Suspense</t>
        </is>
      </c>
      <c r="H5" s="9" t="inlineStr">
        <is>
          <t>123456789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All Banks</t>
        </is>
      </c>
    </row>
    <row r="2">
      <c r="A2" s="7" t="inlineStr">
        <is>
          <t>Test Entity Bank Summary</t>
        </is>
      </c>
    </row>
    <row r="3">
      <c r="A3" t="inlineStr">
        <is>
          <t>FY26</t>
        </is>
      </c>
    </row>
    <row r="4">
      <c r="A4" s="11" t="n"/>
      <c r="B4" s="11" t="n"/>
      <c r="C4" s="11" t="n"/>
      <c r="D4" s="11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5" t="inlineStr">
        <is>
          <t>What is this?</t>
        </is>
      </c>
      <c r="B6" s="5">
        <f>SUMIFS('For Tally'!D:D, 'For Tally'!E:E, A6)</f>
        <v/>
      </c>
      <c r="C6" s="5" t="inlineStr">
        <is>
          <t>What is this?</t>
        </is>
      </c>
      <c r="D6" s="5">
        <f>SUMIFS('For Tally'!C:C, 'For Tally'!E:E, C6)</f>
        <v/>
      </c>
    </row>
    <row r="7">
      <c r="A7" s="12" t="inlineStr">
        <is>
          <t>TOTAL</t>
        </is>
      </c>
      <c r="B7" s="12">
        <f>SUM(B5:B6)</f>
        <v/>
      </c>
      <c r="C7" s="12" t="inlineStr">
        <is>
          <t>TOTAL</t>
        </is>
      </c>
      <c r="D7" s="12">
        <f>SUM(D5:D6)</f>
        <v/>
      </c>
      <c r="E7" s="12" t="inlineStr">
        <is>
          <t>Net</t>
        </is>
      </c>
      <c r="F7" s="12">
        <f>B7-D7</f>
        <v/>
      </c>
    </row>
    <row r="9">
      <c r="A9" s="13" t="inlineStr">
        <is>
          <t>Opening &amp; Closing Balances</t>
        </is>
      </c>
    </row>
    <row r="10">
      <c r="A10" s="14" t="inlineStr">
        <is>
          <t>Account</t>
        </is>
      </c>
      <c r="B10" s="14" t="inlineStr">
        <is>
          <t>Opening Balance (₹)</t>
        </is>
      </c>
      <c r="C10" s="14" t="inlineStr">
        <is>
          <t>Closing Balance (₹)</t>
        </is>
      </c>
      <c r="D10" s="14" t="n"/>
      <c r="E10" s="14" t="n"/>
      <c r="F10" s="14" t="n"/>
    </row>
    <row r="11">
      <c r="A11" s="9" t="inlineStr">
        <is>
          <t>123456789</t>
        </is>
      </c>
      <c r="B11" s="9" t="n">
        <v>0</v>
      </c>
      <c r="C11" s="9">
        <f>B11 + SUMIFS('For Tally'!D:D, 'For Tally'!H:H, A11) - SUMIFS('For Tally'!C:C, 'For Tally'!H:H, A11)</f>
        <v/>
      </c>
    </row>
    <row r="13">
      <c r="A13" s="13" t="inlineStr">
        <is>
          <t>Confidence Distribution</t>
        </is>
      </c>
    </row>
    <row r="14">
      <c r="A14" s="15" t="inlineStr">
        <is>
          <t>Band</t>
        </is>
      </c>
      <c r="B14" s="15" t="inlineStr">
        <is>
          <t>Count</t>
        </is>
      </c>
      <c r="C14" s="15" t="inlineStr">
        <is>
          <t>% of Total</t>
        </is>
      </c>
      <c r="D14" s="15" t="n"/>
      <c r="E14" s="15" t="n"/>
      <c r="F14" s="15" t="n"/>
    </row>
    <row r="15">
      <c r="A15" s="16" t="inlineStr">
        <is>
          <t>High (≥ 0.85) — Confident</t>
        </is>
      </c>
      <c r="B15" s="16">
        <f>COUNTIF('For Tally'!F:F, "&gt;=0.85")</f>
        <v/>
      </c>
      <c r="C15" s="17">
        <f>B15/SUM(B15:B17)</f>
        <v/>
      </c>
    </row>
    <row r="16">
      <c r="A16" s="18" t="inlineStr">
        <is>
          <t>Medium (0.60–0.84) — Review</t>
        </is>
      </c>
      <c r="B16" s="18">
        <f>COUNTIFS('For Tally'!F:F, "&gt;=0.60", 'For Tally'!F:F, "&lt;0.85")</f>
        <v/>
      </c>
      <c r="C16" s="19">
        <f>B16/SUM(B15:B17)</f>
        <v/>
      </c>
    </row>
    <row r="17">
      <c r="A17" s="20" t="inlineStr">
        <is>
          <t>Low (&lt; 0.60) — Needs attention</t>
        </is>
      </c>
      <c r="B17" s="20">
        <f>COUNTIF('For Tally'!F:F, "&lt;0.60")</f>
        <v/>
      </c>
      <c r="C17" s="21">
        <f>B17/SUM(B15:B17)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0" t="inlineStr">
        <is>
          <t>Unified Monthly Spend &amp; Income Pivot</t>
        </is>
      </c>
    </row>
    <row r="3">
      <c r="A3" s="22" t="inlineStr">
        <is>
          <t>Bank Filter Toggles:</t>
        </is>
      </c>
      <c r="B3" s="23" t="inlineStr">
        <is>
          <t>HDFC Bank</t>
        </is>
      </c>
    </row>
    <row r="4">
      <c r="B4" s="24" t="b">
        <v>1</v>
      </c>
    </row>
    <row r="5" hidden="1">
      <c r="B5">
        <f>IF(B4, B3, "")</f>
        <v/>
      </c>
    </row>
    <row r="7">
      <c r="A7" s="25" t="inlineStr">
        <is>
          <t>PAYMENTS / EXPENSES (Bank + CC)</t>
        </is>
      </c>
      <c r="B7" s="25" t="inlineStr">
        <is>
          <t>TOTAL</t>
        </is>
      </c>
    </row>
    <row r="8">
      <c r="A8" s="26" t="inlineStr">
        <is>
          <t>Broadband &amp; WiFi</t>
        </is>
      </c>
      <c r="B8" s="26">
        <f>SUM(B8:A8)</f>
        <v/>
      </c>
    </row>
    <row r="9">
      <c r="A9" s="27" t="inlineStr">
        <is>
          <t>Groceries &amp; Household</t>
        </is>
      </c>
      <c r="B9" s="27">
        <f>SUM(B9:A9)</f>
        <v/>
      </c>
    </row>
    <row r="10">
      <c r="A10" s="28" t="inlineStr">
        <is>
          <t>Food &amp; Dining</t>
        </is>
      </c>
      <c r="B10" s="28">
        <f>SUM(B10:A10)</f>
        <v/>
      </c>
    </row>
    <row r="11">
      <c r="A11" s="29" t="inlineStr">
        <is>
          <t>Rent</t>
        </is>
      </c>
      <c r="B11" s="29">
        <f>SUM(B11:A11)</f>
        <v/>
      </c>
    </row>
    <row r="12">
      <c r="A12" s="30" t="inlineStr">
        <is>
          <t>Travel &amp; Commute</t>
        </is>
      </c>
      <c r="B12" s="30">
        <f>SUM(B12:A12)</f>
        <v/>
      </c>
    </row>
    <row r="13">
      <c r="A13" s="31" t="inlineStr">
        <is>
          <t>Fuel</t>
        </is>
      </c>
      <c r="B13" s="31">
        <f>SUM(B13:A13)</f>
        <v/>
      </c>
    </row>
    <row r="14">
      <c r="A14" s="32" t="inlineStr">
        <is>
          <t>Transport &amp; Automotive</t>
        </is>
      </c>
      <c r="B14" s="32">
        <f>SUM(B14:A14)</f>
        <v/>
      </c>
    </row>
    <row r="15">
      <c r="A15" s="20" t="inlineStr">
        <is>
          <t>Healthcare &amp; Medical</t>
        </is>
      </c>
      <c r="B15" s="20">
        <f>SUM(B15:A15)</f>
        <v/>
      </c>
    </row>
    <row r="16">
      <c r="A16" s="33" t="inlineStr">
        <is>
          <t>Life Insurance</t>
        </is>
      </c>
      <c r="B16" s="33">
        <f>SUM(B16:A16)</f>
        <v/>
      </c>
    </row>
    <row r="17">
      <c r="A17" s="29" t="inlineStr">
        <is>
          <t>Health Insurance</t>
        </is>
      </c>
      <c r="B17" s="29">
        <f>SUM(B17:A17)</f>
        <v/>
      </c>
    </row>
    <row r="18">
      <c r="A18" s="34" t="inlineStr">
        <is>
          <t>Subscriptions &amp; Services</t>
        </is>
      </c>
      <c r="B18" s="34">
        <f>SUM(B18:A18)</f>
        <v/>
      </c>
    </row>
    <row r="19">
      <c r="A19" s="35" t="inlineStr">
        <is>
          <t>Utilities &amp; Mobile</t>
        </is>
      </c>
      <c r="B19" s="35">
        <f>SUM(B19:A19)</f>
        <v/>
      </c>
    </row>
    <row r="20">
      <c r="A20" s="36" t="inlineStr">
        <is>
          <t>Shopping &amp; Lifestyle</t>
        </is>
      </c>
      <c r="B20" s="36">
        <f>SUM(B20:A20)</f>
        <v/>
      </c>
    </row>
    <row r="21">
      <c r="A21" s="20" t="inlineStr">
        <is>
          <t>Entertainment &amp; Leisure</t>
        </is>
      </c>
      <c r="B21" s="20">
        <f>SUM(B21:A21)</f>
        <v/>
      </c>
    </row>
    <row r="22">
      <c r="A22" s="37" t="inlineStr">
        <is>
          <t>Investments &amp; Wealth</t>
        </is>
      </c>
      <c r="B22" s="37">
        <f>SUM(B22:A22)</f>
        <v/>
      </c>
    </row>
    <row r="23">
      <c r="A23" s="20" t="inlineStr">
        <is>
          <t>Bank &amp; Depository Charges</t>
        </is>
      </c>
      <c r="B23" s="20">
        <f>SUM(B23:A23)</f>
        <v/>
      </c>
    </row>
    <row r="24">
      <c r="A24" s="38" t="inlineStr">
        <is>
          <t>General/Other Spends</t>
        </is>
      </c>
      <c r="B24" s="38">
        <f>SUM(B24:A24)</f>
        <v/>
      </c>
    </row>
    <row r="25">
      <c r="A25" s="39" t="inlineStr">
        <is>
          <t>EXPENSE TOTAL</t>
        </is>
      </c>
      <c r="B25" s="39">
        <f>SUM(B8:B24)</f>
        <v/>
      </c>
    </row>
    <row r="27">
      <c r="A27" s="40" t="inlineStr">
        <is>
          <t>RECEIPTS / INCOME (Bank)</t>
        </is>
      </c>
      <c r="B27" s="40" t="inlineStr">
        <is>
          <t>TOTAL</t>
        </is>
      </c>
    </row>
    <row r="28">
      <c r="A28" s="16" t="inlineStr">
        <is>
          <t>Salary</t>
        </is>
      </c>
      <c r="B28" s="16">
        <f>SUM(B28:A28)</f>
        <v/>
      </c>
    </row>
    <row r="29">
      <c r="A29" s="41" t="inlineStr">
        <is>
          <t>Freelance &amp; Business Income</t>
        </is>
      </c>
      <c r="B29" s="41">
        <f>SUM(B29:A29)</f>
        <v/>
      </c>
    </row>
    <row r="30">
      <c r="A30" s="42" t="inlineStr">
        <is>
          <t>Dividend Income</t>
        </is>
      </c>
      <c r="B30" s="42">
        <f>SUM(B30:A30)</f>
        <v/>
      </c>
    </row>
    <row r="31">
      <c r="A31" s="43" t="inlineStr">
        <is>
          <t>Bank Interest</t>
        </is>
      </c>
      <c r="B31" s="43">
        <f>SUM(B31:A31)</f>
        <v/>
      </c>
    </row>
    <row r="32">
      <c r="A32" s="44" t="inlineStr">
        <is>
          <t>Investment Inflows (MF/Stocks)</t>
        </is>
      </c>
      <c r="B32" s="44">
        <f>SUM(B32:A32)</f>
        <v/>
      </c>
    </row>
    <row r="33">
      <c r="A33" s="26" t="inlineStr">
        <is>
          <t>Refunds &amp; Reversals</t>
        </is>
      </c>
      <c r="B33" s="26">
        <f>SUM(B33:A33)</f>
        <v/>
      </c>
    </row>
    <row r="34">
      <c r="A34" s="45" t="inlineStr">
        <is>
          <t>Personal Inflows / Transfers</t>
        </is>
      </c>
      <c r="B34" s="45">
        <f>SUM(B34:A34)</f>
        <v/>
      </c>
    </row>
    <row r="35">
      <c r="A35" s="46" t="inlineStr">
        <is>
          <t>INFLOW TOTAL</t>
        </is>
      </c>
      <c r="B35" s="46">
        <f>SUM(B28:B34)</f>
        <v/>
      </c>
    </row>
    <row r="37">
      <c r="A37" s="47" t="inlineStr">
        <is>
          <t>SELF-TRANSFERS (Contra)</t>
        </is>
      </c>
      <c r="B37" s="47" t="inlineStr">
        <is>
          <t>TOTAL</t>
        </is>
      </c>
    </row>
    <row r="38">
      <c r="A38" s="48" t="inlineStr">
        <is>
          <t>Self-Transfer (Contra)</t>
        </is>
      </c>
      <c r="B38" s="48">
        <f>SUM(B38:A38)</f>
        <v/>
      </c>
    </row>
    <row r="39">
      <c r="A39" s="49" t="inlineStr">
        <is>
          <t>CONTRA TOTAL</t>
        </is>
      </c>
      <c r="B39" s="49">
        <f>SUM(B38:B38)</f>
        <v/>
      </c>
    </row>
  </sheetData>
  <dataValidations count="1">
    <dataValidation sqref="B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50" t="inlineStr">
        <is>
          <t>Workbook Colour Legend</t>
        </is>
      </c>
    </row>
    <row r="5">
      <c r="B5" s="51" t="inlineStr">
        <is>
          <t>INCOME &amp; INFLOWS</t>
        </is>
      </c>
      <c r="C5" s="52" t="inlineStr">
        <is>
          <t>Colour Code</t>
        </is>
      </c>
      <c r="D5" s="53" t="inlineStr">
        <is>
          <t>Description</t>
        </is>
      </c>
    </row>
    <row r="7">
      <c r="B7" s="54" t="inlineStr">
        <is>
          <t>Salary</t>
        </is>
      </c>
      <c r="C7" s="55" t="inlineStr">
        <is>
          <t>Sample Fill</t>
        </is>
      </c>
      <c r="D7" s="56" t="inlineStr">
        <is>
          <t>Salary Credit (Mphasis)</t>
        </is>
      </c>
    </row>
    <row r="8">
      <c r="B8" s="54" t="inlineStr">
        <is>
          <t>Bank Interest</t>
        </is>
      </c>
      <c r="C8" s="57" t="inlineStr">
        <is>
          <t>Sample Fill</t>
        </is>
      </c>
      <c r="D8" s="56" t="inlineStr">
        <is>
          <t>Interest earned on Savings accounts</t>
        </is>
      </c>
    </row>
    <row r="9">
      <c r="B9" s="54" t="inlineStr">
        <is>
          <t>Dividend Income</t>
        </is>
      </c>
      <c r="C9" s="58" t="inlineStr">
        <is>
          <t>Sample Fill</t>
        </is>
      </c>
      <c r="D9" s="56" t="inlineStr">
        <is>
          <t>Dividend payout from shares</t>
        </is>
      </c>
    </row>
    <row r="10">
      <c r="B10" s="54" t="inlineStr">
        <is>
          <t>Annuity Income</t>
        </is>
      </c>
      <c r="C10" s="59" t="inlineStr">
        <is>
          <t>Sample Fill</t>
        </is>
      </c>
      <c r="D10" s="56" t="inlineStr">
        <is>
          <t>Annuity credits (HDFC Life)</t>
        </is>
      </c>
    </row>
    <row r="11">
      <c r="B11" s="54" t="inlineStr">
        <is>
          <t>Income Tax Refund</t>
        </is>
      </c>
      <c r="C11" s="59" t="inlineStr">
        <is>
          <t>Sample Fill</t>
        </is>
      </c>
      <c r="D11" s="56" t="inlineStr">
        <is>
          <t>Income Tax Refund from Department</t>
        </is>
      </c>
    </row>
    <row r="12">
      <c r="B12" s="54" t="inlineStr">
        <is>
          <t>MF Redemption</t>
        </is>
      </c>
      <c r="C12" s="59" t="inlineStr">
        <is>
          <t>Sample Fill</t>
        </is>
      </c>
      <c r="D12" s="56" t="inlineStr">
        <is>
          <t>Inflows from selling Mutual Funds</t>
        </is>
      </c>
    </row>
    <row r="13">
      <c r="B13" s="54" t="inlineStr">
        <is>
          <t>Upwork Income</t>
        </is>
      </c>
      <c r="C13" s="59" t="inlineStr">
        <is>
          <t>Sample Fill</t>
        </is>
      </c>
      <c r="D13" s="56" t="inlineStr">
        <is>
          <t>Inward remittances from Upwork freelancing</t>
        </is>
      </c>
    </row>
    <row r="14">
      <c r="B14" s="54" t="inlineStr">
        <is>
          <t>Cash Deposit</t>
        </is>
      </c>
      <c r="C14" s="59" t="inlineStr">
        <is>
          <t>Sample Fill</t>
        </is>
      </c>
      <c r="D14" s="56" t="inlineStr">
        <is>
          <t>Cash deposits made at CDM / Branch</t>
        </is>
      </c>
    </row>
    <row r="15">
      <c r="B15" s="54" t="inlineStr">
        <is>
          <t>Freelance Income</t>
        </is>
      </c>
      <c r="C15" s="59" t="inlineStr">
        <is>
          <t>Sample Fill</t>
        </is>
      </c>
      <c r="D15" s="56" t="inlineStr">
        <is>
          <t>Freelance work escrow payouts</t>
        </is>
      </c>
    </row>
    <row r="16">
      <c r="B16" s="54" t="inlineStr">
        <is>
          <t>Cashback - BHIM</t>
        </is>
      </c>
      <c r="C16" s="59" t="inlineStr">
        <is>
          <t>Sample Fill</t>
        </is>
      </c>
      <c r="D16" s="56" t="inlineStr">
        <is>
          <t>Cashback rewards earned on BHIM app</t>
        </is>
      </c>
    </row>
    <row r="17">
      <c r="B17" s="54" t="inlineStr">
        <is>
          <t>Cashback - Kiwi</t>
        </is>
      </c>
      <c r="C17" s="59" t="inlineStr">
        <is>
          <t>Sample Fill</t>
        </is>
      </c>
      <c r="D17" s="56" t="inlineStr">
        <is>
          <t>Cashback rewards earned on Kiwi app</t>
        </is>
      </c>
    </row>
    <row r="18">
      <c r="B18" s="60" t="inlineStr">
        <is>
          <t>INVESTMENTS</t>
        </is>
      </c>
      <c r="C18" s="59" t="inlineStr">
        <is>
          <t>Sample Fill</t>
        </is>
      </c>
      <c r="D18" s="56" t="inlineStr">
        <is>
          <t>Refund from Wakefit for online shopping</t>
        </is>
      </c>
    </row>
    <row r="20">
      <c r="B20" s="54" t="inlineStr">
        <is>
          <t>SIP</t>
        </is>
      </c>
      <c r="C20" s="59" t="inlineStr">
        <is>
          <t>Sample Fill</t>
        </is>
      </c>
      <c r="D20" s="56" t="inlineStr">
        <is>
          <t>Monthly Mutual Fund SIP payments</t>
        </is>
      </c>
    </row>
    <row r="21">
      <c r="B21" s="54" t="inlineStr">
        <is>
          <t>MF Investment</t>
        </is>
      </c>
      <c r="C21" s="59" t="inlineStr">
        <is>
          <t>Sample Fill</t>
        </is>
      </c>
      <c r="D21" s="56" t="inlineStr">
        <is>
          <t>Lumpsum Mutual Fund investments</t>
        </is>
      </c>
    </row>
    <row r="22">
      <c r="B22" s="54" t="inlineStr">
        <is>
          <t>Auto Sweep FD</t>
        </is>
      </c>
      <c r="C22" s="59" t="inlineStr">
        <is>
          <t>Sample Fill</t>
        </is>
      </c>
      <c r="D22" s="56" t="inlineStr">
        <is>
          <t>Sweep in/out between Savings and FD</t>
        </is>
      </c>
    </row>
    <row r="23">
      <c r="B23" s="54" t="inlineStr">
        <is>
          <t>Depository Credit</t>
        </is>
      </c>
      <c r="C23" s="59" t="inlineStr">
        <is>
          <t>Sample Fill</t>
        </is>
      </c>
      <c r="D23" s="56" t="inlineStr">
        <is>
          <t>CDSL credits / payouts</t>
        </is>
      </c>
    </row>
    <row r="24">
      <c r="B24" s="54" t="inlineStr">
        <is>
          <t>Zerodha Broking</t>
        </is>
      </c>
      <c r="C24" s="59" t="inlineStr">
        <is>
          <t>Sample Fill</t>
        </is>
      </c>
      <c r="D24" s="56" t="inlineStr">
        <is>
          <t>Payments/payouts associated with Zerodha</t>
        </is>
      </c>
    </row>
    <row r="25">
      <c r="B25" s="60" t="inlineStr">
        <is>
          <t>REGULAR OUTFLOWS &amp; INSURANCE</t>
        </is>
      </c>
      <c r="C25" s="59" t="inlineStr">
        <is>
          <t>Sample Fill</t>
        </is>
      </c>
      <c r="D25" s="56" t="inlineStr">
        <is>
          <t>Settlement transfers to HDFC Securities</t>
        </is>
      </c>
    </row>
    <row r="27">
      <c r="B27" s="54" t="inlineStr">
        <is>
          <t>Rent</t>
        </is>
      </c>
      <c r="C27" s="61" t="inlineStr">
        <is>
          <t>Sample Fill</t>
        </is>
      </c>
      <c r="D27" s="56" t="inlineStr">
        <is>
          <t>Rent payments to landlord</t>
        </is>
      </c>
    </row>
    <row r="28">
      <c r="B28" s="54" t="inlineStr">
        <is>
          <t>Life Insurance Premium</t>
        </is>
      </c>
      <c r="C28" s="59" t="inlineStr">
        <is>
          <t>Sample Fill</t>
        </is>
      </c>
      <c r="D28" s="56" t="inlineStr">
        <is>
          <t>Life insurance premium payments (HDFC Life)</t>
        </is>
      </c>
    </row>
    <row r="29">
      <c r="B29" s="54" t="inlineStr">
        <is>
          <t>Health Insurance</t>
        </is>
      </c>
      <c r="C29" s="61" t="inlineStr">
        <is>
          <t>Sample Fill</t>
        </is>
      </c>
      <c r="D29" s="56" t="inlineStr">
        <is>
          <t>Health insurance premium payments</t>
        </is>
      </c>
    </row>
    <row r="30">
      <c r="B30" s="54" t="inlineStr">
        <is>
          <t>Security Deposit</t>
        </is>
      </c>
      <c r="C30" s="59" t="inlineStr">
        <is>
          <t>Sample Fill</t>
        </is>
      </c>
      <c r="D30" s="56" t="inlineStr">
        <is>
          <t>Security deposit paid for rental home</t>
        </is>
      </c>
    </row>
    <row r="31">
      <c r="B31" s="60" t="inlineStr">
        <is>
          <t>TAXES &amp; BANK CHARGES</t>
        </is>
      </c>
      <c r="C31" s="59" t="inlineStr">
        <is>
          <t>Sample Fill</t>
        </is>
      </c>
      <c r="D31" s="56" t="inlineStr">
        <is>
          <t>Refund/return of security deposit</t>
        </is>
      </c>
    </row>
    <row r="33">
      <c r="B33" s="54" t="inlineStr">
        <is>
          <t>Advance Tax</t>
        </is>
      </c>
      <c r="C33" s="59" t="inlineStr">
        <is>
          <t>Sample Fill</t>
        </is>
      </c>
      <c r="D33" s="56" t="inlineStr">
        <is>
          <t>Advance tax payments</t>
        </is>
      </c>
    </row>
    <row r="34">
      <c r="B34" s="54" t="inlineStr">
        <is>
          <t>Income Tax Payment</t>
        </is>
      </c>
      <c r="C34" s="59" t="inlineStr">
        <is>
          <t>Sample Fill</t>
        </is>
      </c>
      <c r="D34" s="56" t="inlineStr">
        <is>
          <t>Income tax payments to CBDT</t>
        </is>
      </c>
    </row>
    <row r="35">
      <c r="B35" s="54" t="inlineStr">
        <is>
          <t>Bank Charges</t>
        </is>
      </c>
      <c r="C35" s="59" t="inlineStr">
        <is>
          <t>Sample Fill</t>
        </is>
      </c>
      <c r="D35" s="56" t="inlineStr">
        <is>
          <t>SMS charges, minimum balance fees, alert fees</t>
        </is>
      </c>
    </row>
    <row r="36">
      <c r="B36" s="60" t="inlineStr">
        <is>
          <t>FAMILY TRANSFERS</t>
        </is>
      </c>
      <c r="C36" s="59" t="inlineStr">
        <is>
          <t>Sample Fill</t>
        </is>
      </c>
      <c r="D36" s="56" t="inlineStr">
        <is>
          <t>CDSL / DP charges</t>
        </is>
      </c>
    </row>
    <row r="38">
      <c r="B38" s="54" t="inlineStr">
        <is>
          <t>Transfer - Sunita Gupta</t>
        </is>
      </c>
      <c r="C38" s="59" t="inlineStr">
        <is>
          <t>Sample Fill</t>
        </is>
      </c>
      <c r="D38" s="56" t="inlineStr">
        <is>
          <t>Transfers to/from Sunita Gupta</t>
        </is>
      </c>
    </row>
    <row r="39">
      <c r="B39" s="54" t="inlineStr">
        <is>
          <t>Transfer - Ajay Gupta</t>
        </is>
      </c>
      <c r="C39" s="59" t="inlineStr">
        <is>
          <t>Sample Fill</t>
        </is>
      </c>
      <c r="D39" s="56" t="inlineStr">
        <is>
          <t>Transfers to/from Ajay Gupta</t>
        </is>
      </c>
    </row>
    <row r="40">
      <c r="B40" s="54" t="inlineStr">
        <is>
          <t>Transfer - Archit Gupta</t>
        </is>
      </c>
      <c r="C40" s="59" t="inlineStr">
        <is>
          <t>Sample Fill</t>
        </is>
      </c>
      <c r="D40" s="56" t="inlineStr">
        <is>
          <t>Transfers to/from Archit Gupta</t>
        </is>
      </c>
    </row>
    <row r="41">
      <c r="B41" s="60" t="inlineStr">
        <is>
          <t>SELF TRANSFERS (CONTRA)</t>
        </is>
      </c>
      <c r="C41" s="59" t="inlineStr">
        <is>
          <t>Sample Fill</t>
        </is>
      </c>
      <c r="D41" s="56" t="inlineStr">
        <is>
          <t>Transfers to/from Megha Gupta</t>
        </is>
      </c>
    </row>
    <row r="43">
      <c r="B43" s="54" t="inlineStr">
        <is>
          <t>Contra - SBI</t>
        </is>
      </c>
      <c r="C43" s="59" t="inlineStr">
        <is>
          <t>Sample Fill</t>
        </is>
      </c>
      <c r="D43" s="56" t="inlineStr">
        <is>
          <t>Self-transfer to/from State Bank of India</t>
        </is>
      </c>
    </row>
    <row r="44">
      <c r="B44" s="54" t="inlineStr">
        <is>
          <t>Contra - Kotak</t>
        </is>
      </c>
      <c r="C44" s="59" t="inlineStr">
        <is>
          <t>Sample Fill</t>
        </is>
      </c>
      <c r="D44" s="56" t="inlineStr">
        <is>
          <t>Self-transfer to/from Kotak Mahindra Bank</t>
        </is>
      </c>
    </row>
    <row r="45">
      <c r="B45" s="54" t="inlineStr">
        <is>
          <t>Contra - Jupiter</t>
        </is>
      </c>
      <c r="C45" s="59" t="inlineStr">
        <is>
          <t>Sample Fill</t>
        </is>
      </c>
      <c r="D45" s="56" t="inlineStr">
        <is>
          <t>Self-transfer to/from Jupiter account</t>
        </is>
      </c>
    </row>
    <row r="46">
      <c r="B46" s="54" t="inlineStr">
        <is>
          <t>Contra - HDFC</t>
        </is>
      </c>
      <c r="C46" s="59" t="inlineStr">
        <is>
          <t>Sample Fill</t>
        </is>
      </c>
      <c r="D46" s="56" t="inlineStr">
        <is>
          <t>Self-transfer to/from HDFC Bank</t>
        </is>
      </c>
    </row>
    <row r="47">
      <c r="B47" s="54" t="inlineStr">
        <is>
          <t>Contra - Axis</t>
        </is>
      </c>
      <c r="C47" s="59" t="inlineStr">
        <is>
          <t>Sample Fill</t>
        </is>
      </c>
      <c r="D47" s="56" t="inlineStr">
        <is>
          <t>Self-transfer to/from Axis Bank</t>
        </is>
      </c>
    </row>
    <row r="48">
      <c r="B48" s="54" t="inlineStr">
        <is>
          <t>Contra - SBM</t>
        </is>
      </c>
      <c r="C48" s="59" t="inlineStr">
        <is>
          <t>Sample Fill</t>
        </is>
      </c>
      <c r="D48" s="56" t="inlineStr">
        <is>
          <t>Self-transfer to/from SBM Bank</t>
        </is>
      </c>
    </row>
    <row r="49">
      <c r="B49" s="54" t="inlineStr">
        <is>
          <t>Contra - Self</t>
        </is>
      </c>
      <c r="C49" s="59" t="inlineStr">
        <is>
          <t>Sample Fill</t>
        </is>
      </c>
      <c r="D49" s="56" t="inlineStr">
        <is>
          <t>Self-transfer between own accounts</t>
        </is>
      </c>
    </row>
    <row r="50">
      <c r="B50" s="60" t="inlineStr">
        <is>
          <t>UPI SPEND CATEGORIES</t>
        </is>
      </c>
      <c r="C50" s="59" t="inlineStr">
        <is>
          <t>Sample Fill</t>
        </is>
      </c>
      <c r="D50" s="56" t="inlineStr">
        <is>
          <t>Self-transfer via SuperMoney VPA</t>
        </is>
      </c>
    </row>
    <row r="52">
      <c r="B52" s="54" t="inlineStr">
        <is>
          <t>UPI - Zomato</t>
        </is>
      </c>
      <c r="C52" s="59" t="inlineStr">
        <is>
          <t>Sample Fill</t>
        </is>
      </c>
      <c r="D52" s="56" t="inlineStr">
        <is>
          <t>Food ordering via Zomato</t>
        </is>
      </c>
    </row>
    <row r="53">
      <c r="B53" s="54" t="inlineStr">
        <is>
          <t>UPI - Swiggy</t>
        </is>
      </c>
      <c r="C53" s="59" t="inlineStr">
        <is>
          <t>Sample Fill</t>
        </is>
      </c>
      <c r="D53" s="56" t="inlineStr">
        <is>
          <t>Food / Instamart ordering via Swiggy</t>
        </is>
      </c>
    </row>
    <row r="54">
      <c r="B54" s="54" t="inlineStr">
        <is>
          <t>UPI - BigBasket</t>
        </is>
      </c>
      <c r="C54" s="59" t="inlineStr">
        <is>
          <t>Sample Fill</t>
        </is>
      </c>
      <c r="D54" s="56" t="inlineStr">
        <is>
          <t>Grocery shopping via BigBasket / Zepto / Blinkit</t>
        </is>
      </c>
    </row>
    <row r="55">
      <c r="B55" s="54" t="inlineStr">
        <is>
          <t>UPI - Amazon</t>
        </is>
      </c>
      <c r="C55" s="59" t="inlineStr">
        <is>
          <t>Sample Fill</t>
        </is>
      </c>
      <c r="D55" s="56" t="inlineStr">
        <is>
          <t>Online shopping via Amazon / Flipkart / Ajio</t>
        </is>
      </c>
    </row>
    <row r="56">
      <c r="B56" s="54" t="inlineStr">
        <is>
          <t>UPI - Ola</t>
        </is>
      </c>
      <c r="C56" s="59" t="inlineStr">
        <is>
          <t>Sample Fill</t>
        </is>
      </c>
      <c r="D56" s="56" t="inlineStr">
        <is>
          <t>Cab / auto booking via Ola / Uber / BluSmart</t>
        </is>
      </c>
    </row>
    <row r="57">
      <c r="B57" s="54" t="inlineStr">
        <is>
          <t>UPI - Netflix</t>
        </is>
      </c>
      <c r="C57" s="59" t="inlineStr">
        <is>
          <t>Sample Fill</t>
        </is>
      </c>
      <c r="D57" s="56" t="inlineStr">
        <is>
          <t>Subscriptions like Netflix, Spotify, Prime Video</t>
        </is>
      </c>
    </row>
    <row r="58">
      <c r="B58" s="54" t="inlineStr">
        <is>
          <t>UPI - CRED</t>
        </is>
      </c>
      <c r="C58" s="59" t="inlineStr">
        <is>
          <t>Sample Fill</t>
        </is>
      </c>
      <c r="D58" s="56" t="inlineStr">
        <is>
          <t>Payments made through CRED, PhonePe, Paytm</t>
        </is>
      </c>
    </row>
    <row r="59">
      <c r="B59" s="54" t="inlineStr">
        <is>
          <t>UPI - Apollo</t>
        </is>
      </c>
      <c r="C59" s="59" t="inlineStr">
        <is>
          <t>Sample Fill</t>
        </is>
      </c>
      <c r="D59" s="56" t="inlineStr">
        <is>
          <t>Medical expenses via Apollo / MedPlus / Wellness</t>
        </is>
      </c>
    </row>
    <row r="60">
      <c r="B60" s="54" t="inlineStr">
        <is>
          <t>UPI - IRCTC</t>
        </is>
      </c>
      <c r="C60" s="59" t="inlineStr">
        <is>
          <t>Sample Fill</t>
        </is>
      </c>
      <c r="D60" s="56" t="inlineStr">
        <is>
          <t>Train / flight bookings via IRCTC or IndiGo</t>
        </is>
      </c>
    </row>
    <row r="61">
      <c r="B61" s="60" t="inlineStr">
        <is>
          <t>GENERIC FALLBACKS &amp; SUSPENSE</t>
        </is>
      </c>
      <c r="C61" s="59" t="inlineStr">
        <is>
          <t>Sample Fill</t>
        </is>
      </c>
      <c r="D61" s="56" t="inlineStr">
        <is>
          <t>Fuel purchases at HPCL / BPCL / IOCL pumps</t>
        </is>
      </c>
    </row>
    <row r="63">
      <c r="B63" s="54" t="inlineStr">
        <is>
          <t>UPI Payment</t>
        </is>
      </c>
      <c r="C63" s="59" t="inlineStr">
        <is>
          <t>Sample Fill</t>
        </is>
      </c>
      <c r="D63" s="56" t="inlineStr">
        <is>
          <t>Generic outbound UPI transfers to individuals</t>
        </is>
      </c>
    </row>
    <row r="64">
      <c r="B64" s="54" t="inlineStr">
        <is>
          <t>UPI Receipt</t>
        </is>
      </c>
      <c r="C64" s="59" t="inlineStr">
        <is>
          <t>Sample Fill</t>
        </is>
      </c>
      <c r="D64" s="56" t="inlineStr">
        <is>
          <t>Generic inbound UPI transfers from individuals</t>
        </is>
      </c>
    </row>
    <row r="65">
      <c r="B65" s="54" t="inlineStr">
        <is>
          <t>What is this?</t>
        </is>
      </c>
      <c r="C65" s="59" t="inlineStr">
        <is>
          <t>Sample Fill</t>
        </is>
      </c>
      <c r="D65" s="56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2026-07-30T03:43:42Z</dcterms:created>
  <dcterms:modified xsi:type="dcterms:W3CDTF">2026-07-30T03:43:42Z</dcterms:modified>
</cp:coreProperties>
</file>